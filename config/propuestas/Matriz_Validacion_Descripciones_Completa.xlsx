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Métricas" sheetId="2" state="visible" r:id="rId4"/>
    <sheet name="Matriz" sheetId="3" state="visible" r:id="rId5"/>
    <sheet name="Uso en lógica" sheetId="4" state="visible" r:id="rId6"/>
  </sheets>
  <definedNames>
    <definedName function="false" hidden="true" localSheetId="2" name="_xlnm._FilterDatabase" vbProcedure="false">Matriz!$A$1:$AA$3626</definedName>
    <definedName function="false" hidden="true" localSheetId="3" name="_xlnm._FilterDatabase" vbProcedure="false">'Uso en lógica'!$A$1:$F$198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<sst xmlns="http://schemas.openxmlformats.org/spreadsheetml/2006/main" count="57376" uniqueCount="15190">
  <si>
    <t xml:space="preserve">Matriz de validación de descripciones de columnas · SuperApp ESAP · Base completa</t>
  </si>
  <si>
    <t xml:space="preserve">Base esap_db (QA) · extracción del 2026-10-22 · generada el 2026-10-22</t>
  </si>
  <si>
    <t xml:space="preserve">Objetivo</t>
  </si>
  <si>
    <t xml:space="preserve">Revisar con el equipo de desarrollo la descripción de cada columna que aún no tiene descripción registrada en la base ni validada.</t>
  </si>
  <si>
    <t xml:space="preserve">Las propuestas se redactaron a partir de la estructura (nombre, tipo, restricciones, valores permitidos, relaciones) y del código de las funciones, triggers y vistas que usan la columna, y del código fuente de la aplicación (entidades y migraciones). No se revisaron valores de los registros. Son propuestas: no reemplazan el conocimiento del equipo.</t>
  </si>
  <si>
    <t xml:space="preserve">Cómo revisar (hoja «Matriz»)</t>
  </si>
  <si>
    <t xml:space="preserve">1. Lea la propuesta, su fundamento y, si la hay, la pregunta para desarrollo.</t>
  </si>
  <si>
    <t xml:space="preserve">2. Elija la decisión en la lista desplegable (celdas amarillas):</t>
  </si>
  <si>
    <t xml:space="preserve">     Aprobada: la propuesta se registra tal cual.</t>
  </si>
  <si>
    <t xml:space="preserve">     Aprobada con ajuste: escriba el texto correcto en «Descripción final».</t>
  </si>
  <si>
    <t xml:space="preserve">     Rechazada: la propuesta no corresponde; escriba la descripción correcta en «Descripción final» o explique en «Observaciones».</t>
  </si>
  <si>
    <t xml:space="preserve">     Requiere aclaración: falta información; anote la duda en «Observaciones».</t>
  </si>
  <si>
    <t xml:space="preserve">3. Registre quién revisó y la fecha. «Descripción a registrar» se calcula sola.</t>
  </si>
  <si>
    <t xml:space="preserve">     Ejemplo: Decisión = Aprobada con ajuste · Descripción final = «Valor de los viáticos de la comisión, en pesos colombianos, calculado como la suma de días pernoctados y no pernoctados.» · Revisado por = Equipo Viáticos · Fecha de revisión = 2026-10-23.</t>
  </si>
  <si>
    <t xml:space="preserve">4. La hoja «Métricas» muestra el avance por dominio, por confianza y por uso en la lógica.</t>
  </si>
  <si>
    <t xml:space="preserve">Columnas de la matriz</t>
  </si>
  <si>
    <t xml:space="preserve">Confianza: Alta (el nombre, el tipo y la lógica coinciden) · Media (el nombre es claro pero falta confirmar el uso) · Baja (el nombre es ambiguo; revisar con prioridad).</t>
  </si>
  <si>
    <t xml:space="preserve">Origen: «Código fuente» (redactada a partir del comentario del desarrollador en la entidad o la migración), «Regla estructural» (convención de nombre) o «Propuesta semántica» (redactada a partir del contexto de la base).</t>
  </si>
  <si>
    <t xml:space="preserve">Evidencia en código: archivo y línea del repositorio de la aplicación (rama micro-frontend) donde se define la columna, con el comentario del desarrollador, los valores del enum y las validaciones declaradas.</t>
  </si>
  <si>
    <t xml:space="preserve">Uso en lógica: funciones, procedimientos, triggers y vistas de la base que mencionan la columna. La lógica de la aplicación se resume en «Evidencia en código».</t>
  </si>
  <si>
    <t xml:space="preserve">Catálogo: la columna apunta a una tabla de catálogo, tiene valores permitidos (CHECK o tipo enumerado) o pertenece a una tabla de catálogo.</t>
  </si>
  <si>
    <t xml:space="preserve">Después de la revisión</t>
  </si>
  <si>
    <t xml:space="preserve">python herramientas/matriz_descripciones.py incorporar --matriz &lt;este archivo&gt;  → lleva las aprobadas a config/descripciones.csv (estado validada).</t>
  </si>
  <si>
    <t xml:space="preserve">Las validadas se publican en el portal y quedan listas para registrarse en la base con un lote COMMENT ON (con reversa), cuando haya autorización.</t>
  </si>
  <si>
    <t xml:space="preserve">Métricas de la revisión · Base completa</t>
  </si>
  <si>
    <t xml:space="preserve">Avance general</t>
  </si>
  <si>
    <t xml:space="preserve">Indicador</t>
  </si>
  <si>
    <t xml:space="preserve">Valor</t>
  </si>
  <si>
    <t xml:space="preserve">Columnas en la matriz</t>
  </si>
  <si>
    <t xml:space="preserve">Pendiente</t>
  </si>
  <si>
    <t xml:space="preserve">Aprobada</t>
  </si>
  <si>
    <t xml:space="preserve">Aprobada con ajuste</t>
  </si>
  <si>
    <t xml:space="preserve">Rechazada</t>
  </si>
  <si>
    <t xml:space="preserve">Requiere aclaración</t>
  </si>
  <si>
    <t xml:space="preserve">Revisadas (decisión distinta de Pendiente)</t>
  </si>
  <si>
    <t xml:space="preserve">% revisado</t>
  </si>
  <si>
    <t xml:space="preserve">Con descripción a registrar</t>
  </si>
  <si>
    <t xml:space="preserve">Ajustes sin texto en «Descripción final»</t>
  </si>
  <si>
    <t xml:space="preserve">Cobertura de descripciones de columnas (indicador K02, meta ≥ 95 %)</t>
  </si>
  <si>
    <t xml:space="preserve">Concepto</t>
  </si>
  <si>
    <t xml:space="preserve">Columnas del alcance</t>
  </si>
  <si>
    <t xml:space="preserve">Con descripción registrada en la base (COMMENT)</t>
  </si>
  <si>
    <t xml:space="preserve">Validadas antes de esta matriz (config/descripciones.csv)</t>
  </si>
  <si>
    <t xml:space="preserve">Con descripción a registrar en esta matriz</t>
  </si>
  <si>
    <t xml:space="preserve">Cobertura actual</t>
  </si>
  <si>
    <t xml:space="preserve">Cobertura al incorporar la matriz</t>
  </si>
  <si>
    <t xml:space="preserve">Columnas que faltan para la meta de 95 %</t>
  </si>
  <si>
    <t xml:space="preserve">Columnas del alcance, base y validadas: cifras fijas de la extracción del 2026-10-22 y de config/descripciones.csv.</t>
  </si>
  <si>
    <t xml:space="preserve">Avance por dominio</t>
  </si>
  <si>
    <t xml:space="preserve">Dominio</t>
  </si>
  <si>
    <t xml:space="preserve">Esquema</t>
  </si>
  <si>
    <t xml:space="preserve">Columnas</t>
  </si>
  <si>
    <t xml:space="preserve">Aprobadas</t>
  </si>
  <si>
    <t xml:space="preserve">Rechazadas</t>
  </si>
  <si>
    <t xml:space="preserve">Por aclarar</t>
  </si>
  <si>
    <t xml:space="preserve">Pendientes</t>
  </si>
  <si>
    <t xml:space="preserve">Identidad y acceso</t>
  </si>
  <si>
    <t xml:space="preserve">auth</t>
  </si>
  <si>
    <t xml:space="preserve">Registro académico</t>
  </si>
  <si>
    <t xml:space="preserve">academic_registration</t>
  </si>
  <si>
    <t xml:space="preserve">Plan de trabajo académico</t>
  </si>
  <si>
    <t xml:space="preserve">academic_work_plan</t>
  </si>
  <si>
    <t xml:space="preserve">Certificaciones</t>
  </si>
  <si>
    <t xml:space="preserve">certification</t>
  </si>
  <si>
    <t xml:space="preserve">Gestión jurídica</t>
  </si>
  <si>
    <t xml:space="preserve">legal_management</t>
  </si>
  <si>
    <t xml:space="preserve">Control interno</t>
  </si>
  <si>
    <t xml:space="preserve">control_interno</t>
  </si>
  <si>
    <t xml:space="preserve">Control disciplinario interno</t>
  </si>
  <si>
    <t xml:space="preserve">internal_disciplinary_control</t>
  </si>
  <si>
    <t xml:space="preserve">Requerimientos</t>
  </si>
  <si>
    <t xml:space="preserve">requerimientos_oc</t>
  </si>
  <si>
    <t xml:space="preserve">Notificaciones</t>
  </si>
  <si>
    <t xml:space="preserve">notifications</t>
  </si>
  <si>
    <t xml:space="preserve">Auditoría y trazabilidad</t>
  </si>
  <si>
    <t xml:space="preserve">audit</t>
  </si>
  <si>
    <t xml:space="preserve">Esquema público</t>
  </si>
  <si>
    <t xml:space="preserve">public</t>
  </si>
  <si>
    <t xml:space="preserve">Programación académica</t>
  </si>
  <si>
    <t xml:space="preserve">academic-schedule</t>
  </si>
  <si>
    <t xml:space="preserve">Contratación</t>
  </si>
  <si>
    <t xml:space="preserve">hiring</t>
  </si>
  <si>
    <t xml:space="preserve">Viáticos y gastos de viaje</t>
  </si>
  <si>
    <t xml:space="preserve">travel_expenses</t>
  </si>
  <si>
    <t xml:space="preserve">Gestión de infraestructura</t>
  </si>
  <si>
    <t xml:space="preserve">infrastructure-management</t>
  </si>
  <si>
    <t xml:space="preserve">Asistente virtual (chatbot)</t>
  </si>
  <si>
    <t xml:space="preserve">chatbot</t>
  </si>
  <si>
    <t xml:space="preserve">Total</t>
  </si>
  <si>
    <t xml:space="preserve">Avance por confianza y origen de la propuesta</t>
  </si>
  <si>
    <t xml:space="preserve">Grupo</t>
  </si>
  <si>
    <t xml:space="preserve">Confianza Alta</t>
  </si>
  <si>
    <t xml:space="preserve">Confianza Media</t>
  </si>
  <si>
    <t xml:space="preserve">Confianza Baja</t>
  </si>
  <si>
    <t xml:space="preserve">Origen: Código fuente</t>
  </si>
  <si>
    <t xml:space="preserve">Origen: Regla estructural</t>
  </si>
  <si>
    <t xml:space="preserve">Origen: Propuesta semántica</t>
  </si>
  <si>
    <t xml:space="preserve">Con evidencia en código</t>
  </si>
  <si>
    <t xml:space="preserve">Usadas en lógica de la base</t>
  </si>
  <si>
    <t xml:space="preserve">Relacionadas con catálogo</t>
  </si>
  <si>
    <t xml:space="preserve">ID</t>
  </si>
  <si>
    <t xml:space="preserve">Tabla</t>
  </si>
  <si>
    <t xml:space="preserve">Filas en QA</t>
  </si>
  <si>
    <t xml:space="preserve">Columna</t>
  </si>
  <si>
    <t xml:space="preserve">Tipo de dato</t>
  </si>
  <si>
    <t xml:space="preserve">Admite nulos</t>
  </si>
  <si>
    <t xml:space="preserve">Restricciones</t>
  </si>
  <si>
    <t xml:space="preserve">Valores permitidos</t>
  </si>
  <si>
    <t xml:space="preserve">Referencia (FK)</t>
  </si>
  <si>
    <t xml:space="preserve">Catálogo</t>
  </si>
  <si>
    <t xml:space="preserve">Uso en lógica</t>
  </si>
  <si>
    <t xml:space="preserve">Detalle del uso</t>
  </si>
  <si>
    <t xml:space="preserve">Índices</t>
  </si>
  <si>
    <t xml:space="preserve">Evidencia en código</t>
  </si>
  <si>
    <t xml:space="preserve">Origen</t>
  </si>
  <si>
    <t xml:space="preserve">Propuesta de descripción</t>
  </si>
  <si>
    <t xml:space="preserve">Confianza</t>
  </si>
  <si>
    <t xml:space="preserve">Fundamento</t>
  </si>
  <si>
    <t xml:space="preserve">Pregunta para desarrollo</t>
  </si>
  <si>
    <t xml:space="preserve">Decisión</t>
  </si>
  <si>
    <t xml:space="preserve">Descripción final</t>
  </si>
  <si>
    <t xml:space="preserve">Revisado por</t>
  </si>
  <si>
    <t xml:space="preserve">Fecha de revisión</t>
  </si>
  <si>
    <t xml:space="preserve">Observaciones</t>
  </si>
  <si>
    <t xml:space="preserve">Descripción a registrar</t>
  </si>
  <si>
    <t xml:space="preserve">C0001</t>
  </si>
  <si>
    <t xml:space="preserve">acreditaciones_programa</t>
  </si>
  <si>
    <t xml:space="preserve">tipo</t>
  </si>
  <si>
    <t xml:space="preserve">text</t>
  </si>
  <si>
    <t xml:space="preserve">No</t>
  </si>
  <si>
    <t xml:space="preserve">db/migrations/old/006_create_programas_academicos.sql:49: Alta Calidad, Internacional, etc.</t>
  </si>
  <si>
    <t xml:space="preserve">Código fuente</t>
  </si>
  <si>
    <t xml:space="preserve">Tipo de acreditación del programa académico (por ejemplo, Alta Calidad, Internacional).</t>
  </si>
  <si>
    <t xml:space="preserve">Alta</t>
  </si>
  <si>
    <t xml:space="preserve">código: db/migrations/old/006_create_programas_academicos.sql:49</t>
  </si>
  <si>
    <t xml:space="preserve">C0002</t>
  </si>
  <si>
    <t xml:space="preserve">vigencia</t>
  </si>
  <si>
    <t xml:space="preserve">date</t>
  </si>
  <si>
    <t xml:space="preserve">Regla estructural</t>
  </si>
  <si>
    <t xml:space="preserve">Vigencia (año).</t>
  </si>
  <si>
    <t xml:space="preserve">Media</t>
  </si>
  <si>
    <t xml:space="preserve">Convención de nombre de la columna.</t>
  </si>
  <si>
    <t xml:space="preserve">C0003</t>
  </si>
  <si>
    <t xml:space="preserve">cargos</t>
  </si>
  <si>
    <t xml:space="preserve">cod_cargo</t>
  </si>
  <si>
    <t xml:space="preserve">character varying(50)</t>
  </si>
  <si>
    <t xml:space="preserve">Única</t>
  </si>
  <si>
    <t xml:space="preserve">cargos_cod_cargo_key, idx_cargos_codigo</t>
  </si>
  <si>
    <t xml:space="preserve">Mapeada en auth-service/src/users/cargo.entity.ts:19 (Cargo.codCargo) | Validación: IsString, MaxLength(50, { message: 'El código de cargo no puede exceder 50 caracteres' })</t>
  </si>
  <si>
    <t xml:space="preserve">Propuesta semántica</t>
  </si>
  <si>
    <t xml:space="preserve">Código del cargo; es único en la tabla (máximo 50 caracteres).</t>
  </si>
  <si>
    <t xml:space="preserve">nombre + tipo + columnas vecinas + restricción única + validaciones</t>
  </si>
  <si>
    <t xml:space="preserve">C0004</t>
  </si>
  <si>
    <t xml:space="preserve">nom_cargo</t>
  </si>
  <si>
    <t xml:space="preserve">character varying(250)</t>
  </si>
  <si>
    <t xml:space="preserve">idx_cargos_nombre</t>
  </si>
  <si>
    <t xml:space="preserve">Mapeada en auth-service/src/users/cargo.entity.ts:22 (Cargo.nomCargo) | Validación: IsString, MaxLength(250, { message: 'El nombre de cargo no puede exceder 250 caracteres' })</t>
  </si>
  <si>
    <t xml:space="preserve">Nombre del cargo (máximo 250 caracteres).</t>
  </si>
  <si>
    <t xml:space="preserve">nombre + tipo + columnas vecinas + validaciones</t>
  </si>
  <si>
    <t xml:space="preserve">C0005</t>
  </si>
  <si>
    <t xml:space="preserve">descripcion</t>
  </si>
  <si>
    <t xml:space="preserve">character varying(500)</t>
  </si>
  <si>
    <t xml:space="preserve">Sí</t>
  </si>
  <si>
    <t xml:space="preserve">Mapeada en auth-service/src/users/cargo.entity.ts:25 (Cargo.descripcion) | Validación: IsOptional, IsString, MaxLength(150), MaxLength(150, { message: 'La descripción no puede superar 150 caracteres' }), MaxLength(500)</t>
  </si>
  <si>
    <t xml:space="preserve">Descripción del registro de cargos.</t>
  </si>
  <si>
    <t xml:space="preserve">C0006</t>
  </si>
  <si>
    <t xml:space="preserve">nivel_jerarquico</t>
  </si>
  <si>
    <t xml:space="preserve">Mapeada en auth-service/src/users/cargo.entity.ts:28 (Cargo.nivelJerarquico) | Validación: IsOptional, IsString, MaxLength(50)</t>
  </si>
  <si>
    <t xml:space="preserve">Nivel jerárquico del cargo. Por defecto, Profesional.</t>
  </si>
  <si>
    <t xml:space="preserve">nombre + tipo + columnas vecinas + defecto</t>
  </si>
  <si>
    <t xml:space="preserve">¿Qué valores toma el nivel jerárquico (Directivo, Asesor, Profesional, Técnico, Asistencial)?</t>
  </si>
  <si>
    <t xml:space="preserve">C0007</t>
  </si>
  <si>
    <t xml:space="preserve">activo</t>
  </si>
  <si>
    <t xml:space="preserve">boolean</t>
  </si>
  <si>
    <t xml:space="preserve">idx_cargos_activo</t>
  </si>
  <si>
    <t xml:space="preserve">Mapeada en auth-service/src/users/cargo.entity.ts:36 (Cargo.activo) | Validación: IsBoolean, IsOptional</t>
  </si>
  <si>
    <t xml:space="preserve">Indica si el registro está activo.</t>
  </si>
  <si>
    <t xml:space="preserve">C0008</t>
  </si>
  <si>
    <t xml:space="preserve">carpeta_digital</t>
  </si>
  <si>
    <t xml:space="preserve">nombre_carpeta</t>
  </si>
  <si>
    <t xml:space="preserve">character varying(255)</t>
  </si>
  <si>
    <t xml:space="preserve">Mapeada en auth-service/src/carpeta-digital/carpeta-digital.entity.ts:24 (CarpetaDigital.nombreCarpeta)</t>
  </si>
  <si>
    <t xml:space="preserve">Nombre de la carpeta digital de la persona.</t>
  </si>
  <si>
    <t xml:space="preserve">nombre + tipo + columnas vecinas</t>
  </si>
  <si>
    <t xml:space="preserve">C0009</t>
  </si>
  <si>
    <t xml:space="preserve">estado</t>
  </si>
  <si>
    <t xml:space="preserve">character varying(30)</t>
  </si>
  <si>
    <t xml:space="preserve">idx_carpeta_digital_estado</t>
  </si>
  <si>
    <t xml:space="preserve">Mapeada en auth-service/src/carpeta-digital/carpeta-digital.entity.ts:27 (CarpetaDigital.estado) | Validación: IsOptional, IsString</t>
  </si>
  <si>
    <t xml:space="preserve">Estado del registro de carpeta_digital.</t>
  </si>
  <si>
    <t xml:space="preserve">C0010</t>
  </si>
  <si>
    <t xml:space="preserve">metadata</t>
  </si>
  <si>
    <t xml:space="preserve">jsonb</t>
  </si>
  <si>
    <t xml:space="preserve">Mapeada en auth-service/src/carpeta-digital/carpeta-digital.entity.ts:30 (CarpetaDigital.metadata)</t>
  </si>
  <si>
    <t xml:space="preserve">Metadatos adicionales en formato JSON.</t>
  </si>
  <si>
    <t xml:space="preserve">C0011</t>
  </si>
  <si>
    <t xml:space="preserve">dependencias</t>
  </si>
  <si>
    <t xml:space="preserve">id_empresa</t>
  </si>
  <si>
    <t xml:space="preserve">numeric(11,0)</t>
  </si>
  <si>
    <t xml:space="preserve">Mapeada en auth-service/src/users/dependencia.entity.ts:52 (Dependencia.idEmpresa)</t>
  </si>
  <si>
    <t xml:space="preserve">Identificador de la empresa o entidad a la que pertenece la dependencia. Por defecto, 1.</t>
  </si>
  <si>
    <t xml:space="preserve">nombre + tipo + columnas vecinas + documentación de la entidad</t>
  </si>
  <si>
    <t xml:space="preserve">¿Qué tabla identifica id_empresa y hay más de una empresa registrada?</t>
  </si>
  <si>
    <t xml:space="preserve">C0012</t>
  </si>
  <si>
    <t xml:space="preserve">cod_dependencia</t>
  </si>
  <si>
    <t xml:space="preserve">character varying(20)</t>
  </si>
  <si>
    <t xml:space="preserve">dependencias_cod_dependencia_key</t>
  </si>
  <si>
    <t xml:space="preserve">Mapeada en auth-service/src/users/dependencia.entity.ts:55 (Dependencia.codDependencia) | Validación: IsOptional, IsString, MaxLength(20), MaxLength(20, { message: 'El código de dependencia no puede exceder 20 caracteres' })</t>
  </si>
  <si>
    <t xml:space="preserve">Código de la dependencia; es único en la tabla (máximo 20 caracteres).</t>
  </si>
  <si>
    <t xml:space="preserve">C0013</t>
  </si>
  <si>
    <t xml:space="preserve">nom_dependencia</t>
  </si>
  <si>
    <t xml:space="preserve">Mapeada en auth-service/src/users/dependencia.entity.ts:58 (Dependencia.nomDependencia) | Validación: IsOptional, IsString, MaxLength(250), MaxLength(250, { message: 'El nombre de dependencia no puede exceder 250 caracteres' })</t>
  </si>
  <si>
    <t xml:space="preserve">Nombre de la dependencia (máximo 250 caracteres).</t>
  </si>
  <si>
    <t xml:space="preserve">C0014</t>
  </si>
  <si>
    <t xml:space="preserve">dir_dependencia</t>
  </si>
  <si>
    <t xml:space="preserve">Mapeada en auth-service/src/users/dependencia.entity.ts:61 (Dependencia.dirDependencia) | Validación: IsOptional, IsString, MaxLength(250)</t>
  </si>
  <si>
    <t xml:space="preserve">Dirección física de la dependencia.</t>
  </si>
  <si>
    <t xml:space="preserve">nombre + tipo + columnas vecinas (dir_email, url_dependencia)</t>
  </si>
  <si>
    <t xml:space="preserve">¿dir_dependencia es la dirección postal de la dependencia?</t>
  </si>
  <si>
    <t xml:space="preserve">C0015</t>
  </si>
  <si>
    <t xml:space="preserve">dir_email</t>
  </si>
  <si>
    <t xml:space="preserve">Mapeada en auth-service/src/users/dependencia.entity.ts:64 (Dependencia.dirEmail) | Validación: IsEmail, IsEmail({}, { message: 'El email institucional no es válido' }), IsOptional, MaxLength(250)</t>
  </si>
  <si>
    <t xml:space="preserve">Correo electrónico institucional de la dependencia.</t>
  </si>
  <si>
    <t xml:space="preserve">nombre + tipo + columnas vecinas + validación IsEmail</t>
  </si>
  <si>
    <t xml:space="preserve">C0016</t>
  </si>
  <si>
    <t xml:space="preserve">url_dependencia</t>
  </si>
  <si>
    <t xml:space="preserve">Mapeada en auth-service/src/users/dependencia.entity.ts:67 (Dependencia.urlDependencia) | Validación: IsOptional, IsString, MaxLength(250)</t>
  </si>
  <si>
    <t xml:space="preserve">Dirección web (URL) de la dependencia.</t>
  </si>
  <si>
    <t xml:space="preserve">C0017</t>
  </si>
  <si>
    <t xml:space="preserve">id_geopolitica</t>
  </si>
  <si>
    <t xml:space="preserve">Mapeada en auth-service/src/users/dependencia.entity.ts:70 (Dependencia.idGeopolitica) | Validación: IsNumber, IsOptional</t>
  </si>
  <si>
    <t xml:space="preserve">Identificador de la división geopolítica (ciudad o municipio) donde se ubica la dependencia.</t>
  </si>
  <si>
    <t xml:space="preserve">nombre + tipo + columnas vecinas (auth.geopolitica)</t>
  </si>
  <si>
    <t xml:space="preserve">¿id_geopolitica referencia a auth.geopolitica.id_geopolitica?</t>
  </si>
  <si>
    <t xml:space="preserve">C0018</t>
  </si>
  <si>
    <t xml:space="preserve">id_sede</t>
  </si>
  <si>
    <t xml:space="preserve">Mapeada en auth-service/src/users/dependencia.entity.ts:73 (Dependencia.idSede) | Validación: IsNumber, IsOptional</t>
  </si>
  <si>
    <t xml:space="preserve">Referencia al registro de auth.sedes (id_sede); relación sin llave foránea declarada.</t>
  </si>
  <si>
    <t xml:space="preserve">C0019</t>
  </si>
  <si>
    <t xml:space="preserve">id_cargo</t>
  </si>
  <si>
    <t xml:space="preserve">Mapeada en auth-service/src/users/dependencia.entity.ts:76 (Dependencia.idCargo) | Validación: IsNumber, IsOptional</t>
  </si>
  <si>
    <t xml:space="preserve">Identificador del cargo asociado a la dependencia.</t>
  </si>
  <si>
    <t xml:space="preserve">Baja</t>
  </si>
  <si>
    <t xml:space="preserve">nombre + tipo + columnas vecinas (auth.cargos)</t>
  </si>
  <si>
    <t xml:space="preserve">¿id_cargo es el cargo del jefe de la dependencia? ¿Referencia a auth.cargos?</t>
  </si>
  <si>
    <t xml:space="preserve">C0020</t>
  </si>
  <si>
    <t xml:space="preserve">id_tercero</t>
  </si>
  <si>
    <t xml:space="preserve">Mapeada en auth-service/src/users/dependencia.entity.ts:79 (Dependencia.idTercero) | Validación: IsNumber, IsOptional</t>
  </si>
  <si>
    <t xml:space="preserve">Identificador del tercero asociado a la dependencia.</t>
  </si>
  <si>
    <t xml:space="preserve">¿Qué representa el tercero (responsable de la dependencia) y a qué tabla referencia?</t>
  </si>
  <si>
    <t xml:space="preserve">C0021</t>
  </si>
  <si>
    <t xml:space="preserve">tip_unidad</t>
  </si>
  <si>
    <t xml:space="preserve">numeric(1,0)</t>
  </si>
  <si>
    <t xml:space="preserve">Mapeada en auth-service/src/users/dependencia.entity.ts:82 (Dependencia.tipUnidad) | Validación: IsNumber, IsOptional</t>
  </si>
  <si>
    <t xml:space="preserve">Código del tipo de unidad organizacional de la dependencia.</t>
  </si>
  <si>
    <t xml:space="preserve">nombre + tipo + columnas vecinas (gen_tip_unidad)</t>
  </si>
  <si>
    <t xml:space="preserve">¿Qué valores toma tip_unidad y qué significa cada uno?</t>
  </si>
  <si>
    <t xml:space="preserve">C0022</t>
  </si>
  <si>
    <t xml:space="preserve">gen_tip_unidad</t>
  </si>
  <si>
    <t xml:space="preserve">character varying(6)</t>
  </si>
  <si>
    <t xml:space="preserve">Mapeada en auth-service/src/users/dependencia.entity.ts:85 (Dependencia.genTipUnidad) | Validación: IsOptional, IsString, MaxLength(6)</t>
  </si>
  <si>
    <t xml:space="preserve">Código del grupo de parámetros que define los tipos de unidad. Por defecto, TIUORG (tipo de unidad organizacional).</t>
  </si>
  <si>
    <t xml:space="preserve">¿gen_tip_unidad es el código de la lista genérica a la que pertenece tip_unidad?</t>
  </si>
  <si>
    <t xml:space="preserve">C0023</t>
  </si>
  <si>
    <t xml:space="preserve">Mapeada en auth-service/src/users/dependencia.entity.ts:88 (Dependencia.descripcion) | Validación: IsOptional, IsString, MaxLength(150), MaxLength(150, { message: 'La descripción no puede superar 150 caracteres' }), MaxLength(500)</t>
  </si>
  <si>
    <t xml:space="preserve">Descripción del registro de dependencias.</t>
  </si>
  <si>
    <t xml:space="preserve">C0024</t>
  </si>
  <si>
    <t xml:space="preserve">idx_dependencias_activo</t>
  </si>
  <si>
    <t xml:space="preserve">Mapeada en auth-service/src/users/dependencia.entity.ts:91 (Dependencia.activo) | Validación: IsBoolean, IsOptional</t>
  </si>
  <si>
    <t xml:space="preserve">C0025</t>
  </si>
  <si>
    <t xml:space="preserve">dependencias_cargos</t>
  </si>
  <si>
    <t xml:space="preserve">idx_dep_cargos_activo</t>
  </si>
  <si>
    <t xml:space="preserve">Mapeada en auth-service/src/users/dependencia-cargo.entity.ts:29 (DependenciaCargo.activo) | Validación: IsBoolean, IsOptional</t>
  </si>
  <si>
    <t xml:space="preserve">C0026</t>
  </si>
  <si>
    <t xml:space="preserve">documento_carpeta_digital</t>
  </si>
  <si>
    <t xml:space="preserve">nombre</t>
  </si>
  <si>
    <t xml:space="preserve">db/migrations/339_create_documento_carpeta_digital.sql:29: Metadatos del archivo | Validación: IsOptional, IsString</t>
  </si>
  <si>
    <t xml:space="preserve">Nombre del archivo del documento cargado en la Carpeta Digital.</t>
  </si>
  <si>
    <t xml:space="preserve">código: db/migrations/339_create_documento_carpeta_digital.sql:29</t>
  </si>
  <si>
    <t xml:space="preserve">¿nombre guarda el nombre original del archivo o un nombre descriptivo del documento?</t>
  </si>
  <si>
    <t xml:space="preserve">C0027</t>
  </si>
  <si>
    <t xml:space="preserve">categoria</t>
  </si>
  <si>
    <t xml:space="preserve">character varying(80)</t>
  </si>
  <si>
    <t xml:space="preserve">Mapeada en auth-service/src/carpeta-digital/documento-carpeta-digital.entity.ts:43 (DocumentoCarpetaDigital.categoria)</t>
  </si>
  <si>
    <t xml:space="preserve">Categoría del documento en la carpeta digital. Por defecto, otros.</t>
  </si>
  <si>
    <t xml:space="preserve">¿Qué categorías se usan y de qué catálogo provienen?</t>
  </si>
  <si>
    <t xml:space="preserve">C0028</t>
  </si>
  <si>
    <t xml:space="preserve">tipo_archivo</t>
  </si>
  <si>
    <t xml:space="preserve">character varying(40)</t>
  </si>
  <si>
    <t xml:space="preserve">Mapeada en auth-service/src/carpeta-digital/documento-carpeta-digital.entity.ts:46 (DocumentoCarpetaDigital.tipoArchivo)</t>
  </si>
  <si>
    <t xml:space="preserve">Tipo o formato del archivo subido (por ejemplo, pdf).</t>
  </si>
  <si>
    <t xml:space="preserve">¿Se guarda la extensión o el tipo MIME del archivo?</t>
  </si>
  <si>
    <t xml:space="preserve">C0029</t>
  </si>
  <si>
    <t xml:space="preserve">tamano_bytes</t>
  </si>
  <si>
    <t xml:space="preserve">bigint</t>
  </si>
  <si>
    <t xml:space="preserve">Mapeada en auth-service/src/carpeta-digital/documento-carpeta-digital.entity.ts:49 (DocumentoCarpetaDigital.tamanoBytes)</t>
  </si>
  <si>
    <t xml:space="preserve">Tamaño del archivo en bytes.</t>
  </si>
  <si>
    <t xml:space="preserve">C0030</t>
  </si>
  <si>
    <t xml:space="preserve">CHECK</t>
  </si>
  <si>
    <t xml:space="preserve">pendiente, rechazado, validado, vencido</t>
  </si>
  <si>
    <t xml:space="preserve">idx_documento_cd_estado</t>
  </si>
  <si>
    <t xml:space="preserve">db/migrations/339_create_documento_carpeta_digital.sql:36: Estado de validación | Validación: IsOptional, IsString</t>
  </si>
  <si>
    <t xml:space="preserve">Estado de validación del documento. Valores permitidos: pendiente, validado, rechazado, vencido; por defecto pendiente.</t>
  </si>
  <si>
    <t xml:space="preserve">código: db/migrations/339_create_documento_carpeta_digital.sql:36</t>
  </si>
  <si>
    <t xml:space="preserve">C0031</t>
  </si>
  <si>
    <t xml:space="preserve">comentarios</t>
  </si>
  <si>
    <t xml:space="preserve">Mapeada en auth-service/src/carpeta-digital/documento-carpeta-digital.entity.ts:58 (DocumentoCarpetaDigital.comentarios)</t>
  </si>
  <si>
    <t xml:space="preserve">Comentarios sobre el documento, como observaciones de la validación.</t>
  </si>
  <si>
    <t xml:space="preserve">nombre + tipo + columnas vecinas (estado, validado_por)</t>
  </si>
  <si>
    <t xml:space="preserve">¿Los comentarios los escribe quien valida, quien sube el documento o ambos?</t>
  </si>
  <si>
    <t xml:space="preserve">C0032</t>
  </si>
  <si>
    <t xml:space="preserve">validado_por</t>
  </si>
  <si>
    <t xml:space="preserve">uuid</t>
  </si>
  <si>
    <t xml:space="preserve">Mapeada en auth-service/src/carpeta-digital/documento-carpeta-digital.entity.ts:61 (DocumentoCarpetaDigital.validadoPor)</t>
  </si>
  <si>
    <t xml:space="preserve">Usuario que realizó la validación.</t>
  </si>
  <si>
    <t xml:space="preserve">C0033</t>
  </si>
  <si>
    <t xml:space="preserve">fecha_validacion</t>
  </si>
  <si>
    <t xml:space="preserve">timestamp without time zone</t>
  </si>
  <si>
    <t xml:space="preserve">Mapeada en auth-service/src/carpeta-digital/documento-carpeta-digital.entity.ts:64 (DocumentoCarpetaDigital.fechaValidacion)</t>
  </si>
  <si>
    <t xml:space="preserve">Fecha de validación.</t>
  </si>
  <si>
    <t xml:space="preserve">C0034</t>
  </si>
  <si>
    <t xml:space="preserve">fecha_subida</t>
  </si>
  <si>
    <t xml:space="preserve">db/migrations/339_create_documento_carpeta_digital.sql:42: Fechas</t>
  </si>
  <si>
    <t xml:space="preserve">Fecha y hora en que la persona cargó el documento; por defecto el momento de creación.</t>
  </si>
  <si>
    <t xml:space="preserve">código: db/migrations/339_create_documento_carpeta_digital.sql:42</t>
  </si>
  <si>
    <t xml:space="preserve">C0035</t>
  </si>
  <si>
    <t xml:space="preserve">fecha_vencimiento</t>
  </si>
  <si>
    <t xml:space="preserve">Mapeada en auth-service/src/carpeta-digital/documento-carpeta-digital.entity.ts:70 (DocumentoCarpetaDigital.fechaVencimiento)</t>
  </si>
  <si>
    <t xml:space="preserve">Fecha de vencimiento.</t>
  </si>
  <si>
    <t xml:space="preserve">C0036</t>
  </si>
  <si>
    <t xml:space="preserve">festivos_colombia</t>
  </si>
  <si>
    <t xml:space="preserve">fecha</t>
  </si>
  <si>
    <t xml:space="preserve">festivos_colombia_fecha_key, idx_auth_festivos_fecha</t>
  </si>
  <si>
    <t xml:space="preserve">Mapeada en travel-expenses-service/src/entities/festivo-colombia.entity.ts:21 (FestivoColombiaEntity.fecha)</t>
  </si>
  <si>
    <t xml:space="preserve">Fecha del día festivo; es única en la tabla.</t>
  </si>
  <si>
    <t xml:space="preserve">documentación de la entidad + restricción única</t>
  </si>
  <si>
    <t xml:space="preserve">C0037</t>
  </si>
  <si>
    <t xml:space="preserve">character varying(150)</t>
  </si>
  <si>
    <t xml:space="preserve">Mapeada en travel-expenses-service/src/entities/festivo-colombia.entity.ts:24 (FestivoColombiaEntity.descripcion) | Validación: IsOptional, IsString, Length(0, 255)</t>
  </si>
  <si>
    <t xml:space="preserve">Descripción del registro de festivos_colombia.</t>
  </si>
  <si>
    <t xml:space="preserve">C0038</t>
  </si>
  <si>
    <t xml:space="preserve">origen</t>
  </si>
  <si>
    <t xml:space="preserve">Mapeada en auth-service/src/settings/festivo-colombia.entity.ts:26 (FestivoColombia.origen) | Validación: IsOptional, IsString, MaxLength(150)</t>
  </si>
  <si>
    <t xml:space="preserve">Norma que establece el festivo. Por defecto, Ley 51/1983.</t>
  </si>
  <si>
    <t xml:space="preserve">¿origen guarda siempre la norma legal o también la fuente de carga?</t>
  </si>
  <si>
    <t xml:space="preserve">C0039</t>
  </si>
  <si>
    <t xml:space="preserve">regla</t>
  </si>
  <si>
    <t xml:space="preserve">Mapeada en auth-service/src/settings/festivo-colombia.entity.ts:35 (FestivoColombia.regla) | Validación: IsOptional, IsString, MaxLength(50)</t>
  </si>
  <si>
    <t xml:space="preserve">Regla con la que se determina la fecha del festivo. Por defecto, fixed (fecha fija).</t>
  </si>
  <si>
    <t xml:space="preserve">¿Qué otros valores toma regla (por ejemplo, traslado al lunes o basado en Pascua)?</t>
  </si>
  <si>
    <t xml:space="preserve">C0040</t>
  </si>
  <si>
    <t xml:space="preserve">geopolitica</t>
  </si>
  <si>
    <t xml:space="preserve">cod_geopolitica</t>
  </si>
  <si>
    <t xml:space="preserve">Mapeada en auth-service/src/users/geopolitica.entity.ts:15 (Geopolitica.codGeopolitica)</t>
  </si>
  <si>
    <t xml:space="preserve">Código de la división geopolítica.</t>
  </si>
  <si>
    <t xml:space="preserve">¿cod_geopolitica es el código DANE (Divipola) o un código interno?</t>
  </si>
  <si>
    <t xml:space="preserve">C0041</t>
  </si>
  <si>
    <t xml:space="preserve">cod_pais</t>
  </si>
  <si>
    <t xml:space="preserve">smallint</t>
  </si>
  <si>
    <t xml:space="preserve">Mapeada en auth-service/src/users/geopolitica.entity.ts:18 (Geopolitica.codPais)</t>
  </si>
  <si>
    <t xml:space="preserve">Código del país de la división geopolítica.</t>
  </si>
  <si>
    <t xml:space="preserve">¿Qué codificación sigue cod_pais?</t>
  </si>
  <si>
    <t xml:space="preserve">C0042</t>
  </si>
  <si>
    <t xml:space="preserve">cod_departamento</t>
  </si>
  <si>
    <t xml:space="preserve">Mapeada en auth-service/src/users/geopolitica.entity.ts:21 (Geopolitica.codDepartamento)</t>
  </si>
  <si>
    <t xml:space="preserve">Código del departamento de la división geopolítica.</t>
  </si>
  <si>
    <t xml:space="preserve">¿Es el código DANE del departamento?</t>
  </si>
  <si>
    <t xml:space="preserve">C0043</t>
  </si>
  <si>
    <t xml:space="preserve">cod_ciudad</t>
  </si>
  <si>
    <t xml:space="preserve">Mapeada en auth-service/src/users/geopolitica.entity.ts:24 (Geopolitica.codCiudad)</t>
  </si>
  <si>
    <t xml:space="preserve">Código de la ciudad o municipio de la división geopolítica.</t>
  </si>
  <si>
    <t xml:space="preserve">¿Es el código DANE del municipio?</t>
  </si>
  <si>
    <t xml:space="preserve">C0044</t>
  </si>
  <si>
    <t xml:space="preserve">nom_div_geopolitica</t>
  </si>
  <si>
    <t xml:space="preserve">Mapeada en auth-service/src/users/geopolitica.entity.ts:27 (Geopolitica.nomDivGeopolitica)</t>
  </si>
  <si>
    <t xml:space="preserve">Nombre de la división geopolítica.</t>
  </si>
  <si>
    <t xml:space="preserve">C0045</t>
  </si>
  <si>
    <t xml:space="preserve">num_habitantes</t>
  </si>
  <si>
    <t xml:space="preserve">Mapeada en auth-service/src/users/geopolitica.entity.ts:30 (Geopolitica.numHabitantes)</t>
  </si>
  <si>
    <t xml:space="preserve">Número de habitantes de la división geopolítica.</t>
  </si>
  <si>
    <t xml:space="preserve">C0046</t>
  </si>
  <si>
    <t xml:space="preserve">tip_division</t>
  </si>
  <si>
    <t xml:space="preserve">Mapeada en auth-service/src/users/geopolitica.entity.ts:33 (Geopolitica.tipDivision)</t>
  </si>
  <si>
    <t xml:space="preserve">Código del tipo de división geopolítica (país, departamento, municipio).</t>
  </si>
  <si>
    <t xml:space="preserve">¿Qué valores toma tip_division?</t>
  </si>
  <si>
    <t xml:space="preserve">C0047</t>
  </si>
  <si>
    <t xml:space="preserve">cod_division</t>
  </si>
  <si>
    <t xml:space="preserve">Mapeada en auth-service/src/users/geopolitica.entity.ts:36 (Geopolitica.codDivision)</t>
  </si>
  <si>
    <t xml:space="preserve">Código de la clase de división geopolítica.</t>
  </si>
  <si>
    <t xml:space="preserve">nombre + tipo + columnas vecinas (tip_division)</t>
  </si>
  <si>
    <t xml:space="preserve">¿En qué se diferencia cod_division de tip_division?</t>
  </si>
  <si>
    <t xml:space="preserve">C0048</t>
  </si>
  <si>
    <t xml:space="preserve">cod_zon_geografica</t>
  </si>
  <si>
    <t xml:space="preserve">Mapeada en auth-service/src/users/geopolitica.entity.ts:39 (Geopolitica.codZonGeografica)</t>
  </si>
  <si>
    <t xml:space="preserve">Código de la zona geográfica a la que pertenece la división.</t>
  </si>
  <si>
    <t xml:space="preserve">¿Qué valores toma la zona geográfica y de qué catálogo provienen?</t>
  </si>
  <si>
    <t xml:space="preserve">C0049</t>
  </si>
  <si>
    <t xml:space="preserve">fec_ult_act</t>
  </si>
  <si>
    <t xml:space="preserve">Mapeada en auth-service/src/users/geopolitica.entity.ts:42 (Geopolitica.fecUltAct)</t>
  </si>
  <si>
    <t xml:space="preserve">Fecha de la última actualización del registro.</t>
  </si>
  <si>
    <t xml:space="preserve">C0050</t>
  </si>
  <si>
    <t xml:space="preserve">fec_creacion</t>
  </si>
  <si>
    <t xml:space="preserve">Mapeada en auth-service/src/users/geopolitica.entity.ts:45 (Geopolitica.fecCreacion)</t>
  </si>
  <si>
    <t xml:space="preserve">Fecha de creación del registro.</t>
  </si>
  <si>
    <t xml:space="preserve">C0051</t>
  </si>
  <si>
    <t xml:space="preserve">usu_creacion</t>
  </si>
  <si>
    <t xml:space="preserve">Mapeada en auth-service/src/users/geopolitica.entity.ts:48 (Geopolitica.usuCreacion)</t>
  </si>
  <si>
    <t xml:space="preserve">Usuario que creó el registro.</t>
  </si>
  <si>
    <t xml:space="preserve">¿usu_creacion guarda el nombre de usuario del sistema de origen?</t>
  </si>
  <si>
    <t xml:space="preserve">C0052</t>
  </si>
  <si>
    <t xml:space="preserve">usu_actualizacion</t>
  </si>
  <si>
    <t xml:space="preserve">Mapeada en auth-service/src/users/geopolitica.entity.ts:51 (Geopolitica.usuActualizacion)</t>
  </si>
  <si>
    <t xml:space="preserve">Usuario que hizo la última actualización del registro.</t>
  </si>
  <si>
    <t xml:space="preserve">¿usu_actualizacion guarda el nombre de usuario del sistema de origen?</t>
  </si>
  <si>
    <t xml:space="preserve">C0053</t>
  </si>
  <si>
    <t xml:space="preserve">cod_intl_pais</t>
  </si>
  <si>
    <t xml:space="preserve">character varying(3)</t>
  </si>
  <si>
    <t xml:space="preserve">Código internacional del país (tres caracteres).</t>
  </si>
  <si>
    <t xml:space="preserve">¿Sigue ISO 3166-1 (alfa-3 o numérico)?</t>
  </si>
  <si>
    <t xml:space="preserve">C0054</t>
  </si>
  <si>
    <t xml:space="preserve">cod_unso</t>
  </si>
  <si>
    <t xml:space="preserve">Código del país según la clasificación de las Naciones Unidas.</t>
  </si>
  <si>
    <t xml:space="preserve">¿Qué significa UNSO y qué codificación sigue?</t>
  </si>
  <si>
    <t xml:space="preserve">C0055</t>
  </si>
  <si>
    <t xml:space="preserve">cod_dian</t>
  </si>
  <si>
    <t xml:space="preserve">Código del país o división asignado por la DIAN.</t>
  </si>
  <si>
    <t xml:space="preserve">¿Es el código de país de la DIAN usado en información exógena?</t>
  </si>
  <si>
    <t xml:space="preserve">C0056</t>
  </si>
  <si>
    <t xml:space="preserve">cod_lat</t>
  </si>
  <si>
    <t xml:space="preserve">numeric(11,8)</t>
  </si>
  <si>
    <t xml:space="preserve">Mapeada en auth-service/src/users/geopolitica.entity.ts:54 (Geopolitica.codLat)</t>
  </si>
  <si>
    <t xml:space="preserve">Latitud geográfica de la división, en grados decimales.</t>
  </si>
  <si>
    <t xml:space="preserve">nombre + tipo + columnas vecinas (cod_lon)</t>
  </si>
  <si>
    <t xml:space="preserve">C0057</t>
  </si>
  <si>
    <t xml:space="preserve">cod_lon</t>
  </si>
  <si>
    <t xml:space="preserve">Mapeada en auth-service/src/users/geopolitica.entity.ts:57 (Geopolitica.codLon)</t>
  </si>
  <si>
    <t xml:space="preserve">Longitud geográfica de la división, en grados decimales.</t>
  </si>
  <si>
    <t xml:space="preserve">nombre + tipo + columnas vecinas (cod_lat)</t>
  </si>
  <si>
    <t xml:space="preserve">C0058</t>
  </si>
  <si>
    <t xml:space="preserve">cod_idioma</t>
  </si>
  <si>
    <t xml:space="preserve">Código del idioma principal de la división geopolítica.</t>
  </si>
  <si>
    <t xml:space="preserve">nombre + tipo + columnas vecinas (nom_idioma)</t>
  </si>
  <si>
    <t xml:space="preserve">¿Sigue ISO 639?</t>
  </si>
  <si>
    <t xml:space="preserve">C0059</t>
  </si>
  <si>
    <t xml:space="preserve">nom_idioma</t>
  </si>
  <si>
    <t xml:space="preserve">Nombre del idioma principal de la división geopolítica.</t>
  </si>
  <si>
    <t xml:space="preserve">nombre + tipo + columnas vecinas (cod_idioma)</t>
  </si>
  <si>
    <t xml:space="preserve">¿Se usa este dato en algún módulo?</t>
  </si>
  <si>
    <t xml:space="preserve">C0060</t>
  </si>
  <si>
    <t xml:space="preserve">cod_idm</t>
  </si>
  <si>
    <t xml:space="preserve">Código de idioma abreviado de la división geopolítica.</t>
  </si>
  <si>
    <t xml:space="preserve">¿En qué se diferencia cod_idm de cod_idioma?</t>
  </si>
  <si>
    <t xml:space="preserve">C0061</t>
  </si>
  <si>
    <t xml:space="preserve">nom_div_geopolitica_tot</t>
  </si>
  <si>
    <t xml:space="preserve">character varying(200)</t>
  </si>
  <si>
    <t xml:space="preserve">Nombre completo de la división geopolítica con su jerarquía (por ejemplo, municipio, departamento y país).</t>
  </si>
  <si>
    <t xml:space="preserve">nombre + tipo + columnas vecinas (nom_div_geopolitica)</t>
  </si>
  <si>
    <t xml:space="preserve">¿El nombre total concatena la jerarquía de la división?</t>
  </si>
  <si>
    <t xml:space="preserve">C0062</t>
  </si>
  <si>
    <t xml:space="preserve">cod_are_tel</t>
  </si>
  <si>
    <t xml:space="preserve">Código de área telefónica (indicativo) de la división geopolítica.</t>
  </si>
  <si>
    <t xml:space="preserve">¿Es el indicativo telefónico nacional o internacional?</t>
  </si>
  <si>
    <t xml:space="preserve">C0063</t>
  </si>
  <si>
    <t xml:space="preserve">cod_pais_defecto</t>
  </si>
  <si>
    <t xml:space="preserve">Código del país por defecto asociado a la división geopolítica.</t>
  </si>
  <si>
    <t xml:space="preserve">¿Para qué se usa cod_pais_defecto?</t>
  </si>
  <si>
    <t xml:space="preserve">C0064</t>
  </si>
  <si>
    <t xml:space="preserve">ind_oculto</t>
  </si>
  <si>
    <t xml:space="preserve">Mapeada en auth-service/src/users/geopolitica.entity.ts:70 (Geopolitica.indOculto)</t>
  </si>
  <si>
    <t xml:space="preserve">Indicador de si la división geopolítica se oculta en las listas de selección.</t>
  </si>
  <si>
    <t xml:space="preserve">nombre + tipo + columnas vecinas (smallint)</t>
  </si>
  <si>
    <t xml:space="preserve">¿Qué valores toma ind_oculto (0 y 1)?</t>
  </si>
  <si>
    <t xml:space="preserve">C0065</t>
  </si>
  <si>
    <t xml:space="preserve">migrations_db_log</t>
  </si>
  <si>
    <t xml:space="preserve">executed_at</t>
  </si>
  <si>
    <t xml:space="preserve">Fecha y hora en que se ejecutó el archivo de migración. Por defecto, la fecha y hora del registro.</t>
  </si>
  <si>
    <t xml:space="preserve">nombre + tipo + columnas vecinas (filename) + defecto now()</t>
  </si>
  <si>
    <t xml:space="preserve">C0066</t>
  </si>
  <si>
    <t xml:space="preserve">module</t>
  </si>
  <si>
    <t xml:space="preserve">code</t>
  </si>
  <si>
    <t xml:space="preserve">Vista hiring.roles_del_modulo</t>
  </si>
  <si>
    <t xml:space="preserve">module_code_key</t>
  </si>
  <si>
    <t xml:space="preserve">Mapeada en auth-service/src/users/module.entity.ts:9 (Module.code) | Validación: IsString, Matches(/^\d{6}$/, { message: 'El código debe tener 6 dígitos' })</t>
  </si>
  <si>
    <t xml:space="preserve">Código del registro de module. Único en la tabla.</t>
  </si>
  <si>
    <t xml:space="preserve">C0067</t>
  </si>
  <si>
    <t xml:space="preserve">name</t>
  </si>
  <si>
    <t xml:space="preserve">character varying(100)</t>
  </si>
  <si>
    <t xml:space="preserve">Mapeada en auth-service/src/users/module.entity.ts:12 (Module.name) | Validación: IsOptional, IsString</t>
  </si>
  <si>
    <t xml:space="preserve">Nombre del registro de module.</t>
  </si>
  <si>
    <t xml:space="preserve">C0068</t>
  </si>
  <si>
    <t xml:space="preserve">description</t>
  </si>
  <si>
    <t xml:space="preserve">Mapeada en auth-service/src/users/module.entity.ts:15 (Module.description) | Validación: IsOptional, IsString</t>
  </si>
  <si>
    <t xml:space="preserve">Descripción del registro de module.</t>
  </si>
  <si>
    <t xml:space="preserve">C0069</t>
  </si>
  <si>
    <t xml:space="preserve">icon</t>
  </si>
  <si>
    <t xml:space="preserve">Mapeada en auth-service/src/users/module.entity.ts:18 (Module.icon) | Validación: IsOptional, IsString</t>
  </si>
  <si>
    <t xml:space="preserve">Nombre del ícono con que se muestra el módulo en la interfaz. Por defecto, Shield.</t>
  </si>
  <si>
    <t xml:space="preserve">C0070</t>
  </si>
  <si>
    <t xml:space="preserve">color</t>
  </si>
  <si>
    <t xml:space="preserve">Mapeada en auth-service/src/users/module.entity.ts:21 (Module.color) | Validación: IsOptional, IsString</t>
  </si>
  <si>
    <t xml:space="preserve">Color del módulo en la interfaz, en formato hexadecimal. Por defecto, #003DA5.</t>
  </si>
  <si>
    <t xml:space="preserve">C0071</t>
  </si>
  <si>
    <t xml:space="preserve">display_order</t>
  </si>
  <si>
    <t xml:space="preserve">integer</t>
  </si>
  <si>
    <t xml:space="preserve">Mapeada en auth-service/src/users/module.entity.ts:24 (Module.display_order) | Validación: IsNumber, IsOptional</t>
  </si>
  <si>
    <t xml:space="preserve">Posición del módulo en las listas de presentación. Por defecto, 0.</t>
  </si>
  <si>
    <t xml:space="preserve">C0072</t>
  </si>
  <si>
    <t xml:space="preserve">category</t>
  </si>
  <si>
    <t xml:space="preserve">db/init/old/001_schema_auth.sql:475: backoffice | portal | Validación: IsIn(['backoffice', 'portal']), IsOptional</t>
  </si>
  <si>
    <t xml:space="preserve">Categoría del módulo según la aplicación donde se presenta. Valores previstos: backoffice, portal; por defecto backoffice.</t>
  </si>
  <si>
    <t xml:space="preserve">código: db/init/old/001_schema_auth.sql:475</t>
  </si>
  <si>
    <t xml:space="preserve">C0073</t>
  </si>
  <si>
    <t xml:space="preserve">is_active</t>
  </si>
  <si>
    <t xml:space="preserve">Mapeada en auth-service/src/users/module.entity.ts:30 (Module.is_active) | Validación: IsBoolean, IsOptional</t>
  </si>
  <si>
    <t xml:space="preserve">C0074</t>
  </si>
  <si>
    <t xml:space="preserve">permission</t>
  </si>
  <si>
    <t xml:space="preserve">permission_code_key</t>
  </si>
  <si>
    <t xml:space="preserve">Mapeada en auth-service/src/users/permission.entity.ts:10 (Permission.code) | Validación: IsString, Matches(/^\d{6}$/, { message: 'El código debe tener 6 dígitos' })</t>
  </si>
  <si>
    <t xml:space="preserve">Código del registro de permission. Único en la tabla.</t>
  </si>
  <si>
    <t xml:space="preserve">C0075</t>
  </si>
  <si>
    <t xml:space="preserve">Mapeada en auth-service/src/users/permission.entity.ts:13 (Permission.name) | Validación: IsOptional, IsString</t>
  </si>
  <si>
    <t xml:space="preserve">Nombre del registro de permission.</t>
  </si>
  <si>
    <t xml:space="preserve">C0076</t>
  </si>
  <si>
    <t xml:space="preserve">Mapeada en auth-service/src/users/permission.entity.ts:16 (Permission.description) | Validación: IsOptional, IsString</t>
  </si>
  <si>
    <t xml:space="preserve">Descripción del registro de permission.</t>
  </si>
  <si>
    <t xml:space="preserve">C0077</t>
  </si>
  <si>
    <t xml:space="preserve">Mapeada en auth-service/src/users/permission.entity.ts:22 (Permission.is_active) | Validación: IsBoolean, IsOptional</t>
  </si>
  <si>
    <t xml:space="preserve">C0078</t>
  </si>
  <si>
    <t xml:space="preserve">personas</t>
  </si>
  <si>
    <t xml:space="preserve">num_identificacion</t>
  </si>
  <si>
    <t xml:space="preserve">Trigger trg_auth_personas_rund_document_immutable; Vista control_interno.v_auditor_disponibilidad</t>
  </si>
  <si>
    <t xml:space="preserve">Mapeada en auth-service/src/users/person.entity.ts:17 (Person.identification_number) | Validación: IsString</t>
  </si>
  <si>
    <t xml:space="preserve">Número de identificación.</t>
  </si>
  <si>
    <t xml:space="preserve">C0079</t>
  </si>
  <si>
    <t xml:space="preserve">tip_identificacion</t>
  </si>
  <si>
    <t xml:space="preserve">Vista control_interno.v_auditor_disponibilidad</t>
  </si>
  <si>
    <t xml:space="preserve">Mapeada en auth-service/src/users/person.entity.ts:20 (Person.identification_type) | Validación: IsString</t>
  </si>
  <si>
    <t xml:space="preserve">Código del tipo de documento de identidad de la persona.</t>
  </si>
  <si>
    <t xml:space="preserve">nombre + tipo + columnas vecinas (num_identificacion)</t>
  </si>
  <si>
    <t xml:space="preserve">¿Qué valores toma tip_identificacion (CC, CE, TI, PA…)?</t>
  </si>
  <si>
    <t xml:space="preserve">C0080</t>
  </si>
  <si>
    <t xml:space="preserve">nom_largo</t>
  </si>
  <si>
    <t xml:space="preserve">character varying(1000)</t>
  </si>
  <si>
    <t xml:space="preserve">Vista control_interno.v_auditor_disponibilidad; Vista control_interno.v_auditorias_kanban_completo</t>
  </si>
  <si>
    <t xml:space="preserve">Mapeada en auth-service/src/users/person.entity.ts:23 (Person.full_name)</t>
  </si>
  <si>
    <t xml:space="preserve">Nombre completo de la persona (nombres y apellidos).</t>
  </si>
  <si>
    <t xml:space="preserve">nombre + tipo + columnas vecinas (nom_tercero, pri_apellido, seg_apellido)</t>
  </si>
  <si>
    <t xml:space="preserve">¿nom_largo se forma concatenando nombres y apellidos?</t>
  </si>
  <si>
    <t xml:space="preserve">C0081</t>
  </si>
  <si>
    <t xml:space="preserve">nom_tercero</t>
  </si>
  <si>
    <t xml:space="preserve">Mapeada en auth-service/src/users/person.entity.ts:26 (Person.first_name) | Validación: IsString</t>
  </si>
  <si>
    <t xml:space="preserve">Nombres de la persona.</t>
  </si>
  <si>
    <t xml:space="preserve">nombre + tipo + columnas vecinas (pri_apellido, seg_apellido)</t>
  </si>
  <si>
    <t xml:space="preserve">¿nom_tercero guarda solo los nombres o el nombre completo?</t>
  </si>
  <si>
    <t xml:space="preserve">C0082</t>
  </si>
  <si>
    <t xml:space="preserve">pri_apellido</t>
  </si>
  <si>
    <t xml:space="preserve">Mapeada en auth-service/src/users/person.entity.ts:29 (Person.last_name) | Validación: IsString</t>
  </si>
  <si>
    <t xml:space="preserve">Primer apellido de la persona.</t>
  </si>
  <si>
    <t xml:space="preserve">C0083</t>
  </si>
  <si>
    <t xml:space="preserve">seg_apellido</t>
  </si>
  <si>
    <t xml:space="preserve">Segundo apellido de la persona.</t>
  </si>
  <si>
    <t xml:space="preserve">C0084</t>
  </si>
  <si>
    <t xml:space="preserve">gen_tercero</t>
  </si>
  <si>
    <t xml:space="preserve">idx_personas_gen_tercero</t>
  </si>
  <si>
    <t xml:space="preserve">Mapeada en auth-service/src/users/person.entity.ts:32 (Person.gender) | Validación: IsOptional, IsString</t>
  </si>
  <si>
    <t xml:space="preserve">Código del género de la persona.</t>
  </si>
  <si>
    <t xml:space="preserve">¿Qué valores toma gen_tercero?</t>
  </si>
  <si>
    <t xml:space="preserve">C0085</t>
  </si>
  <si>
    <t xml:space="preserve">fec_nacimiento</t>
  </si>
  <si>
    <t xml:space="preserve">Mapeada en auth-service/src/users/person.entity.ts:85 (Person.fec_nacimiento)</t>
  </si>
  <si>
    <t xml:space="preserve">Fecha de nacimiento de la persona.</t>
  </si>
  <si>
    <t xml:space="preserve">C0086</t>
  </si>
  <si>
    <t xml:space="preserve">dir_residencia</t>
  </si>
  <si>
    <t xml:space="preserve">Mapeada en auth-service/src/users/person.entity.ts:88 (Person.dir_residencia)</t>
  </si>
  <si>
    <t xml:space="preserve">Dirección de residencia de la persona.</t>
  </si>
  <si>
    <t xml:space="preserve">C0087</t>
  </si>
  <si>
    <t xml:space="preserve">Mapeada en auth-service/src/users/person.entity.ts:35 (Person.email) | Validación: IsEmail, IsOptional, IsString</t>
  </si>
  <si>
    <t xml:space="preserve">Correo electrónico de la persona.</t>
  </si>
  <si>
    <t xml:space="preserve">¿Es el correo institucional o el personal?</t>
  </si>
  <si>
    <t xml:space="preserve">C0088</t>
  </si>
  <si>
    <t xml:space="preserve">tel_celular</t>
  </si>
  <si>
    <t xml:space="preserve">Mapeada en auth-service/src/users/person.entity.ts:38 (Person.phone) | Validación: IsOptional, IsString</t>
  </si>
  <si>
    <t xml:space="preserve">Número de teléfono celular de la persona.</t>
  </si>
  <si>
    <t xml:space="preserve">C0089</t>
  </si>
  <si>
    <t xml:space="preserve">timestamp with time zone</t>
  </si>
  <si>
    <t xml:space="preserve">Mapeada en auth-service/src/users/person.entity.ts:42 (Person.created_at)</t>
  </si>
  <si>
    <t xml:space="preserve">Fecha y hora de creación del registro. Por defecto, la fecha y hora del registro.</t>
  </si>
  <si>
    <t xml:space="preserve">C0090</t>
  </si>
  <si>
    <t xml:space="preserve">fec_modificacion</t>
  </si>
  <si>
    <t xml:space="preserve">Mapeada en auth-service/src/users/person.entity.ts:45 (Person.updated_at)</t>
  </si>
  <si>
    <t xml:space="preserve">Fecha y hora de la última modificación del registro.</t>
  </si>
  <si>
    <t xml:space="preserve">C0091</t>
  </si>
  <si>
    <t xml:space="preserve">¿usu_creacion guarda el nombre de usuario o el identificador?</t>
  </si>
  <si>
    <t xml:space="preserve">C0092</t>
  </si>
  <si>
    <t xml:space="preserve">usu_modificacion</t>
  </si>
  <si>
    <t xml:space="preserve">Usuario que hizo la última modificación del registro.</t>
  </si>
  <si>
    <t xml:space="preserve">¿usu_modificacion guarda el nombre de usuario o el identificador?</t>
  </si>
  <si>
    <t xml:space="preserve">C0093</t>
  </si>
  <si>
    <t xml:space="preserve">id_person</t>
  </si>
  <si>
    <t xml:space="preserve">Función control_interno.fn_registrar_cambio_estado_auditoria; Función control_interno.fn_registrar_cambio_estado_plan_anual; Vista control_interno.v_auditor_disponibilidad; Vista control_interno.v_auditorias_kanban_completo — control_interno.fn_registrar_cambio_estado_auditoria: SELECT id_person INTO v_usuario_id | control_interno.fn_registrar_cambio_estado_plan_anual: SELECT id_person INTO v_usuario_id</t>
  </si>
  <si>
    <t xml:space="preserve">personas_id_person_key</t>
  </si>
  <si>
    <t xml:space="preserve">Mapeada en auth-service/src/users/person.entity.ts:11 (Person.id)</t>
  </si>
  <si>
    <t xml:space="preserve">Identificador único (UUID) de la persona, usado por las demás tablas para enlazarla; se genera automáticamente.</t>
  </si>
  <si>
    <t xml:space="preserve">nombre + tipo + columnas vecinas + restricción única + uso en funciones de control_interno</t>
  </si>
  <si>
    <t xml:space="preserve">C0094</t>
  </si>
  <si>
    <t xml:space="preserve">city</t>
  </si>
  <si>
    <t xml:space="preserve">Mapeada en auth-service/src/users/person.entity.ts:91 (Person.city) | Validación: IsOptional, IsString</t>
  </si>
  <si>
    <t xml:space="preserve">Ciudad de la persona.</t>
  </si>
  <si>
    <t xml:space="preserve">¿Es la ciudad de residencia y por qué no se usa id de auth.geopolitica?</t>
  </si>
  <si>
    <t xml:space="preserve">C0095</t>
  </si>
  <si>
    <t xml:space="preserve">programas_academicos</t>
  </si>
  <si>
    <t xml:space="preserve">codigo</t>
  </si>
  <si>
    <t xml:space="preserve">programas_academicos_codigo_key</t>
  </si>
  <si>
    <t xml:space="preserve">Código del registro de programas_academicos. Único en la tabla.</t>
  </si>
  <si>
    <t xml:space="preserve">C0096</t>
  </si>
  <si>
    <t xml:space="preserve">Nombre del registro de programas_academicos.</t>
  </si>
  <si>
    <t xml:space="preserve">C0097</t>
  </si>
  <si>
    <t xml:space="preserve">nivel_formacion</t>
  </si>
  <si>
    <t xml:space="preserve">db/migrations/old/006_create_programas_academicos.sql:12: Pregrado, Especialización, Maestría, Doctorado, etc.</t>
  </si>
  <si>
    <t xml:space="preserve">Nivel de formación del programa (por ejemplo, Pregrado, Especialización, Maestría, Doctorado).</t>
  </si>
  <si>
    <t xml:space="preserve">código: db/migrations/old/006_create_programas_academicos.sql:12</t>
  </si>
  <si>
    <t xml:space="preserve">C0098</t>
  </si>
  <si>
    <t xml:space="preserve">modalidad</t>
  </si>
  <si>
    <t xml:space="preserve">db/migrations/old/006_create_programas_academicos.sql:13: Presencial, Virtual, Distancia, Dual</t>
  </si>
  <si>
    <t xml:space="preserve">Modalidad del programa (por ejemplo, Presencial, Virtual, Distancia, Dual).</t>
  </si>
  <si>
    <t xml:space="preserve">código: db/migrations/old/006_create_programas_academicos.sql:13</t>
  </si>
  <si>
    <t xml:space="preserve">C0099</t>
  </si>
  <si>
    <t xml:space="preserve">jornada</t>
  </si>
  <si>
    <t xml:space="preserve">db/migrations/old/006_create_programas_academicos.sql:14: Diurna, Nocturna, Mixta, Flexible</t>
  </si>
  <si>
    <t xml:space="preserve">Jornada del programa (por ejemplo, Diurna, Nocturna, Mixta, Flexible).</t>
  </si>
  <si>
    <t xml:space="preserve">código: db/migrations/old/006_create_programas_academicos.sql:14</t>
  </si>
  <si>
    <t xml:space="preserve">C0100</t>
  </si>
  <si>
    <t xml:space="preserve">duracion_semestres</t>
  </si>
  <si>
    <t xml:space="preserve">Duración del programa académico, en semestres.</t>
  </si>
  <si>
    <t xml:space="preserve">C0101</t>
  </si>
  <si>
    <t xml:space="preserve">creditos</t>
  </si>
  <si>
    <t xml:space="preserve">Número total de créditos académicos del programa.</t>
  </si>
  <si>
    <t xml:space="preserve">C0102</t>
  </si>
  <si>
    <t xml:space="preserve">facultad</t>
  </si>
  <si>
    <t xml:space="preserve">Nombre de la facultad a la que pertenece el programa.</t>
  </si>
  <si>
    <t xml:space="preserve">¿Se guarda el nombre o el código de la facultad?</t>
  </si>
  <si>
    <t xml:space="preserve">C0103</t>
  </si>
  <si>
    <t xml:space="preserve">idx_programas_estado</t>
  </si>
  <si>
    <t xml:space="preserve">Estado del registro de programas_academicos.</t>
  </si>
  <si>
    <t xml:space="preserve">C0104</t>
  </si>
  <si>
    <t xml:space="preserve">Descripción del registro de programas_academicos.</t>
  </si>
  <si>
    <t xml:space="preserve">C0105</t>
  </si>
  <si>
    <t xml:space="preserve">perfil_egresado</t>
  </si>
  <si>
    <t xml:space="preserve">Descripción del perfil del egresado del programa.</t>
  </si>
  <si>
    <t xml:space="preserve">C0106</t>
  </si>
  <si>
    <t xml:space="preserve">requisitos_ingreso</t>
  </si>
  <si>
    <t xml:space="preserve">text[]</t>
  </si>
  <si>
    <t xml:space="preserve">Lista de requisitos de ingreso al programa.</t>
  </si>
  <si>
    <t xml:space="preserve">nombre + tipo + columnas vecinas (text[])</t>
  </si>
  <si>
    <t xml:space="preserve">C0107</t>
  </si>
  <si>
    <t xml:space="preserve">costo_matricula</t>
  </si>
  <si>
    <t xml:space="preserve">numeric(14,2)</t>
  </si>
  <si>
    <t xml:space="preserve">Valor de la matrícula del programa, en pesos colombianos.</t>
  </si>
  <si>
    <t xml:space="preserve">¿El valor es por semestre y en pesos colombianos?</t>
  </si>
  <si>
    <t xml:space="preserve">C0108</t>
  </si>
  <si>
    <t xml:space="preserve">estudiantes_activos</t>
  </si>
  <si>
    <t xml:space="preserve">Número de estudiantes activos en el programa. Por defecto, 0.</t>
  </si>
  <si>
    <t xml:space="preserve">¿Este conteo se actualiza automáticamente o se registra a mano?</t>
  </si>
  <si>
    <t xml:space="preserve">C0109</t>
  </si>
  <si>
    <t xml:space="preserve">graduados</t>
  </si>
  <si>
    <t xml:space="preserve">Número de graduados del programa. Por defecto, 0.</t>
  </si>
  <si>
    <t xml:space="preserve">C0110</t>
  </si>
  <si>
    <t xml:space="preserve">docentes_asignados</t>
  </si>
  <si>
    <t xml:space="preserve">Número de docentes asignados al programa. Por defecto, 0.</t>
  </si>
  <si>
    <t xml:space="preserve">C0111</t>
  </si>
  <si>
    <t xml:space="preserve">ultima_actualizacion</t>
  </si>
  <si>
    <t xml:space="preserve">Fecha de la última actualización de la información del programa. Por defecto, la fecha actual.</t>
  </si>
  <si>
    <t xml:space="preserve">nombre + tipo + columnas vecinas (actualizado_en)</t>
  </si>
  <si>
    <t xml:space="preserve">¿En qué se diferencia de actualizado_en?</t>
  </si>
  <si>
    <t xml:space="preserve">C0112</t>
  </si>
  <si>
    <t xml:space="preserve">registros_calificados</t>
  </si>
  <si>
    <t xml:space="preserve">numero</t>
  </si>
  <si>
    <t xml:space="preserve">Número asignado al registro.</t>
  </si>
  <si>
    <t xml:space="preserve">C0113</t>
  </si>
  <si>
    <t xml:space="preserve">fecha_emision</t>
  </si>
  <si>
    <t xml:space="preserve">Fecha de emisión.</t>
  </si>
  <si>
    <t xml:space="preserve">C0114</t>
  </si>
  <si>
    <t xml:space="preserve">C0115</t>
  </si>
  <si>
    <t xml:space="preserve">role</t>
  </si>
  <si>
    <t xml:space="preserve">role_code_key</t>
  </si>
  <si>
    <t xml:space="preserve">db/init/old/001_schema_auth.sql:452: código técnico del rol (para backend) | Validación: IsString, Matches(/^\d{6}$/, { message: 'El código debe tener 6 dígitos' })</t>
  </si>
  <si>
    <t xml:space="preserve">Código técnico único del rol, de seis dígitos, usado por el backend.</t>
  </si>
  <si>
    <t xml:space="preserve">código: db/init/old/001_schema_auth.sql:452</t>
  </si>
  <si>
    <t xml:space="preserve">C0116</t>
  </si>
  <si>
    <t xml:space="preserve">role_name_key</t>
  </si>
  <si>
    <t xml:space="preserve">db/init/old/001_schema_auth.sql:453: nombre visible en UI | Validación: IsOptional, IsString</t>
  </si>
  <si>
    <t xml:space="preserve">Nombre único del rol que se muestra en la interfaz.</t>
  </si>
  <si>
    <t xml:space="preserve">código: db/init/old/001_schema_auth.sql:453</t>
  </si>
  <si>
    <t xml:space="preserve">C0117</t>
  </si>
  <si>
    <t xml:space="preserve">Mapeada en auth-service/src/users/role.entity.ts:16 (Role.description) | Validación: IsOptional, IsString</t>
  </si>
  <si>
    <t xml:space="preserve">Descripción del registro de role.</t>
  </si>
  <si>
    <t xml:space="preserve">C0118</t>
  </si>
  <si>
    <t xml:space="preserve">db/init/old/001_schema_auth.sql:455: academico | administrativo | directivo | operativo | sistema | Validación: IsIn(['backoffice', 'portal']), IsOptional</t>
  </si>
  <si>
    <t xml:space="preserve">Categoría del rol. Valores previstos en el comentario SQL: academico, administrativo, directivo, operativo, sistema.</t>
  </si>
  <si>
    <t xml:space="preserve">código: db/init/old/001_schema_auth.sql:455</t>
  </si>
  <si>
    <t xml:space="preserve">El comentario SQL indica academico, administrativo, directivo, operativo y sistema, pero la validación acepta backoffice y portal: ¿cuáles valores están vigentes?</t>
  </si>
  <si>
    <t xml:space="preserve">C0119</t>
  </si>
  <si>
    <t xml:space="preserve">db/init/old/001_schema_auth.sql:456: ícono del rol | Validación: IsOptional, IsString</t>
  </si>
  <si>
    <t xml:space="preserve">Nombre del ícono del rol en la interfaz; por defecto Shield.</t>
  </si>
  <si>
    <t xml:space="preserve">código: db/init/old/001_schema_auth.sql:456</t>
  </si>
  <si>
    <t xml:space="preserve">C0120</t>
  </si>
  <si>
    <t xml:space="preserve">db/init/old/001_schema_auth.sql:457: color del rol | Validación: IsOptional, IsString</t>
  </si>
  <si>
    <t xml:space="preserve">Color del rol en la interfaz, en código hexadecimal; por defecto #003DA5.</t>
  </si>
  <si>
    <t xml:space="preserve">código: db/init/old/001_schema_auth.sql:457</t>
  </si>
  <si>
    <t xml:space="preserve">C0121</t>
  </si>
  <si>
    <t xml:space="preserve">type</t>
  </si>
  <si>
    <t xml:space="preserve">db/init/old/001_schema_auth.sql:458: sistema | personalizado</t>
  </si>
  <si>
    <t xml:space="preserve">Tipo de rol. Valores previstos: sistema, personalizado; por defecto personalizado.</t>
  </si>
  <si>
    <t xml:space="preserve">código: db/init/old/001_schema_auth.sql:458</t>
  </si>
  <si>
    <t xml:space="preserve">C0122</t>
  </si>
  <si>
    <t xml:space="preserve">Mapeada en auth-service/src/users/role.entity.ts:37 (Role.is_active) | Validación: IsBoolean, IsOptional</t>
  </si>
  <si>
    <t xml:space="preserve">C0123</t>
  </si>
  <si>
    <t xml:space="preserve">requires_2fa</t>
  </si>
  <si>
    <t xml:space="preserve">db/init/old/001_schema_auth.sql:460: requiere autenticación de dos factores</t>
  </si>
  <si>
    <t xml:space="preserve">Indica si el rol requiere autenticación de dos factores; por defecto falso.</t>
  </si>
  <si>
    <t xml:space="preserve">código: db/init/old/001_schema_auth.sql:460</t>
  </si>
  <si>
    <t xml:space="preserve">C0124</t>
  </si>
  <si>
    <t xml:space="preserve">sistema_destino</t>
  </si>
  <si>
    <t xml:space="preserve">Mapeada en auth-service/src/users/role.entity.ts:28 (Role.sistema_destino)</t>
  </si>
  <si>
    <t xml:space="preserve">Sistema al que aplica el rol. Por defecto, Backoffice.</t>
  </si>
  <si>
    <t xml:space="preserve">¿Qué otros sistemas se usan además de Backoffice (por ejemplo, portal docente o SuperApp)?</t>
  </si>
  <si>
    <t xml:space="preserve">C0125</t>
  </si>
  <si>
    <t xml:space="preserve">alcance</t>
  </si>
  <si>
    <t xml:space="preserve">Mapeada en auth-service/src/users/role.entity.ts:31 (Role.alcance)</t>
  </si>
  <si>
    <t xml:space="preserve">Alcance del rol, en formato JSON.</t>
  </si>
  <si>
    <t xml:space="preserve">¿Qué estructura tiene el JSON de alcance (sedes, dependencias, módulos)?</t>
  </si>
  <si>
    <t xml:space="preserve">C0126</t>
  </si>
  <si>
    <t xml:space="preserve">role_permissions</t>
  </si>
  <si>
    <t xml:space="preserve">C0127</t>
  </si>
  <si>
    <t xml:space="preserve">seccionales</t>
  </si>
  <si>
    <t xml:space="preserve">nom_seccional</t>
  </si>
  <si>
    <t xml:space="preserve">Mapeada en auth-service/src/users/seccional.entity.ts:15 (Seccional.nomSeccional) | Validación: IsOptional, IsString, MaxLength(100, { message: 'El nombre de seccional no puede exceder 100 caracteres' })</t>
  </si>
  <si>
    <t xml:space="preserve">Nombre de la seccional (máximo 100 caracteres).</t>
  </si>
  <si>
    <t xml:space="preserve">C0128</t>
  </si>
  <si>
    <t xml:space="preserve">dir_seccional</t>
  </si>
  <si>
    <t xml:space="preserve">Mapeada en auth-service/src/users/seccional.entity.ts:18 (Seccional.dirSeccional)</t>
  </si>
  <si>
    <t xml:space="preserve">Dirección física de la seccional.</t>
  </si>
  <si>
    <t xml:space="preserve">C0129</t>
  </si>
  <si>
    <t xml:space="preserve">Mapeada en auth-service/src/users/seccional.entity.ts:28 (Seccional.fecCreacion)</t>
  </si>
  <si>
    <t xml:space="preserve">C0130</t>
  </si>
  <si>
    <t xml:space="preserve">Mapeada en auth-service/src/users/seccional.entity.ts:31 (Seccional.fecUltAct)</t>
  </si>
  <si>
    <t xml:space="preserve">C0131</t>
  </si>
  <si>
    <t xml:space="preserve">Mapeada en auth-service/src/users/seccional.entity.ts:34 (Seccional.usuCreacion)</t>
  </si>
  <si>
    <t xml:space="preserve">C0132</t>
  </si>
  <si>
    <t xml:space="preserve">Mapeada en auth-service/src/users/seccional.entity.ts:37 (Seccional.usuActualizacion)</t>
  </si>
  <si>
    <t xml:space="preserve">C0133</t>
  </si>
  <si>
    <t xml:space="preserve">cod_seccional</t>
  </si>
  <si>
    <t xml:space="preserve">Mapeada en auth-service/src/users/seccional.entity.ts:40 (Seccional.codSeccional) | Validación: IsOptional, IsString, MaxLength(20, { message: 'El código de seccional no puede exceder 20 caracteres' })</t>
  </si>
  <si>
    <t xml:space="preserve">Código de la seccional (máximo 20 caracteres).</t>
  </si>
  <si>
    <t xml:space="preserve">C0134</t>
  </si>
  <si>
    <t xml:space="preserve">Mapeada en auth-service/src/users/seccional.entity.ts:43 (Seccional.idEmpresa)</t>
  </si>
  <si>
    <t xml:space="preserve">Identificador de la empresa o entidad a la que pertenece la seccional.</t>
  </si>
  <si>
    <t xml:space="preserve">¿Qué tabla identifica id_empresa?</t>
  </si>
  <si>
    <t xml:space="preserve">C0135</t>
  </si>
  <si>
    <t xml:space="preserve">nit_seccional</t>
  </si>
  <si>
    <t xml:space="preserve">character varying(15)</t>
  </si>
  <si>
    <t xml:space="preserve">Mapeada en auth-service/src/users/seccional.entity.ts:46 (Seccional.nitSeccional)</t>
  </si>
  <si>
    <t xml:space="preserve">Número de identificación tributaria (NIT) de la seccional.</t>
  </si>
  <si>
    <t xml:space="preserve">C0136</t>
  </si>
  <si>
    <t xml:space="preserve">fir_seccional1</t>
  </si>
  <si>
    <t xml:space="preserve">Identificador del firmante 1 asociado a la seccional para la expedición de documentos.</t>
  </si>
  <si>
    <t xml:space="preserve">nombre + tipo + columnas vecinas (id_dep_fir_cer1–4)</t>
  </si>
  <si>
    <t xml:space="preserve">¿fir_seccional1 referencia a una persona, un usuario o un cargo, y en qué documentos se usa esta firma?</t>
  </si>
  <si>
    <t xml:space="preserve">C0137</t>
  </si>
  <si>
    <t xml:space="preserve">fir_seccional2</t>
  </si>
  <si>
    <t xml:space="preserve">Identificador del firmante 2 asociado a la seccional para la expedición de documentos.</t>
  </si>
  <si>
    <t xml:space="preserve">¿fir_seccional2 referencia a una persona, un usuario o un cargo, y en qué documentos se usa esta firma?</t>
  </si>
  <si>
    <t xml:space="preserve">C0138</t>
  </si>
  <si>
    <t xml:space="preserve">fir_seccional3</t>
  </si>
  <si>
    <t xml:space="preserve">Identificador del firmante 3 asociado a la seccional para la expedición de documentos.</t>
  </si>
  <si>
    <t xml:space="preserve">¿fir_seccional3 referencia a una persona, un usuario o un cargo, y en qué documentos se usa esta firma?</t>
  </si>
  <si>
    <t xml:space="preserve">C0139</t>
  </si>
  <si>
    <t xml:space="preserve">fir_seccional4</t>
  </si>
  <si>
    <t xml:space="preserve">Identificador del firmante 4 asociado a la seccional para la expedición de documentos.</t>
  </si>
  <si>
    <t xml:space="preserve">¿fir_seccional4 referencia a una persona, un usuario o un cargo, y en qué documentos se usa esta firma?</t>
  </si>
  <si>
    <t xml:space="preserve">C0140</t>
  </si>
  <si>
    <t xml:space="preserve">id_dep_fir_cer1</t>
  </si>
  <si>
    <t xml:space="preserve">Identificador de la dependencia del firmante 1 de certificados de la seccional.</t>
  </si>
  <si>
    <t xml:space="preserve">nombre + tipo + columnas vecinas (fir_seccional1–4)</t>
  </si>
  <si>
    <t xml:space="preserve">¿id_dep_fir_cer1 referencia a auth.dependencias.id_dependencia y qué certificados firma?</t>
  </si>
  <si>
    <t xml:space="preserve">C0141</t>
  </si>
  <si>
    <t xml:space="preserve">id_dep_fir_cer2</t>
  </si>
  <si>
    <t xml:space="preserve">Identificador de la dependencia del firmante 2 de certificados de la seccional.</t>
  </si>
  <si>
    <t xml:space="preserve">¿id_dep_fir_cer2 referencia a auth.dependencias.id_dependencia y qué certificados firma?</t>
  </si>
  <si>
    <t xml:space="preserve">C0142</t>
  </si>
  <si>
    <t xml:space="preserve">id_dep_fir_cer3</t>
  </si>
  <si>
    <t xml:space="preserve">Identificador de la dependencia del firmante 3 de certificados de la seccional.</t>
  </si>
  <si>
    <t xml:space="preserve">¿id_dep_fir_cer3 referencia a auth.dependencias.id_dependencia y qué certificados firma?</t>
  </si>
  <si>
    <t xml:space="preserve">C0143</t>
  </si>
  <si>
    <t xml:space="preserve">id_dep_fir_cer4</t>
  </si>
  <si>
    <t xml:space="preserve">Identificador de la dependencia del firmante 4 de certificados de la seccional.</t>
  </si>
  <si>
    <t xml:space="preserve">¿id_dep_fir_cer4 referencia a auth.dependencias.id_dependencia y qué certificados firma?</t>
  </si>
  <si>
    <t xml:space="preserve">C0144</t>
  </si>
  <si>
    <t xml:space="preserve">sede_cetap_mapping</t>
  </si>
  <si>
    <t xml:space="preserve">legacy, official</t>
  </si>
  <si>
    <t xml:space="preserve">Origen de la relación entre la sede y el CETAP. Valores permitidos: legacy, official. Por defecto, official.</t>
  </si>
  <si>
    <t xml:space="preserve">valores permitidos del CHECK</t>
  </si>
  <si>
    <t xml:space="preserve">C0145</t>
  </si>
  <si>
    <t xml:space="preserve">sedes</t>
  </si>
  <si>
    <t xml:space="preserve">Mapeada en auth-service/src/users/sede.entity.ts:16 (Sede.idEmpresa)</t>
  </si>
  <si>
    <t xml:space="preserve">Identificador de la empresa o entidad a la que pertenece la sede.</t>
  </si>
  <si>
    <t xml:space="preserve">C0146</t>
  </si>
  <si>
    <t xml:space="preserve">cod_sede</t>
  </si>
  <si>
    <t xml:space="preserve">Mapeada en auth-service/src/users/sede.entity.ts:19 (Sede.codSede) | Validación: IsOptional, IsString, MaxLength(20, { message: 'El código de sede no puede exceder 20 caracteres' })</t>
  </si>
  <si>
    <t xml:space="preserve">Código de la sede (máximo 20 caracteres).</t>
  </si>
  <si>
    <t xml:space="preserve">C0147</t>
  </si>
  <si>
    <t xml:space="preserve">nom_sede</t>
  </si>
  <si>
    <t xml:space="preserve">Mapeada en auth-service/src/users/sede.entity.ts:22 (Sede.nomSede) | Validación: IsOptional, IsString, MaxLength(50, { message: 'El nombre de sede no puede exceder 50 caracteres' })</t>
  </si>
  <si>
    <t xml:space="preserve">Nombre de la sede (máximo 50 caracteres).</t>
  </si>
  <si>
    <t xml:space="preserve">C0148</t>
  </si>
  <si>
    <t xml:space="preserve">dir_sede</t>
  </si>
  <si>
    <t xml:space="preserve">Mapeada en auth-service/src/users/sede.entity.ts:32 (Sede.dirSede)</t>
  </si>
  <si>
    <t xml:space="preserve">Dirección física de la sede.</t>
  </si>
  <si>
    <t xml:space="preserve">C0149</t>
  </si>
  <si>
    <t xml:space="preserve">Mapeada en auth-service/src/users/sede.entity.ts:35 (Sede.fecUltAct)</t>
  </si>
  <si>
    <t xml:space="preserve">C0150</t>
  </si>
  <si>
    <t xml:space="preserve">Mapeada en auth-service/src/users/sede.entity.ts:38 (Sede.fecCreacion)</t>
  </si>
  <si>
    <t xml:space="preserve">C0151</t>
  </si>
  <si>
    <t xml:space="preserve">Mapeada en auth-service/src/users/sede.entity.ts:41 (Sede.usuCreacion)</t>
  </si>
  <si>
    <t xml:space="preserve">C0152</t>
  </si>
  <si>
    <t xml:space="preserve">Mapeada en auth-service/src/users/sede.entity.ts:44 (Sede.usuActualizacion)</t>
  </si>
  <si>
    <t xml:space="preserve">C0153</t>
  </si>
  <si>
    <t xml:space="preserve">cod_atributo</t>
  </si>
  <si>
    <t xml:space="preserve">character varying(10)</t>
  </si>
  <si>
    <t xml:space="preserve">Mapeada en auth-service/src/users/sede.entity.ts:47 (Sede.codAtributo)</t>
  </si>
  <si>
    <t xml:space="preserve">Código de atributo de la sede.</t>
  </si>
  <si>
    <t xml:space="preserve">¿Qué representa cod_atributo y qué valores toma?</t>
  </si>
  <si>
    <t xml:space="preserve">C0154</t>
  </si>
  <si>
    <t xml:space="preserve">sede_act</t>
  </si>
  <si>
    <t xml:space="preserve">Mapeada en auth-service/src/users/sede.entity.ts:57 (Sede.sedeAct) | Validación: IsOptional, IsString, MaxLength(30, { message: 'El estado no puede exceder 30 caracteres' })</t>
  </si>
  <si>
    <t xml:space="preserve">Estado de la sede (máximo 30 caracteres).</t>
  </si>
  <si>
    <t xml:space="preserve">nombre + tipo + columnas vecinas + mensaje de validación «El estado…»</t>
  </si>
  <si>
    <t xml:space="preserve">¿Qué valores toma sede_act?</t>
  </si>
  <si>
    <t xml:space="preserve">C0155</t>
  </si>
  <si>
    <t xml:space="preserve">num_latitud</t>
  </si>
  <si>
    <t xml:space="preserve">numeric(32,29)</t>
  </si>
  <si>
    <t xml:space="preserve">Mapeada en auth-service/src/users/sede.entity.ts:60 (Sede.numLatitud)</t>
  </si>
  <si>
    <t xml:space="preserve">Latitud geográfica de la sede, en grados decimales.</t>
  </si>
  <si>
    <t xml:space="preserve">nombre + tipo + columnas vecinas (num_longitud)</t>
  </si>
  <si>
    <t xml:space="preserve">C0156</t>
  </si>
  <si>
    <t xml:space="preserve">num_longitud</t>
  </si>
  <si>
    <t xml:space="preserve">Mapeada en auth-service/src/users/sede.entity.ts:63 (Sede.numLongitud)</t>
  </si>
  <si>
    <t xml:space="preserve">Longitud geográfica de la sede, en grados decimales.</t>
  </si>
  <si>
    <t xml:space="preserve">nombre + tipo + columnas vecinas (num_latitud)</t>
  </si>
  <si>
    <t xml:space="preserve">C0157</t>
  </si>
  <si>
    <t xml:space="preserve">tel_sede</t>
  </si>
  <si>
    <t xml:space="preserve">auth-service/src/users/sede.entity.ts:76: @Column({ name: 'cod_iac_inscripciones', length: 250, nullable: true }) codIacInscripciones: string; | db/init/old/001_schema_auth.sql:370: Campos adicionales de contacto y configuración</t>
  </si>
  <si>
    <t xml:space="preserve">Número de teléfono de contacto de la sede.</t>
  </si>
  <si>
    <t xml:space="preserve">nombre + tipo; comentario SQL db/init/old/001_schema_auth.sql:370 (campos de contacto)</t>
  </si>
  <si>
    <t xml:space="preserve">C0158</t>
  </si>
  <si>
    <t xml:space="preserve">email_sede</t>
  </si>
  <si>
    <t xml:space="preserve">auth-service/src/users/sede.entity.ts:79: @Column({ name: 'cod_iac_inscripciones', length: 250, nullable: true }) codIacInscripciones: string;</t>
  </si>
  <si>
    <t xml:space="preserve">Correo electrónico de contacto de la sede.</t>
  </si>
  <si>
    <t xml:space="preserve">nombre + tipo</t>
  </si>
  <si>
    <t xml:space="preserve">C0159</t>
  </si>
  <si>
    <t xml:space="preserve">capacidad_estudiantes</t>
  </si>
  <si>
    <t xml:space="preserve">auth-service/src/users/sede.entity.ts:82: @Column({ name: 'cod_iac_inscripciones', length: 250, nullable: true }) codIacInscripciones: string;</t>
  </si>
  <si>
    <t xml:space="preserve">Número máximo de estudiantes que puede atender la sede.</t>
  </si>
  <si>
    <t xml:space="preserve">¿La capacidad es simultánea (aforo) o total por periodo académico?</t>
  </si>
  <si>
    <t xml:space="preserve">C0160</t>
  </si>
  <si>
    <t xml:space="preserve">capacidad_docentes</t>
  </si>
  <si>
    <t xml:space="preserve">auth-service/src/users/sede.entity.ts:85: @Column({ name: 'cod_iac_inscripciones', length: 250, nullable: true }) codIacInscripciones: string;</t>
  </si>
  <si>
    <t xml:space="preserve">Número máximo de docentes que puede atender la sede.</t>
  </si>
  <si>
    <t xml:space="preserve">¿La capacidad es simultánea o total por periodo académico, y cómo se usa?</t>
  </si>
  <si>
    <t xml:space="preserve">C0161</t>
  </si>
  <si>
    <t xml:space="preserve">permite_inscripciones</t>
  </si>
  <si>
    <t xml:space="preserve">auth-service/src/users/sede.entity.ts:88: @Column({ name: 'cod_iac_inscripciones', length: 250, nullable: true }) codIacInscripciones: string;</t>
  </si>
  <si>
    <t xml:space="preserve">Indica si la sede permite inscripciones. Por defecto verdadero.</t>
  </si>
  <si>
    <t xml:space="preserve">nombre + tipo + propuesta por regla</t>
  </si>
  <si>
    <t xml:space="preserve">¿Este indicador controla si la sede aparece como opción en el proceso de inscripción?</t>
  </si>
  <si>
    <t xml:space="preserve">C0162</t>
  </si>
  <si>
    <t xml:space="preserve">permite_matriculas</t>
  </si>
  <si>
    <t xml:space="preserve">auth-service/src/users/sede.entity.ts:91: @Column({ name: 'cod_iac_inscripciones', length: 250, nullable: true }) codIacInscripciones: string;</t>
  </si>
  <si>
    <t xml:space="preserve">Indica si la sede permite matrículas. Por defecto verdadero.</t>
  </si>
  <si>
    <t xml:space="preserve">¿Este indicador controla si la sede aparece como opción en el proceso de matrícula?</t>
  </si>
  <si>
    <t xml:space="preserve">C0163</t>
  </si>
  <si>
    <t xml:space="preserve">visible_portal</t>
  </si>
  <si>
    <t xml:space="preserve">auth-service/src/users/sede.entity.ts:94: @Column({ name: 'cod_iac_inscripciones', length: 250, nullable: true }) codIacInscripciones: string;</t>
  </si>
  <si>
    <t xml:space="preserve">Indica si la sede se muestra en el portal. Por defecto verdadero.</t>
  </si>
  <si>
    <t xml:space="preserve">¿A qué portal se refiere: el portal institucional público o la SuperApp?</t>
  </si>
  <si>
    <t xml:space="preserve">C0164</t>
  </si>
  <si>
    <t xml:space="preserve">observaciones</t>
  </si>
  <si>
    <t xml:space="preserve">auth-service/src/users/sede.entity.ts:97: @Column({ name: 'cod_iac_inscripciones', length: 250, nullable: true }) codIacInscripciones: string;</t>
  </si>
  <si>
    <t xml:space="preserve">Observaciones registradas sobre la sede.</t>
  </si>
  <si>
    <t xml:space="preserve">C0165</t>
  </si>
  <si>
    <t xml:space="preserve">system_settings</t>
  </si>
  <si>
    <t xml:space="preserve">value</t>
  </si>
  <si>
    <t xml:space="preserve">Mapeada en travel-expenses-service/src/entities/auth-system-setting.entity.ts:12 (AuthSystemSettingEntity.value) | Validación: IsString, Length(1, 100)</t>
  </si>
  <si>
    <t xml:space="preserve">Valor del parámetro global identificado por key (por ejemplo, el SMMLV), en texto de 1 a 100 caracteres.</t>
  </si>
  <si>
    <t xml:space="preserve">documentación de la entidad + validaciones</t>
  </si>
  <si>
    <t xml:space="preserve">C0166</t>
  </si>
  <si>
    <t xml:space="preserve">tipo_documento</t>
  </si>
  <si>
    <t xml:space="preserve">Mapeada en auth-service/src/carpeta-digital/tipo-documento.entity.ts:27 (TipoDocumento.descripcion) | Validación: IsOptional, IsString, MaxLength(150), MaxLength(150, { message: 'La descripción no puede superar 150 caracteres' }), MaxLength(500)</t>
  </si>
  <si>
    <t xml:space="preserve">Descripción del registro de tipo_documento.</t>
  </si>
  <si>
    <t xml:space="preserve">C0167</t>
  </si>
  <si>
    <t xml:space="preserve">icono</t>
  </si>
  <si>
    <t xml:space="preserve">Mapeada en auth-service/src/carpeta-digital/tipo-documento.entity.ts:33 (TipoDocumento.icono)</t>
  </si>
  <si>
    <t xml:space="preserve">Nombre del ícono con que se muestra el tipo de documento en la interfaz. Por defecto, file-text.</t>
  </si>
  <si>
    <t xml:space="preserve">C0168</t>
  </si>
  <si>
    <t xml:space="preserve">Mapeada en auth-service/src/carpeta-digital/tipo-documento.entity.ts:36 (TipoDocumento.color) | Validación: IsOptional, IsString</t>
  </si>
  <si>
    <t xml:space="preserve">Color del tipo de documento en la interfaz, en formato hexadecimal. Por defecto, #2962FF.</t>
  </si>
  <si>
    <t xml:space="preserve">C0169</t>
  </si>
  <si>
    <t xml:space="preserve">obligatorio</t>
  </si>
  <si>
    <t xml:space="preserve">Mapeada en auth-service/src/carpeta-digital/tipo-documento.entity.ts:39 (TipoDocumento.obligatorio)</t>
  </si>
  <si>
    <t xml:space="preserve">Indica si aplica: obligatorio.</t>
  </si>
  <si>
    <t xml:space="preserve">C0170</t>
  </si>
  <si>
    <t xml:space="preserve">requiere_validacion</t>
  </si>
  <si>
    <t xml:space="preserve">Mapeada en auth-service/src/carpeta-digital/tipo-documento.entity.ts:42 (TipoDocumento.requiereValidacion)</t>
  </si>
  <si>
    <t xml:space="preserve">Indica si requiere validación.</t>
  </si>
  <si>
    <t xml:space="preserve">C0171</t>
  </si>
  <si>
    <t xml:space="preserve">formatos_permitidos</t>
  </si>
  <si>
    <t xml:space="preserve">Mapeada en auth-service/src/carpeta-digital/tipo-documento.entity.ts:45 (TipoDocumento.formatosPermitidos)</t>
  </si>
  <si>
    <t xml:space="preserve">Lista de formatos de archivo permitidos para el tipo de documento. Por defecto, pdf.</t>
  </si>
  <si>
    <t xml:space="preserve">C0172</t>
  </si>
  <si>
    <t xml:space="preserve">tamano_max_mb</t>
  </si>
  <si>
    <t xml:space="preserve">Mapeada en auth-service/src/carpeta-digital/tipo-documento.entity.ts:48 (TipoDocumento.tamanoMaxMb)</t>
  </si>
  <si>
    <t xml:space="preserve">Tamaño máximo del archivo permitido para el tipo de documento, en megabytes. Por defecto, 10.</t>
  </si>
  <si>
    <t xml:space="preserve">C0173</t>
  </si>
  <si>
    <t xml:space="preserve">idx_tipo_documento_activo</t>
  </si>
  <si>
    <t xml:space="preserve">Mapeada en auth-service/src/carpeta-digital/tipo-documento.entity.ts:51 (TipoDocumento.activo) | Validación: IsBoolean, IsOptional</t>
  </si>
  <si>
    <t xml:space="preserve">C0174</t>
  </si>
  <si>
    <t xml:space="preserve">es_sistema</t>
  </si>
  <si>
    <t xml:space="preserve">Mapeada en auth-service/src/carpeta-digital/tipo-documento.entity.ts:54 (TipoDocumento.esSistema)</t>
  </si>
  <si>
    <t xml:space="preserve">Indica si aplica: sistema.</t>
  </si>
  <si>
    <t xml:space="preserve">C0175</t>
  </si>
  <si>
    <t xml:space="preserve">rol_validador</t>
  </si>
  <si>
    <t xml:space="preserve">character varying(120)</t>
  </si>
  <si>
    <t xml:space="preserve">Mapeada en auth-service/src/carpeta-digital/tipo-documento.entity.ts:57 (TipoDocumento.rolValidador)</t>
  </si>
  <si>
    <t xml:space="preserve">Rol encargado de validar los documentos de este tipo.</t>
  </si>
  <si>
    <t xml:space="preserve">nombre + tipo + columnas vecinas (requiere_validacion)</t>
  </si>
  <si>
    <t xml:space="preserve">¿Se guarda el código del rol de auth.role o un nombre libre?</t>
  </si>
  <si>
    <t xml:space="preserve">C0176</t>
  </si>
  <si>
    <t xml:space="preserve">orden</t>
  </si>
  <si>
    <t xml:space="preserve">Mapeada en auth-service/src/carpeta-digital/tipo-documento.entity.ts:60 (TipoDocumento.orden)</t>
  </si>
  <si>
    <t xml:space="preserve">Posición del registro para su ordenamiento.</t>
  </si>
  <si>
    <t xml:space="preserve">C0177</t>
  </si>
  <si>
    <t xml:space="preserve">asignacion_tipo</t>
  </si>
  <si>
    <t xml:space="preserve">Mapeada en auth-service/src/carpeta-digital/tipo-documento.entity.ts:63 (TipoDocumento.asignacionTipo)</t>
  </si>
  <si>
    <t xml:space="preserve">Criterio con que se asigna el tipo de documento a las personas. Por defecto, todos.</t>
  </si>
  <si>
    <t xml:space="preserve">nombre + tipo + columnas vecinas (asignacion_valor)</t>
  </si>
  <si>
    <t xml:space="preserve">¿Qué valores toma asignacion_tipo (todos, rol, dependencia…)?</t>
  </si>
  <si>
    <t xml:space="preserve">C0178</t>
  </si>
  <si>
    <t xml:space="preserve">asignacion_valor</t>
  </si>
  <si>
    <t xml:space="preserve">Mapeada en auth-service/src/carpeta-digital/tipo-documento.entity.ts:66 (TipoDocumento.asignacionValor)</t>
  </si>
  <si>
    <t xml:space="preserve">Valor del criterio de asignación del tipo de documento, según asignacion_tipo.</t>
  </si>
  <si>
    <t xml:space="preserve">nombre + tipo + columnas vecinas (asignacion_tipo)</t>
  </si>
  <si>
    <t xml:space="preserve">¿Qué valores se guardan según cada asignacion_tipo?</t>
  </si>
  <si>
    <t xml:space="preserve">C0179</t>
  </si>
  <si>
    <t xml:space="preserve">user</t>
  </si>
  <si>
    <t xml:space="preserve">username</t>
  </si>
  <si>
    <t xml:space="preserve">Mapeada en travel-expenses-service/src/entities/usuario.entity.ts:21 (UsuarioEntity.username)</t>
  </si>
  <si>
    <t xml:space="preserve">Nombre de usuario con el que la persona inicia sesión.</t>
  </si>
  <si>
    <t xml:space="preserve">C0180</t>
  </si>
  <si>
    <t xml:space="preserve">password_hash</t>
  </si>
  <si>
    <t xml:space="preserve">Mapeada en auth-service/src/users/user.entity.ts:20 (User.password_hash)</t>
  </si>
  <si>
    <t xml:space="preserve">Contraseña del usuario cifrada con una función de hash.</t>
  </si>
  <si>
    <t xml:space="preserve">C0181</t>
  </si>
  <si>
    <t xml:space="preserve">Mapeada en travel-expenses-service/src/entities/usuario.entity.ts:27 (UsuarioEntity.isActive)</t>
  </si>
  <si>
    <t xml:space="preserve">C0182</t>
  </si>
  <si>
    <t xml:space="preserve">token</t>
  </si>
  <si>
    <t xml:space="preserve">Mapeada en auth-service/src/users/user.entity.ts:32 (User.token)</t>
  </si>
  <si>
    <t xml:space="preserve">Código numérico temporal del usuario.</t>
  </si>
  <si>
    <t xml:space="preserve">nombre + tipo + columnas vecinas (integer)</t>
  </si>
  <si>
    <t xml:space="preserve">¿token es un código de verificación (OTP o recuperación de contraseña)? ¿Cuándo se genera y vence?</t>
  </si>
  <si>
    <t xml:space="preserve">C0183</t>
  </si>
  <si>
    <t xml:space="preserve">password_temp</t>
  </si>
  <si>
    <t xml:space="preserve">Mapeada en auth-service/src/users/user.entity.ts:29 (User.password_temp)</t>
  </si>
  <si>
    <t xml:space="preserve">Indica si aplica: password temp.</t>
  </si>
  <si>
    <t xml:space="preserve">C0184</t>
  </si>
  <si>
    <t xml:space="preserve">token_microsoft</t>
  </si>
  <si>
    <t xml:space="preserve">Mapeada en auth-service/src/users/user.entity.ts:38 (User.tokenMicrosoft)</t>
  </si>
  <si>
    <t xml:space="preserve">Token o identificador de la cuenta Microsoft del usuario para el inicio de sesión con Microsoft.</t>
  </si>
  <si>
    <t xml:space="preserve">¿Se guarda el token de acceso, el de actualización o el identificador de la cuenta Microsoft?</t>
  </si>
  <si>
    <t xml:space="preserve">C0185</t>
  </si>
  <si>
    <t xml:space="preserve">2fa</t>
  </si>
  <si>
    <t xml:space="preserve">Indica si aplica: 2fa.</t>
  </si>
  <si>
    <t xml:space="preserve">C0186</t>
  </si>
  <si>
    <t xml:space="preserve">public_id</t>
  </si>
  <si>
    <t xml:space="preserve">user_public_id_key</t>
  </si>
  <si>
    <t xml:space="preserve">Mapeada en auth-service/src/users/user.entity.ts:10 (User.public_id)</t>
  </si>
  <si>
    <t xml:space="preserve">Identificador público (UUID) del usuario para exponerlo fuera del sistema; se genera automáticamente y es único.</t>
  </si>
  <si>
    <t xml:space="preserve">nombre + tipo + columnas vecinas + restricción única + defecto</t>
  </si>
  <si>
    <t xml:space="preserve">¿public_id es el identificador que se expone en la API en lugar de id_user?</t>
  </si>
  <si>
    <t xml:space="preserve">C0187</t>
  </si>
  <si>
    <t xml:space="preserve">signature_otp_context</t>
  </si>
  <si>
    <t xml:space="preserve">character varying(128)</t>
  </si>
  <si>
    <t xml:space="preserve">Mapeada en auth-service/src/users/user.entity.ts:35 (User.signatureOtpContext)</t>
  </si>
  <si>
    <t xml:space="preserve">Contexto del código de un solo uso (OTP) asociado a la firma del usuario.</t>
  </si>
  <si>
    <t xml:space="preserve">¿Qué datos guarda signature_otp_context y en qué flujo de firma se usa?</t>
  </si>
  <si>
    <t xml:space="preserve">C0188</t>
  </si>
  <si>
    <t xml:space="preserve">user_roles</t>
  </si>
  <si>
    <t xml:space="preserve">Mapeada en auth-service/src/users/user-role.entity.ts:17 (UserRole.is_active) | Validación: IsBoolean, IsOptional</t>
  </si>
  <si>
    <t xml:space="preserve">C0189</t>
  </si>
  <si>
    <t xml:space="preserve">certificate_template_config</t>
  </si>
  <si>
    <t xml:space="preserve">institution_logo_url</t>
  </si>
  <si>
    <t xml:space="preserve">academic-registration-service/src/graduation-certificates/template-config.entity.ts:27: Logo institucional | db/migrations/old/042_create_graduation_tables.sql:264: Logo institucional</t>
  </si>
  <si>
    <t xml:space="preserve">URL del logo institucional que se muestra en la plantilla del certificado de grado.</t>
  </si>
  <si>
    <t xml:space="preserve">código: academic-registration-service/src/graduation-certificates/template-config.entity.ts:27</t>
  </si>
  <si>
    <t xml:space="preserve">C0190</t>
  </si>
  <si>
    <t xml:space="preserve">institution_logo_filename</t>
  </si>
  <si>
    <t xml:space="preserve">Mapeada en academic-registration-service/src/graduation-certificates/template-config.entity.ts:30 (TemplateConfig.institutionLogoFilename)</t>
  </si>
  <si>
    <t xml:space="preserve">Nombre del archivo del logo institucional usado en la plantilla de certificado; acompaña a institution_logo_url.</t>
  </si>
  <si>
    <t xml:space="preserve">C0191</t>
  </si>
  <si>
    <t xml:space="preserve">typography_font</t>
  </si>
  <si>
    <t xml:space="preserve">academic-registration-service/src/graduation-certificates/template-config.entity.ts:39: Tipografía | db/migrations/old/042_create_graduation_tables.sql:268: Tipografía</t>
  </si>
  <si>
    <t xml:space="preserve">Tipografía (familia de fuentes CSS) del certificado de grado. Valor por defecto: Arial Narrow, Arial, sans-serif.</t>
  </si>
  <si>
    <t xml:space="preserve">código: academic-registration-service/src/graduation-certificates/template-config.entity.ts:39</t>
  </si>
  <si>
    <t xml:space="preserve">C0192</t>
  </si>
  <si>
    <t xml:space="preserve">certificate_content_html</t>
  </si>
  <si>
    <t xml:space="preserve">academic-registration-service/src/graduation-certificates/template-config.entity.ts:51: Contenido HTML del certificado | db/migrations/old/042_create_graduation_tables.sql:274: Contenido HTML del certificado</t>
  </si>
  <si>
    <t xml:space="preserve">Contenido HTML del certificado de grado.</t>
  </si>
  <si>
    <t xml:space="preserve">código: academic-registration-service/src/graduation-certificates/template-config.entity.ts:51</t>
  </si>
  <si>
    <t xml:space="preserve">C0193</t>
  </si>
  <si>
    <t xml:space="preserve">version</t>
  </si>
  <si>
    <t xml:space="preserve">academic-registration-service/src/graduation-certificates/template-config.entity.ts:55: Versión y estado | db/migrations/old/042_create_graduation_tables.sql:277: Versión y estado</t>
  </si>
  <si>
    <t xml:space="preserve">Número de versión de la configuración de la plantilla, en formato semántico; por defecto 1.0.0.</t>
  </si>
  <si>
    <t xml:space="preserve">código: academic-registration-service/src/graduation-certificates/template-config.entity.ts:55</t>
  </si>
  <si>
    <t xml:space="preserve">C0194</t>
  </si>
  <si>
    <t xml:space="preserve">status</t>
  </si>
  <si>
    <t xml:space="preserve">draft, published</t>
  </si>
  <si>
    <t xml:space="preserve">idx_template_config_status</t>
  </si>
  <si>
    <t xml:space="preserve">academic-registration-service/src/graduation-certificates/template-config.entity.ts:58: draft, published | db/migrations/old/042_create_graduation_tables.sql:278: draft, published</t>
  </si>
  <si>
    <t xml:space="preserve">Estado de publicación de la configuración de la plantilla de certificado. Valores permitidos: draft (borrador), published (publicada); por defecto draft.</t>
  </si>
  <si>
    <t xml:space="preserve">código: academic-registration-service/src/graduation-certificates/template-config.entity.ts:58</t>
  </si>
  <si>
    <t xml:space="preserve">C0195</t>
  </si>
  <si>
    <t xml:space="preserve">idx_template_config_active</t>
  </si>
  <si>
    <t xml:space="preserve">Mapeada en academic-registration-service/src/graduation-certificates/template-config.entity.ts:101 (TemplateConfig.isActive)</t>
  </si>
  <si>
    <t xml:space="preserve">C0196</t>
  </si>
  <si>
    <t xml:space="preserve">footer_logo_url</t>
  </si>
  <si>
    <t xml:space="preserve">academic-registration-service/src/graduation-certificates/template-config.entity.ts:62: Logo pie de página (ESAP)</t>
  </si>
  <si>
    <t xml:space="preserve">URL del logo del pie de página del certificado (logo de la ESAP).</t>
  </si>
  <si>
    <t xml:space="preserve">código: academic-registration-service/src/graduation-certificates/template-config.entity.ts:62</t>
  </si>
  <si>
    <t xml:space="preserve">C0197</t>
  </si>
  <si>
    <t xml:space="preserve">footer_logo_filename</t>
  </si>
  <si>
    <t xml:space="preserve">Mapeada en academic-registration-service/src/graduation-certificates/template-config.entity.ts:65 (TemplateConfig.footerLogoFilename)</t>
  </si>
  <si>
    <t xml:space="preserve">Nombre del archivo del logo del pie de página de la plantilla de certificado; acompaña a footer_logo_url.</t>
  </si>
  <si>
    <t xml:space="preserve">C0198</t>
  </si>
  <si>
    <t xml:space="preserve">certificate_validations</t>
  </si>
  <si>
    <t xml:space="preserve">validation_date</t>
  </si>
  <si>
    <t xml:space="preserve">idx_validations_date</t>
  </si>
  <si>
    <t xml:space="preserve">academic-registration-service/src/graduation-certificates/certificate-validation.entity.ts:21: Información de la validación | db/migrations/old/042_create_graduation_tables.sql:203: Información de la validación</t>
  </si>
  <si>
    <t xml:space="preserve">Fecha y hora en que se realizó la validación pública del certificado de grado.</t>
  </si>
  <si>
    <t xml:space="preserve">código: academic-registration-service/src/graduation-certificates/certificate-validation.entity.ts:21</t>
  </si>
  <si>
    <t xml:space="preserve">C0199</t>
  </si>
  <si>
    <t xml:space="preserve">ip_address</t>
  </si>
  <si>
    <t xml:space="preserve">academic-registration-service/src/graduation-certificates/certificate-validation.entity.ts:25: Datos del validador | db/migrations/old/042_create_graduation_tables.sql:206: Datos del validador</t>
  </si>
  <si>
    <t xml:space="preserve">Dirección IP desde la que se realizó la validación del certificado.</t>
  </si>
  <si>
    <t xml:space="preserve">código: academic-registration-service/src/graduation-certificates/certificate-validation.entity.ts:25</t>
  </si>
  <si>
    <t xml:space="preserve">C0200</t>
  </si>
  <si>
    <t xml:space="preserve">user_agent</t>
  </si>
  <si>
    <t xml:space="preserve">Mapeada en academic-registration-service/src/graduation-certificates/certificate-validation.entity.ts:28 (CertificateValidation.userAgent)</t>
  </si>
  <si>
    <t xml:space="preserve">Agente de usuario (navegador) registrado.</t>
  </si>
  <si>
    <t xml:space="preserve">C0201</t>
  </si>
  <si>
    <t xml:space="preserve">location</t>
  </si>
  <si>
    <t xml:space="preserve">db/migrations/old/042_create_graduation_tables.sql:208: Ciudad/País si está disponible</t>
  </si>
  <si>
    <t xml:space="preserve">Ciudad y país desde donde se realizó la validación, cuando está disponible.</t>
  </si>
  <si>
    <t xml:space="preserve">código: db/migrations/old/042_create_graduation_tables.sql:208</t>
  </si>
  <si>
    <t xml:space="preserve">C0202</t>
  </si>
  <si>
    <t xml:space="preserve">result</t>
  </si>
  <si>
    <t xml:space="preserve">EXPIRED, NOT_FOUND, REVOKED, VALID</t>
  </si>
  <si>
    <t xml:space="preserve">academic-registration-service/src/graduation-certificates/certificate-validation.entity.ts:35: Resultado de la validación VALID, REVOKED, EXPIRED, NOT_FOUND | db/migrations/old/042_create_graduation_tables.sql:211: Resultado de la validación VALID, REVOKED, EXPIRED, NOT_FOUND</t>
  </si>
  <si>
    <t xml:space="preserve">Resultado de la validación pública del certificado. Valores permitidos: VALID, REVOKED, EXPIRED, NOT_FOUND.</t>
  </si>
  <si>
    <t xml:space="preserve">código: academic-registration-service/src/graduation-certificates/certificate-validation.entity.ts:35</t>
  </si>
  <si>
    <t xml:space="preserve">C0203</t>
  </si>
  <si>
    <t xml:space="preserve">graduate_files</t>
  </si>
  <si>
    <t xml:space="preserve">original_name</t>
  </si>
  <si>
    <t xml:space="preserve">Mapeada en academic-registration-service/src/graduation-certificates/graduate-file.entity.ts:25 (GraduateFile.originalName)</t>
  </si>
  <si>
    <t xml:space="preserve">Nombre original del archivo cargado para el graduado, tal como lo subió el usuario.</t>
  </si>
  <si>
    <t xml:space="preserve">nombre + tipo + columnas vecinas (stored_name, mime_type)</t>
  </si>
  <si>
    <t xml:space="preserve">C0204</t>
  </si>
  <si>
    <t xml:space="preserve">stored_name</t>
  </si>
  <si>
    <t xml:space="preserve">Mapeada en academic-registration-service/src/graduation-certificates/graduate-file.entity.ts:28 (GraduateFile.storedName)</t>
  </si>
  <si>
    <t xml:space="preserve">Nombre con el que se guarda el archivo en el almacenamiento del sistema.</t>
  </si>
  <si>
    <t xml:space="preserve">nombre + tipo + columnas vecinas (original_name)</t>
  </si>
  <si>
    <t xml:space="preserve">C0205</t>
  </si>
  <si>
    <t xml:space="preserve">mime_type</t>
  </si>
  <si>
    <t xml:space="preserve">Mapeada en academic-registration-service/src/graduation-certificates/graduate-file.entity.ts:31 (GraduateFile.mimeType)</t>
  </si>
  <si>
    <t xml:space="preserve">Tipo MIME del archivo.</t>
  </si>
  <si>
    <t xml:space="preserve">C0206</t>
  </si>
  <si>
    <t xml:space="preserve">size_bytes</t>
  </si>
  <si>
    <t xml:space="preserve">Mapeada en academic-registration-service/src/graduation-certificates/graduate-file.entity.ts:34 (GraduateFile.sizeBytes)</t>
  </si>
  <si>
    <t xml:space="preserve">C0207</t>
  </si>
  <si>
    <t xml:space="preserve">uploaded_by</t>
  </si>
  <si>
    <t xml:space="preserve">Mapeada en academic-registration-service/src/graduation-certificates/graduate-file.entity.ts:37 (GraduateFile.uploadedBy)</t>
  </si>
  <si>
    <t xml:space="preserve">Identificador o nombre del usuario que cargó el archivo.</t>
  </si>
  <si>
    <t xml:space="preserve">¿uploaded_by guarda el id del usuario, su correo o su nombre?</t>
  </si>
  <si>
    <t xml:space="preserve">C0208</t>
  </si>
  <si>
    <t xml:space="preserve">uploaded_at</t>
  </si>
  <si>
    <t xml:space="preserve">Mapeada en academic-registration-service/src/graduation-certificates/graduate-file.entity.ts:40 (GraduateFile.uploadedAt)</t>
  </si>
  <si>
    <t xml:space="preserve">Fecha y hora de la carga.</t>
  </si>
  <si>
    <t xml:space="preserve">C0209</t>
  </si>
  <si>
    <t xml:space="preserve">graduate_program_catalog</t>
  </si>
  <si>
    <t xml:space="preserve">Mapeada en academic-registration-service/src/graduation-certificates/graduate-program.entity.ts:13 (GraduateProgram.name)</t>
  </si>
  <si>
    <t xml:space="preserve">Nombre del registro de graduate_program_catalog.</t>
  </si>
  <si>
    <t xml:space="preserve">C0210</t>
  </si>
  <si>
    <t xml:space="preserve">normalized_name</t>
  </si>
  <si>
    <t xml:space="preserve">Única, CHECK</t>
  </si>
  <si>
    <t xml:space="preserve">graduate_program_catalog_normalized_name_key</t>
  </si>
  <si>
    <t xml:space="preserve">Mapeada en academic-registration-service/src/graduation-certificates/graduate-program.entity.ts:16 (GraduateProgram.normalizedName)</t>
  </si>
  <si>
    <t xml:space="preserve">Nombre del programa normalizado (sin variaciones de mayúsculas, tildes o espacios) para evitar duplicados en el catálogo; valor único.</t>
  </si>
  <si>
    <t xml:space="preserve">nombre + tipo + columnas vecinas + restricción única</t>
  </si>
  <si>
    <t xml:space="preserve">¿Qué reglas de normalización se aplican al nombre (minúsculas, sin tildes, sin espacios repetidos)?</t>
  </si>
  <si>
    <t xml:space="preserve">C0211</t>
  </si>
  <si>
    <t xml:space="preserve">graduates</t>
  </si>
  <si>
    <t xml:space="preserve">person_id</t>
  </si>
  <si>
    <t xml:space="preserve">idx_graduates_person_id</t>
  </si>
  <si>
    <t xml:space="preserve">academic-registration-service/src/graduation-certificates/graduate.entity.ts:19: Información personal | db/migrations/old/042_create_graduation_tables.sql:20: Información personal FK a auth_service.persons</t>
  </si>
  <si>
    <t xml:space="preserve">Identificador de la persona graduada; según el código, referencia a la tabla de personas del servicio de autenticación.</t>
  </si>
  <si>
    <t xml:space="preserve">código: db/migrations/old/042_create_graduation_tables.sql:20</t>
  </si>
  <si>
    <t xml:space="preserve">¿person_id (uuid) referencia a auth.personas? ¿A qué columna, si id_person no es uuid?</t>
  </si>
  <si>
    <t xml:space="preserve">C0212</t>
  </si>
  <si>
    <t xml:space="preserve">full_name</t>
  </si>
  <si>
    <t xml:space="preserve">Trigger trg_validate_graduate_management_update</t>
  </si>
  <si>
    <t xml:space="preserve">Mapeada en academic-registration-service/src/graduation-certificates/graduate.entity.ts:22 (Graduate.fullName)</t>
  </si>
  <si>
    <t xml:space="preserve">Nombre completo del graduado.</t>
  </si>
  <si>
    <t xml:space="preserve">C0213</t>
  </si>
  <si>
    <t xml:space="preserve">id_number</t>
  </si>
  <si>
    <t xml:space="preserve">graduates_id_number_program_name_key, idx_graduates_id_number</t>
  </si>
  <si>
    <t xml:space="preserve">Mapeada en academic-registration-service/src/graduation-certificates/graduate.entity.ts:31 (Graduate.idNumber)</t>
  </si>
  <si>
    <t xml:space="preserve">Número del documento de identidad del graduado; junto con program_name identifica de forma única el registro.</t>
  </si>
  <si>
    <t xml:space="preserve">nombre + tipo + columnas vecinas + índice único (id_number, program_name)</t>
  </si>
  <si>
    <t xml:space="preserve">C0214</t>
  </si>
  <si>
    <t xml:space="preserve">email</t>
  </si>
  <si>
    <t xml:space="preserve">Mapeada en academic-registration-service/src/graduation-certificates/graduate.entity.ts:37 (Graduate.email)</t>
  </si>
  <si>
    <t xml:space="preserve">Correo electrónico.</t>
  </si>
  <si>
    <t xml:space="preserve">C0215</t>
  </si>
  <si>
    <t xml:space="preserve">phone</t>
  </si>
  <si>
    <t xml:space="preserve">Mapeada en academic-registration-service/src/graduation-certificates/graduate.entity.ts:40 (Graduate.phone)</t>
  </si>
  <si>
    <t xml:space="preserve">Número de teléfono de contacto del graduado.</t>
  </si>
  <si>
    <t xml:space="preserve">C0216</t>
  </si>
  <si>
    <t xml:space="preserve">program_id</t>
  </si>
  <si>
    <t xml:space="preserve">idx_graduates_program_id</t>
  </si>
  <si>
    <t xml:space="preserve">academic-registration-service/src/graduation-certificates/graduate.entity.ts:44: Información académica | db/migrations/old/042_create_graduation_tables.sql:27: Información académica FK a auth_service.programas_academicos</t>
  </si>
  <si>
    <t xml:space="preserve">Identificador del programa académico cursado por el graduado; según el código, referencia a auth.programas_academicos.</t>
  </si>
  <si>
    <t xml:space="preserve">código: db/migrations/old/042_create_graduation_tables.sql:27</t>
  </si>
  <si>
    <t xml:space="preserve">C0217</t>
  </si>
  <si>
    <t xml:space="preserve">program_name</t>
  </si>
  <si>
    <t xml:space="preserve">graduates_id_number_program_name_key</t>
  </si>
  <si>
    <t xml:space="preserve">Mapeada en academic-registration-service/src/graduation-certificates/graduate.entity.ts:47 (Graduate.programName)</t>
  </si>
  <si>
    <t xml:space="preserve">Nombre del programa académico del que se graduó la persona.</t>
  </si>
  <si>
    <t xml:space="preserve">C0218</t>
  </si>
  <si>
    <t xml:space="preserve">program_type</t>
  </si>
  <si>
    <t xml:space="preserve">academic-registration-service/src/graduation-certificates/graduate.entity.ts:50: 'Pregrado', 'Especialización', 'Maestría' | db/migrations/old/042_create_graduation_tables.sql:29: 'Pregrado', 'Especialización', 'Maestría'</t>
  </si>
  <si>
    <t xml:space="preserve">Tipo de programa académico del que se graduó la persona, por ejemplo Pregrado, Especialización o Maestría.</t>
  </si>
  <si>
    <t xml:space="preserve">código: academic-registration-service/src/graduation-certificates/graduate.entity.ts:50</t>
  </si>
  <si>
    <t xml:space="preserve">C0219</t>
  </si>
  <si>
    <t xml:space="preserve">enrollment_date</t>
  </si>
  <si>
    <t xml:space="preserve">academic-registration-service/src/graduation-certificates/graduate.entity.ts:54: Fechas importantes | db/migrations/old/042_create_graduation_tables.sql:32: Fechas importantes</t>
  </si>
  <si>
    <t xml:space="preserve">Fecha de ingreso del graduado al programa académico.</t>
  </si>
  <si>
    <t xml:space="preserve">nombre + tipo + columnas vecinas (el comentario de graduate.entity.ts:54 es un encabezado de sección)</t>
  </si>
  <si>
    <t xml:space="preserve">¿enrollment_date es la fecha de inscripción, de admisión o de la primera matrícula en el programa?</t>
  </si>
  <si>
    <t xml:space="preserve">C0220</t>
  </si>
  <si>
    <t xml:space="preserve">graduation_date</t>
  </si>
  <si>
    <t xml:space="preserve">idx_graduates_graduation_date</t>
  </si>
  <si>
    <t xml:space="preserve">Mapeada en academic-registration-service/src/graduation-certificates/graduate.entity.ts:57 (Graduate.graduationDate)</t>
  </si>
  <si>
    <t xml:space="preserve">Fecha de graduación del estudiante.</t>
  </si>
  <si>
    <t xml:space="preserve">C0221</t>
  </si>
  <si>
    <t xml:space="preserve">ceremony_date</t>
  </si>
  <si>
    <t xml:space="preserve">Mapeada en academic-registration-service/src/graduation-certificates/graduate.entity.ts:60 (Graduate.ceremonyDate)</t>
  </si>
  <si>
    <t xml:space="preserve">Fecha de la ceremonia de grado.</t>
  </si>
  <si>
    <t xml:space="preserve">nombre + tipo + columnas vecinas (graduation_date)</t>
  </si>
  <si>
    <t xml:space="preserve">C0222</t>
  </si>
  <si>
    <t xml:space="preserve">degree_title</t>
  </si>
  <si>
    <t xml:space="preserve">academic-registration-service/src/graduation-certificates/graduate.entity.ts:64: Información del título | db/migrations/old/042_create_graduation_tables.sql:37: Información del título ej: "Administrador Público"</t>
  </si>
  <si>
    <t xml:space="preserve">Título académico otorgado al graduado (por ejemplo, «Administrador Público»).</t>
  </si>
  <si>
    <t xml:space="preserve">código: db/migrations/old/042_create_graduation_tables.sql:37</t>
  </si>
  <si>
    <t xml:space="preserve">C0223</t>
  </si>
  <si>
    <t xml:space="preserve">diploma_number</t>
  </si>
  <si>
    <t xml:space="preserve">graduates_diploma_number_key, idx_graduates_diploma_number</t>
  </si>
  <si>
    <t xml:space="preserve">Mapeada en academic-registration-service/src/graduation-certificates/graduate.entity.ts:67 (Graduate.diplomaNumber)</t>
  </si>
  <si>
    <t xml:space="preserve">Número del diploma otorgado al graduado; valor único.</t>
  </si>
  <si>
    <t xml:space="preserve">C0224</t>
  </si>
  <si>
    <t xml:space="preserve">resolution_number</t>
  </si>
  <si>
    <t xml:space="preserve">db/migrations/old/042_create_graduation_tables.sql:40: Resolución que otorga el título</t>
  </si>
  <si>
    <t xml:space="preserve">Número de la resolución que otorga el título.</t>
  </si>
  <si>
    <t xml:space="preserve">código: db/migrations/old/042_create_graduation_tables.sql:40</t>
  </si>
  <si>
    <t xml:space="preserve">C0225</t>
  </si>
  <si>
    <t xml:space="preserve">ACTIVE, REVOKED, SUSPENDED</t>
  </si>
  <si>
    <t xml:space="preserve">academic-registration-service/src/graduation-certificates/graduate.entity.ts:118: Estado y validación ACTIVE, REVOKED, SUSPENDED | db/migrations/old/042_create_graduation_tables.sql:43: Estado y validación ACTIVE, REVOKED, SUSPENDED</t>
  </si>
  <si>
    <t xml:space="preserve">Estado del registro del graduado. Valores permitidos: ACTIVE, REVOKED, SUSPENDED; por defecto ACTIVE.</t>
  </si>
  <si>
    <t xml:space="preserve">código: academic-registration-service/src/graduation-certificates/graduate.entity.ts:118</t>
  </si>
  <si>
    <t xml:space="preserve">C0226</t>
  </si>
  <si>
    <t xml:space="preserve">is_verified</t>
  </si>
  <si>
    <t xml:space="preserve">Mapeada en academic-registration-service/src/graduation-certificates/graduate.entity.ts:121 (Graduate.isVerified)</t>
  </si>
  <si>
    <t xml:space="preserve">Indica si aplica: verified.</t>
  </si>
  <si>
    <t xml:space="preserve">C0227</t>
  </si>
  <si>
    <t xml:space="preserve">campus</t>
  </si>
  <si>
    <t xml:space="preserve">academic-registration-service/src/graduation-certificates/graduate.entity.ts:125: Ubicación | db/migrations/old/042_create_graduation_tables.sql:47: Ubicación Sede donde se graduó</t>
  </si>
  <si>
    <t xml:space="preserve">Sede donde se graduó la persona.</t>
  </si>
  <si>
    <t xml:space="preserve">código: db/migrations/old/042_create_graduation_tables.sql:47</t>
  </si>
  <si>
    <t xml:space="preserve">C0228</t>
  </si>
  <si>
    <t xml:space="preserve">first_name</t>
  </si>
  <si>
    <t xml:space="preserve">Mapeada en academic-registration-service/src/graduation-certificates/graduate.entity.ts:25 (Graduate.firstName)</t>
  </si>
  <si>
    <t xml:space="preserve">Nombres del graduado.</t>
  </si>
  <si>
    <t xml:space="preserve">nombre + tipo + columnas vecinas (last_name, full_name)</t>
  </si>
  <si>
    <t xml:space="preserve">C0229</t>
  </si>
  <si>
    <t xml:space="preserve">last_name</t>
  </si>
  <si>
    <t xml:space="preserve">Mapeada en academic-registration-service/src/graduation-certificates/graduate.entity.ts:28 (Graduate.lastName)</t>
  </si>
  <si>
    <t xml:space="preserve">Apellidos del graduado.</t>
  </si>
  <si>
    <t xml:space="preserve">nombre + tipo + columnas vecinas (first_name, full_name)</t>
  </si>
  <si>
    <t xml:space="preserve">C0230</t>
  </si>
  <si>
    <t xml:space="preserve">graduation_certificate_requests</t>
  </si>
  <si>
    <t xml:space="preserve">request_number</t>
  </si>
  <si>
    <t xml:space="preserve">graduation_certificate_requests_request_number_key, idx_cert_requests_number</t>
  </si>
  <si>
    <t xml:space="preserve">academic-registration-service/src/graduation-certificates/graduation-certificate-request.entity.ts:34: Número de solicitud | db/migrations/old/042_create_graduation_tables.sql:73: Número de solicitud Ej: GC-2025-0001</t>
  </si>
  <si>
    <t xml:space="preserve">Número único de la solicitud de certificado de grado, con formato GC-AAAA-NNNN (por ejemplo, GC-2025-0001).</t>
  </si>
  <si>
    <t xml:space="preserve">código: db/migrations/old/042_create_graduation_tables.sql:73</t>
  </si>
  <si>
    <t xml:space="preserve">C0231</t>
  </si>
  <si>
    <t xml:space="preserve">requester_type</t>
  </si>
  <si>
    <t xml:space="preserve">COMPANY, GRADUATE</t>
  </si>
  <si>
    <t xml:space="preserve">academic-registration-service/src/graduation-certificates/graduation-certificate-request.entity.ts:38: Tipo de solicitante 'GRADUATE', 'COMPANY' | db/migrations/old/042_create_graduation_tables.sql:76: Tipo de solicitante 'GRADUATE' (graduado), 'COMPANY' (empresa)</t>
  </si>
  <si>
    <t xml:space="preserve">Tipo de solicitante del certificado. Valores permitidos: GRADUATE (graduado), COMPANY (empresa).</t>
  </si>
  <si>
    <t xml:space="preserve">código: academic-registration-service/src/graduation-certificates/graduation-certificate-request.entity.ts:38</t>
  </si>
  <si>
    <t xml:space="preserve">C0232</t>
  </si>
  <si>
    <t xml:space="preserve">graduate_id</t>
  </si>
  <si>
    <t xml:space="preserve">idx_cert_requests_graduate_id</t>
  </si>
  <si>
    <t xml:space="preserve">academic-registration-service/src/graduation-certificates/graduation-certificate-request.entity.ts:42: Información del graduado | db/migrations/old/042_create_graduation_tables.sql:79: Información del graduado FK a graduates (nullable si es solicitud externa)</t>
  </si>
  <si>
    <t xml:space="preserve">Identificador del graduado (graduates) al que corresponde la solicitud; nulo cuando la solicitud es externa.</t>
  </si>
  <si>
    <t xml:space="preserve">código: db/migrations/old/042_create_graduation_tables.sql:79</t>
  </si>
  <si>
    <t xml:space="preserve">C0233</t>
  </si>
  <si>
    <t xml:space="preserve">idx_cert_requests_id_number</t>
  </si>
  <si>
    <t xml:space="preserve">db/migrations/old/042_create_graduation_tables.sql:80: Cédula del graduado</t>
  </si>
  <si>
    <t xml:space="preserve">Número de cédula del graduado.</t>
  </si>
  <si>
    <t xml:space="preserve">código: db/migrations/old/042_create_graduation_tables.sql:80</t>
  </si>
  <si>
    <t xml:space="preserve">C0234</t>
  </si>
  <si>
    <t xml:space="preserve">Mapeada en academic-registration-service/src/graduation-certificates/graduation-certificate-request.entity.ts:51 (GraduationCertificateRequest.fullName)</t>
  </si>
  <si>
    <t xml:space="preserve">Nombre completo del graduado sobre el que se solicita el certificado.</t>
  </si>
  <si>
    <t xml:space="preserve">C0235</t>
  </si>
  <si>
    <t xml:space="preserve">academic-registration-service/src/graduation-certificates/graduation-certificate-request.entity.ts:64: Información del programa | db/migrations/old/042_create_graduation_tables.sql:84: Información del programa</t>
  </si>
  <si>
    <t xml:space="preserve">Nombre del programa académico del graduado, registrado en la solicitud.</t>
  </si>
  <si>
    <t xml:space="preserve">código: academic-registration-service/src/graduation-certificates/graduation-certificate-request.entity.ts:64</t>
  </si>
  <si>
    <t xml:space="preserve">C0236</t>
  </si>
  <si>
    <t xml:space="preserve">Mapeada en academic-registration-service/src/graduation-certificates/graduation-certificate-request.entity.ts:67 (GraduationCertificateRequest.graduationDate)</t>
  </si>
  <si>
    <t xml:space="preserve">Fecha de graduación del graduado registrada en la solicitud.</t>
  </si>
  <si>
    <t xml:space="preserve">C0237</t>
  </si>
  <si>
    <t xml:space="preserve">requester_name</t>
  </si>
  <si>
    <t xml:space="preserve">academic-registration-service/src/graduation-certificates/graduation-certificate-request.entity.ts:71: Información del solicitante | db/migrations/old/042_create_graduation_tables.sql:88: Información del solicitante (si es empresa) Nombre de quien solicita</t>
  </si>
  <si>
    <t xml:space="preserve">Nombre de la persona que solicita el certificado cuando el solicitante es una empresa.</t>
  </si>
  <si>
    <t xml:space="preserve">código: db/migrations/old/042_create_graduation_tables.sql:88</t>
  </si>
  <si>
    <t xml:space="preserve">C0238</t>
  </si>
  <si>
    <t xml:space="preserve">requester_email</t>
  </si>
  <si>
    <t xml:space="preserve">Mapeada en academic-registration-service/src/graduation-certificates/graduation-certificate-request.entity.ts:74 (GraduationCertificateRequest.requesterEmail)</t>
  </si>
  <si>
    <t xml:space="preserve">Correo electrónico del solicitante del certificado.</t>
  </si>
  <si>
    <t xml:space="preserve">C0239</t>
  </si>
  <si>
    <t xml:space="preserve">requester_phone</t>
  </si>
  <si>
    <t xml:space="preserve">Mapeada en academic-registration-service/src/graduation-certificates/graduation-certificate-request.entity.ts:77 (GraduationCertificateRequest.requesterPhone)</t>
  </si>
  <si>
    <t xml:space="preserve">Número de teléfono del solicitante del certificado.</t>
  </si>
  <si>
    <t xml:space="preserve">C0240</t>
  </si>
  <si>
    <t xml:space="preserve">company_name</t>
  </si>
  <si>
    <t xml:space="preserve">db/migrations/old/042_create_graduation_tables.sql:91: Si lo solicita una empresa</t>
  </si>
  <si>
    <t xml:space="preserve">Nombre de la empresa solicitante, cuando la solicitud la hace una empresa.</t>
  </si>
  <si>
    <t xml:space="preserve">código: db/migrations/old/042_create_graduation_tables.sql:91</t>
  </si>
  <si>
    <t xml:space="preserve">C0241</t>
  </si>
  <si>
    <t xml:space="preserve">certificate_type</t>
  </si>
  <si>
    <t xml:space="preserve">INTERNATIONAL, OFFICIAL, STANDARD</t>
  </si>
  <si>
    <t xml:space="preserve">academic-registration-service/src/graduation-certificates/graduation-certificate-request.entity.ts:97: Tipo de certificado STANDARD, OFFICIAL, INTERNATIONAL | db/migrations/old/042_create_graduation_tables.sql:94: Tipo de certificado solicitado STANDARD, OFFICIAL, INTERNATIONAL</t>
  </si>
  <si>
    <t xml:space="preserve">Tipo de certificado solicitado. Valores permitidos: STANDARD, OFFICIAL, INTERNATIONAL; por defecto STANDARD.</t>
  </si>
  <si>
    <t xml:space="preserve">código: academic-registration-service/src/graduation-certificates/graduation-certificate-request.entity.ts:97</t>
  </si>
  <si>
    <t xml:space="preserve">C0242</t>
  </si>
  <si>
    <t xml:space="preserve">validation_code</t>
  </si>
  <si>
    <t xml:space="preserve">academic-registration-service/src/graduation-certificates/graduation-certificate-request.entity.ts:101: Validación | db/migrations/old/042_create_graduation_tables.sql:97: Validación (para graduados que solicitan por primera vez) Código enviado por email</t>
  </si>
  <si>
    <t xml:space="preserve">Código de validación enviado por correo electrónico al graduado que solicita el certificado por primera vez.</t>
  </si>
  <si>
    <t xml:space="preserve">código: db/migrations/old/042_create_graduation_tables.sql:97</t>
  </si>
  <si>
    <t xml:space="preserve">C0243</t>
  </si>
  <si>
    <t xml:space="preserve">validation_expires_at</t>
  </si>
  <si>
    <t xml:space="preserve">Mapeada en academic-registration-service/src/graduation-certificates/graduation-certificate-request.entity.ts:104 (GraduationCertificateRequest.validationExpiresAt)</t>
  </si>
  <si>
    <t xml:space="preserve">Fecha y hora en que vence el código de validación de la solicitud.</t>
  </si>
  <si>
    <t xml:space="preserve">nombre + tipo + columnas vecinas (validation_code)</t>
  </si>
  <si>
    <t xml:space="preserve">¿El vencimiento aplica al código enviado al solicitante para confirmar la solicitud?</t>
  </si>
  <si>
    <t xml:space="preserve">C0244</t>
  </si>
  <si>
    <t xml:space="preserve">is_validated</t>
  </si>
  <si>
    <t xml:space="preserve">Mapeada en academic-registration-service/src/graduation-certificates/graduation-certificate-request.entity.ts:107 (GraduationCertificateRequest.isValidated)</t>
  </si>
  <si>
    <t xml:space="preserve">Indica si aplica: validated.</t>
  </si>
  <si>
    <t xml:space="preserve">C0245</t>
  </si>
  <si>
    <t xml:space="preserve">COMPLETED, EXPIRED, PENDING, PROCESSING, REJECTED, VALIDATED</t>
  </si>
  <si>
    <t xml:space="preserve">idx_cert_requests_status</t>
  </si>
  <si>
    <t xml:space="preserve">academic-registration-service/src/graduation-certificates/graduation-certificate-request.entity.ts:111: Estado PENDING, VALIDATED, PROCESSING, COMPLETED, REJECTED, EXPIRED | db/migrations/old/042_create_graduation_tables.sql:102: Estado de la solicitud PENDING, VALIDATED, PROCESSING, COMPLETED, REJECTED</t>
  </si>
  <si>
    <t xml:space="preserve">Estado de la solicitud de certificado. Valores permitidos: PENDING, VALIDATED, PROCESSING, COMPLETED, REJECTED, EXPIRED; por defecto PENDING.</t>
  </si>
  <si>
    <t xml:space="preserve">código: academic-registration-service/src/graduation-certificates/graduation-certificate-request.entity.ts:111</t>
  </si>
  <si>
    <t xml:space="preserve">C0246</t>
  </si>
  <si>
    <t xml:space="preserve">observations</t>
  </si>
  <si>
    <t xml:space="preserve">academic-registration-service/src/graduation-certificates/graduation-certificate-request.entity.ts:115: Observaciones | db/migrations/old/042_create_graduation_tables.sql:105: Observaciones</t>
  </si>
  <si>
    <t xml:space="preserve">Observaciones sobre la solicitud de certificado.</t>
  </si>
  <si>
    <t xml:space="preserve">código: academic-registration-service/src/graduation-certificates/graduation-certificate-request.entity.ts:115</t>
  </si>
  <si>
    <t xml:space="preserve">C0247</t>
  </si>
  <si>
    <t xml:space="preserve">rejection_reason</t>
  </si>
  <si>
    <t xml:space="preserve">Mapeada en academic-registration-service/src/graduation-certificates/graduation-certificate-request.entity.ts:118 (GraduationCertificateRequest.rejectionReason)</t>
  </si>
  <si>
    <t xml:space="preserve">Motivo del rechazo de la solicitud.</t>
  </si>
  <si>
    <t xml:space="preserve">nombre + tipo + columnas vecinas (status)</t>
  </si>
  <si>
    <t xml:space="preserve">C0248</t>
  </si>
  <si>
    <t xml:space="preserve">request_date</t>
  </si>
  <si>
    <t xml:space="preserve">idx_cert_requests_date</t>
  </si>
  <si>
    <t xml:space="preserve">academic-registration-service/src/graduation-certificates/graduation-certificate-request.entity.ts:210: Fechas | db/migrations/old/042_create_graduation_tables.sql:109: Fechas</t>
  </si>
  <si>
    <t xml:space="preserve">Fecha y hora en que se registró la solicitud; por defecto el momento de creación.</t>
  </si>
  <si>
    <t xml:space="preserve">código: academic-registration-service/src/graduation-certificates/graduation-certificate-request.entity.ts:210</t>
  </si>
  <si>
    <t xml:space="preserve">C0249</t>
  </si>
  <si>
    <t xml:space="preserve">Mapeada en academic-registration-service/src/graduation-certificates/graduation-certificate-request.entity.ts:213 (GraduationCertificateRequest.validationDate)</t>
  </si>
  <si>
    <t xml:space="preserve">Fecha y hora en que se validó la solicitud.</t>
  </si>
  <si>
    <t xml:space="preserve">nombre + tipo + columnas vecinas (is_validated, validation_code)</t>
  </si>
  <si>
    <t xml:space="preserve">¿Corresponde al momento en que el solicitante ingresó el código de validación?</t>
  </si>
  <si>
    <t xml:space="preserve">C0250</t>
  </si>
  <si>
    <t xml:space="preserve">completion_date</t>
  </si>
  <si>
    <t xml:space="preserve">Mapeada en academic-registration-service/src/graduation-certificates/graduation-certificate-request.entity.ts:216 (GraduationCertificateRequest.completionDate)</t>
  </si>
  <si>
    <t xml:space="preserve">Fecha y hora en que se completó la solicitud.</t>
  </si>
  <si>
    <t xml:space="preserve">¿La solicitud se considera completada al emitir el certificado o al entregarlo?</t>
  </si>
  <si>
    <t xml:space="preserve">C0251</t>
  </si>
  <si>
    <t xml:space="preserve">id_issue_date</t>
  </si>
  <si>
    <t xml:space="preserve">Mapeada en academic-registration-service/src/graduation-certificates/graduation-certificate-request.entity.ts:48 (GraduationCertificateRequest.idIssueDate)</t>
  </si>
  <si>
    <t xml:space="preserve">Fecha de expedición del documento de identidad del graduado.</t>
  </si>
  <si>
    <t xml:space="preserve">nombre + tipo + columnas vecinas (id_number)</t>
  </si>
  <si>
    <t xml:space="preserve">C0252</t>
  </si>
  <si>
    <t xml:space="preserve">manual_review</t>
  </si>
  <si>
    <t xml:space="preserve">idx_graduation_certificate_requests_manual_review</t>
  </si>
  <si>
    <t xml:space="preserve">academic-registration-service/src/graduation-certificates/graduation-certificate-request.entity.ts:122: Revisión manual (casos no encontrados)</t>
  </si>
  <si>
    <t xml:space="preserve">Indica si la solicitud requiere revisión manual, en los casos en que el graduado no se encuentra en los registros; por defecto falso.</t>
  </si>
  <si>
    <t xml:space="preserve">código: academic-registration-service/src/graduation-certificates/graduation-certificate-request.entity.ts:122</t>
  </si>
  <si>
    <t xml:space="preserve">C0253</t>
  </si>
  <si>
    <t xml:space="preserve">reviewed_at</t>
  </si>
  <si>
    <t xml:space="preserve">Mapeada en academic-registration-service/src/graduation-certificates/graduation-certificate-request.entity.ts:125 (GraduationCertificateRequest.reviewedAt)</t>
  </si>
  <si>
    <t xml:space="preserve">Fecha y hora de la revisión.</t>
  </si>
  <si>
    <t xml:space="preserve">C0254</t>
  </si>
  <si>
    <t xml:space="preserve">reviewed_by</t>
  </si>
  <si>
    <t xml:space="preserve">Mapeada en academic-registration-service/src/graduation-certificates/graduation-certificate-request.entity.ts:128 (GraduationCertificateRequest.reviewedBy)</t>
  </si>
  <si>
    <t xml:space="preserve">Identificador del usuario que revisó la solicitud.</t>
  </si>
  <si>
    <t xml:space="preserve">nombre + tipo + columnas vecinas (reviewer_name, reviewed_at)</t>
  </si>
  <si>
    <t xml:space="preserve">¿reviewed_by guarda el id del usuario en auth o su correo?</t>
  </si>
  <si>
    <t xml:space="preserve">C0255</t>
  </si>
  <si>
    <t xml:space="preserve">reviewer_name</t>
  </si>
  <si>
    <t xml:space="preserve">Mapeada en academic-registration-service/src/graduation-certificates/graduation-certificate-request.entity.ts:131 (GraduationCertificateRequest.reviewerName)</t>
  </si>
  <si>
    <t xml:space="preserve">Nombre del usuario que revisó la solicitud.</t>
  </si>
  <si>
    <t xml:space="preserve">nombre + tipo + columnas vecinas (reviewed_by)</t>
  </si>
  <si>
    <t xml:space="preserve">C0256</t>
  </si>
  <si>
    <t xml:space="preserve">review_notes</t>
  </si>
  <si>
    <t xml:space="preserve">Mapeada en academic-registration-service/src/graduation-certificates/graduation-certificate-request.entity.ts:134 (GraduationCertificateRequest.reviewNotes)</t>
  </si>
  <si>
    <t xml:space="preserve">Observaciones registradas en la revisión de la solicitud.</t>
  </si>
  <si>
    <t xml:space="preserve">C0257</t>
  </si>
  <si>
    <t xml:space="preserve">review_resolution</t>
  </si>
  <si>
    <t xml:space="preserve">Mapeada en academic-registration-service/src/graduation-certificates/graduation-certificate-request.entity.ts:137 (GraduationCertificateRequest.reviewResolution)</t>
  </si>
  <si>
    <t xml:space="preserve">Resultado de la revisión de la solicitud.</t>
  </si>
  <si>
    <t xml:space="preserve">¿Qué valores toma review_resolution y en qué se diferencia de review_recommendation y approval_status?</t>
  </si>
  <si>
    <t xml:space="preserve">C0258</t>
  </si>
  <si>
    <t xml:space="preserve">graduate_last_name</t>
  </si>
  <si>
    <t xml:space="preserve">Mapeada en academic-registration-service/src/graduation-certificates/graduation-certificate-request.entity.ts:54 (GraduationCertificateRequest.graduateLastName)</t>
  </si>
  <si>
    <t xml:space="preserve">Apellidos del graduado sobre el que se solicita el certificado.</t>
  </si>
  <si>
    <t xml:space="preserve">C0259</t>
  </si>
  <si>
    <t xml:space="preserve">graduate_email</t>
  </si>
  <si>
    <t xml:space="preserve">Mapeada en academic-registration-service/src/graduation-certificates/graduation-certificate-request.entity.ts:57 (GraduationCertificateRequest.graduateEmail)</t>
  </si>
  <si>
    <t xml:space="preserve">Correo electrónico del graduado sobre el que se solicita el certificado.</t>
  </si>
  <si>
    <t xml:space="preserve">C0260</t>
  </si>
  <si>
    <t xml:space="preserve">graduate_phone</t>
  </si>
  <si>
    <t xml:space="preserve">Mapeada en academic-registration-service/src/graduation-certificates/graduation-certificate-request.entity.ts:60 (GraduationCertificateRequest.graduatePhone)</t>
  </si>
  <si>
    <t xml:space="preserve">Número de teléfono del graduado sobre el que se solicita el certificado.</t>
  </si>
  <si>
    <t xml:space="preserve">C0261</t>
  </si>
  <si>
    <t xml:space="preserve">contact_person</t>
  </si>
  <si>
    <t xml:space="preserve">Mapeada en academic-registration-service/src/graduation-certificates/graduation-certificate-request.entity.ts:93 (GraduationCertificateRequest.contactPerson)</t>
  </si>
  <si>
    <t xml:space="preserve">Nombre de la persona de contacto de la empresa solicitante.</t>
  </si>
  <si>
    <t xml:space="preserve">nombre + tipo + columnas vecinas (company_name, company_tax_id)</t>
  </si>
  <si>
    <t xml:space="preserve">¿Se diligencia solo cuando el solicitante es una empresa (requester_type)?</t>
  </si>
  <si>
    <t xml:space="preserve">C0262</t>
  </si>
  <si>
    <t xml:space="preserve">review_recommendation_reason</t>
  </si>
  <si>
    <t xml:space="preserve">Mapeada en academic-registration-service/src/graduation-certificates/graduation-certificate-request.entity.ts:146 (GraduationCertificateRequest.reviewRecommendationReason)</t>
  </si>
  <si>
    <t xml:space="preserve">Justificación de la recomendación emitida en la revisión.</t>
  </si>
  <si>
    <t xml:space="preserve">nombre + tipo + columnas vecinas (review_recommendation)</t>
  </si>
  <si>
    <t xml:space="preserve">C0263</t>
  </si>
  <si>
    <t xml:space="preserve">review_submitted_at</t>
  </si>
  <si>
    <t xml:space="preserve">idx_graduation_requests_review_submitted_at</t>
  </si>
  <si>
    <t xml:space="preserve">Mapeada en academic-registration-service/src/graduation-certificates/graduation-certificate-request.entity.ts:152 (GraduationCertificateRequest.reviewSubmittedAt)</t>
  </si>
  <si>
    <t xml:space="preserve">Fecha y hora en que se envió la revisión para aprobación.</t>
  </si>
  <si>
    <t xml:space="preserve">nombre + tipo + columnas vecinas (review_submitted_by)</t>
  </si>
  <si>
    <t xml:space="preserve">¿Marca el envío de la revisión al aprobador?</t>
  </si>
  <si>
    <t xml:space="preserve">C0264</t>
  </si>
  <si>
    <t xml:space="preserve">review_submitted_by</t>
  </si>
  <si>
    <t xml:space="preserve">Mapeada en academic-registration-service/src/graduation-certificates/graduation-certificate-request.entity.ts:155 (GraduationCertificateRequest.reviewSubmittedBy)</t>
  </si>
  <si>
    <t xml:space="preserve">Identificador del usuario que envió la revisión.</t>
  </si>
  <si>
    <t xml:space="preserve">nombre + tipo + columnas vecinas (review_submitted_by_name)</t>
  </si>
  <si>
    <t xml:space="preserve">¿Guarda el id del usuario en auth o su correo?</t>
  </si>
  <si>
    <t xml:space="preserve">C0265</t>
  </si>
  <si>
    <t xml:space="preserve">review_submitted_by_name</t>
  </si>
  <si>
    <t xml:space="preserve">Mapeada en academic-registration-service/src/graduation-certificates/graduation-certificate-request.entity.ts:158 (GraduationCertificateRequest.reviewSubmittedByName)</t>
  </si>
  <si>
    <t xml:space="preserve">Nombre del usuario que envió la revisión.</t>
  </si>
  <si>
    <t xml:space="preserve">C0266</t>
  </si>
  <si>
    <t xml:space="preserve">approver_decision</t>
  </si>
  <si>
    <t xml:space="preserve">Mapeada en academic-registration-service/src/graduation-certificates/graduation-certificate-request.entity.ts:161 (GraduationCertificateRequest.approverDecision)</t>
  </si>
  <si>
    <t xml:space="preserve">Decisión del aprobador sobre la solicitud.</t>
  </si>
  <si>
    <t xml:space="preserve">nombre + tipo + columnas vecinas (approver_notes, approved_at)</t>
  </si>
  <si>
    <t xml:space="preserve">¿Qué valores toma approver_decision?</t>
  </si>
  <si>
    <t xml:space="preserve">C0267</t>
  </si>
  <si>
    <t xml:space="preserve">approver_notes</t>
  </si>
  <si>
    <t xml:space="preserve">Mapeada en academic-registration-service/src/graduation-certificates/graduation-certificate-request.entity.ts:164 (GraduationCertificateRequest.approverNotes)</t>
  </si>
  <si>
    <t xml:space="preserve">Observaciones del aprobador sobre la solicitud.</t>
  </si>
  <si>
    <t xml:space="preserve">C0268</t>
  </si>
  <si>
    <t xml:space="preserve">approved_at</t>
  </si>
  <si>
    <t xml:space="preserve">Mapeada en academic-registration-service/src/graduation-certificates/graduation-certificate-request.entity.ts:167 (GraduationCertificateRequest.approvedAt)</t>
  </si>
  <si>
    <t xml:space="preserve">Fecha y hora de la aprobación.</t>
  </si>
  <si>
    <t xml:space="preserve">C0269</t>
  </si>
  <si>
    <t xml:space="preserve">approved_by</t>
  </si>
  <si>
    <t xml:space="preserve">Mapeada en academic-registration-service/src/graduation-certificates/graduation-certificate-request.entity.ts:170 (GraduationCertificateRequest.approvedBy)</t>
  </si>
  <si>
    <t xml:space="preserve">Identificador del usuario que aprobó la solicitud.</t>
  </si>
  <si>
    <t xml:space="preserve">nombre + tipo + columnas vecinas (approver_name, approved_at)</t>
  </si>
  <si>
    <t xml:space="preserve">C0270</t>
  </si>
  <si>
    <t xml:space="preserve">approver_name</t>
  </si>
  <si>
    <t xml:space="preserve">Mapeada en academic-registration-service/src/graduation-certificates/graduation-certificate-request.entity.ts:173 (GraduationCertificateRequest.approverName)</t>
  </si>
  <si>
    <t xml:space="preserve">Nombre del usuario que aprobó la solicitud.</t>
  </si>
  <si>
    <t xml:space="preserve">nombre + tipo + columnas vecinas (approved_by)</t>
  </si>
  <si>
    <t xml:space="preserve">C0271</t>
  </si>
  <si>
    <t xml:space="preserve">requester_support_original_name</t>
  </si>
  <si>
    <t xml:space="preserve">Mapeada en academic-registration-service/src/graduation-certificates/graduation-certificate-request.entity.ts:194 (GraduationCertificateRequest.requesterSupportOriginalName)</t>
  </si>
  <si>
    <t xml:space="preserve">Nombre original del archivo de soporte cargado por el solicitante.</t>
  </si>
  <si>
    <t xml:space="preserve">C0272</t>
  </si>
  <si>
    <t xml:space="preserve">requester_support_stored_name</t>
  </si>
  <si>
    <t xml:space="preserve">Mapeada en academic-registration-service/src/graduation-certificates/graduation-certificate-request.entity.ts:197 (GraduationCertificateRequest.requesterSupportStoredName)</t>
  </si>
  <si>
    <t xml:space="preserve">Nombre con el que se guarda en el almacenamiento el archivo de soporte del solicitante.</t>
  </si>
  <si>
    <t xml:space="preserve">C0273</t>
  </si>
  <si>
    <t xml:space="preserve">requester_support_mime_type</t>
  </si>
  <si>
    <t xml:space="preserve">Mapeada en academic-registration-service/src/graduation-certificates/graduation-certificate-request.entity.ts:200 (GraduationCertificateRequest.requesterSupportMimeType)</t>
  </si>
  <si>
    <t xml:space="preserve">Tipo MIME del archivo de soporte del solicitante.</t>
  </si>
  <si>
    <t xml:space="preserve">C0274</t>
  </si>
  <si>
    <t xml:space="preserve">requester_support_size_bytes</t>
  </si>
  <si>
    <t xml:space="preserve">Mapeada en academic-registration-service/src/graduation-certificates/graduation-certificate-request.entity.ts:203 (GraduationCertificateRequest.requesterSupportSizeBytes)</t>
  </si>
  <si>
    <t xml:space="preserve">Tamaño en bytes del archivo de soporte del solicitante.</t>
  </si>
  <si>
    <t xml:space="preserve">C0275</t>
  </si>
  <si>
    <t xml:space="preserve">requester_support_uploaded_at</t>
  </si>
  <si>
    <t xml:space="preserve">Mapeada en academic-registration-service/src/graduation-certificates/graduation-certificate-request.entity.ts:206 (GraduationCertificateRequest.requesterSupportUploadedAt)</t>
  </si>
  <si>
    <t xml:space="preserve">Fecha y hora de carga del archivo de soporte del solicitante.</t>
  </si>
  <si>
    <t xml:space="preserve">C0276</t>
  </si>
  <si>
    <t xml:space="preserve">graduation_certificates</t>
  </si>
  <si>
    <t xml:space="preserve">certificate_number</t>
  </si>
  <si>
    <t xml:space="preserve">graduation_certificates_certificate_number_key, idx_certificates_number</t>
  </si>
  <si>
    <t xml:space="preserve">academic-registration-service/src/graduation-certificates/graduation-certificate.entity.ts:29: Número de certificado | db/migrations/old/042_create_graduation_tables.sql:140: Número de certificado Ej: CERT-GR-2025-0001</t>
  </si>
  <si>
    <t xml:space="preserve">Número único del certificado de grado expedido, con formato CERT-GR-AAAA-NNNN (por ejemplo, CERT-GR-2025-0001).</t>
  </si>
  <si>
    <t xml:space="preserve">código: db/migrations/old/042_create_graduation_tables.sql:140</t>
  </si>
  <si>
    <t xml:space="preserve">C0277</t>
  </si>
  <si>
    <t xml:space="preserve">verification_code</t>
  </si>
  <si>
    <t xml:space="preserve">graduation_certificates_verification_code_key, idx_certificates_verification</t>
  </si>
  <si>
    <t xml:space="preserve">academic-registration-service/src/graduation-certificates/graduation-certificate.entity.ts:33: Código de verificación único (QR) | db/migrations/old/042_create_graduation_tables.sql:143: Código de verificación único (QR)</t>
  </si>
  <si>
    <t xml:space="preserve">Código de verificación único del certificado, contenido en el código QR.</t>
  </si>
  <si>
    <t xml:space="preserve">código: academic-registration-service/src/graduation-certificates/graduation-certificate.entity.ts:33</t>
  </si>
  <si>
    <t xml:space="preserve">C0278</t>
  </si>
  <si>
    <t xml:space="preserve">academic-registration-service/src/graduation-certificates/graduation-certificate.entity.ts:37: Información del graduado | db/migrations/old/042_create_graduation_tables.sql:146: Información del graduado</t>
  </si>
  <si>
    <t xml:space="preserve">Nombre completo del graduado, registrado en el certificado.</t>
  </si>
  <si>
    <t xml:space="preserve">código: academic-registration-service/src/graduation-certificates/graduation-certificate.entity.ts:37</t>
  </si>
  <si>
    <t xml:space="preserve">C0279</t>
  </si>
  <si>
    <t xml:space="preserve">idx_certificates_id_number</t>
  </si>
  <si>
    <t xml:space="preserve">Mapeada en academic-registration-service/src/graduation-certificates/graduation-certificate.entity.ts:40 (GraduationCertificate.idNumber)</t>
  </si>
  <si>
    <t xml:space="preserve">Número del documento de identidad del graduado al que se emite el certificado.</t>
  </si>
  <si>
    <t xml:space="preserve">C0280</t>
  </si>
  <si>
    <t xml:space="preserve">academic-registration-service/src/graduation-certificates/graduation-certificate.entity.ts:44: Información académica | db/migrations/old/042_create_graduation_tables.sql:150: Información académica</t>
  </si>
  <si>
    <t xml:space="preserve">Nombre del programa académico del graduado, registrado en el certificado.</t>
  </si>
  <si>
    <t xml:space="preserve">código: academic-registration-service/src/graduation-certificates/graduation-certificate.entity.ts:44</t>
  </si>
  <si>
    <t xml:space="preserve">C0281</t>
  </si>
  <si>
    <t xml:space="preserve">Mapeada en academic-registration-service/src/graduation-certificates/graduation-certificate.entity.ts:47 (GraduationCertificate.programType)</t>
  </si>
  <si>
    <t xml:space="preserve">Tipo de programa académico del graduado.</t>
  </si>
  <si>
    <t xml:space="preserve">¿Qué valores toma program_type (pregrado, especialización, maestría…)?</t>
  </si>
  <si>
    <t xml:space="preserve">C0282</t>
  </si>
  <si>
    <t xml:space="preserve">Mapeada en academic-registration-service/src/graduation-certificates/graduation-certificate.entity.ts:50 (GraduationCertificate.degreeTitle)</t>
  </si>
  <si>
    <t xml:space="preserve">Título académico otorgado que figura en el certificado.</t>
  </si>
  <si>
    <t xml:space="preserve">C0283</t>
  </si>
  <si>
    <t xml:space="preserve">Mapeada en academic-registration-service/src/graduation-certificates/graduation-certificate.entity.ts:53 (GraduationCertificate.graduationDate)</t>
  </si>
  <si>
    <t xml:space="preserve">Fecha de graduación que figura en el certificado.</t>
  </si>
  <si>
    <t xml:space="preserve">C0284</t>
  </si>
  <si>
    <t xml:space="preserve">Mapeada en academic-registration-service/src/graduation-certificates/graduation-certificate.entity.ts:56 (GraduationCertificate.diplomaNumber)</t>
  </si>
  <si>
    <t xml:space="preserve">Número del diploma del graduado que figura en el certificado.</t>
  </si>
  <si>
    <t xml:space="preserve">C0285</t>
  </si>
  <si>
    <t xml:space="preserve">academic-registration-service/src/graduation-certificates/graduation-certificate.entity.ts:71: Información adicional | db/migrations/old/042_create_graduation_tables.sql:158: Información adicional</t>
  </si>
  <si>
    <t xml:space="preserve">Sede del graduado, registrada en el certificado.</t>
  </si>
  <si>
    <t xml:space="preserve">código: academic-registration-service/src/graduation-certificates/graduation-certificate.entity.ts:71</t>
  </si>
  <si>
    <t xml:space="preserve">C0286</t>
  </si>
  <si>
    <t xml:space="preserve">signer_name</t>
  </si>
  <si>
    <t xml:space="preserve">academic-registration-service/src/graduation-certificates/graduation-certificate.entity.ts:84: Datos del firmante | db/migrations/old/042_create_graduation_tables.sql:161: Datos del firmante</t>
  </si>
  <si>
    <t xml:space="preserve">Nombre del firmante del certificado.</t>
  </si>
  <si>
    <t xml:space="preserve">código: academic-registration-service/src/graduation-certificates/graduation-certificate.entity.ts:84</t>
  </si>
  <si>
    <t xml:space="preserve">C0287</t>
  </si>
  <si>
    <t xml:space="preserve">signer_position</t>
  </si>
  <si>
    <t xml:space="preserve">Mapeada en academic-registration-service/src/graduation-certificates/graduation-certificate.entity.ts:87 (GraduationCertificate.signerPosition)</t>
  </si>
  <si>
    <t xml:space="preserve">Cargo del firmante del certificado.</t>
  </si>
  <si>
    <t xml:space="preserve">nombre + tipo + columnas vecinas (signer_name)</t>
  </si>
  <si>
    <t xml:space="preserve">C0288</t>
  </si>
  <si>
    <t xml:space="preserve">signature_url</t>
  </si>
  <si>
    <t xml:space="preserve">Mapeada en academic-registration-service/src/graduation-certificates/graduation-certificate.entity.ts:90 (GraduationCertificate.signatureUrl)</t>
  </si>
  <si>
    <t xml:space="preserve">URL de la imagen de la firma usada en el certificado.</t>
  </si>
  <si>
    <t xml:space="preserve">C0289</t>
  </si>
  <si>
    <t xml:space="preserve">pdf_url</t>
  </si>
  <si>
    <t xml:space="preserve">academic-registration-service/src/graduation-certificates/graduation-certificate.entity.ts:94: Archivo PDF | db/migrations/old/042_create_graduation_tables.sql:166: Archivo PDF</t>
  </si>
  <si>
    <t xml:space="preserve">URL del archivo PDF del certificado.</t>
  </si>
  <si>
    <t xml:space="preserve">código: academic-registration-service/src/graduation-certificates/graduation-certificate.entity.ts:94</t>
  </si>
  <si>
    <t xml:space="preserve">C0290</t>
  </si>
  <si>
    <t xml:space="preserve">pdf_filename</t>
  </si>
  <si>
    <t xml:space="preserve">Mapeada en academic-registration-service/src/graduation-certificates/graduation-certificate.entity.ts:97 (GraduationCertificate.pdfFilename)</t>
  </si>
  <si>
    <t xml:space="preserve">Nombre del archivo PDF del certificado emitido.</t>
  </si>
  <si>
    <t xml:space="preserve">nombre + tipo + columnas vecinas (pdf_url)</t>
  </si>
  <si>
    <t xml:space="preserve">C0291</t>
  </si>
  <si>
    <t xml:space="preserve">EXPIRED, REVOKED, VALID</t>
  </si>
  <si>
    <t xml:space="preserve">idx_certificates_status</t>
  </si>
  <si>
    <t xml:space="preserve">academic-registration-service/src/graduation-certificates/graduation-certificate.entity.ts:104: Estado del certificado VALID, REVOKED, EXPIRED | db/migrations/old/042_create_graduation_tables.sql:170: Estado del certificado VALID, REVOKED, EXPIRED</t>
  </si>
  <si>
    <t xml:space="preserve">Estado del certificado emitido. Valores permitidos: VALID, REVOKED, EXPIRED; por defecto VALID.</t>
  </si>
  <si>
    <t xml:space="preserve">código: academic-registration-service/src/graduation-certificates/graduation-certificate.entity.ts:104</t>
  </si>
  <si>
    <t xml:space="preserve">C0292</t>
  </si>
  <si>
    <t xml:space="preserve">issue_date</t>
  </si>
  <si>
    <t xml:space="preserve">academic-registration-service/src/graduation-certificates/graduation-certificate.entity.ts:108: Fechas | db/migrations/old/042_create_graduation_tables.sql:173: Fechas</t>
  </si>
  <si>
    <t xml:space="preserve">Fecha de expedición del certificado; por defecto la fecha actual.</t>
  </si>
  <si>
    <t xml:space="preserve">código: academic-registration-service/src/graduation-certificates/graduation-certificate.entity.ts:108</t>
  </si>
  <si>
    <t xml:space="preserve">C0293</t>
  </si>
  <si>
    <t xml:space="preserve">expiry_date</t>
  </si>
  <si>
    <t xml:space="preserve">db/migrations/old/042_create_graduation_tables.sql:174: Algunos certificados pueden tener fecha de expiración</t>
  </si>
  <si>
    <t xml:space="preserve">Fecha de expiración del certificado, para los certificados que la tienen.</t>
  </si>
  <si>
    <t xml:space="preserve">código: db/migrations/old/042_create_graduation_tables.sql:174</t>
  </si>
  <si>
    <t xml:space="preserve">C0294</t>
  </si>
  <si>
    <t xml:space="preserve">graduation_request_review_files</t>
  </si>
  <si>
    <t xml:space="preserve">Mapeada en academic-registration-service/src/graduation-certificates/graduation-request-review-file.entity.ts:28 (GraduationRequestReviewFile.originalName)</t>
  </si>
  <si>
    <t xml:space="preserve">Nombre original del archivo cargado en la revisión de la solicitud.</t>
  </si>
  <si>
    <t xml:space="preserve">C0295</t>
  </si>
  <si>
    <t xml:space="preserve">Mapeada en academic-registration-service/src/graduation-certificates/graduation-request-review-file.entity.ts:31 (GraduationRequestReviewFile.storedName)</t>
  </si>
  <si>
    <t xml:space="preserve">C0296</t>
  </si>
  <si>
    <t xml:space="preserve">Mapeada en academic-registration-service/src/graduation-certificates/graduation-request-review-file.entity.ts:34 (GraduationRequestReviewFile.mimeType)</t>
  </si>
  <si>
    <t xml:space="preserve">C0297</t>
  </si>
  <si>
    <t xml:space="preserve">Mapeada en academic-registration-service/src/graduation-certificates/graduation-request-review-file.entity.ts:37 (GraduationRequestReviewFile.sizeBytes)</t>
  </si>
  <si>
    <t xml:space="preserve">C0298</t>
  </si>
  <si>
    <t xml:space="preserve">Mapeada en academic-registration-service/src/graduation-certificates/graduation-request-review-file.entity.ts:40 (GraduationRequestReviewFile.uploadedBy)</t>
  </si>
  <si>
    <t xml:space="preserve">C0299</t>
  </si>
  <si>
    <t xml:space="preserve">Mapeada en academic-registration-service/src/graduation-certificates/graduation-request-review-file.entity.ts:43 (GraduationRequestReviewFile.uploadedAt)</t>
  </si>
  <si>
    <t xml:space="preserve">C0300</t>
  </si>
  <si>
    <t xml:space="preserve">signers</t>
  </si>
  <si>
    <t xml:space="preserve">academic-registration-service/src/graduation-certificates/signer.entity.ts:15: Información del firmante | db/migrations/old/042_create_graduation_tables.sql:230: Información del firmante</t>
  </si>
  <si>
    <t xml:space="preserve">Nombre completo del firmante autorizado de certificados de grado.</t>
  </si>
  <si>
    <t xml:space="preserve">código: academic-registration-service/src/graduation-certificates/signer.entity.ts:15</t>
  </si>
  <si>
    <t xml:space="preserve">C0301</t>
  </si>
  <si>
    <t xml:space="preserve">position</t>
  </si>
  <si>
    <t xml:space="preserve">db/migrations/old/042_create_graduation_tables.sql:231: Ej: "Director de Verificación de títulos"</t>
  </si>
  <si>
    <t xml:space="preserve">Cargo del firmante (por ejemplo, «Director de Verificación de títulos»).</t>
  </si>
  <si>
    <t xml:space="preserve">código: db/migrations/old/042_create_graduation_tables.sql:231</t>
  </si>
  <si>
    <t xml:space="preserve">C0302</t>
  </si>
  <si>
    <t xml:space="preserve">department</t>
  </si>
  <si>
    <t xml:space="preserve">Mapeada en academic-registration-service/src/graduation-certificates/signer.entity.ts:21 (Signer.department)</t>
  </si>
  <si>
    <t xml:space="preserve">Dependencia a la que pertenece el firmante.</t>
  </si>
  <si>
    <t xml:space="preserve">nombre + tipo + columnas vecinas (position)</t>
  </si>
  <si>
    <t xml:space="preserve">C0303</t>
  </si>
  <si>
    <t xml:space="preserve">academic-registration-service/src/graduation-certificates/signer.entity.ts:25: Firma digital | db/migrations/old/042_create_graduation_tables.sql:236: Firma digital</t>
  </si>
  <si>
    <t xml:space="preserve">URL de la imagen de la firma digital del firmante.</t>
  </si>
  <si>
    <t xml:space="preserve">código: academic-registration-service/src/graduation-certificates/signer.entity.ts:25</t>
  </si>
  <si>
    <t xml:space="preserve">C0304</t>
  </si>
  <si>
    <t xml:space="preserve">idx_signers_active</t>
  </si>
  <si>
    <t xml:space="preserve">academic-registration-service/src/graduation-certificates/signer.entity.ts:29: Estado | db/migrations/old/042_create_graduation_tables.sql:240: Estado</t>
  </si>
  <si>
    <t xml:space="preserve">Indica si el firmante está activo; por defecto verdadero.</t>
  </si>
  <si>
    <t xml:space="preserve">código: academic-registration-service/src/graduation-certificates/signer.entity.ts:29</t>
  </si>
  <si>
    <t xml:space="preserve">C0305</t>
  </si>
  <si>
    <t xml:space="preserve">is_primary</t>
  </si>
  <si>
    <t xml:space="preserve">unique_primary_signer</t>
  </si>
  <si>
    <t xml:space="preserve">db/migrations/old/042_create_graduation_tables.sql:241: Firmante principal por defecto</t>
  </si>
  <si>
    <t xml:space="preserve">Indica si es el firmante principal, usado por defecto; por defecto falso.</t>
  </si>
  <si>
    <t xml:space="preserve">código: db/migrations/old/042_create_graduation_tables.sql:241</t>
  </si>
  <si>
    <t xml:space="preserve">C0306</t>
  </si>
  <si>
    <t xml:space="preserve">template_config_changes</t>
  </si>
  <si>
    <t xml:space="preserve">change_type</t>
  </si>
  <si>
    <t xml:space="preserve">academic-registration-service/src/graduation-certificates/template-config-change.entity.ts:21: Tipo de cambio CREATED, UPDATED, PUBLISHED, REVERTED | db/migrations/old/042_create_graduation_tables.sql:310: Tipo de cambio CREATED, UPDATED, PUBLISHED, REVERTED</t>
  </si>
  <si>
    <t xml:space="preserve">Tipo de cambio registrado sobre la configuración de la plantilla de certificado. Valores esperados: CREATED, UPDATED, PUBLISHED, REVERTED.</t>
  </si>
  <si>
    <t xml:space="preserve">código: academic-registration-service/src/graduation-certificates/template-config-change.entity.ts:21</t>
  </si>
  <si>
    <t xml:space="preserve">C0307</t>
  </si>
  <si>
    <t xml:space="preserve">field_changed</t>
  </si>
  <si>
    <t xml:space="preserve">academic-registration-service/src/graduation-certificates/template-config-change.entity.ts:25: Descripción del cambio | db/migrations/old/042_create_graduation_tables.sql:313: Descripción del cambio ej: 'signer_name', 'logo', 'content'</t>
  </si>
  <si>
    <t xml:space="preserve">Campo de la plantilla que se modificó (por ejemplo, signer_name, logo, content).</t>
  </si>
  <si>
    <t xml:space="preserve">código: db/migrations/old/042_create_graduation_tables.sql:313</t>
  </si>
  <si>
    <t xml:space="preserve">C0308</t>
  </si>
  <si>
    <t xml:space="preserve">old_value</t>
  </si>
  <si>
    <t xml:space="preserve">Mapeada en academic-registration-service/src/graduation-certificates/template-config-change.entity.ts:28 (TemplateConfigChange.oldValue)</t>
  </si>
  <si>
    <t xml:space="preserve">Valor del campo antes del cambio en la plantilla.</t>
  </si>
  <si>
    <t xml:space="preserve">nombre + tipo + columnas vecinas (field_changed, new_value)</t>
  </si>
  <si>
    <t xml:space="preserve">C0309</t>
  </si>
  <si>
    <t xml:space="preserve">new_value</t>
  </si>
  <si>
    <t xml:space="preserve">Mapeada en academic-registration-service/src/graduation-certificates/template-config-change.entity.ts:31 (TemplateConfigChange.newValue)</t>
  </si>
  <si>
    <t xml:space="preserve">Valor del campo después del cambio en la plantilla.</t>
  </si>
  <si>
    <t xml:space="preserve">nombre + tipo + columnas vecinas (field_changed, old_value)</t>
  </si>
  <si>
    <t xml:space="preserve">C0310</t>
  </si>
  <si>
    <t xml:space="preserve">changed_by</t>
  </si>
  <si>
    <t xml:space="preserve">academic-registration-service/src/graduation-certificates/template-config-change.entity.ts:35: Actor | db/migrations/old/042_create_graduation_tables.sql:318: Actor</t>
  </si>
  <si>
    <t xml:space="preserve">Usuario que realizó el cambio en la plantilla.</t>
  </si>
  <si>
    <t xml:space="preserve">código: academic-registration-service/src/graduation-certificates/template-config-change.entity.ts:35</t>
  </si>
  <si>
    <t xml:space="preserve">¿changed_by guarda el nombre, el correo o el identificador del usuario?</t>
  </si>
  <si>
    <t xml:space="preserve">C0311</t>
  </si>
  <si>
    <t xml:space="preserve">change_date</t>
  </si>
  <si>
    <t xml:space="preserve">idx_template_changes_date</t>
  </si>
  <si>
    <t xml:space="preserve">Mapeada en academic-registration-service/src/graduation-certificates/template-config-change.entity.ts:38 (TemplateConfigChange.changeDate)</t>
  </si>
  <si>
    <t xml:space="preserve">Fecha y hora del cambio; por defecto, la fecha y hora de registro.</t>
  </si>
  <si>
    <t xml:space="preserve">C0312</t>
  </si>
  <si>
    <t xml:space="preserve">academic-registration-service/src/graduation-certificates/template-config-change.entity.ts:42: Observaciones | db/migrations/old/042_create_graduation_tables.sql:322: Observaciones</t>
  </si>
  <si>
    <t xml:space="preserve">Observaciones sobre el cambio realizado en la plantilla.</t>
  </si>
  <si>
    <t xml:space="preserve">código: academic-registration-service/src/graduation-certificates/template-config-change.entity.ts:42</t>
  </si>
  <si>
    <t xml:space="preserve">C0313</t>
  </si>
  <si>
    <t xml:space="preserve">AprobacionJefatura</t>
  </si>
  <si>
    <t xml:space="preserve">jefaturaUserId</t>
  </si>
  <si>
    <t xml:space="preserve">idx_aprobacion_jefatura_jefaturaUserId, idx_aprobacion_jefatura_user</t>
  </si>
  <si>
    <t xml:space="preserve">Mapeada en academic-work-plan-service/src/pta/entities/aprobacion-jefatura.entity.ts:22 (AprobacionJefaturaEntity.jefaturaUserId)</t>
  </si>
  <si>
    <t xml:space="preserve">Identificador del usuario de la jefatura que registra la decisión sobre el plan de trabajo académico.</t>
  </si>
  <si>
    <t xml:space="preserve">nombre + tipo + columnas vecinas + índices</t>
  </si>
  <si>
    <t xml:space="preserve">¿Es el id de auth."user" o de otra tabla de usuarios?</t>
  </si>
  <si>
    <t xml:space="preserve">C0314</t>
  </si>
  <si>
    <t xml:space="preserve">jefaturaRol</t>
  </si>
  <si>
    <t xml:space="preserve">Mapeada en academic-work-plan-service/src/pta/entities/aprobacion-jefatura.entity.ts:25 (AprobacionJefaturaEntity.jefaturaRol)</t>
  </si>
  <si>
    <t xml:space="preserve">Rol de la jefatura que registra la decisión; por defecto, «Jefatura de Zona».</t>
  </si>
  <si>
    <t xml:space="preserve">C0315</t>
  </si>
  <si>
    <t xml:space="preserve">territorialId</t>
  </si>
  <si>
    <t xml:space="preserve">idx_aprobacion_jefatura_pta_territorial</t>
  </si>
  <si>
    <t xml:space="preserve">Mapeada en academic-work-plan-service/src/pta/entities/aprobacion-jefatura.entity.ts:28 (AprobacionJefaturaEntity.territorialId)</t>
  </si>
  <si>
    <t xml:space="preserve">Identificador de la territorial a la que corresponde la aprobación.</t>
  </si>
  <si>
    <t xml:space="preserve">nombre + tipo + columnas vecinas + índice (ptaId, territorialId)</t>
  </si>
  <si>
    <t xml:space="preserve">¿A qué tabla apunta territorialId?</t>
  </si>
  <si>
    <t xml:space="preserve">C0316</t>
  </si>
  <si>
    <t xml:space="preserve">territorialNombre</t>
  </si>
  <si>
    <t xml:space="preserve">Mapeada en academic-work-plan-service/src/pta/entities/aprobacion-jefatura.entity.ts:31 (AprobacionJefaturaEntity.territorialNombre)</t>
  </si>
  <si>
    <t xml:space="preserve">Nombre de la territorial a la que corresponde la aprobación.</t>
  </si>
  <si>
    <t xml:space="preserve">nombre + tipo + columnas vecinas (territorialId)</t>
  </si>
  <si>
    <t xml:space="preserve">C0317</t>
  </si>
  <si>
    <t xml:space="preserve">decision</t>
  </si>
  <si>
    <t xml:space="preserve">academic-work-plan-service/src/pta/entities/aprobacion-jefatura.entity.ts:35: pendiente | aprobado | aprobado_con_cambios | devuelto</t>
  </si>
  <si>
    <t xml:space="preserve">Decisión de la jefatura sobre el PTA (plan de trabajo académico). Valores previstos: pendiente, aprobado, aprobado_con_cambios, devuelto; por defecto pendiente.</t>
  </si>
  <si>
    <t xml:space="preserve">código: academic-work-plan-service/src/pta/entities/aprobacion-jefatura.entity.ts:35</t>
  </si>
  <si>
    <t xml:space="preserve">C0318</t>
  </si>
  <si>
    <t xml:space="preserve">Mapeada en academic-work-plan-service/src/pta/entities/aprobacion-jefatura.entity.ts:38 (AprobacionJefaturaEntity.comentarios)</t>
  </si>
  <si>
    <t xml:space="preserve">Comentarios de la jefatura sobre su decisión.</t>
  </si>
  <si>
    <t xml:space="preserve">nombre + tipo + columnas vecinas (decision)</t>
  </si>
  <si>
    <t xml:space="preserve">C0319</t>
  </si>
  <si>
    <t xml:space="preserve">camposModificados</t>
  </si>
  <si>
    <t xml:space="preserve">Mapeada en academic-work-plan-service/src/pta/entities/aprobacion-jefatura.entity.ts:41 (AprobacionJefaturaEntity.camposModificados)</t>
  </si>
  <si>
    <t xml:space="preserve">Campos del plan de trabajo modificados por la jefatura, en formato JSON.</t>
  </si>
  <si>
    <t xml:space="preserve">¿Qué estructura tiene el JSON de camposModificados?</t>
  </si>
  <si>
    <t xml:space="preserve">C0320</t>
  </si>
  <si>
    <t xml:space="preserve">componentesBloqueados</t>
  </si>
  <si>
    <t xml:space="preserve">Mapeada en academic-work-plan-service/src/pta/entities/aprobacion-jefatura.entity.ts:44 (AprobacionJefaturaEntity.componentesBloqueados)</t>
  </si>
  <si>
    <t xml:space="preserve">Componentes del plan de trabajo que la jefatura bloquea para edición, en formato JSON.</t>
  </si>
  <si>
    <t xml:space="preserve">¿Qué significa que un componente quede bloqueado y qué estructura tiene el JSON?</t>
  </si>
  <si>
    <t xml:space="preserve">C0321</t>
  </si>
  <si>
    <t xml:space="preserve">firmaId</t>
  </si>
  <si>
    <t xml:space="preserve">Mapeada en academic-work-plan-service/src/pta/entities/aprobacion-jefatura.entity.ts:47 (AprobacionJefaturaEntity.firmaId)</t>
  </si>
  <si>
    <t xml:space="preserve">Identificador de la firma asociada a la decisión de la jefatura.</t>
  </si>
  <si>
    <t xml:space="preserve">¿A qué tabla o servicio apunta firmaId?</t>
  </si>
  <si>
    <t xml:space="preserve">C0322</t>
  </si>
  <si>
    <t xml:space="preserve">asignatura</t>
  </si>
  <si>
    <t xml:space="preserve">asignatura_codigo_key</t>
  </si>
  <si>
    <t xml:space="preserve">academic-schedule-service/src/catalogo/entities/asignatura.readonly.entity.ts:19: Llave maestra del SNIES (RN-01). Puede faltar en registros heredados.</t>
  </si>
  <si>
    <t xml:space="preserve">Código único de la asignatura; llave maestra del SNIES (RN-01).</t>
  </si>
  <si>
    <t xml:space="preserve">código: academic-schedule-service/src/catalogo/entities/asignatura.readonly.entity.ts:19</t>
  </si>
  <si>
    <t xml:space="preserve">El código indica que el valor puede faltar en registros heredados, pero la columna es NOT NULL: ¿qué valor llevan esos registros?</t>
  </si>
  <si>
    <t xml:space="preserve">C0323</t>
  </si>
  <si>
    <t xml:space="preserve">idx_asig_nombre</t>
  </si>
  <si>
    <t xml:space="preserve">Mapeada en academic-work-plan-service/src/pta/entities/asignatura.entity.ts:15 (AsignaturaEntity.nombre)</t>
  </si>
  <si>
    <t xml:space="preserve">Nombre del registro de asignatura.</t>
  </si>
  <si>
    <t xml:space="preserve">C0324</t>
  </si>
  <si>
    <t xml:space="preserve">nombre_base</t>
  </si>
  <si>
    <t xml:space="preserve">Mapeada en academic-work-plan-service/src/pta/entities/asignatura.entity.ts:18 (AsignaturaEntity.nombreBase)</t>
  </si>
  <si>
    <t xml:space="preserve">Nombre de la asignatura sin el sufijo de modalidad.</t>
  </si>
  <si>
    <t xml:space="preserve">nombre + tipo + columnas vecinas (nombre, modalidad_sufijo)</t>
  </si>
  <si>
    <t xml:space="preserve">¿nombre_base se obtiene quitando modalidad_sufijo del nombre de la asignatura?</t>
  </si>
  <si>
    <t xml:space="preserve">C0325</t>
  </si>
  <si>
    <t xml:space="preserve">modalidad_sufijo</t>
  </si>
  <si>
    <t xml:space="preserve">Mapeada en academic-work-plan-service/src/pta/entities/asignatura.entity.ts:24 (AsignaturaEntity.modalidadSufijo)</t>
  </si>
  <si>
    <t xml:space="preserve">Sufijo del nombre de la asignatura que indica su modalidad.</t>
  </si>
  <si>
    <t xml:space="preserve">nombre + tipo + columnas vecinas (nombre_base, modalidad)</t>
  </si>
  <si>
    <t xml:space="preserve">¿Qué valores toma el sufijo y cómo se relaciona con la columna modalidad?</t>
  </si>
  <si>
    <t xml:space="preserve">C0326</t>
  </si>
  <si>
    <t xml:space="preserve">distancia, mixta, presencial, presencial_dia, presencial_noche, sin_definir, virtual</t>
  </si>
  <si>
    <t xml:space="preserve">idx_asig_modalidad</t>
  </si>
  <si>
    <t xml:space="preserve">academic-work-plan-service/src/pta/entities/asignatura.entity.ts:27: 'presencial' | 'presencial_dia' | 'presencial_noche' | 'virtual' | 'distancia' | 'mixta' | 'sin_definir'</t>
  </si>
  <si>
    <t xml:space="preserve">Modalidad de oferta de la asignatura. Valores permitidos: presencial, presencial_dia, presencial_noche, virtual, distancia, mixta, sin_definir; por defecto sin_definir.</t>
  </si>
  <si>
    <t xml:space="preserve">código: academic-work-plan-service/src/pta/entities/asignatura.entity.ts:27</t>
  </si>
  <si>
    <t xml:space="preserve">C0327</t>
  </si>
  <si>
    <t xml:space="preserve">requiere_revision_modalidad</t>
  </si>
  <si>
    <t xml:space="preserve">Mapeada en academic-work-plan-service/src/pta/entities/asignatura.entity.ts:30 (AsignaturaEntity.requiereRevisionModalidad)</t>
  </si>
  <si>
    <t xml:space="preserve">Indica si requiere revisión modalidad.</t>
  </si>
  <si>
    <t xml:space="preserve">C0328</t>
  </si>
  <si>
    <t xml:space="preserve">Mapeada en academic-work-plan-service/src/pta/entities/asignatura.entity.ts:33 (AsignaturaEntity.creditos)</t>
  </si>
  <si>
    <t xml:space="preserve">Número de créditos académicos de la asignatura.</t>
  </si>
  <si>
    <t xml:space="preserve">C0329</t>
  </si>
  <si>
    <t xml:space="preserve">horas_fijas_pta</t>
  </si>
  <si>
    <t xml:space="preserve">Mapeada en academic-work-plan-service/src/pta/entities/asignatura.entity.ts:64 (AsignaturaEntity.horasFijasPta)</t>
  </si>
  <si>
    <t xml:space="preserve">Número fijo de horas que la asignatura aporta al plan de trabajo académico (PTA) del docente, cuando no se calcula por créditos.</t>
  </si>
  <si>
    <t xml:space="preserve">nombre + tipo + columnas vecinas (tipo_excepcion, horas_pta)</t>
  </si>
  <si>
    <t xml:space="preserve">¿horas_fijas_pta reemplaza el cálculo por créditos en las asignaturas con tipo_excepcion? ¿Es horas semestrales o semanales?</t>
  </si>
  <si>
    <t xml:space="preserve">C0330</t>
  </si>
  <si>
    <t xml:space="preserve">tipo_excepcion</t>
  </si>
  <si>
    <t xml:space="preserve">opciones_grado_ap, seminario_enfasis, seminario_opciones_apt</t>
  </si>
  <si>
    <t xml:space="preserve">academic-work-plan-service/src/pta/entities/asignatura.entity.ts:76: 'seminario_enfasis' | 'opciones_grado_ap' | 'seminario_opciones_apt' | academic-schedule-service/src/catalogo/entities/asignatura.readonly.entity.ts:44: Excepción de la Circular 003: seminario_enfasis, opciones_grado_ap, seminario_opciones_apt.</t>
  </si>
  <si>
    <t xml:space="preserve">Tipo de excepción de la Circular 003 que aplica a la asignatura. Valores permitidos: seminario_enfasis, opciones_grado_ap, seminario_opciones_apt.</t>
  </si>
  <si>
    <t xml:space="preserve">código: academic-schedule-service/src/catalogo/entities/asignatura.readonly.entity.ts:44</t>
  </si>
  <si>
    <t xml:space="preserve">C0331</t>
  </si>
  <si>
    <t xml:space="preserve">activa</t>
  </si>
  <si>
    <t xml:space="preserve">idx_asig_activa</t>
  </si>
  <si>
    <t xml:space="preserve">Mapeada en academic-work-plan-service/src/pta/entities/asignatura.entity.ts:79 (AsignaturaEntity.activa)</t>
  </si>
  <si>
    <t xml:space="preserve">C0332</t>
  </si>
  <si>
    <t xml:space="preserve">Mapeada en academic-work-plan-service/src/pta/entities/asignatura.entity.ts:82 (AsignaturaEntity.observaciones)</t>
  </si>
  <si>
    <t xml:space="preserve">Observaciones registradas sobre el registro.</t>
  </si>
  <si>
    <t xml:space="preserve">C0333</t>
  </si>
  <si>
    <t xml:space="preserve">deleted_at</t>
  </si>
  <si>
    <t xml:space="preserve">Mapeada en academic-work-plan-service/src/pta/entities/asignatura.entity.ts:97 (AsignaturaEntity.deletedAt)</t>
  </si>
  <si>
    <t xml:space="preserve">Fecha y hora de la eliminación.</t>
  </si>
  <si>
    <t xml:space="preserve">C0334</t>
  </si>
  <si>
    <t xml:space="preserve">deleted_by</t>
  </si>
  <si>
    <t xml:space="preserve">Mapeada en academic-work-plan-service/src/pta/entities/asignatura.entity.ts:100 (AsignaturaEntity.deletedBy)</t>
  </si>
  <si>
    <t xml:space="preserve">Identificador del usuario que eliminó lógicamente el registro.</t>
  </si>
  <si>
    <t xml:space="preserve">nombre + tipo + columnas vecinas (deleted_at)</t>
  </si>
  <si>
    <t xml:space="preserve">¿deleted_by guarda el id de auth."user" (id_user) o de otra tabla de usuarios?</t>
  </si>
  <si>
    <t xml:space="preserve">C0335</t>
  </si>
  <si>
    <t xml:space="preserve">tipo_asignatura</t>
  </si>
  <si>
    <t xml:space="preserve">laboratorio, practica, seminario, taller, teorica</t>
  </si>
  <si>
    <t xml:space="preserve">Mapeada en academic-work-plan-service/src/pta/entities/asignatura.entity.ts:73 (AsignaturaEntity.tipoAsignatura)</t>
  </si>
  <si>
    <t xml:space="preserve">Tipo de asignatura según su forma de desarrollo. Valores permitidos: laboratorio, practica, seminario, taller, teorica. Por defecto, teorica.</t>
  </si>
  <si>
    <t xml:space="preserve">C0336</t>
  </si>
  <si>
    <t xml:space="preserve">pensum</t>
  </si>
  <si>
    <t xml:space="preserve">idx_asig_programa_pensum</t>
  </si>
  <si>
    <t xml:space="preserve">Mapeada en academic-work-plan-service/src/pta/entities/asignatura.entity.ts:21 (AsignaturaEntity.pensum)</t>
  </si>
  <si>
    <t xml:space="preserve">Identificador del plan de estudios (pensum) del programa al que pertenece la asignatura.</t>
  </si>
  <si>
    <t xml:space="preserve">nombre + tipo + columnas vecinas + índice idx_asig_programa_pensum</t>
  </si>
  <si>
    <t xml:space="preserve">¿Qué formato tiene el pensum (año, código de versión)?</t>
  </si>
  <si>
    <t xml:space="preserve">C0337</t>
  </si>
  <si>
    <t xml:space="preserve">horas_clase</t>
  </si>
  <si>
    <t xml:space="preserve">Mapeada en academic-work-plan-service/src/pta/entities/asignatura.entity.ts:67 (AsignaturaEntity.horasClase)</t>
  </si>
  <si>
    <t xml:space="preserve">Número de horas de clase de la asignatura.</t>
  </si>
  <si>
    <t xml:space="preserve">nombre + tipo + columnas vecinas (horas_pta, creditos)</t>
  </si>
  <si>
    <t xml:space="preserve">¿Las horas de clase son semanales o del semestre completo?</t>
  </si>
  <si>
    <t xml:space="preserve">C0338</t>
  </si>
  <si>
    <t xml:space="preserve">horas_pta</t>
  </si>
  <si>
    <t xml:space="preserve">academic-schedule-service/src/catalogo/entities/asignatura.readonly.entity.ts:40: Horas del PTA, ya con el factor de carga aplicado. Se expone tal cual.</t>
  </si>
  <si>
    <t xml:space="preserve">Horas de la asignatura en el PTA, con el factor de carga ya aplicado.</t>
  </si>
  <si>
    <t xml:space="preserve">código: academic-schedule-service/src/catalogo/entities/asignatura.readonly.entity.ts:40</t>
  </si>
  <si>
    <t xml:space="preserve">C0339</t>
  </si>
  <si>
    <t xml:space="preserve">AuditLog</t>
  </si>
  <si>
    <t xml:space="preserve">timestamp</t>
  </si>
  <si>
    <t xml:space="preserve">timestamp(3) without time zone</t>
  </si>
  <si>
    <t xml:space="preserve">AuditLog_timestamp_idx</t>
  </si>
  <si>
    <t xml:space="preserve">Fecha y hora del evento auditado; por defecto, la fecha y hora de registro.</t>
  </si>
  <si>
    <t xml:space="preserve">C0340</t>
  </si>
  <si>
    <t xml:space="preserve">usuario_id</t>
  </si>
  <si>
    <t xml:space="preserve">Identificador del usuario que realizó la acción.</t>
  </si>
  <si>
    <t xml:space="preserve">¿A qué tabla de usuarios corresponde usuario_id?</t>
  </si>
  <si>
    <t xml:space="preserve">C0341</t>
  </si>
  <si>
    <t xml:space="preserve">usuario_nombre</t>
  </si>
  <si>
    <t xml:space="preserve">Nombre del usuario que realizó la acción.</t>
  </si>
  <si>
    <t xml:space="preserve">C0342</t>
  </si>
  <si>
    <t xml:space="preserve">usuario_email</t>
  </si>
  <si>
    <t xml:space="preserve">Correo electrónico del usuario que realizó la acción.</t>
  </si>
  <si>
    <t xml:space="preserve">C0343</t>
  </si>
  <si>
    <t xml:space="preserve">accion</t>
  </si>
  <si>
    <t xml:space="preserve">AuditLog_accion_idx</t>
  </si>
  <si>
    <t xml:space="preserve">Acción realizada por el usuario.</t>
  </si>
  <si>
    <t xml:space="preserve">¿Qué valores toma accion (crear, actualizar, eliminar…)?</t>
  </si>
  <si>
    <t xml:space="preserve">C0344</t>
  </si>
  <si>
    <t xml:space="preserve">modulo</t>
  </si>
  <si>
    <t xml:space="preserve">AuditLog_modulo_idx</t>
  </si>
  <si>
    <t xml:space="preserve">Módulo del sistema en que se realizó la acción.</t>
  </si>
  <si>
    <t xml:space="preserve">¿Qué valores toma modulo?</t>
  </si>
  <si>
    <t xml:space="preserve">C0345</t>
  </si>
  <si>
    <t xml:space="preserve">entidad_tipo</t>
  </si>
  <si>
    <t xml:space="preserve">Tipo de entidad afectada por la acción.</t>
  </si>
  <si>
    <t xml:space="preserve">nombre + tipo + columnas vecinas (entidad_id)</t>
  </si>
  <si>
    <t xml:space="preserve">¿Qué valores toma entidad_tipo?</t>
  </si>
  <si>
    <t xml:space="preserve">C0346</t>
  </si>
  <si>
    <t xml:space="preserve">entidad_id</t>
  </si>
  <si>
    <t xml:space="preserve">Identificador del registro afectado por la acción.</t>
  </si>
  <si>
    <t xml:space="preserve">nombre + tipo + columnas vecinas (entidad_tipo)</t>
  </si>
  <si>
    <t xml:space="preserve">C0347</t>
  </si>
  <si>
    <t xml:space="preserve">detalles</t>
  </si>
  <si>
    <t xml:space="preserve">Detalle de la acción realizada; vacío por defecto.</t>
  </si>
  <si>
    <t xml:space="preserve">C0348</t>
  </si>
  <si>
    <t xml:space="preserve">resultado</t>
  </si>
  <si>
    <t xml:space="preserve">Resultado de la acción; por defecto, «EXITO».</t>
  </si>
  <si>
    <t xml:space="preserve">¿Qué otros valores toma resultado además de EXITO?</t>
  </si>
  <si>
    <t xml:space="preserve">C0349</t>
  </si>
  <si>
    <t xml:space="preserve">Dirección IP desde la que se realizó la acción.</t>
  </si>
  <si>
    <t xml:space="preserve">C0350</t>
  </si>
  <si>
    <t xml:space="preserve">BancoDocentesInvitaciones</t>
  </si>
  <si>
    <t xml:space="preserve">correo_institucional</t>
  </si>
  <si>
    <t xml:space="preserve">idx_banco_invitaciones_correo</t>
  </si>
  <si>
    <t xml:space="preserve">Mapeada en academic-work-plan-service/src/pta/entities/banco-docente-invitacion.entity.ts:8 (BancoDocenteInvitacionEntity.correoInstitucional)</t>
  </si>
  <si>
    <t xml:space="preserve">Correo institucional al que se envía la invitación de autogestión RUND.</t>
  </si>
  <si>
    <t xml:space="preserve">nombre + tipo + columnas vecinas + descripción de la tabla</t>
  </si>
  <si>
    <t xml:space="preserve">C0351</t>
  </si>
  <si>
    <t xml:space="preserve">token_acceso</t>
  </si>
  <si>
    <t xml:space="preserve">BancoDocentesInvitaciones_token_acceso_key, idx_banco_invitaciones_token</t>
  </si>
  <si>
    <t xml:space="preserve">Mapeada en academic-work-plan-service/src/pta/entities/banco-docente-invitacion.entity.ts:11 (BancoDocenteInvitacionEntity.tokenAcceso)</t>
  </si>
  <si>
    <t xml:space="preserve">Token único del enlace público de la invitación.</t>
  </si>
  <si>
    <t xml:space="preserve">nombre + tipo + columnas vecinas + descripción de la tabla + restricción única</t>
  </si>
  <si>
    <t xml:space="preserve">C0352</t>
  </si>
  <si>
    <t xml:space="preserve">otp_codigo</t>
  </si>
  <si>
    <t xml:space="preserve">Mapeada en academic-work-plan-service/src/pta/entities/banco-docente-invitacion.entity.ts:20 (BancoDocenteInvitacionEntity.otpCodigo)</t>
  </si>
  <si>
    <t xml:space="preserve">Código OTP enviado por correo para validar el acceso a la invitación.</t>
  </si>
  <si>
    <t xml:space="preserve">C0353</t>
  </si>
  <si>
    <t xml:space="preserve">otp_expira_en</t>
  </si>
  <si>
    <t xml:space="preserve">Mapeada en academic-work-plan-service/src/pta/entities/banco-docente-invitacion.entity.ts:23 (BancoDocenteInvitacionEntity.otpExpiraEn)</t>
  </si>
  <si>
    <t xml:space="preserve">Fecha y hora en que vence el código OTP.</t>
  </si>
  <si>
    <t xml:space="preserve">C0354</t>
  </si>
  <si>
    <t xml:space="preserve">intentos_otp</t>
  </si>
  <si>
    <t xml:space="preserve">Mapeada en academic-work-plan-service/src/pta/entities/banco-docente-invitacion.entity.ts:26 (BancoDocenteInvitacionEntity.intentosOtp)</t>
  </si>
  <si>
    <t xml:space="preserve">Número de intentos de validación del código OTP; inicia en 0.</t>
  </si>
  <si>
    <t xml:space="preserve">C0355</t>
  </si>
  <si>
    <t xml:space="preserve">academic-work-plan-service/src/pta/entities/banco-docente-invitacion.entity.ts:29: Enviada, Abierta, OTP validado, En proceso, Gestionada, Vencida</t>
  </si>
  <si>
    <t xml:space="preserve">Estado de la invitación de autogestión RUND. Valores: Enviada, Abierta, OTP validado, En proceso, Gestionada, Vencida; por defecto Enviada.</t>
  </si>
  <si>
    <t xml:space="preserve">código: academic-work-plan-service/src/pta/entities/banco-docente-invitacion.entity.ts:29</t>
  </si>
  <si>
    <t xml:space="preserve">C0356</t>
  </si>
  <si>
    <t xml:space="preserve">fecha_expiracion</t>
  </si>
  <si>
    <t xml:space="preserve">Mapeada en academic-work-plan-service/src/pta/entities/banco-docente-invitacion.entity.ts:32 (BancoDocenteInvitacionEntity.fechaExpiracion)</t>
  </si>
  <si>
    <t xml:space="preserve">Fecha de expiración.</t>
  </si>
  <si>
    <t xml:space="preserve">C0357</t>
  </si>
  <si>
    <t xml:space="preserve">borrador_json</t>
  </si>
  <si>
    <t xml:space="preserve">Mapeada en academic-work-plan-service/src/pta/entities/banco-docente-invitacion.entity.ts:35 (BancoDocenteInvitacionEntity.borradorJson)</t>
  </si>
  <si>
    <t xml:space="preserve">Borrador de la información diligenciada por el docente en la invitación, en formato JSON.</t>
  </si>
  <si>
    <t xml:space="preserve">¿Qué estructura tiene borrador_json?</t>
  </si>
  <si>
    <t xml:space="preserve">C0358</t>
  </si>
  <si>
    <t xml:space="preserve">sesion_token_hash</t>
  </si>
  <si>
    <t xml:space="preserve">idx_rund_invitacion_session_hash</t>
  </si>
  <si>
    <t xml:space="preserve">Mapeada en academic-work-plan-service/src/pta/entities/banco-docente-invitacion.entity.ts:14 (BancoDocenteInvitacionEntity.sesionTokenHash)</t>
  </si>
  <si>
    <t xml:space="preserve">Hash del token de sesión abierta tras validar el OTP.</t>
  </si>
  <si>
    <t xml:space="preserve">nombre + tipo + columnas vecinas (sesion_expira_en)</t>
  </si>
  <si>
    <t xml:space="preserve">¿Qué algoritmo de hash se usa?</t>
  </si>
  <si>
    <t xml:space="preserve">C0359</t>
  </si>
  <si>
    <t xml:space="preserve">sesion_expira_en</t>
  </si>
  <si>
    <t xml:space="preserve">Mapeada en academic-work-plan-service/src/pta/entities/banco-docente-invitacion.entity.ts:17 (BancoDocenteInvitacionEntity.sesionExpiraEn)</t>
  </si>
  <si>
    <t xml:space="preserve">Fecha y hora en que vence la sesión de la invitación.</t>
  </si>
  <si>
    <t xml:space="preserve">C0360</t>
  </si>
  <si>
    <t xml:space="preserve">CarpetaDigital</t>
  </si>
  <si>
    <t xml:space="preserve">Estado del registro de CarpetaDigital.</t>
  </si>
  <si>
    <t xml:space="preserve">C0361</t>
  </si>
  <si>
    <t xml:space="preserve">totalDocumentos</t>
  </si>
  <si>
    <t xml:space="preserve">Número total de documentos de la carpeta digital; inicia en 0.</t>
  </si>
  <si>
    <t xml:space="preserve">C0362</t>
  </si>
  <si>
    <t xml:space="preserve">documentosRechazados</t>
  </si>
  <si>
    <t xml:space="preserve">Número de documentos rechazados de la carpeta digital; inicia en 0.</t>
  </si>
  <si>
    <t xml:space="preserve">C0363</t>
  </si>
  <si>
    <t xml:space="preserve">ultimaActualizacion</t>
  </si>
  <si>
    <t xml:space="preserve">Fecha y hora de la última actualización de la carpeta digital.</t>
  </si>
  <si>
    <t xml:space="preserve">¿En qué se diferencia de updatedAt?</t>
  </si>
  <si>
    <t xml:space="preserve">C0364</t>
  </si>
  <si>
    <t xml:space="preserve">Certificado</t>
  </si>
  <si>
    <t xml:space="preserve">personaId</t>
  </si>
  <si>
    <t xml:space="preserve">Certificado_personaId_idx</t>
  </si>
  <si>
    <t xml:space="preserve">Identificador de la persona a la que se emite el certificado.</t>
  </si>
  <si>
    <t xml:space="preserve">nombre + tipo + columnas vecinas (tabla Persona)</t>
  </si>
  <si>
    <t xml:space="preserve">C0365</t>
  </si>
  <si>
    <t xml:space="preserve">Tipo del registro de Certificado.</t>
  </si>
  <si>
    <t xml:space="preserve">C0366</t>
  </si>
  <si>
    <t xml:space="preserve">Certificado_estado_idx</t>
  </si>
  <si>
    <t xml:space="preserve">Estado del registro de Certificado.</t>
  </si>
  <si>
    <t xml:space="preserve">C0367</t>
  </si>
  <si>
    <t xml:space="preserve">codigoQR</t>
  </si>
  <si>
    <t xml:space="preserve">Certificado_codigoQR_key</t>
  </si>
  <si>
    <t xml:space="preserve">Código QR de verificación del certificado.</t>
  </si>
  <si>
    <t xml:space="preserve">¿codigoQR guarda el código de verificación o la imagen o URL del QR?</t>
  </si>
  <si>
    <t xml:space="preserve">C0368</t>
  </si>
  <si>
    <t xml:space="preserve">fechaEmision</t>
  </si>
  <si>
    <t xml:space="preserve">Fecha y hora de emisión del certificado.</t>
  </si>
  <si>
    <t xml:space="preserve">C0369</t>
  </si>
  <si>
    <t xml:space="preserve">cetap</t>
  </si>
  <si>
    <t xml:space="preserve">cetap_codigo_key</t>
  </si>
  <si>
    <t xml:space="preserve">Mapeada en academic-work-plan-service/src/pta/entities/cetap.entity.ts:9 (CetapEntity.codigo)</t>
  </si>
  <si>
    <t xml:space="preserve">Código del registro de cetap. Único en la tabla.</t>
  </si>
  <si>
    <t xml:space="preserve">C0370</t>
  </si>
  <si>
    <t xml:space="preserve">Mapeada en academic-work-plan-service/src/pta/entities/cetap.entity.ts:12 (CetapEntity.nombre)</t>
  </si>
  <si>
    <t xml:space="preserve">Nombre del registro de cetap.</t>
  </si>
  <si>
    <t xml:space="preserve">C0371</t>
  </si>
  <si>
    <t xml:space="preserve">nombre_normalizado</t>
  </si>
  <si>
    <t xml:space="preserve">uq_cetap_dt_nombre</t>
  </si>
  <si>
    <t xml:space="preserve">Mapeada en academic-work-plan-service/src/pta/entities/cetap.entity.ts:15 (CetapEntity.nombreNormalizado)</t>
  </si>
  <si>
    <t xml:space="preserve">Nombre del CETAP normalizado (sin tildes ni mayúsculas) para búsquedas y control de duplicados dentro de la dirección territorial.</t>
  </si>
  <si>
    <t xml:space="preserve">nombre + tipo + columnas vecinas + índice único uq_cetap_dt_nombre</t>
  </si>
  <si>
    <t xml:space="preserve">¿Qué reglas de normalización se aplican (minúsculas, sin tildes, sin espacios dobles)?</t>
  </si>
  <si>
    <t xml:space="preserve">C0372</t>
  </si>
  <si>
    <t xml:space="preserve">cetap, otro, sede_central</t>
  </si>
  <si>
    <t xml:space="preserve">academic-work-plan-service/src/pta/entities/cetap.entity.ts:25: 'sede_central' | 'cetap' | 'otro'</t>
  </si>
  <si>
    <t xml:space="preserve">Tipo de ubicación registrada en el catálogo de CETAP. Valores permitidos: sede_central, cetap, otro; por defecto cetap.</t>
  </si>
  <si>
    <t xml:space="preserve">código: academic-work-plan-service/src/pta/entities/cetap.entity.ts:25</t>
  </si>
  <si>
    <t xml:space="preserve">C0373</t>
  </si>
  <si>
    <t xml:space="preserve">latitud</t>
  </si>
  <si>
    <t xml:space="preserve">numeric(10,7)</t>
  </si>
  <si>
    <t xml:space="preserve">Mapeada en academic-work-plan-service/src/pta/entities/cetap.entity.ts:28 (CetapEntity.latitud)</t>
  </si>
  <si>
    <t xml:space="preserve">Latitud geográfica de la ubicación, en grados decimales.</t>
  </si>
  <si>
    <t xml:space="preserve">nombre + tipo + columnas vecinas (longitud)</t>
  </si>
  <si>
    <t xml:space="preserve">¿La coordenada está en el sistema WGS84 y en grados decimales?</t>
  </si>
  <si>
    <t xml:space="preserve">C0374</t>
  </si>
  <si>
    <t xml:space="preserve">longitud</t>
  </si>
  <si>
    <t xml:space="preserve">Mapeada en academic-work-plan-service/src/pta/entities/cetap.entity.ts:31 (CetapEntity.longitud)</t>
  </si>
  <si>
    <t xml:space="preserve">Longitud geográfica de la ubicación del CETAP, en grados decimales.</t>
  </si>
  <si>
    <t xml:space="preserve">nombre + tipo + columnas vecinas (latitud)</t>
  </si>
  <si>
    <t xml:space="preserve">C0375</t>
  </si>
  <si>
    <t xml:space="preserve">idx_cetap_activo</t>
  </si>
  <si>
    <t xml:space="preserve">Mapeada en academic-work-plan-service/src/pta/entities/cetap.entity.ts:34 (CetapEntity.activo)</t>
  </si>
  <si>
    <t xml:space="preserve">C0376</t>
  </si>
  <si>
    <t xml:space="preserve">Mapeada en academic-work-plan-service/src/pta/entities/cetap.entity.ts:49 (CetapEntity.deletedAt)</t>
  </si>
  <si>
    <t xml:space="preserve">C0377</t>
  </si>
  <si>
    <t xml:space="preserve">Mapeada en academic-work-plan-service/src/pta/entities/cetap.entity.ts:52 (CetapEntity.deletedBy)</t>
  </si>
  <si>
    <t xml:space="preserve">C0378</t>
  </si>
  <si>
    <t xml:space="preserve">cetap_alias</t>
  </si>
  <si>
    <t xml:space="preserve">alias</t>
  </si>
  <si>
    <t xml:space="preserve">Mapeada en academic-work-plan-service/src/pta/entities/cetap-alias.entity.ts:16 (CetapAliasEntity.alias)</t>
  </si>
  <si>
    <t xml:space="preserve">Nombre alternativo con el que se identifica el CETAP en las fuentes de datos.</t>
  </si>
  <si>
    <t xml:space="preserve">nombre + tipo + columnas vecinas (id_cetap, origen)</t>
  </si>
  <si>
    <t xml:space="preserve">¿Los alias se usan para conciliar nombres del archivo de carga con el catálogo de CETAP?</t>
  </si>
  <si>
    <t xml:space="preserve">C0379</t>
  </si>
  <si>
    <t xml:space="preserve">alias_normalizado</t>
  </si>
  <si>
    <t xml:space="preserve">cetap_alias_alias_normalizado_key</t>
  </si>
  <si>
    <t xml:space="preserve">Mapeada en academic-work-plan-service/src/pta/entities/cetap-alias.entity.ts:19 (CetapAliasEntity.aliasNormalizado)</t>
  </si>
  <si>
    <t xml:space="preserve">Alias del CETAP normalizado para la comparación; es único en la tabla.</t>
  </si>
  <si>
    <t xml:space="preserve">¿Qué reglas de normalización se aplican al alias?</t>
  </si>
  <si>
    <t xml:space="preserve">C0380</t>
  </si>
  <si>
    <t xml:space="preserve">Mapeada en academic-work-plan-service/src/pta/entities/cetap-alias.entity.ts:22 (CetapAliasEntity.origen)</t>
  </si>
  <si>
    <t xml:space="preserve">Fuente de la que proviene el alias. Por defecto, excel_2025_2.</t>
  </si>
  <si>
    <t xml:space="preserve">¿Qué otros orígenes se prevén además del archivo Excel de 2025-2?</t>
  </si>
  <si>
    <t xml:space="preserve">C0381</t>
  </si>
  <si>
    <t xml:space="preserve">Concertacion</t>
  </si>
  <si>
    <t xml:space="preserve">autorId</t>
  </si>
  <si>
    <t xml:space="preserve">Identificador del autor del mensaje de concertación del plan de trabajo académico.</t>
  </si>
  <si>
    <t xml:space="preserve">¿A qué tabla de usuarios corresponde autorId?</t>
  </si>
  <si>
    <t xml:space="preserve">C0382</t>
  </si>
  <si>
    <t xml:space="preserve">autorRol</t>
  </si>
  <si>
    <t xml:space="preserve">Rol del autor del mensaje de concertación.</t>
  </si>
  <si>
    <t xml:space="preserve">¿Qué valores toma autorRol (docente, jefatura…)?</t>
  </si>
  <si>
    <t xml:space="preserve">C0383</t>
  </si>
  <si>
    <t xml:space="preserve">mensaje</t>
  </si>
  <si>
    <t xml:space="preserve">Texto del mensaje de concertación del plan de trabajo académico.</t>
  </si>
  <si>
    <t xml:space="preserve">C0384</t>
  </si>
  <si>
    <t xml:space="preserve">ConfiguracionSistema</t>
  </si>
  <si>
    <t xml:space="preserve">valor</t>
  </si>
  <si>
    <t xml:space="preserve">Mapeada en academic-work-plan-service/src/pta/entities/pta-configuracion.entity.ts:8 (PtaConfiguracionEntity.rules)</t>
  </si>
  <si>
    <t xml:space="preserve">Valor del parámetro de configuración identificado por la clave, en formato JSON.</t>
  </si>
  <si>
    <t xml:space="preserve">nombre + tipo + columnas vecinas (clave, descripcion)</t>
  </si>
  <si>
    <t xml:space="preserve">C0385</t>
  </si>
  <si>
    <t xml:space="preserve">Descripción del registro de ConfiguracionSistema.</t>
  </si>
  <si>
    <t xml:space="preserve">C0386</t>
  </si>
  <si>
    <t xml:space="preserve">DetallesPta</t>
  </si>
  <si>
    <t xml:space="preserve">asignaturaId</t>
  </si>
  <si>
    <t xml:space="preserve">Identificador de la asignatura asignada en el plan de trabajo académico.</t>
  </si>
  <si>
    <t xml:space="preserve">C0387</t>
  </si>
  <si>
    <t xml:space="preserve">grupo</t>
  </si>
  <si>
    <t xml:space="preserve">Grupo de la asignatura.</t>
  </si>
  <si>
    <t xml:space="preserve">C0388</t>
  </si>
  <si>
    <t xml:space="preserve">horas</t>
  </si>
  <si>
    <t xml:space="preserve">Número de horas asignadas a la asignatura en el plan.</t>
  </si>
  <si>
    <t xml:space="preserve">¿Las horas son semanales o totales del periodo?</t>
  </si>
  <si>
    <t xml:space="preserve">C0389</t>
  </si>
  <si>
    <t xml:space="preserve">Modalidad de la asignatura; por defecto, «PRESENCIAL».</t>
  </si>
  <si>
    <t xml:space="preserve">¿Qué otros valores toma modalidad?</t>
  </si>
  <si>
    <t xml:space="preserve">C0390</t>
  </si>
  <si>
    <t xml:space="preserve">estudiantes</t>
  </si>
  <si>
    <t xml:space="preserve">Número de estudiantes del grupo; por defecto, 25.</t>
  </si>
  <si>
    <t xml:space="preserve">C0391</t>
  </si>
  <si>
    <t xml:space="preserve">Identificador de la territorial donde se dicta la asignatura.</t>
  </si>
  <si>
    <t xml:space="preserve">C0392</t>
  </si>
  <si>
    <t xml:space="preserve">cetapId</t>
  </si>
  <si>
    <t xml:space="preserve">Identificador del CETAP donde se dicta la asignatura.</t>
  </si>
  <si>
    <t xml:space="preserve">¿A qué tabla apunta cetapId?</t>
  </si>
  <si>
    <t xml:space="preserve">C0393</t>
  </si>
  <si>
    <t xml:space="preserve">fechaInicio</t>
  </si>
  <si>
    <t xml:space="preserve">Fecha de inicio de la asignatura.</t>
  </si>
  <si>
    <t xml:space="preserve">C0394</t>
  </si>
  <si>
    <t xml:space="preserve">fechaFin</t>
  </si>
  <si>
    <t xml:space="preserve">Fecha de finalización de la asignatura.</t>
  </si>
  <si>
    <t xml:space="preserve">C0395</t>
  </si>
  <si>
    <t xml:space="preserve">C0396</t>
  </si>
  <si>
    <t xml:space="preserve">direccion_territorial</t>
  </si>
  <si>
    <t xml:space="preserve">direccion_territorial_codigo_key</t>
  </si>
  <si>
    <t xml:space="preserve">Mapeada en academic-work-plan-service/src/pta/entities/direccion-territorial.entity.ts:8 (DireccionTerritorialEntity.codigo)</t>
  </si>
  <si>
    <t xml:space="preserve">Código del registro de direccion_territorial. Único en la tabla.</t>
  </si>
  <si>
    <t xml:space="preserve">C0397</t>
  </si>
  <si>
    <t xml:space="preserve">direccion_territorial_nombre_key</t>
  </si>
  <si>
    <t xml:space="preserve">Mapeada en academic-work-plan-service/src/pta/entities/direccion-territorial.entity.ts:11 (DireccionTerritorialEntity.nombre)</t>
  </si>
  <si>
    <t xml:space="preserve">Nombre del registro de direccion_territorial.</t>
  </si>
  <si>
    <t xml:space="preserve">C0398</t>
  </si>
  <si>
    <t xml:space="preserve">direccion_territorial_nombre_normalizado_key</t>
  </si>
  <si>
    <t xml:space="preserve">Mapeada en academic-work-plan-service/src/pta/entities/direccion-territorial.entity.ts:14 (DireccionTerritorialEntity.nombreNormalizado)</t>
  </si>
  <si>
    <t xml:space="preserve">Nombre de la dirección territorial normalizado para búsquedas y comparación; es único en la tabla.</t>
  </si>
  <si>
    <t xml:space="preserve">¿Qué reglas de normalización se aplican al nombre?</t>
  </si>
  <si>
    <t xml:space="preserve">C0399</t>
  </si>
  <si>
    <t xml:space="preserve">Mapeada en academic-work-plan-service/src/pta/entities/direccion-territorial.entity.ts:17 (DireccionTerritorialEntity.activo)</t>
  </si>
  <si>
    <t xml:space="preserve">C0400</t>
  </si>
  <si>
    <t xml:space="preserve">orden_visualizacion</t>
  </si>
  <si>
    <t xml:space="preserve">Mapeada en academic-work-plan-service/src/pta/entities/direccion-territorial.entity.ts:20 (DireccionTerritorialEntity.ordenVisualizacion)</t>
  </si>
  <si>
    <t xml:space="preserve">Posición de la dirección territorial en las listas de presentación. Por defecto, 999.</t>
  </si>
  <si>
    <t xml:space="preserve">C0401</t>
  </si>
  <si>
    <t xml:space="preserve">Mapeada en academic-work-plan-service/src/pta/entities/direccion-territorial.entity.ts:35 (DireccionTerritorialEntity.deletedAt)</t>
  </si>
  <si>
    <t xml:space="preserve">C0402</t>
  </si>
  <si>
    <t xml:space="preserve">Mapeada en academic-work-plan-service/src/pta/entities/direccion-territorial.entity.ts:38 (DireccionTerritorialEntity.deletedBy)</t>
  </si>
  <si>
    <t xml:space="preserve">C0403</t>
  </si>
  <si>
    <t xml:space="preserve">docencia_concertada</t>
  </si>
  <si>
    <t xml:space="preserve">documento_docente</t>
  </si>
  <si>
    <t xml:space="preserve">idx_docencia_concertada_docente_periodo</t>
  </si>
  <si>
    <t xml:space="preserve">Número de documento de identidad del docente al que corresponde la docencia concertada.</t>
  </si>
  <si>
    <t xml:space="preserve">nombre + tipo + columnas vecinas + índice idx_docencia_concertada_docente_periodo</t>
  </si>
  <si>
    <t xml:space="preserve">C0404</t>
  </si>
  <si>
    <t xml:space="preserve">periodo</t>
  </si>
  <si>
    <t xml:space="preserve">Periodo académico de la docencia concertada.</t>
  </si>
  <si>
    <t xml:space="preserve">nombre + tipo + columnas vecinas + índice con documento_docente</t>
  </si>
  <si>
    <t xml:space="preserve">¿Qué formato tiene el periodo (por ejemplo, 2025-2) y se relaciona con periodo_academico.codigo?</t>
  </si>
  <si>
    <t xml:space="preserve">C0405</t>
  </si>
  <si>
    <t xml:space="preserve">nivel</t>
  </si>
  <si>
    <t xml:space="preserve">posgrado, pregrado</t>
  </si>
  <si>
    <t xml:space="preserve">Nivel de formación de la docencia concertada. Valores permitidos: posgrado, pregrado.</t>
  </si>
  <si>
    <t xml:space="preserve">C0406</t>
  </si>
  <si>
    <t xml:space="preserve">numeric(8,1)</t>
  </si>
  <si>
    <t xml:space="preserve">Número de horas de docencia concertadas para el docente en el periodo.</t>
  </si>
  <si>
    <t xml:space="preserve">¿Las horas son semanales o del periodo completo?</t>
  </si>
  <si>
    <t xml:space="preserve">C0407</t>
  </si>
  <si>
    <t xml:space="preserve">huella</t>
  </si>
  <si>
    <t xml:space="preserve">character(64)</t>
  </si>
  <si>
    <t xml:space="preserve">Huella (hash de 64 caracteres) del contenido de la concertación, usada para verificar su integridad.</t>
  </si>
  <si>
    <t xml:space="preserve">nombre + tipo + columnas vecinas (character(64))</t>
  </si>
  <si>
    <t xml:space="preserve">¿Qué algoritmo genera la huella (por ejemplo, SHA-256) y sobre qué campos se calcula?</t>
  </si>
  <si>
    <t xml:space="preserve">C0408</t>
  </si>
  <si>
    <t xml:space="preserve">asignaturas</t>
  </si>
  <si>
    <t xml:space="preserve">Lista de asignaturas incluidas en la docencia concertada, en formato JSON.</t>
  </si>
  <si>
    <t xml:space="preserve">¿Qué estructura tiene cada elemento del JSON de asignaturas?</t>
  </si>
  <si>
    <t xml:space="preserve">C0409</t>
  </si>
  <si>
    <t xml:space="preserve">firmas</t>
  </si>
  <si>
    <t xml:space="preserve">Firmas registradas para la concertación, en formato JSON.</t>
  </si>
  <si>
    <t xml:space="preserve">¿Qué firmantes y qué datos de cada firma se guardan en el JSON?</t>
  </si>
  <si>
    <t xml:space="preserve">C0410</t>
  </si>
  <si>
    <t xml:space="preserve">registrada_por</t>
  </si>
  <si>
    <t xml:space="preserve">Usuario que realizó el registro.</t>
  </si>
  <si>
    <t xml:space="preserve">C0411</t>
  </si>
  <si>
    <t xml:space="preserve">aplicada_en</t>
  </si>
  <si>
    <t xml:space="preserve">db/migrations/667_pta_docencia_concertada.sql:32: Cuándo la aplicó el PTA a su componente de Docencia (integración pendiente).</t>
  </si>
  <si>
    <t xml:space="preserve">Fecha y hora en que el PTA aplicó la docencia concertada a su componente de Docencia.</t>
  </si>
  <si>
    <t xml:space="preserve">código: db/migrations/667_pta_docencia_concertada.sql:32</t>
  </si>
  <si>
    <t xml:space="preserve">C0412</t>
  </si>
  <si>
    <t xml:space="preserve">recibida_en</t>
  </si>
  <si>
    <t xml:space="preserve">Fecha y hora en que se recibió la docencia concertada. Por defecto, la fecha y hora del registro.</t>
  </si>
  <si>
    <t xml:space="preserve">nombre + tipo + columnas vecinas + defecto now()</t>
  </si>
  <si>
    <t xml:space="preserve">C0413</t>
  </si>
  <si>
    <t xml:space="preserve">actualizada_en</t>
  </si>
  <si>
    <t xml:space="preserve">Fecha y hora de la actualización.</t>
  </si>
  <si>
    <t xml:space="preserve">C0414</t>
  </si>
  <si>
    <t xml:space="preserve">estado_aplicacion</t>
  </si>
  <si>
    <t xml:space="preserve">Estado de la aplicación de la docencia concertada al plan de trabajo académico.</t>
  </si>
  <si>
    <t xml:space="preserve">nombre + tipo + columnas vecinas (aplicada_en, detalle_aplicacion, id_pta)</t>
  </si>
  <si>
    <t xml:space="preserve">¿Qué valores toma estado_aplicacion?</t>
  </si>
  <si>
    <t xml:space="preserve">C0415</t>
  </si>
  <si>
    <t xml:space="preserve">detalle_aplicacion</t>
  </si>
  <si>
    <t xml:space="preserve">Detalle del resultado de aplicar la docencia concertada al plan de trabajo académico.</t>
  </si>
  <si>
    <t xml:space="preserve">nombre + tipo + columnas vecinas (estado_aplicacion)</t>
  </si>
  <si>
    <t xml:space="preserve">¿detalle_aplicacion guarda mensajes de error o el resumen de la aplicación?</t>
  </si>
  <si>
    <t xml:space="preserve">C0416</t>
  </si>
  <si>
    <t xml:space="preserve">id_pta</t>
  </si>
  <si>
    <t xml:space="preserve">Identificador del plan de trabajo académico (PTA) al que se aplicó la docencia concertada.</t>
  </si>
  <si>
    <t xml:space="preserve">nombre + tipo + columnas vecinas (aplicada_en)</t>
  </si>
  <si>
    <t xml:space="preserve">¿Qué tabla identifica id_pta y por qué es de tipo text?</t>
  </si>
  <si>
    <t xml:space="preserve">C0417</t>
  </si>
  <si>
    <t xml:space="preserve">Docente</t>
  </si>
  <si>
    <t xml:space="preserve">idx_docente_territorialId</t>
  </si>
  <si>
    <t xml:space="preserve">Mapeada en academic-work-plan-service/src/pta/entities/docente.entity.ts:11 (DocenteEntity.territorialId)</t>
  </si>
  <si>
    <t xml:space="preserve">Identificador de la dirección territorial a la que pertenece el docente.</t>
  </si>
  <si>
    <t xml:space="preserve">nombre + índice</t>
  </si>
  <si>
    <t xml:space="preserve">C0418</t>
  </si>
  <si>
    <t xml:space="preserve">tipoVinculacion</t>
  </si>
  <si>
    <t xml:space="preserve">idx_docente_tipoVinculacion</t>
  </si>
  <si>
    <t xml:space="preserve">Mapeada en academic-work-plan-service/src/pta/entities/docente.entity.ts:23 (DocenteEntity.tipoVinculacion)</t>
  </si>
  <si>
    <t xml:space="preserve">Tipo de vinculación del docente con la ESAP (por ejemplo, planta u ocasional).</t>
  </si>
  <si>
    <t xml:space="preserve">nombre + índice + columna vecina vinculacionDisplay</t>
  </si>
  <si>
    <t xml:space="preserve">¿Qué valores toma?</t>
  </si>
  <si>
    <t xml:space="preserve">C0419</t>
  </si>
  <si>
    <t xml:space="preserve">dedicacion</t>
  </si>
  <si>
    <t xml:space="preserve">Mapeada en academic-work-plan-service/src/pta/entities/docente.entity.ts:29 (DocenteEntity.dedicacion)</t>
  </si>
  <si>
    <t xml:space="preserve">Tipo de dedicación del docente (por ejemplo, tiempo completo o medio tiempo).</t>
  </si>
  <si>
    <t xml:space="preserve">nombre + columna vecina dedicacionDisplay</t>
  </si>
  <si>
    <t xml:space="preserve">C0420</t>
  </si>
  <si>
    <t xml:space="preserve">Función academic_work_plan.prevent_rund_document_change — academic_work_plan.prevent_rund_document_change: AND s.estado = 'PENDIENTE'</t>
  </si>
  <si>
    <t xml:space="preserve">Mapeada en academic-work-plan-service/src/pta/entities/docente.entity.ts:32 (DocenteEntity.estado)</t>
  </si>
  <si>
    <t xml:space="preserve">Estado del registro de Docente.</t>
  </si>
  <si>
    <t xml:space="preserve">C0421</t>
  </si>
  <si>
    <t xml:space="preserve">escalafon</t>
  </si>
  <si>
    <t xml:space="preserve">idx_docente_escalafon</t>
  </si>
  <si>
    <t xml:space="preserve">Mapeada en academic-work-plan-service/src/pta/entities/docente.entity.ts:53 (DocenteEntity.escalafon)</t>
  </si>
  <si>
    <t xml:space="preserve">Categoría del docente en el escalafón.</t>
  </si>
  <si>
    <t xml:space="preserve">¿Qué valores toma (auxiliar, asistente, asociado, titular)?</t>
  </si>
  <si>
    <t xml:space="preserve">C0422</t>
  </si>
  <si>
    <t xml:space="preserve">horasAsignables</t>
  </si>
  <si>
    <t xml:space="preserve">Mapeada en academic-work-plan-service/src/pta/entities/docente.entity.ts:35 (DocenteEntity.horasAsignables)</t>
  </si>
  <si>
    <t xml:space="preserve">Número de horas que se pueden asignar al docente. Por defecto, 0.</t>
  </si>
  <si>
    <t xml:space="preserve">nombre + tipo integer + defecto 0</t>
  </si>
  <si>
    <t xml:space="preserve">¿Son horas semanales o del periodo? ¿Se calcula a partir de la dedicación?</t>
  </si>
  <si>
    <t xml:space="preserve">C0423</t>
  </si>
  <si>
    <t xml:space="preserve">sedeId</t>
  </si>
  <si>
    <t xml:space="preserve">Mapeada en academic-work-plan-service/src/pta/entities/docente.entity.ts:38 (DocenteEntity.sedeId)</t>
  </si>
  <si>
    <t xml:space="preserve">Identificador de la sede a la que está adscrito el docente.</t>
  </si>
  <si>
    <t xml:space="preserve">C0424</t>
  </si>
  <si>
    <t xml:space="preserve">ordenListado</t>
  </si>
  <si>
    <t xml:space="preserve">Mapeada en academic-work-plan-service/src/pta/entities/docente.entity.ts:41 (DocenteEntity.ordenListado)</t>
  </si>
  <si>
    <t xml:space="preserve">Posición del docente en el orden de los listados.</t>
  </si>
  <si>
    <t xml:space="preserve">nombre + tipo integer</t>
  </si>
  <si>
    <t xml:space="preserve">¿Qué criterio fija el orden y quién lo asigna?</t>
  </si>
  <si>
    <t xml:space="preserve">C0425</t>
  </si>
  <si>
    <t xml:space="preserve">vinculacionDisplay</t>
  </si>
  <si>
    <t xml:space="preserve">Mapeada en academic-work-plan-service/src/pta/entities/docente.entity.ts:44 (DocenteEntity.vinculacionDisplay)</t>
  </si>
  <si>
    <t xml:space="preserve">Texto de la vinculación del docente para mostrar en pantalla.</t>
  </si>
  <si>
    <t xml:space="preserve">nombre + columna vecina tipoVinculacion</t>
  </si>
  <si>
    <t xml:space="preserve">C0426</t>
  </si>
  <si>
    <t xml:space="preserve">dedicacionDisplay</t>
  </si>
  <si>
    <t xml:space="preserve">Mapeada en academic-work-plan-service/src/pta/entities/docente.entity.ts:47 (DocenteEntity.dedicacionDisplay)</t>
  </si>
  <si>
    <t xml:space="preserve">Texto de la dedicación del docente para mostrar en pantalla.</t>
  </si>
  <si>
    <t xml:space="preserve">nombre + columna vecina dedicacion</t>
  </si>
  <si>
    <t xml:space="preserve">C0427</t>
  </si>
  <si>
    <t xml:space="preserve">nucleoTematico</t>
  </si>
  <si>
    <t xml:space="preserve">idx_docente_nucleoTematico</t>
  </si>
  <si>
    <t xml:space="preserve">Mapeada en academic-work-plan-service/src/pta/entities/docente.entity.ts:56 (DocenteEntity.nucleoTematico)</t>
  </si>
  <si>
    <t xml:space="preserve">Núcleo temático o área de conocimiento del docente.</t>
  </si>
  <si>
    <t xml:space="preserve">¿Se toma de un catálogo o es texto libre?</t>
  </si>
  <si>
    <t xml:space="preserve">C0428</t>
  </si>
  <si>
    <t xml:space="preserve">nivelFormacion</t>
  </si>
  <si>
    <t xml:space="preserve">idx_docente_nivelFormacion</t>
  </si>
  <si>
    <t xml:space="preserve">Mapeada en academic-work-plan-service/src/pta/entities/docente.entity.ts:59 (DocenteEntity.nivelFormacion)</t>
  </si>
  <si>
    <t xml:space="preserve">Máximo nivel de formación del docente.</t>
  </si>
  <si>
    <t xml:space="preserve">nombre + índice + columnas vecinas pregrado…posDoctorado</t>
  </si>
  <si>
    <t xml:space="preserve">¿Qué valores toma y se calcula a partir de los títulos registrados?</t>
  </si>
  <si>
    <t xml:space="preserve">C0429</t>
  </si>
  <si>
    <t xml:space="preserve">perfilAcademicoPro</t>
  </si>
  <si>
    <t xml:space="preserve">Mapeada en academic-work-plan-service/src/pta/entities/docente.entity.ts:62 (DocenteEntity.perfilAcademicoPro)</t>
  </si>
  <si>
    <t xml:space="preserve">Perfil académico profesional del docente.</t>
  </si>
  <si>
    <t xml:space="preserve">nombre + columna vecina perfilAcademico</t>
  </si>
  <si>
    <t xml:space="preserve">¿En qué se diferencia de perfilAcademico?</t>
  </si>
  <si>
    <t xml:space="preserve">C0430</t>
  </si>
  <si>
    <t xml:space="preserve">perfilAcademico</t>
  </si>
  <si>
    <t xml:space="preserve">Mapeada en academic-work-plan-service/src/pta/entities/docente.entity.ts:65 (DocenteEntity.perfilAcademico)</t>
  </si>
  <si>
    <t xml:space="preserve">Descripción del perfil académico del docente.</t>
  </si>
  <si>
    <t xml:space="preserve">nombre + tipo text</t>
  </si>
  <si>
    <t xml:space="preserve">¿Es texto libre o una categoría?</t>
  </si>
  <si>
    <t xml:space="preserve">C0431</t>
  </si>
  <si>
    <t xml:space="preserve">pregrado</t>
  </si>
  <si>
    <t xml:space="preserve">Mapeada en academic-work-plan-service/src/pta/entities/docente.entity.ts:68 (DocenteEntity.pregrado)</t>
  </si>
  <si>
    <t xml:space="preserve">Título o títulos de pregrado del docente.</t>
  </si>
  <si>
    <t xml:space="preserve">nombre + columnas vecinas de formación</t>
  </si>
  <si>
    <t xml:space="preserve">¿Guarda el nombre del título, la institución o ambos? ¿Cómo se separan varios títulos?</t>
  </si>
  <si>
    <t xml:space="preserve">C0432</t>
  </si>
  <si>
    <t xml:space="preserve">especializacion</t>
  </si>
  <si>
    <t xml:space="preserve">Mapeada en academic-work-plan-service/src/pta/entities/docente.entity.ts:71 (DocenteEntity.especializacion)</t>
  </si>
  <si>
    <t xml:space="preserve">Título o títulos de especialización del docente.</t>
  </si>
  <si>
    <t xml:space="preserve">¿Guarda el nombre del título, la institución o ambos?</t>
  </si>
  <si>
    <t xml:space="preserve">C0433</t>
  </si>
  <si>
    <t xml:space="preserve">maestria</t>
  </si>
  <si>
    <t xml:space="preserve">Mapeada en academic-work-plan-service/src/pta/entities/docente.entity.ts:74 (DocenteEntity.maestria)</t>
  </si>
  <si>
    <t xml:space="preserve">Título o títulos de maestría del docente.</t>
  </si>
  <si>
    <t xml:space="preserve">C0434</t>
  </si>
  <si>
    <t xml:space="preserve">doctorado</t>
  </si>
  <si>
    <t xml:space="preserve">Mapeada en academic-work-plan-service/src/pta/entities/docente.entity.ts:77 (DocenteEntity.doctorado)</t>
  </si>
  <si>
    <t xml:space="preserve">Título o títulos de doctorado del docente.</t>
  </si>
  <si>
    <t xml:space="preserve">C0435</t>
  </si>
  <si>
    <t xml:space="preserve">posDoctorado</t>
  </si>
  <si>
    <t xml:space="preserve">Mapeada en academic-work-plan-service/src/pta/entities/docente.entity.ts:80 (DocenteEntity.posDoctorado)</t>
  </si>
  <si>
    <t xml:space="preserve">Estudios posdoctorales del docente.</t>
  </si>
  <si>
    <t xml:space="preserve">¿Guarda el nombre del programa, la institución o ambos?</t>
  </si>
  <si>
    <t xml:space="preserve">C0436</t>
  </si>
  <si>
    <t xml:space="preserve">investigacion</t>
  </si>
  <si>
    <t xml:space="preserve">Mapeada en academic-work-plan-service/src/pta/entities/docente.entity.ts:83 (DocenteEntity.investigacion)</t>
  </si>
  <si>
    <t xml:space="preserve">Información sobre la actividad de investigación del docente.</t>
  </si>
  <si>
    <t xml:space="preserve">¿Qué guarda: grupos de investigación, líneas, productos o una marca?</t>
  </si>
  <si>
    <t xml:space="preserve">C0437</t>
  </si>
  <si>
    <t xml:space="preserve">origenVinculacion</t>
  </si>
  <si>
    <t xml:space="preserve">Mapeada en academic-work-plan-service/src/pta/entities/docente.entity.ts:95 (DocenteEntity.origenVinculacion)</t>
  </si>
  <si>
    <t xml:space="preserve">Origen de la vinculación del docente.</t>
  </si>
  <si>
    <t xml:space="preserve">¿Qué valores toma (concurso, encargo, contrato…)?</t>
  </si>
  <si>
    <t xml:space="preserve">C0438</t>
  </si>
  <si>
    <t xml:space="preserve">actoAdministrativoVinculacion</t>
  </si>
  <si>
    <t xml:space="preserve">Mapeada en academic-work-plan-service/src/pta/entities/docente.entity.ts:98 (DocenteEntity.actoAdministrativoVinculacion)</t>
  </si>
  <si>
    <t xml:space="preserve">Número o referencia del acto administrativo (resolución) de vinculación del docente.</t>
  </si>
  <si>
    <t xml:space="preserve">¿Guarda solo el número o también la fecha del acto?</t>
  </si>
  <si>
    <t xml:space="preserve">C0439</t>
  </si>
  <si>
    <t xml:space="preserve">correoInstitucional</t>
  </si>
  <si>
    <t xml:space="preserve">Mapeada en academic-work-plan-service/src/pta/entities/docente.entity.ts:86 (DocenteEntity.correoInstitucional)</t>
  </si>
  <si>
    <t xml:space="preserve">Correo electrónico institucional del docente.</t>
  </si>
  <si>
    <t xml:space="preserve">nombre + columna vecina correoAlternativo</t>
  </si>
  <si>
    <t xml:space="preserve">C0440</t>
  </si>
  <si>
    <t xml:space="preserve">ultimaEvaluacion</t>
  </si>
  <si>
    <t xml:space="preserve">Mapeada en academic-work-plan-service/src/pta/entities/docente.entity.ts:107 (DocenteEntity.ultimaEvaluacion)</t>
  </si>
  <si>
    <t xml:space="preserve">Resultado o referencia de la última evaluación de desempeño del docente.</t>
  </si>
  <si>
    <t xml:space="preserve">¿Guarda la calificación, la fecha o el periodo de la evaluación?</t>
  </si>
  <si>
    <t xml:space="preserve">C0441</t>
  </si>
  <si>
    <t xml:space="preserve">situacionAdministrativa</t>
  </si>
  <si>
    <t xml:space="preserve">Mapeada en academic-work-plan-service/src/pta/entities/docente.entity.ts:101 (DocenteEntity.situacionAdministrativa)</t>
  </si>
  <si>
    <t xml:space="preserve">Situación administrativa del docente (por ejemplo, activo, en comisión o en licencia).</t>
  </si>
  <si>
    <t xml:space="preserve">nombre + columna vecina situacionCategoria</t>
  </si>
  <si>
    <t xml:space="preserve">C0442</t>
  </si>
  <si>
    <t xml:space="preserve">fechaInicioVinculacion</t>
  </si>
  <si>
    <t xml:space="preserve">Mapeada en academic-work-plan-service/src/pta/entities/docente.entity.ts:113 (DocenteEntity.fechaInicioVinculacion)</t>
  </si>
  <si>
    <t xml:space="preserve">Fecha de inicio de la vinculación del docente.</t>
  </si>
  <si>
    <t xml:space="preserve">nombre + tipo timestamp</t>
  </si>
  <si>
    <t xml:space="preserve">C0443</t>
  </si>
  <si>
    <t xml:space="preserve">fechaFinVinculacion</t>
  </si>
  <si>
    <t xml:space="preserve">Mapeada en academic-work-plan-service/src/pta/entities/docente.entity.ts:116 (DocenteEntity.fechaFinVinculacion)</t>
  </si>
  <si>
    <t xml:space="preserve">Fecha de finalización de la vinculación del docente. Vacía si la vinculación no tiene fecha de fin.</t>
  </si>
  <si>
    <t xml:space="preserve">nombre + tipo timestamp + nulable</t>
  </si>
  <si>
    <t xml:space="preserve">C0444</t>
  </si>
  <si>
    <t xml:space="preserve">puntajeSalarial</t>
  </si>
  <si>
    <t xml:space="preserve">double precision</t>
  </si>
  <si>
    <t xml:space="preserve">Mapeada en academic-work-plan-service/src/pta/entities/docente.entity.ts:110 (DocenteEntity.puntajeSalarial)</t>
  </si>
  <si>
    <t xml:space="preserve">Puntaje salarial del docente según el régimen aplicable.</t>
  </si>
  <si>
    <t xml:space="preserve">nombre + tipo double precision + columna vecina regimenNormativo</t>
  </si>
  <si>
    <t xml:space="preserve">¿Corresponde a los puntos salariales del Decreto 1279 de 2002 u otro régimen?</t>
  </si>
  <si>
    <t xml:space="preserve">C0445</t>
  </si>
  <si>
    <t xml:space="preserve">edadReferencia</t>
  </si>
  <si>
    <t xml:space="preserve">Mapeada en academic-work-plan-service/src/pta/entities/docente.entity.ts:119 (DocenteEntity.edadReferencia)</t>
  </si>
  <si>
    <t xml:space="preserve">Edad del docente en años, en la fecha de referencia del registro.</t>
  </si>
  <si>
    <t xml:space="preserve">nombre + tipo integer + columna vecina rangoEdad</t>
  </si>
  <si>
    <t xml:space="preserve">¿Se calcula o se digita? ¿En qué fecha se toma la referencia?</t>
  </si>
  <si>
    <t xml:space="preserve">C0446</t>
  </si>
  <si>
    <t xml:space="preserve">rangoEdad</t>
  </si>
  <si>
    <t xml:space="preserve">Mapeada en academic-work-plan-service/src/pta/entities/docente.entity.ts:122 (DocenteEntity.rangoEdad)</t>
  </si>
  <si>
    <t xml:space="preserve">Rango de edad del docente.</t>
  </si>
  <si>
    <t xml:space="preserve">nombre + columna vecina edadReferencia</t>
  </si>
  <si>
    <t xml:space="preserve">¿Qué rangos se usan y se calculan a partir de edadReferencia?</t>
  </si>
  <si>
    <t xml:space="preserve">C0447</t>
  </si>
  <si>
    <t xml:space="preserve">regimenNormativo</t>
  </si>
  <si>
    <t xml:space="preserve">Mapeada en academic-work-plan-service/src/pta/entities/docente.entity.ts:26 (DocenteEntity.regimenNormativo)</t>
  </si>
  <si>
    <t xml:space="preserve">Régimen normativo que rige la vinculación del docente.</t>
  </si>
  <si>
    <t xml:space="preserve">C0448</t>
  </si>
  <si>
    <t xml:space="preserve">periodoCarga</t>
  </si>
  <si>
    <t xml:space="preserve">idx_docente_periodoCarga</t>
  </si>
  <si>
    <t xml:space="preserve">Mapeada en academic-work-plan-service/src/pta/entities/docente.entity.ts:125 (DocenteEntity.periodoCarga)</t>
  </si>
  <si>
    <t xml:space="preserve">Periodo académico en que se cargó la información del docente.</t>
  </si>
  <si>
    <t xml:space="preserve">nombre + índice + columna vecina datosCargaMasiva</t>
  </si>
  <si>
    <t xml:space="preserve">¿Es el periodo de la carga masiva o el periodo académico de la asignación?</t>
  </si>
  <si>
    <t xml:space="preserve">C0449</t>
  </si>
  <si>
    <t xml:space="preserve">Mapeada en academic-work-plan-service/src/pta/entities/docente.entity.ts:128 (DocenteEntity.observaciones)</t>
  </si>
  <si>
    <t xml:space="preserve">C0450</t>
  </si>
  <si>
    <t xml:space="preserve">idRund</t>
  </si>
  <si>
    <t xml:space="preserve">Mapeada en academic-work-plan-service/src/pta/entities/docente.entity.ts:131 (DocenteEntity.idRund)</t>
  </si>
  <si>
    <t xml:space="preserve">Identificador del docente en el RUND.</t>
  </si>
  <si>
    <t xml:space="preserve">¿Es un código generado por el sistema o viene de una fuente externa?</t>
  </si>
  <si>
    <t xml:space="preserve">C0451</t>
  </si>
  <si>
    <t xml:space="preserve">estadoAprobacion</t>
  </si>
  <si>
    <t xml:space="preserve">academic-work-plan-service/src/pta/entities/docente.entity.ts:139: BR-047 — Estado de aprobación global. Solo pasa a 'Activo' cuando todos los bloques obligatorios están aprobados. Valores: PENDIENTE_APROBACION | ACTIVO_RUND | DEVUELTO</t>
  </si>
  <si>
    <t xml:space="preserve">Estado de aprobación global del registro del docente en el RUND: PENDIENTE_APROBACION (por defecto), ACTIVO_RUND o DEVUELTO. Pasa a activo solo cuando todos los bloques obligatorios están aprobados (BR-047).</t>
  </si>
  <si>
    <t xml:space="preserve">código: academic-work-plan-service/src/pta/entities/docente.entity.ts:139</t>
  </si>
  <si>
    <t xml:space="preserve">C0452</t>
  </si>
  <si>
    <t xml:space="preserve">completitud</t>
  </si>
  <si>
    <t xml:space="preserve">academic-work-plan-service/src/pta/entities/docente.entity.ts:146: BR-047 — Semáforo de completitud por bloque (JSON). Ej: { "IDENTIDAD": "Aprobado", "FORMACION": "Pendiente", "VINCULACION": "Soporte faltante", "CONTACTO": "Aprobado" }</t>
  </si>
  <si>
    <t xml:space="preserve">Semáforo de completitud del perfil del docente por bloque, en formato JSON: a cada bloque (IDENTIDAD, FORMACION, VINCULACION, CONTACTO) le asigna un estado como Aprobado, Pendiente o Soporte faltante (BR-047).</t>
  </si>
  <si>
    <t xml:space="preserve">código: academic-work-plan-service/src/pta/entities/docente.entity.ts:146</t>
  </si>
  <si>
    <t xml:space="preserve">C0453</t>
  </si>
  <si>
    <t xml:space="preserve">canal_origen</t>
  </si>
  <si>
    <t xml:space="preserve">academic-work-plan-service/src/pta/entities/docente.entity.ts:153: §6 — Canal de origen: MASIVO | MODAL | AUTOGESTION. Registra qué canal se usó para crear el registro.</t>
  </si>
  <si>
    <t xml:space="preserve">Canal por el que se creó el registro: MASIVO (por defecto), MODAL o AUTOGESTION.</t>
  </si>
  <si>
    <t xml:space="preserve">código: academic-work-plan-service/src/pta/entities/docente.entity.ts:153</t>
  </si>
  <si>
    <t xml:space="preserve">C0454</t>
  </si>
  <si>
    <t xml:space="preserve">acepta_habeas_data</t>
  </si>
  <si>
    <t xml:space="preserve">Indica si acepta habeas data.</t>
  </si>
  <si>
    <t xml:space="preserve">C0455</t>
  </si>
  <si>
    <t xml:space="preserve">fecha_aceptacion_habeas_data</t>
  </si>
  <si>
    <t xml:space="preserve">Fecha de aceptación habeas data.</t>
  </si>
  <si>
    <t xml:space="preserve">C0456</t>
  </si>
  <si>
    <t xml:space="preserve">ip_creacion</t>
  </si>
  <si>
    <t xml:space="preserve">Dirección IP desde la que se creó el registro.</t>
  </si>
  <si>
    <t xml:space="preserve">nombre + tipo varchar(50)</t>
  </si>
  <si>
    <t xml:space="preserve">C0457</t>
  </si>
  <si>
    <t xml:space="preserve">sexoBiologico</t>
  </si>
  <si>
    <t xml:space="preserve">Mapeada en academic-work-plan-service/src/pta/entities/docente.entity.ts:92 (DocenteEntity.sexoBiologico)</t>
  </si>
  <si>
    <t xml:space="preserve">Sexo biológico del docente.</t>
  </si>
  <si>
    <t xml:space="preserve">C0458</t>
  </si>
  <si>
    <t xml:space="preserve">dedicacionHorasSemana</t>
  </si>
  <si>
    <t xml:space="preserve">Mapeada en academic-work-plan-service/src/pta/entities/docente.entity.ts:50 (DocenteEntity.dedicacionHorasSemana)</t>
  </si>
  <si>
    <t xml:space="preserve">Número de horas semanales de dedicación del docente.</t>
  </si>
  <si>
    <t xml:space="preserve">C0459</t>
  </si>
  <si>
    <t xml:space="preserve">situacionCategoria</t>
  </si>
  <si>
    <t xml:space="preserve">Mapeada en academic-work-plan-service/src/pta/entities/docente.entity.ts:104 (DocenteEntity.situacionCategoria)</t>
  </si>
  <si>
    <t xml:space="preserve">Categoría de la situación administrativa del docente.</t>
  </si>
  <si>
    <t xml:space="preserve">nombre + columna vecina situacionAdministrativa</t>
  </si>
  <si>
    <t xml:space="preserve">¿Qué valores toma y en qué se diferencia de situacionAdministrativa?</t>
  </si>
  <si>
    <t xml:space="preserve">C0460</t>
  </si>
  <si>
    <t xml:space="preserve">Documento</t>
  </si>
  <si>
    <t xml:space="preserve">Función academic_registration.validate_graduate_management_update — academic_registration.validate_graduate_management_update: 'El nombre completo debe tener entre 5 y 150 caracteres y solo puede contener letras, espacios, apostrofes y guiones.'</t>
  </si>
  <si>
    <t xml:space="preserve">Nombre del registro de Documento.</t>
  </si>
  <si>
    <t xml:space="preserve">C0461</t>
  </si>
  <si>
    <t xml:space="preserve">url</t>
  </si>
  <si>
    <t xml:space="preserve">Dirección web (URL).</t>
  </si>
  <si>
    <t xml:space="preserve">C0462</t>
  </si>
  <si>
    <t xml:space="preserve">Función control_interno.actualizar_contadores_documentos_informes — control_interno.actualizar_contadores_documentos_informes: -- Determinar el ID de la auditoría y el tipo de documento</t>
  </si>
  <si>
    <t xml:space="preserve">Tipo del registro de Documento.</t>
  </si>
  <si>
    <t xml:space="preserve">C0463</t>
  </si>
  <si>
    <t xml:space="preserve">Categoría del documento. Por defecto, general.</t>
  </si>
  <si>
    <t xml:space="preserve">nombre + defecto</t>
  </si>
  <si>
    <t xml:space="preserve">¿Qué otras categorías existen y de qué catálogo salen?</t>
  </si>
  <si>
    <t xml:space="preserve">C0464</t>
  </si>
  <si>
    <t xml:space="preserve">Comentarios sobre el documento.</t>
  </si>
  <si>
    <t xml:space="preserve">¿Son comentarios de quien lo carga o de quien lo revisa?</t>
  </si>
  <si>
    <t xml:space="preserve">C0465</t>
  </si>
  <si>
    <t xml:space="preserve">Estado del registro de Documento.</t>
  </si>
  <si>
    <t xml:space="preserve">C0466</t>
  </si>
  <si>
    <t xml:space="preserve">tamanoBytes</t>
  </si>
  <si>
    <t xml:space="preserve">C0467</t>
  </si>
  <si>
    <t xml:space="preserve">tipoDocumentoId</t>
  </si>
  <si>
    <t xml:space="preserve">Identificador del tipo de documento.</t>
  </si>
  <si>
    <t xml:space="preserve">C0468</t>
  </si>
  <si>
    <t xml:space="preserve">versionActual</t>
  </si>
  <si>
    <t xml:space="preserve">Número de la versión vigente del documento. Por defecto, 1.</t>
  </si>
  <si>
    <t xml:space="preserve">nombre + tipo integer + defecto 1</t>
  </si>
  <si>
    <t xml:space="preserve">C0469</t>
  </si>
  <si>
    <t xml:space="preserve">aprobadoPorId</t>
  </si>
  <si>
    <t xml:space="preserve">Identificador del usuario que aprobó el documento.</t>
  </si>
  <si>
    <t xml:space="preserve">nombre + columna vecina aprobadoPorNombre</t>
  </si>
  <si>
    <t xml:space="preserve">C0470</t>
  </si>
  <si>
    <t xml:space="preserve">aprobadoPorNombre</t>
  </si>
  <si>
    <t xml:space="preserve">Nombre del usuario que aprobó el documento.</t>
  </si>
  <si>
    <t xml:space="preserve">nombre + columna vecina aprobadoPorId</t>
  </si>
  <si>
    <t xml:space="preserve">C0471</t>
  </si>
  <si>
    <t xml:space="preserve">DocumentoVersion</t>
  </si>
  <si>
    <t xml:space="preserve">Número de versión del registro.</t>
  </si>
  <si>
    <t xml:space="preserve">C0472</t>
  </si>
  <si>
    <t xml:space="preserve">C0473</t>
  </si>
  <si>
    <t xml:space="preserve">Nombre del registro de DocumentoVersion.</t>
  </si>
  <si>
    <t xml:space="preserve">C0474</t>
  </si>
  <si>
    <t xml:space="preserve">Tamaño en bytes de la versión del documento; por defecto, 0.</t>
  </si>
  <si>
    <t xml:space="preserve">C0475</t>
  </si>
  <si>
    <t xml:space="preserve">creadoPor</t>
  </si>
  <si>
    <t xml:space="preserve">Identificador del usuario que creó la versión del documento.</t>
  </si>
  <si>
    <t xml:space="preserve">¿creadoPor guarda el id, el correo o el nombre del usuario?</t>
  </si>
  <si>
    <t xml:space="preserve">C0476</t>
  </si>
  <si>
    <t xml:space="preserve">Comentarios sobre la versión del documento.</t>
  </si>
  <si>
    <t xml:space="preserve">C0477</t>
  </si>
  <si>
    <t xml:space="preserve">facultad_codigo_key</t>
  </si>
  <si>
    <t xml:space="preserve">Mapeada en academic-work-plan-service/src/pta/entities/facultad.entity.ts:8 (FacultadEntity.codigo)</t>
  </si>
  <si>
    <t xml:space="preserve">Código del registro de facultad. Único en la tabla.</t>
  </si>
  <si>
    <t xml:space="preserve">C0478</t>
  </si>
  <si>
    <t xml:space="preserve">facultad_nombre_key</t>
  </si>
  <si>
    <t xml:space="preserve">Mapeada en academic-work-plan-service/src/pta/entities/facultad.entity.ts:11 (FacultadEntity.nombre)</t>
  </si>
  <si>
    <t xml:space="preserve">Nombre del registro de facultad.</t>
  </si>
  <si>
    <t xml:space="preserve">C0479</t>
  </si>
  <si>
    <t xml:space="preserve">Mapeada en academic-work-plan-service/src/pta/entities/facultad.entity.ts:14 (FacultadEntity.activo)</t>
  </si>
  <si>
    <t xml:space="preserve">C0480</t>
  </si>
  <si>
    <t xml:space="preserve">Mapeada en academic-work-plan-service/src/pta/entities/facultad.entity.ts:29 (FacultadEntity.deletedAt)</t>
  </si>
  <si>
    <t xml:space="preserve">C0481</t>
  </si>
  <si>
    <t xml:space="preserve">Mapeada en academic-work-plan-service/src/pta/entities/facultad.entity.ts:32 (FacultadEntity.deletedBy)</t>
  </si>
  <si>
    <t xml:space="preserve">C0482</t>
  </si>
  <si>
    <t xml:space="preserve">HistorialEstadoPTA</t>
  </si>
  <si>
    <t xml:space="preserve">estadoAnterior</t>
  </si>
  <si>
    <t xml:space="preserve">Mapeada en academic-work-plan-service/src/pta/entities/historial-estado-pta.entity.ts:11 (HistorialEstadoPtaEntity.estadoAnterior)</t>
  </si>
  <si>
    <t xml:space="preserve">Estado del plan de trabajo académico antes de la transición.</t>
  </si>
  <si>
    <t xml:space="preserve">nombre + tipo + columnas vecinas (estadoNuevo)</t>
  </si>
  <si>
    <t xml:space="preserve">C0483</t>
  </si>
  <si>
    <t xml:space="preserve">estadoNuevo</t>
  </si>
  <si>
    <t xml:space="preserve">Mapeada en academic-work-plan-service/src/pta/entities/historial-estado-pta.entity.ts:14 (HistorialEstadoPtaEntity.estadoNuevo)</t>
  </si>
  <si>
    <t xml:space="preserve">Estado del plan de trabajo académico después de la transición.</t>
  </si>
  <si>
    <t xml:space="preserve">nombre + tipo + columnas vecinas (estadoAnterior)</t>
  </si>
  <si>
    <t xml:space="preserve">C0484</t>
  </si>
  <si>
    <t xml:space="preserve">actorId</t>
  </si>
  <si>
    <t xml:space="preserve">Mapeada en academic-work-plan-service/src/pta/entities/historial-estado-pta.entity.ts:17 (HistorialEstadoPtaEntity.actorId)</t>
  </si>
  <si>
    <t xml:space="preserve">Identificador del usuario que realizó la transición de estado.</t>
  </si>
  <si>
    <t xml:space="preserve">¿A qué tabla de usuarios corresponde actorId?</t>
  </si>
  <si>
    <t xml:space="preserve">C0485</t>
  </si>
  <si>
    <t xml:space="preserve">actorRol</t>
  </si>
  <si>
    <t xml:space="preserve">Mapeada en academic-work-plan-service/src/pta/entities/historial-estado-pta.entity.ts:20 (HistorialEstadoPtaEntity.actorRol)</t>
  </si>
  <si>
    <t xml:space="preserve">Rol del usuario que realizó la transición de estado.</t>
  </si>
  <si>
    <t xml:space="preserve">C0486</t>
  </si>
  <si>
    <t xml:space="preserve">detallesTransicion</t>
  </si>
  <si>
    <t xml:space="preserve">Mapeada en academic-work-plan-service/src/pta/entities/historial-estado-pta.entity.ts:29 (HistorialEstadoPtaEntity.detallesTransicion)</t>
  </si>
  <si>
    <t xml:space="preserve">Detalle de la transición de estado.</t>
  </si>
  <si>
    <t xml:space="preserve">¿Qué información se registra en detallesTransicion que no esté en comentarios?</t>
  </si>
  <si>
    <t xml:space="preserve">C0487</t>
  </si>
  <si>
    <t xml:space="preserve">Mapeada en academic-work-plan-service/src/pta/entities/historial-estado-pta.entity.ts:26 (HistorialEstadoPtaEntity.comentarios)</t>
  </si>
  <si>
    <t xml:space="preserve">Comentarios registrados en la transición de estado.</t>
  </si>
  <si>
    <t xml:space="preserve">C0488</t>
  </si>
  <si>
    <t xml:space="preserve">Mapeada en academic-work-plan-service/src/pta/entities/historial-estado-pta.entity.ts:35 (HistorialEstadoPtaEntity.version)</t>
  </si>
  <si>
    <t xml:space="preserve">C0489</t>
  </si>
  <si>
    <t xml:space="preserve">Campos del plan modificados en la transición, en formato JSON.</t>
  </si>
  <si>
    <t xml:space="preserve">¿Qué estructura tiene el JSON?</t>
  </si>
  <si>
    <t xml:space="preserve">C0490</t>
  </si>
  <si>
    <t xml:space="preserve">snapshotPta</t>
  </si>
  <si>
    <t xml:space="preserve">Mapeada en academic-work-plan-service/src/pta/entities/historial-estado-pta.entity.ts:32 (HistorialEstadoPtaEntity.snapshotPta)</t>
  </si>
  <si>
    <t xml:space="preserve">Copia del plan de trabajo académico en el momento de la transición, en formato JSON.</t>
  </si>
  <si>
    <t xml:space="preserve">C0491</t>
  </si>
  <si>
    <t xml:space="preserve">nucleo_tematico</t>
  </si>
  <si>
    <t xml:space="preserve">nucleo_tematico_codigo_key</t>
  </si>
  <si>
    <t xml:space="preserve">Mapeada en academic-work-plan-service/src/pta/entities/nucleo-tematico.entity.ts:9 (NucleoTematicoEntity.codigo)</t>
  </si>
  <si>
    <t xml:space="preserve">Código del registro de nucleo_tematico. Único en la tabla.</t>
  </si>
  <si>
    <t xml:space="preserve">C0492</t>
  </si>
  <si>
    <t xml:space="preserve">nucleo_tematico_nombre_key</t>
  </si>
  <si>
    <t xml:space="preserve">Mapeada en academic-work-plan-service/src/pta/entities/nucleo-tematico.entity.ts:12 (NucleoTematicoEntity.nombre)</t>
  </si>
  <si>
    <t xml:space="preserve">Nombre del registro de nucleo_tematico.</t>
  </si>
  <si>
    <t xml:space="preserve">C0493</t>
  </si>
  <si>
    <t xml:space="preserve">Mapeada en academic-work-plan-service/src/pta/entities/nucleo-tematico.entity.ts:22 (NucleoTematicoEntity.descripcion)</t>
  </si>
  <si>
    <t xml:space="preserve">Descripción del registro de nucleo_tematico.</t>
  </si>
  <si>
    <t xml:space="preserve">C0494</t>
  </si>
  <si>
    <t xml:space="preserve">Mapeada en academic-work-plan-service/src/pta/entities/nucleo-tematico.entity.ts:25 (NucleoTematicoEntity.activo)</t>
  </si>
  <si>
    <t xml:space="preserve">C0495</t>
  </si>
  <si>
    <t xml:space="preserve">Mapeada en academic-work-plan-service/src/pta/entities/nucleo-tematico.entity.ts:40 (NucleoTematicoEntity.deletedAt)</t>
  </si>
  <si>
    <t xml:space="preserve">C0496</t>
  </si>
  <si>
    <t xml:space="preserve">Mapeada en academic-work-plan-service/src/pta/entities/nucleo-tematico.entity.ts:43 (NucleoTematicoEntity.deletedBy)</t>
  </si>
  <si>
    <t xml:space="preserve">C0497</t>
  </si>
  <si>
    <t xml:space="preserve">oferta_cetap_programa</t>
  </si>
  <si>
    <t xml:space="preserve">cupos_estimados</t>
  </si>
  <si>
    <t xml:space="preserve">Mapeada en academic-work-plan-service/src/pta/entities/oferta-cetap-programa.entity.ts:33 (OfertaCetapProgramaEntity.cuposEstimados)</t>
  </si>
  <si>
    <t xml:space="preserve">Número estimado de cupos del programa en el CETAP para el periodo académico.</t>
  </si>
  <si>
    <t xml:space="preserve">C0498</t>
  </si>
  <si>
    <t xml:space="preserve">Mapeada en academic-work-plan-service/src/pta/entities/oferta-cetap-programa.entity.ts:36 (OfertaCetapProgramaEntity.observaciones)</t>
  </si>
  <si>
    <t xml:space="preserve">C0499</t>
  </si>
  <si>
    <t xml:space="preserve">idx_ocp_activa</t>
  </si>
  <si>
    <t xml:space="preserve">Mapeada en academic-work-plan-service/src/pta/entities/oferta-cetap-programa.entity.ts:39 (OfertaCetapProgramaEntity.activa)</t>
  </si>
  <si>
    <t xml:space="preserve">C0500</t>
  </si>
  <si>
    <t xml:space="preserve">Mapeada en academic-work-plan-service/src/pta/entities/oferta-cetap-programa.entity.ts:54 (OfertaCetapProgramaEntity.deletedAt)</t>
  </si>
  <si>
    <t xml:space="preserve">C0501</t>
  </si>
  <si>
    <t xml:space="preserve">Mapeada en academic-work-plan-service/src/pta/entities/oferta-cetap-programa.entity.ts:57 (OfertaCetapProgramaEntity.deletedBy)</t>
  </si>
  <si>
    <t xml:space="preserve">C0502</t>
  </si>
  <si>
    <t xml:space="preserve">periodo_academico</t>
  </si>
  <si>
    <t xml:space="preserve">Función academic-schedule.reapuntar_grupos_por_equivalencia — academic-schedule.reapuntar_grupos_por_equivalencia: JOIN "academic-schedule".equivalencia_periodo e ON e.codigo_programacion = pp.codigo</t>
  </si>
  <si>
    <t xml:space="preserve">periodo_academico_codigo_key</t>
  </si>
  <si>
    <t xml:space="preserve">Mapeada en academic-work-plan-service/src/pta/entities/periodo-academico.entity.ts:8 (PeriodoAcademicoEntity.codigo)</t>
  </si>
  <si>
    <t xml:space="preserve">Código del registro de periodo_academico. Único en la tabla.</t>
  </si>
  <si>
    <t xml:space="preserve">C0503</t>
  </si>
  <si>
    <t xml:space="preserve">anio</t>
  </si>
  <si>
    <t xml:space="preserve">uq_periodo_anio_sem</t>
  </si>
  <si>
    <t xml:space="preserve">Mapeada en academic-work-plan-service/src/pta/entities/periodo-academico.entity.ts:11 (PeriodoAcademicoEntity.anio)</t>
  </si>
  <si>
    <t xml:space="preserve">Año.</t>
  </si>
  <si>
    <t xml:space="preserve">C0504</t>
  </si>
  <si>
    <t xml:space="preserve">semestre</t>
  </si>
  <si>
    <t xml:space="preserve">Mapeada en academic-work-plan-service/src/pta/entities/periodo-academico.entity.ts:14 (PeriodoAcademicoEntity.semestre)</t>
  </si>
  <si>
    <t xml:space="preserve">Número del semestre del año al que corresponde el periodo académico.</t>
  </si>
  <si>
    <t xml:space="preserve">nombre + tipo + columnas vecinas + índice único con anio</t>
  </si>
  <si>
    <t xml:space="preserve">C0505</t>
  </si>
  <si>
    <t xml:space="preserve">fecha_inicio</t>
  </si>
  <si>
    <t xml:space="preserve">Mapeada en academic-work-plan-service/src/pta/entities/periodo-academico.entity.ts:17 (PeriodoAcademicoEntity.fechaInicio)</t>
  </si>
  <si>
    <t xml:space="preserve">Fecha de inicio.</t>
  </si>
  <si>
    <t xml:space="preserve">C0506</t>
  </si>
  <si>
    <t xml:space="preserve">fecha_fin</t>
  </si>
  <si>
    <t xml:space="preserve">Mapeada en academic-work-plan-service/src/pta/entities/periodo-academico.entity.ts:20 (PeriodoAcademicoEntity.fechaFin)</t>
  </si>
  <si>
    <t xml:space="preserve">Fecha de finalización.</t>
  </si>
  <si>
    <t xml:space="preserve">C0507</t>
  </si>
  <si>
    <t xml:space="preserve">cerrado, concertacion, en_curso, planeacion</t>
  </si>
  <si>
    <t xml:space="preserve">academic-work-plan-service/src/pta/entities/periodo-academico.entity.ts:23: 'planeacion' | 'concertacion' | 'en_curso' | 'cerrado'</t>
  </si>
  <si>
    <t xml:space="preserve">Estado del periodo académico. Valores permitidos: planeacion, concertacion, en_curso, cerrado; por defecto planeacion.</t>
  </si>
  <si>
    <t xml:space="preserve">código: academic-work-plan-service/src/pta/entities/periodo-academico.entity.ts:23</t>
  </si>
  <si>
    <t xml:space="preserve">C0508</t>
  </si>
  <si>
    <t xml:space="preserve">periodo_cetap</t>
  </si>
  <si>
    <t xml:space="preserve">C0509</t>
  </si>
  <si>
    <t xml:space="preserve">Permiso</t>
  </si>
  <si>
    <t xml:space="preserve">recurso</t>
  </si>
  <si>
    <t xml:space="preserve">Permiso_recurso_accion_key</t>
  </si>
  <si>
    <t xml:space="preserve">Recurso del sistema al que aplica el permiso; junto con accion es único.</t>
  </si>
  <si>
    <t xml:space="preserve">nombre + tipo + columnas vecinas + índice único (recurso, accion)</t>
  </si>
  <si>
    <t xml:space="preserve">C0510</t>
  </si>
  <si>
    <t xml:space="preserve">Acción permitida sobre el recurso; junto con recurso es única.</t>
  </si>
  <si>
    <t xml:space="preserve">C0511</t>
  </si>
  <si>
    <t xml:space="preserve">Descripción del registro de Permiso.</t>
  </si>
  <si>
    <t xml:space="preserve">C0512</t>
  </si>
  <si>
    <t xml:space="preserve">Persona</t>
  </si>
  <si>
    <t xml:space="preserve">identificacion</t>
  </si>
  <si>
    <t xml:space="preserve">Persona_identificacion_key</t>
  </si>
  <si>
    <t xml:space="preserve">Mapeada en academic-work-plan-service/src/pta/entities/persona.entity.ts:16 (PersonaEntity.identificacion)</t>
  </si>
  <si>
    <t xml:space="preserve">C0513</t>
  </si>
  <si>
    <t xml:space="preserve">tipo_identificacion</t>
  </si>
  <si>
    <t xml:space="preserve">Mapeada en academic-work-plan-service/src/pta/entities/persona.entity.ts:19 (PersonaEntity.tipo_identificacion)</t>
  </si>
  <si>
    <t xml:space="preserve">Tipo de documento de identidad de la persona.</t>
  </si>
  <si>
    <t xml:space="preserve">C0514</t>
  </si>
  <si>
    <t xml:space="preserve">telefono</t>
  </si>
  <si>
    <t xml:space="preserve">Mapeada en academic-work-plan-service/src/pta/entities/persona.entity.ts:22 (PersonaEntity.telefono)</t>
  </si>
  <si>
    <t xml:space="preserve">Número de teléfono.</t>
  </si>
  <si>
    <t xml:space="preserve">C0515</t>
  </si>
  <si>
    <t xml:space="preserve">direccion</t>
  </si>
  <si>
    <t xml:space="preserve">Mapeada en academic-work-plan-service/src/pta/entities/persona.entity.ts:25 (PersonaEntity.direccion)</t>
  </si>
  <si>
    <t xml:space="preserve">¿Es la dirección de residencia o de correspondencia?</t>
  </si>
  <si>
    <t xml:space="preserve">C0516</t>
  </si>
  <si>
    <t xml:space="preserve">primer_nombre</t>
  </si>
  <si>
    <t xml:space="preserve">Mapeada en academic-work-plan-service/src/pta/entities/persona.entity.ts:28 (PersonaEntity.primer_nombre)</t>
  </si>
  <si>
    <t xml:space="preserve">Primer nombre de la persona.</t>
  </si>
  <si>
    <t xml:space="preserve">C0517</t>
  </si>
  <si>
    <t xml:space="preserve">segundo_nombre</t>
  </si>
  <si>
    <t xml:space="preserve">Mapeada en academic-work-plan-service/src/pta/entities/persona.entity.ts:31 (PersonaEntity.segundo_nombre)</t>
  </si>
  <si>
    <t xml:space="preserve">Segundo nombre de la persona.</t>
  </si>
  <si>
    <t xml:space="preserve">C0518</t>
  </si>
  <si>
    <t xml:space="preserve">primer_apellido</t>
  </si>
  <si>
    <t xml:space="preserve">Mapeada en academic-work-plan-service/src/pta/entities/persona.entity.ts:34 (PersonaEntity.primer_apellido)</t>
  </si>
  <si>
    <t xml:space="preserve">C0519</t>
  </si>
  <si>
    <t xml:space="preserve">segundo_apellido</t>
  </si>
  <si>
    <t xml:space="preserve">Mapeada en academic-work-plan-service/src/pta/entities/persona.entity.ts:37 (PersonaEntity.segundo_apellido)</t>
  </si>
  <si>
    <t xml:space="preserve">C0520</t>
  </si>
  <si>
    <t xml:space="preserve">genero</t>
  </si>
  <si>
    <t xml:space="preserve">Mapeada en academic-work-plan-service/src/pta/entities/persona.entity.ts:40 (PersonaEntity.genero)</t>
  </si>
  <si>
    <t xml:space="preserve">Género de la persona.</t>
  </si>
  <si>
    <t xml:space="preserve">¿Qué valores toma genero?</t>
  </si>
  <si>
    <t xml:space="preserve">C0521</t>
  </si>
  <si>
    <t xml:space="preserve">fecha_nacimiento</t>
  </si>
  <si>
    <t xml:space="preserve">Mapeada en academic-work-plan-service/src/pta/entities/persona.entity.ts:43 (PersonaEntity.fecha_nacimiento)</t>
  </si>
  <si>
    <t xml:space="preserve">Fecha de nacimiento.</t>
  </si>
  <si>
    <t xml:space="preserve">C0522</t>
  </si>
  <si>
    <t xml:space="preserve">extension_telefonica</t>
  </si>
  <si>
    <t xml:space="preserve">Mapeada en academic-work-plan-service/src/pta/entities/persona.entity.ts:46 (PersonaEntity.extension_telefonica)</t>
  </si>
  <si>
    <t xml:space="preserve">Extensión telefónica institucional de la persona.</t>
  </si>
  <si>
    <t xml:space="preserve">C0523</t>
  </si>
  <si>
    <t xml:space="preserve">correo_alternativo</t>
  </si>
  <si>
    <t xml:space="preserve">Mapeada en academic-work-plan-service/src/pta/entities/persona.entity.ts:49 (PersonaEntity.correo_alternativo)</t>
  </si>
  <si>
    <t xml:space="preserve">Correo electrónico alternativo de la persona.</t>
  </si>
  <si>
    <t xml:space="preserve">C0524</t>
  </si>
  <si>
    <t xml:space="preserve">tipo_usuario</t>
  </si>
  <si>
    <t xml:space="preserve">Mapeada en academic-work-plan-service/src/pta/entities/persona.entity.ts:52 (PersonaEntity.tipo_usuario)</t>
  </si>
  <si>
    <t xml:space="preserve">Tipo de usuario de la persona en el sistema.</t>
  </si>
  <si>
    <t xml:space="preserve">¿Qué valores toma tipo_usuario (docente, funcionario, contratista…)?</t>
  </si>
  <si>
    <t xml:space="preserve">C0525</t>
  </si>
  <si>
    <t xml:space="preserve">empresa_contratista</t>
  </si>
  <si>
    <t xml:space="preserve">Empresa contratista a la que pertenece la persona.</t>
  </si>
  <si>
    <t xml:space="preserve">¿Se diligencia solo para contratistas externos?</t>
  </si>
  <si>
    <t xml:space="preserve">C0526</t>
  </si>
  <si>
    <t xml:space="preserve">dependencia_grupo_programa</t>
  </si>
  <si>
    <t xml:space="preserve">Dependencia, grupo o programa al que está adscrita la persona.</t>
  </si>
  <si>
    <t xml:space="preserve">C0527</t>
  </si>
  <si>
    <t xml:space="preserve">ubicacion_fisica</t>
  </si>
  <si>
    <t xml:space="preserve">Ubicación física de trabajo de la persona.</t>
  </si>
  <si>
    <t xml:space="preserve">¿Es la sede, el piso u oficina?</t>
  </si>
  <si>
    <t xml:space="preserve">C0528</t>
  </si>
  <si>
    <t xml:space="preserve">cargo_semestre</t>
  </si>
  <si>
    <t xml:space="preserve">Cargo de la persona o semestre que cursa, según su tipo de usuario.</t>
  </si>
  <si>
    <t xml:space="preserve">¿cargo_semestre guarda el cargo para funcionarios y el semestre para estudiantes?</t>
  </si>
  <si>
    <t xml:space="preserve">C0529</t>
  </si>
  <si>
    <t xml:space="preserve">nombre_jefe_dependencia</t>
  </si>
  <si>
    <t xml:space="preserve">Nombre del jefe de la dependencia de la persona.</t>
  </si>
  <si>
    <t xml:space="preserve">C0530</t>
  </si>
  <si>
    <t xml:space="preserve">contrato</t>
  </si>
  <si>
    <t xml:space="preserve">Número o identificación del contrato de la persona.</t>
  </si>
  <si>
    <t xml:space="preserve">¿contrato guarda el número del contrato o el tipo de contrato?</t>
  </si>
  <si>
    <t xml:space="preserve">C0531</t>
  </si>
  <si>
    <t xml:space="preserve">tiempo_contrato_resolucion</t>
  </si>
  <si>
    <t xml:space="preserve">Duración del contrato o resolución de vinculación de la persona.</t>
  </si>
  <si>
    <t xml:space="preserve">¿Qué formato tiene el valor (meses, fechas, número de resolución)?</t>
  </si>
  <si>
    <t xml:space="preserve">C0532</t>
  </si>
  <si>
    <t xml:space="preserve">fecha_fin_contrato</t>
  </si>
  <si>
    <t xml:space="preserve">Mapeada en academic-work-plan-service/src/pta/entities/persona.entity.ts:55 (PersonaEntity.fecha_fin_contrato)</t>
  </si>
  <si>
    <t xml:space="preserve">Fecha de fin contrato.</t>
  </si>
  <si>
    <t xml:space="preserve">C0533</t>
  </si>
  <si>
    <t xml:space="preserve">aplicacion</t>
  </si>
  <si>
    <t xml:space="preserve">Aplicación desde la que se registró la persona.</t>
  </si>
  <si>
    <t xml:space="preserve">¿Qué representa aplicacion y qué valores toma?</t>
  </si>
  <si>
    <t xml:space="preserve">C0534</t>
  </si>
  <si>
    <t xml:space="preserve">C0535</t>
  </si>
  <si>
    <t xml:space="preserve">PersonaPrograma</t>
  </si>
  <si>
    <t xml:space="preserve">programaId</t>
  </si>
  <si>
    <t xml:space="preserve">PersonaPrograma_personaId_programaId_rolEnPrograma_key</t>
  </si>
  <si>
    <t xml:space="preserve">Identificador del programa académico al que está vinculada la persona.</t>
  </si>
  <si>
    <t xml:space="preserve">nombre + tipo + columnas vecinas + índice único (personaId, programaId, rolEnPrograma)</t>
  </si>
  <si>
    <t xml:space="preserve">C0536</t>
  </si>
  <si>
    <t xml:space="preserve">rolEnPrograma</t>
  </si>
  <si>
    <t xml:space="preserve">Rol de la persona en el programa; por defecto, «Estudiante».</t>
  </si>
  <si>
    <t xml:space="preserve">¿Qué otros valores toma rolEnPrograma?</t>
  </si>
  <si>
    <t xml:space="preserve">C0537</t>
  </si>
  <si>
    <t xml:space="preserve">semestreActual</t>
  </si>
  <si>
    <t xml:space="preserve">Semestre que cursa actualmente la persona en el programa.</t>
  </si>
  <si>
    <t xml:space="preserve">C0538</t>
  </si>
  <si>
    <t xml:space="preserve">Estado del registro de PersonaPrograma.</t>
  </si>
  <si>
    <t xml:space="preserve">C0539</t>
  </si>
  <si>
    <t xml:space="preserve">PlanTrabajoAcademico</t>
  </si>
  <si>
    <t xml:space="preserve">idx_pta_docente_periodo, idx_pta_estado_periodo</t>
  </si>
  <si>
    <t xml:space="preserve">Mapeada en academic-work-plan-service/src/pta/entities/plan-trabajo-academico.entity.ts:16 (PlanTrabajoAcademicoEntity.periodo)</t>
  </si>
  <si>
    <t xml:space="preserve">Periodo académico del plan de trabajo.</t>
  </si>
  <si>
    <t xml:space="preserve">¿Qué formato tiene periodo (por ejemplo, 2026-1)?</t>
  </si>
  <si>
    <t xml:space="preserve">C0540</t>
  </si>
  <si>
    <t xml:space="preserve">idx_pta_estado_periodo</t>
  </si>
  <si>
    <t xml:space="preserve">Mapeada en academic-work-plan-service/src/pta/entities/plan-trabajo-academico.entity.ts:19 (PlanTrabajoAcademicoEntity.estado)</t>
  </si>
  <si>
    <t xml:space="preserve">Estado del registro de PlanTrabajoAcademico.</t>
  </si>
  <si>
    <t xml:space="preserve">C0541</t>
  </si>
  <si>
    <t xml:space="preserve">horasTotales</t>
  </si>
  <si>
    <t xml:space="preserve">Mapeada en academic-work-plan-service/src/pta/entities/plan-trabajo-academico.entity.ts:25 (PlanTrabajoAcademicoEntity.horasTotales)</t>
  </si>
  <si>
    <t xml:space="preserve">Número total de horas del plan de trabajo académico; por defecto, 0.</t>
  </si>
  <si>
    <t xml:space="preserve">¿Las horas son semanales o del periodo?</t>
  </si>
  <si>
    <t xml:space="preserve">C0542</t>
  </si>
  <si>
    <t xml:space="preserve">Mapeada en academic-work-plan-service/src/pta/entities/plan-trabajo-academico.entity.ts:28 (PlanTrabajoAcademicoEntity.observaciones)</t>
  </si>
  <si>
    <t xml:space="preserve">C0543</t>
  </si>
  <si>
    <t xml:space="preserve">datosEstructurados</t>
  </si>
  <si>
    <t xml:space="preserve">Mapeada en academic-work-plan-service/src/pta/entities/plan-trabajo-academico.entity.ts:34 (PlanTrabajoAcademicoEntity.datosEstructurados)</t>
  </si>
  <si>
    <t xml:space="preserve">Contenido del plan de trabajo académico por componentes, en formato JSON.</t>
  </si>
  <si>
    <t xml:space="preserve">¿Qué estructura tiene datosEstructurados?</t>
  </si>
  <si>
    <t xml:space="preserve">C0544</t>
  </si>
  <si>
    <t xml:space="preserve">Mapeada en academic-work-plan-service/src/pta/entities/plan-trabajo-academico.entity.ts:37 (PlanTrabajoAcademicoEntity.dedicacion)</t>
  </si>
  <si>
    <t xml:space="preserve">Dedicación del docente en el plan (por ejemplo, tiempo completo o medio tiempo).</t>
  </si>
  <si>
    <t xml:space="preserve">¿Qué valores toma dedicacion?</t>
  </si>
  <si>
    <t xml:space="preserve">C0545</t>
  </si>
  <si>
    <t xml:space="preserve">Mapeada en academic-work-plan-service/src/pta/entities/plan-trabajo-academico.entity.ts:40 (PlanTrabajoAcademicoEntity.horasAsignables)</t>
  </si>
  <si>
    <t xml:space="preserve">Número de horas que se pueden asignar al docente en el plan.</t>
  </si>
  <si>
    <t xml:space="preserve">¿Cómo se calculan las horas asignables?</t>
  </si>
  <si>
    <t xml:space="preserve">C0546</t>
  </si>
  <si>
    <t xml:space="preserve">semanasVinculacion</t>
  </si>
  <si>
    <t xml:space="preserve">Mapeada en academic-work-plan-service/src/pta/entities/plan-trabajo-academico.entity.ts:43 (PlanTrabajoAcademicoEntity.semanasVinculacion)</t>
  </si>
  <si>
    <t xml:space="preserve">Número de semanas de vinculación del docente en el periodo.</t>
  </si>
  <si>
    <t xml:space="preserve">C0547</t>
  </si>
  <si>
    <t xml:space="preserve">Mapeada en academic-work-plan-service/src/pta/entities/plan-trabajo-academico.entity.ts:46 (PlanTrabajoAcademicoEntity.tipoVinculacion)</t>
  </si>
  <si>
    <t xml:space="preserve">Tipo de vinculación del docente.</t>
  </si>
  <si>
    <t xml:space="preserve">¿Qué valores toma tipoVinculacion (planta, ocasional, cátedra…)?</t>
  </si>
  <si>
    <t xml:space="preserve">C0548</t>
  </si>
  <si>
    <t xml:space="preserve">motivoDevolucion</t>
  </si>
  <si>
    <t xml:space="preserve">Mapeada en academic-work-plan-service/src/pta/entities/plan-trabajo-academico.entity.ts:31 (PlanTrabajoAcademicoEntity.motivoDevolucion)</t>
  </si>
  <si>
    <t xml:space="preserve">Motivo de la devolución del plan de trabajo al docente.</t>
  </si>
  <si>
    <t xml:space="preserve">nombre + tipo + columnas vecinas (nivelDevolucion)</t>
  </si>
  <si>
    <t xml:space="preserve">C0549</t>
  </si>
  <si>
    <t xml:space="preserve">ultimoActorRol</t>
  </si>
  <si>
    <t xml:space="preserve">Rol del último usuario que actuó sobre el plan de trabajo.</t>
  </si>
  <si>
    <t xml:space="preserve">C0550</t>
  </si>
  <si>
    <t xml:space="preserve">programa</t>
  </si>
  <si>
    <t xml:space="preserve">programa_codigo_key</t>
  </si>
  <si>
    <t xml:space="preserve">Mapeada en academic-work-plan-service/src/pta/entities/programa.entity.ts:9 (ProgramaEntity.codigo)</t>
  </si>
  <si>
    <t xml:space="preserve">Código del registro de programa. Único en la tabla.</t>
  </si>
  <si>
    <t xml:space="preserve">C0551</t>
  </si>
  <si>
    <t xml:space="preserve">Función control_interno.fn_configurar_actividad_auditorias_plan — control_interno.fn_configurar_actividad_auditorias_plan: LOWER(a.nombre) LIKE '%auditoría%'</t>
  </si>
  <si>
    <t xml:space="preserve">Mapeada en academic-work-plan-service/src/pta/entities/programa.entity.ts:12 (ProgramaEntity.nombre)</t>
  </si>
  <si>
    <t xml:space="preserve">Nombre del registro de programa.</t>
  </si>
  <si>
    <t xml:space="preserve">C0552</t>
  </si>
  <si>
    <t xml:space="preserve">nombre_excel</t>
  </si>
  <si>
    <t xml:space="preserve">Mapeada en academic-work-plan-service/src/pta/entities/programa.entity.ts:15 (ProgramaEntity.nombreExcel)</t>
  </si>
  <si>
    <t xml:space="preserve">Nombre del programa tal como aparece en el archivo Excel de carga.</t>
  </si>
  <si>
    <t xml:space="preserve">¿Qué archivo Excel es la fuente y se usa nombre_excel para conciliar la carga?</t>
  </si>
  <si>
    <t xml:space="preserve">C0553</t>
  </si>
  <si>
    <t xml:space="preserve">nombre_corto</t>
  </si>
  <si>
    <t xml:space="preserve">Mapeada en academic-work-plan-service/src/pta/entities/programa.entity.ts:18 (ProgramaEntity.nombreCorto)</t>
  </si>
  <si>
    <t xml:space="preserve">Nombre abreviado del programa.</t>
  </si>
  <si>
    <t xml:space="preserve">C0554</t>
  </si>
  <si>
    <t xml:space="preserve">doctorado, especializacion, maestria, pregrado, tecnico_profesional, tecnologico</t>
  </si>
  <si>
    <t xml:space="preserve">idx_programa_tipo</t>
  </si>
  <si>
    <t xml:space="preserve">academic-work-plan-service/src/pta/entities/programa.entity.ts:28: 'pregrado' | 'especializacion' | 'maestria' | academic-schedule-service/src/catalogo/entities/programa.readonly.entity.ts:27: 'pregrado' | 'tecnico_profesional' | 'tecnologico' | 'especializacion' | 'maestria' | 'doctorado' | auth-service/src/programas/programa.entity.ts:23: 'pregrado' | 'especializacion' | 'maestria'</t>
  </si>
  <si>
    <t xml:space="preserve">Nivel de formación del programa académico. Valores permitidos: pregrado, tecnico_profesional, tecnologico, especializacion, maestria, doctorado.</t>
  </si>
  <si>
    <t xml:space="preserve">código: academic-schedule-service/src/catalogo/entities/programa.readonly.entity.ts:27</t>
  </si>
  <si>
    <t xml:space="preserve">C0555</t>
  </si>
  <si>
    <t xml:space="preserve">distancia, mixto, presencial</t>
  </si>
  <si>
    <t xml:space="preserve">academic-work-plan-service/src/pta/entities/programa.entity.ts:31: 'presencial' | 'distancia' | 'mixto' | auth-service/src/programas/programa.entity.ts:26: 'presencial' | 'distancia' | 'mixto'</t>
  </si>
  <si>
    <t xml:space="preserve">Modalidad del programa académico. Valores permitidos: presencial, distancia, mixto.</t>
  </si>
  <si>
    <t xml:space="preserve">código: academic-work-plan-service/src/pta/entities/programa.entity.ts:31</t>
  </si>
  <si>
    <t xml:space="preserve">C0556</t>
  </si>
  <si>
    <t xml:space="preserve">horas_base_por_credito</t>
  </si>
  <si>
    <t xml:space="preserve">Mapeada en academic-work-plan-service/src/pta/entities/programa.entity.ts:34 (ProgramaEntity.horasBasePorCredito)</t>
  </si>
  <si>
    <t xml:space="preserve">Número de horas base por cada crédito académico del programa. Por defecto 16.</t>
  </si>
  <si>
    <t xml:space="preserve">¿Son horas de trabajo docente para el plan de trabajo (PTA) o horas de trabajo académico del estudiante por crédito?</t>
  </si>
  <si>
    <t xml:space="preserve">C0557</t>
  </si>
  <si>
    <t xml:space="preserve">horas_pregrado_central</t>
  </si>
  <si>
    <t xml:space="preserve">Mapeada en academic-work-plan-service/src/pta/entities/programa.entity.ts:37 (ProgramaEntity.horasPregradoCentral)</t>
  </si>
  <si>
    <t xml:space="preserve">Número de horas de referencia del programa de pregrado en la sede central.</t>
  </si>
  <si>
    <t xml:space="preserve">¿Qué representan las horas de pregrado central y cómo se usan en el cálculo del PTA?</t>
  </si>
  <si>
    <t xml:space="preserve">C0558</t>
  </si>
  <si>
    <t xml:space="preserve">Mapeada en academic-work-plan-service/src/pta/entities/programa.entity.ts:52 (ProgramaEntity.activo)</t>
  </si>
  <si>
    <t xml:space="preserve">C0559</t>
  </si>
  <si>
    <t xml:space="preserve">Mapeada en academic-work-plan-service/src/pta/entities/programa.entity.ts:67 (ProgramaEntity.deletedAt)</t>
  </si>
  <si>
    <t xml:space="preserve">C0560</t>
  </si>
  <si>
    <t xml:space="preserve">Mapeada en academic-work-plan-service/src/pta/entities/programa.entity.ts:70 (ProgramaEntity.deletedBy)</t>
  </si>
  <si>
    <t xml:space="preserve">C0561</t>
  </si>
  <si>
    <t xml:space="preserve">categoria_horas_circular003</t>
  </si>
  <si>
    <t xml:space="preserve">Mapeada en academic-work-plan-service/src/pta/entities/programa.entity.ts:40 (ProgramaEntity.categoriaHorasCircular003)</t>
  </si>
  <si>
    <t xml:space="preserve">Categoría de horas del programa según la Circular 003.</t>
  </si>
  <si>
    <t xml:space="preserve">¿Qué valores toma la categoría de la Circular 003?</t>
  </si>
  <si>
    <t xml:space="preserve">C0562</t>
  </si>
  <si>
    <t xml:space="preserve">descripcion_categoria_circular003</t>
  </si>
  <si>
    <t xml:space="preserve">Mapeada en academic-work-plan-service/src/pta/entities/programa.entity.ts:43 (ProgramaEntity.descripcionCategoriaCircular003)</t>
  </si>
  <si>
    <t xml:space="preserve">Descripción de la categoría de horas del programa según la Circular 003.</t>
  </si>
  <si>
    <t xml:space="preserve">nombre + tipo + columnas vecinas (categoria_horas_circular003)</t>
  </si>
  <si>
    <t xml:space="preserve">¿El texto se copia de la Circular 003 o lo redacta el equipo?</t>
  </si>
  <si>
    <t xml:space="preserve">C0563</t>
  </si>
  <si>
    <t xml:space="preserve">horas_pta_referencia_circular003</t>
  </si>
  <si>
    <t xml:space="preserve">Mapeada en academic-work-plan-service/src/pta/entities/programa.entity.ts:46 (ProgramaEntity.horasPtaReferenciaCircular003)</t>
  </si>
  <si>
    <t xml:space="preserve">Horas de referencia del plan de trabajo académico para el programa según la Circular 003, en texto.</t>
  </si>
  <si>
    <t xml:space="preserve">¿Por qué el valor se guarda como texto y qué formato tiene?</t>
  </si>
  <si>
    <t xml:space="preserve">C0564</t>
  </si>
  <si>
    <t xml:space="preserve">formula_calculo_horas</t>
  </si>
  <si>
    <t xml:space="preserve">Mapeada en academic-work-plan-service/src/pta/entities/programa.entity.ts:49 (ProgramaEntity.formulaCalculoHoras)</t>
  </si>
  <si>
    <t xml:space="preserve">Fórmula de cálculo de las horas del programa, en texto.</t>
  </si>
  <si>
    <t xml:space="preserve">¿La fórmula es descriptiva o la interpreta el sistema para calcular horas?</t>
  </si>
  <si>
    <t xml:space="preserve">C0565</t>
  </si>
  <si>
    <t xml:space="preserve">PtaComponentApproval</t>
  </si>
  <si>
    <t xml:space="preserve">componente</t>
  </si>
  <si>
    <t xml:space="preserve">uq_pta_componente</t>
  </si>
  <si>
    <t xml:space="preserve">db/migrations/327_create_pta_component_approvals.sql:5: 'academica', 'investigacion', 'ext_capacitacion', 'ext_procesos', 'ext_fortalecimiento', 'ext_gobierno', 'ext_secciones', 'complementarias', 'academicas_admin'</t>
  </si>
  <si>
    <t xml:space="preserve">Componente del PTA que se aprueba. Valores previstos: academica, investigacion, ext_capacitacion, ext_procesos, ext_fortalecimiento, ext_gobierno, ext_secciones, complementarias, academicas_admin.</t>
  </si>
  <si>
    <t xml:space="preserve">código: db/migrations/327_create_pta_component_approvals.sql:5</t>
  </si>
  <si>
    <t xml:space="preserve">C0566</t>
  </si>
  <si>
    <t xml:space="preserve">db/migrations/327_create_pta_component_approvals.sql:6: 'pendiente', 'aprobado', 'devuelto'</t>
  </si>
  <si>
    <t xml:space="preserve">Estado de aprobación del componente. Valores previstos: pendiente, aprobado, devuelto; por defecto pendiente.</t>
  </si>
  <si>
    <t xml:space="preserve">código: db/migrations/327_create_pta_component_approvals.sql:6</t>
  </si>
  <si>
    <t xml:space="preserve">C0567</t>
  </si>
  <si>
    <t xml:space="preserve">aprobador_id</t>
  </si>
  <si>
    <t xml:space="preserve">Mapeada en academic-work-plan-service/src/pta/entities/pta-component-approval.entity.ts:28 (PtaComponentApprovalEntity.aprobadorId)</t>
  </si>
  <si>
    <t xml:space="preserve">Identificador del usuario que aprueba el componente del plan.</t>
  </si>
  <si>
    <t xml:space="preserve">¿A qué tabla de usuarios corresponde aprobador_id?</t>
  </si>
  <si>
    <t xml:space="preserve">C0568</t>
  </si>
  <si>
    <t xml:space="preserve">aprobador_nombre</t>
  </si>
  <si>
    <t xml:space="preserve">Mapeada en academic-work-plan-service/src/pta/entities/pta-component-approval.entity.ts:31 (PtaComponentApprovalEntity.aprobadorNombre)</t>
  </si>
  <si>
    <t xml:space="preserve">Nombre del usuario que aprueba el componente del plan.</t>
  </si>
  <si>
    <t xml:space="preserve">C0569</t>
  </si>
  <si>
    <t xml:space="preserve">aprobador_rol</t>
  </si>
  <si>
    <t xml:space="preserve">Mapeada en academic-work-plan-service/src/pta/entities/pta-component-approval.entity.ts:34 (PtaComponentApprovalEntity.aprobadorRol)</t>
  </si>
  <si>
    <t xml:space="preserve">Rol del usuario que aprueba el componente del plan.</t>
  </si>
  <si>
    <t xml:space="preserve">C0570</t>
  </si>
  <si>
    <t xml:space="preserve">Mapeada en academic-work-plan-service/src/pta/entities/pta-component-approval.entity.ts:37 (PtaComponentApprovalEntity.comentarios)</t>
  </si>
  <si>
    <t xml:space="preserve">Comentarios del aprobador sobre el componente.</t>
  </si>
  <si>
    <t xml:space="preserve">C0571</t>
  </si>
  <si>
    <t xml:space="preserve">fecha_aprobacion</t>
  </si>
  <si>
    <t xml:space="preserve">Mapeada en academic-work-plan-service/src/pta/entities/pta-component-approval.entity.ts:46 (PtaComponentApprovalEntity.fechaAprobacion)</t>
  </si>
  <si>
    <t xml:space="preserve">Fecha de aprobación.</t>
  </si>
  <si>
    <t xml:space="preserve">C0572</t>
  </si>
  <si>
    <t xml:space="preserve">scope</t>
  </si>
  <si>
    <t xml:space="preserve">db/migrations/327_create_pta_component_approvals.sql:12: 'cetap', 'territorial', 'nacional'</t>
  </si>
  <si>
    <t xml:space="preserve">Ámbito de la aprobación del componente. Valores previstos: cetap, territorial, nacional.</t>
  </si>
  <si>
    <t xml:space="preserve">código: db/migrations/327_create_pta_component_approvals.sql:12</t>
  </si>
  <si>
    <t xml:space="preserve">C0573</t>
  </si>
  <si>
    <t xml:space="preserve">scope_id</t>
  </si>
  <si>
    <t xml:space="preserve">Mapeada en academic-work-plan-service/src/pta/entities/pta-component-approval.entity.ts:52 (PtaComponentApprovalEntity.scopeId)</t>
  </si>
  <si>
    <t xml:space="preserve">Identificador del ámbito al que aplica la aprobación, según scope.</t>
  </si>
  <si>
    <t xml:space="preserve">nombre + tipo + columnas vecinas (scope)</t>
  </si>
  <si>
    <t xml:space="preserve">¿Qué valores toma scope y a qué entidad apunta scope_id en cada caso?</t>
  </si>
  <si>
    <t xml:space="preserve">C0574</t>
  </si>
  <si>
    <t xml:space="preserve">PtaComponentReview</t>
  </si>
  <si>
    <t xml:space="preserve">uq_pta_componente_subseccion</t>
  </si>
  <si>
    <t xml:space="preserve">db/migrations/387_create_pta_component_reviews.sql:13: mismas claves que PtaComponentApproval.componente</t>
  </si>
  <si>
    <t xml:space="preserve">Componente del PTA revisado; usa las mismas claves que PtaComponentApproval.componente.</t>
  </si>
  <si>
    <t xml:space="preserve">código: db/migrations/387_create_pta_component_reviews.sql:13</t>
  </si>
  <si>
    <t xml:space="preserve">C0575</t>
  </si>
  <si>
    <t xml:space="preserve">subseccion</t>
  </si>
  <si>
    <t xml:space="preserve">academic-work-plan-service/src/pta/entities/pta-component-review.entity.ts:27: 'general' para componentes de revisión única (investigacion, ext_*); 'pregrado'|'posgrado' para academica; 'docencia'|'academico_administrativas' para complementarias. | db/migrations/387_create_pta_component_reviews.sql:14: 'general' | 'pregrado' | 'posgrado' | 'docencia' | 'academico_administrativas'</t>
  </si>
  <si>
    <t xml:space="preserve">Subsección del componente revisado: general para los componentes de revisión única (investigacion, ext_*); pregrado o posgrado para academica; docencia o academico_administrativas para complementarias. Por defecto general.</t>
  </si>
  <si>
    <t xml:space="preserve">código: academic-work-plan-service/src/pta/entities/pta-component-review.entity.ts:27</t>
  </si>
  <si>
    <t xml:space="preserve">C0576</t>
  </si>
  <si>
    <t xml:space="preserve">db/migrations/387_create_pta_component_reviews.sql:15: 'pendiente', 'revisado', 'devuelto'</t>
  </si>
  <si>
    <t xml:space="preserve">Estado de la revisión del componente. Valores previstos: pendiente, revisado, devuelto; por defecto pendiente.</t>
  </si>
  <si>
    <t xml:space="preserve">código: db/migrations/387_create_pta_component_reviews.sql:15</t>
  </si>
  <si>
    <t xml:space="preserve">C0577</t>
  </si>
  <si>
    <t xml:space="preserve">revisor_id</t>
  </si>
  <si>
    <t xml:space="preserve">Mapeada en academic-work-plan-service/src/pta/entities/pta-component-review.entity.ts:33 (PtaComponentReviewEntity.revisorId)</t>
  </si>
  <si>
    <t xml:space="preserve">Identificador del usuario que revisa el componente del plan.</t>
  </si>
  <si>
    <t xml:space="preserve">¿A qué tabla de usuarios corresponde revisor_id?</t>
  </si>
  <si>
    <t xml:space="preserve">C0578</t>
  </si>
  <si>
    <t xml:space="preserve">revisor_nombre</t>
  </si>
  <si>
    <t xml:space="preserve">Mapeada en academic-work-plan-service/src/pta/entities/pta-component-review.entity.ts:36 (PtaComponentReviewEntity.revisorNombre)</t>
  </si>
  <si>
    <t xml:space="preserve">Nombre del usuario que revisa el componente del plan.</t>
  </si>
  <si>
    <t xml:space="preserve">C0579</t>
  </si>
  <si>
    <t xml:space="preserve">revisor_rol</t>
  </si>
  <si>
    <t xml:space="preserve">Mapeada en academic-work-plan-service/src/pta/entities/pta-component-review.entity.ts:39 (PtaComponentReviewEntity.revisorRol)</t>
  </si>
  <si>
    <t xml:space="preserve">Rol del usuario que revisa el componente del plan.</t>
  </si>
  <si>
    <t xml:space="preserve">C0580</t>
  </si>
  <si>
    <t xml:space="preserve">Mapeada en academic-work-plan-service/src/pta/entities/pta-component-review.entity.ts:42 (PtaComponentReviewEntity.comentarios)</t>
  </si>
  <si>
    <t xml:space="preserve">Comentarios del revisor sobre el componente.</t>
  </si>
  <si>
    <t xml:space="preserve">C0581</t>
  </si>
  <si>
    <t xml:space="preserve">respuesta_docente</t>
  </si>
  <si>
    <t xml:space="preserve">academic-work-plan-service/src/pta/entities/pta-component-review.entity.ts:47: Respuesta del docente al reenviar tras una devolución en la etapa de revisión (mismo propósito que el campo homónimo en PtaComponentApproval).</t>
  </si>
  <si>
    <t xml:space="preserve">Respuesta del docente al reenviar el componente tras una devolución en la etapa de revisión.</t>
  </si>
  <si>
    <t xml:space="preserve">código: academic-work-plan-service/src/pta/entities/pta-component-review.entity.ts:47</t>
  </si>
  <si>
    <t xml:space="preserve">C0582</t>
  </si>
  <si>
    <t xml:space="preserve">fecha_revision</t>
  </si>
  <si>
    <t xml:space="preserve">Mapeada en academic-work-plan-service/src/pta/entities/pta-component-review.entity.ts:50 (PtaComponentReviewEntity.fechaRevision)</t>
  </si>
  <si>
    <t xml:space="preserve">Fecha de revisión.</t>
  </si>
  <si>
    <t xml:space="preserve">C0583</t>
  </si>
  <si>
    <t xml:space="preserve">db/migrations/387_create_pta_component_reviews.sql:22: 'solicitud_edicion' cuando reabre un componente ya aprobado</t>
  </si>
  <si>
    <t xml:space="preserve">Ámbito de la revisión; toma el valor solicitud_edicion cuando se reabre un componente ya aprobado.</t>
  </si>
  <si>
    <t xml:space="preserve">código: db/migrations/387_create_pta_component_reviews.sql:22</t>
  </si>
  <si>
    <t xml:space="preserve">¿Qué otros valores toma scope en PtaComponentReview y qué significa un valor nulo?</t>
  </si>
  <si>
    <t xml:space="preserve">C0584</t>
  </si>
  <si>
    <t xml:space="preserve">Mapeada en academic-work-plan-service/src/pta/entities/pta-component-review.entity.ts:56 (PtaComponentReviewEntity.scopeId)</t>
  </si>
  <si>
    <t xml:space="preserve">Identificador del ámbito al que aplica la revisión, según scope.</t>
  </si>
  <si>
    <t xml:space="preserve">C0585</t>
  </si>
  <si>
    <t xml:space="preserve">PtaEvento</t>
  </si>
  <si>
    <t xml:space="preserve">docenteId</t>
  </si>
  <si>
    <t xml:space="preserve">idx_pta_evento_docenteId</t>
  </si>
  <si>
    <t xml:space="preserve">Mapeada en academic-work-plan-service/src/pta/entities/pta-evento.entity.ts:15 (PtaEventoEntity.docenteId)</t>
  </si>
  <si>
    <t xml:space="preserve">Identificador del docente titular del plan de trabajo.</t>
  </si>
  <si>
    <t xml:space="preserve">C0586</t>
  </si>
  <si>
    <t xml:space="preserve">docenteNombre</t>
  </si>
  <si>
    <t xml:space="preserve">Mapeada en academic-work-plan-service/src/pta/entities/pta-evento.entity.ts:18 (PtaEventoEntity.docenteNombre)</t>
  </si>
  <si>
    <t xml:space="preserve">Nombre del docente titular del plan de trabajo.</t>
  </si>
  <si>
    <t xml:space="preserve">C0587</t>
  </si>
  <si>
    <t xml:space="preserve">academic-work-plan-service/src/pta/entities/pta-evento.entity.ts:22: cambio_estado | notificacion | respuesta_docente | escalamiento | edicion_admin | guardado | db/migrations/201_pta_eventos.sql:7: cambio_estado | notificacion | respuesta_docente | escalamiento | edicion_admin | guardado</t>
  </si>
  <si>
    <t xml:space="preserve">Tipo de evento del PTA. Valores previstos: cambio_estado, notificacion, respuesta_docente, escalamiento, edicion_admin, guardado.</t>
  </si>
  <si>
    <t xml:space="preserve">código: academic-work-plan-service/src/pta/entities/pta-evento.entity.ts:22</t>
  </si>
  <si>
    <t xml:space="preserve">C0588</t>
  </si>
  <si>
    <t xml:space="preserve">Mapeada en academic-work-plan-service/src/pta/entities/pta-evento.entity.ts:25 (PtaEventoEntity.estadoAnterior)</t>
  </si>
  <si>
    <t xml:space="preserve">Estado del plan antes del evento.</t>
  </si>
  <si>
    <t xml:space="preserve">C0589</t>
  </si>
  <si>
    <t xml:space="preserve">Mapeada en academic-work-plan-service/src/pta/entities/pta-evento.entity.ts:28 (PtaEventoEntity.estadoNuevo)</t>
  </si>
  <si>
    <t xml:space="preserve">Estado del plan después del evento.</t>
  </si>
  <si>
    <t xml:space="preserve">C0590</t>
  </si>
  <si>
    <t xml:space="preserve">actor</t>
  </si>
  <si>
    <t xml:space="preserve">Mapeada en academic-work-plan-service/src/pta/entities/pta-evento.entity.ts:31 (PtaEventoEntity.actor)</t>
  </si>
  <si>
    <t xml:space="preserve">Identificador o nombre del usuario que generó el evento.</t>
  </si>
  <si>
    <t xml:space="preserve">¿actor guarda el id, el correo o el nombre del usuario?</t>
  </si>
  <si>
    <t xml:space="preserve">C0591</t>
  </si>
  <si>
    <t xml:space="preserve">Mapeada en academic-work-plan-service/src/pta/entities/pta-evento.entity.ts:34 (PtaEventoEntity.actorRol)</t>
  </si>
  <si>
    <t xml:space="preserve">Rol del usuario que generó el evento.</t>
  </si>
  <si>
    <t xml:space="preserve">C0592</t>
  </si>
  <si>
    <t xml:space="preserve">sistemaOrigen</t>
  </si>
  <si>
    <t xml:space="preserve">idx_pta_evento_origen</t>
  </si>
  <si>
    <t xml:space="preserve">academic-work-plan-service/src/pta/entities/pta-evento.entity.ts:38: backoffice | portal | db/migrations/201_pta_eventos.sql:12: backoffice | portal | sistema</t>
  </si>
  <si>
    <t xml:space="preserve">Sistema donde se originó el evento. Valores previstos: backoffice, portal, sistema; por defecto sistema.</t>
  </si>
  <si>
    <t xml:space="preserve">código: db/migrations/201_pta_eventos.sql:12</t>
  </si>
  <si>
    <t xml:space="preserve">C0593</t>
  </si>
  <si>
    <t xml:space="preserve">Mapeada en academic-work-plan-service/src/pta/entities/pta-evento.entity.ts:41 (PtaEventoEntity.mensaje)</t>
  </si>
  <si>
    <t xml:space="preserve">Mensaje descriptivo del evento, mostrado en las notificaciones.</t>
  </si>
  <si>
    <t xml:space="preserve">nombre + tipo + columnas vecinas (leidoBackoffice, leidoPortal)</t>
  </si>
  <si>
    <t xml:space="preserve">¿El mensaje se muestra en el backoffice y en el portal del docente?</t>
  </si>
  <si>
    <t xml:space="preserve">C0594</t>
  </si>
  <si>
    <t xml:space="preserve">leidoBackoffice</t>
  </si>
  <si>
    <t xml:space="preserve">Mapeada en academic-work-plan-service/src/pta/entities/pta-evento.entity.ts:44 (PtaEventoEntity.leidoBackoffice)</t>
  </si>
  <si>
    <t xml:space="preserve">Indica si aplica: leidobackoffice.</t>
  </si>
  <si>
    <t xml:space="preserve">C0595</t>
  </si>
  <si>
    <t xml:space="preserve">leidoPortal</t>
  </si>
  <si>
    <t xml:space="preserve">Mapeada en academic-work-plan-service/src/pta/entities/pta-evento.entity.ts:47 (PtaEventoEntity.leidoPortal)</t>
  </si>
  <si>
    <t xml:space="preserve">Indica si aplica: leidoportal.</t>
  </si>
  <si>
    <t xml:space="preserve">C0596</t>
  </si>
  <si>
    <t xml:space="preserve">Mapeada en academic-work-plan-service/src/pta/entities/pta-evento.entity.ts:50 (PtaEventoEntity.metadata)</t>
  </si>
  <si>
    <t xml:space="preserve">C0597</t>
  </si>
  <si>
    <t xml:space="preserve">PtaEvidencia</t>
  </si>
  <si>
    <t xml:space="preserve">Mapeada en academic-work-plan-service/src/pta/entities/pta-evidencia.entity.ts:11 (PtaEvidenciaEntity.nombre)</t>
  </si>
  <si>
    <t xml:space="preserve">Nombre del registro de PtaEvidencia.</t>
  </si>
  <si>
    <t xml:space="preserve">C0598</t>
  </si>
  <si>
    <t xml:space="preserve">tipoArchivo</t>
  </si>
  <si>
    <t xml:space="preserve">Mapeada en academic-work-plan-service/src/pta/entities/pta-evidencia.entity.ts:14 (PtaEvidenciaEntity.tipoArchivo)</t>
  </si>
  <si>
    <t xml:space="preserve">Tipo de archivo de la evidencia.</t>
  </si>
  <si>
    <t xml:space="preserve">¿Guarda el tipo MIME o la extensión?</t>
  </si>
  <si>
    <t xml:space="preserve">C0599</t>
  </si>
  <si>
    <t xml:space="preserve">tamanioBytes</t>
  </si>
  <si>
    <t xml:space="preserve">Mapeada en academic-work-plan-service/src/pta/entities/pta-evidencia.entity.ts:17 (PtaEvidenciaEntity.tamanioBytes)</t>
  </si>
  <si>
    <t xml:space="preserve">Tamaño en bytes del archivo de evidencia; por defecto, 0.</t>
  </si>
  <si>
    <t xml:space="preserve">C0600</t>
  </si>
  <si>
    <t xml:space="preserve">Mapeada en academic-work-plan-service/src/pta/entities/pta-evidencia.entity.ts:20 (PtaEvidenciaEntity.categoria)</t>
  </si>
  <si>
    <t xml:space="preserve">Categoría de la evidencia.</t>
  </si>
  <si>
    <t xml:space="preserve">¿Qué valores toma categoria?</t>
  </si>
  <si>
    <t xml:space="preserve">C0601</t>
  </si>
  <si>
    <t xml:space="preserve">componentePta</t>
  </si>
  <si>
    <t xml:space="preserve">Mapeada en academic-work-plan-service/src/pta/entities/pta-evidencia.entity.ts:23 (PtaEvidenciaEntity.componentePta)</t>
  </si>
  <si>
    <t xml:space="preserve">Componente del plan de trabajo al que corresponde la evidencia.</t>
  </si>
  <si>
    <t xml:space="preserve">C0602</t>
  </si>
  <si>
    <t xml:space="preserve">horasAvance</t>
  </si>
  <si>
    <t xml:space="preserve">Mapeada en academic-work-plan-service/src/pta/entities/pta-evidencia.entity.ts:31 (PtaEvidenciaEntity.horasAvance)</t>
  </si>
  <si>
    <t xml:space="preserve">Número de horas de avance que soporta la evidencia; por defecto, 0.</t>
  </si>
  <si>
    <t xml:space="preserve">¿Las horas de avance se suman al cumplimiento del componente?</t>
  </si>
  <si>
    <t xml:space="preserve">C0603</t>
  </si>
  <si>
    <t xml:space="preserve">storagePath</t>
  </si>
  <si>
    <t xml:space="preserve">Ruta del archivo de evidencia en el almacenamiento.</t>
  </si>
  <si>
    <t xml:space="preserve">C0604</t>
  </si>
  <si>
    <t xml:space="preserve">storageUrl</t>
  </si>
  <si>
    <t xml:space="preserve">Mapeada en academic-work-plan-service/src/pta/entities/pta-evidencia.entity.ts:34 (PtaEvidenciaEntity.storageUrl)</t>
  </si>
  <si>
    <t xml:space="preserve">URL de acceso al archivo de evidencia.</t>
  </si>
  <si>
    <t xml:space="preserve">C0605</t>
  </si>
  <si>
    <t xml:space="preserve">subidoPor</t>
  </si>
  <si>
    <t xml:space="preserve">Mapeada en academic-work-plan-service/src/pta/entities/pta-evidencia.entity.ts:37 (PtaEvidenciaEntity.subidoPor)</t>
  </si>
  <si>
    <t xml:space="preserve">Identificador del usuario que cargó la evidencia.</t>
  </si>
  <si>
    <t xml:space="preserve">¿subidoPor guarda el id, el correo o el nombre del usuario?</t>
  </si>
  <si>
    <t xml:space="preserve">C0606</t>
  </si>
  <si>
    <t xml:space="preserve">Mapeada en academic-work-plan-service/src/pta/entities/pta-evidencia.entity.ts:40 (PtaEvidenciaEntity.descripcion)</t>
  </si>
  <si>
    <t xml:space="preserve">Descripción del registro de PtaEvidencia.</t>
  </si>
  <si>
    <t xml:space="preserve">C0607</t>
  </si>
  <si>
    <t xml:space="preserve">Mapeada en academic-work-plan-service/src/pta/entities/pta-evidencia.entity.ts:43 (PtaEvidenciaEntity.estado)</t>
  </si>
  <si>
    <t xml:space="preserve">Estado del registro de PtaEvidencia.</t>
  </si>
  <si>
    <t xml:space="preserve">C0608</t>
  </si>
  <si>
    <t xml:space="preserve">estadoRevision</t>
  </si>
  <si>
    <t xml:space="preserve">PtaEvidencia_estadoRevision_idx</t>
  </si>
  <si>
    <t xml:space="preserve">Mapeada en academic-work-plan-service/src/pta/entities/pta-evidencia.entity.ts:46 (PtaEvidenciaEntity.estadoRevision)</t>
  </si>
  <si>
    <t xml:space="preserve">Estado de revisión de la evidencia; por defecto, «pendiente».</t>
  </si>
  <si>
    <t xml:space="preserve">¿Qué otros valores toma estadoRevision y en qué se diferencia de estado?</t>
  </si>
  <si>
    <t xml:space="preserve">C0609</t>
  </si>
  <si>
    <t xml:space="preserve">revisadoPor</t>
  </si>
  <si>
    <t xml:space="preserve">Mapeada en academic-work-plan-service/src/pta/entities/pta-evidencia.entity.ts:49 (PtaEvidenciaEntity.revisadoPor)</t>
  </si>
  <si>
    <t xml:space="preserve">Identificador del usuario que revisó la evidencia.</t>
  </si>
  <si>
    <t xml:space="preserve">¿revisadoPor guarda el id, el correo o el nombre del usuario?</t>
  </si>
  <si>
    <t xml:space="preserve">C0610</t>
  </si>
  <si>
    <t xml:space="preserve">fechaRevision</t>
  </si>
  <si>
    <t xml:space="preserve">Fecha y hora de revisión de la evidencia.</t>
  </si>
  <si>
    <t xml:space="preserve">C0611</t>
  </si>
  <si>
    <t xml:space="preserve">comentarioRevision</t>
  </si>
  <si>
    <t xml:space="preserve">Mapeada en academic-work-plan-service/src/pta/entities/pta-evidencia.entity.ts:52 (PtaEvidenciaEntity.comentarioRevision)</t>
  </si>
  <si>
    <t xml:space="preserve">Comentario del revisor sobre la evidencia.</t>
  </si>
  <si>
    <t xml:space="preserve">C0612</t>
  </si>
  <si>
    <t xml:space="preserve">seccionExtension</t>
  </si>
  <si>
    <t xml:space="preserve">academic-work-plan-service/src/pta/entities/pta-evidencia.entity.ts:28: Sección de extensión (solo cuando componentePta = 'extension'): 'capacitacion' | 'seleccion' | 'fortalecimiento' | 'alto_gobierno'. NULL en el resto.</t>
  </si>
  <si>
    <t xml:space="preserve">Sección de extensión de la evidencia, solo cuando componentePta es extension. Valores previstos: capacitacion, seleccion, fortalecimiento, alto_gobierno; nulo en los demás casos.</t>
  </si>
  <si>
    <t xml:space="preserve">código: academic-work-plan-service/src/pta/entities/pta-evidencia.entity.ts:28</t>
  </si>
  <si>
    <t xml:space="preserve">C0613</t>
  </si>
  <si>
    <t xml:space="preserve">PtaTerritorialApproval</t>
  </si>
  <si>
    <t xml:space="preserve">territorial_id</t>
  </si>
  <si>
    <t xml:space="preserve">uq_pta_territorial_componente_nivel</t>
  </si>
  <si>
    <t xml:space="preserve">Mapeada en academic-work-plan-service/src/pta/entities/pta-territorial-approval.entity.ts:41 (PtaTerritorialApprovalEntity.territorialId)</t>
  </si>
  <si>
    <t xml:space="preserve">Identificador de la territorial que emite la aprobación.</t>
  </si>
  <si>
    <t xml:space="preserve">nombre + tipo + columnas vecinas + índice único (componente, nivel)</t>
  </si>
  <si>
    <t xml:space="preserve">¿A qué tabla apunta territorial_id?</t>
  </si>
  <si>
    <t xml:space="preserve">C0614</t>
  </si>
  <si>
    <t xml:space="preserve">territorial_nombre</t>
  </si>
  <si>
    <t xml:space="preserve">Mapeada en academic-work-plan-service/src/pta/entities/pta-territorial-approval.entity.ts:44 (PtaTerritorialApprovalEntity.territorialNombre)</t>
  </si>
  <si>
    <t xml:space="preserve">Nombre de la territorial que emite la aprobación.</t>
  </si>
  <si>
    <t xml:space="preserve">C0615</t>
  </si>
  <si>
    <t xml:space="preserve">academic-work-plan-service/src/pta/entities/pta-territorial-approval.entity.ts:53: pendiente | aprobado | devuelto | db/migrations/396_create_pta_territorial_approval.sql:27: 'pendiente', 'aprobado', 'devuelto'</t>
  </si>
  <si>
    <t xml:space="preserve">Estado de la aprobación territorial del PTA. Valores previstos: pendiente, aprobado, devuelto; por defecto pendiente.</t>
  </si>
  <si>
    <t xml:space="preserve">código: academic-work-plan-service/src/pta/entities/pta-territorial-approval.entity.ts:53</t>
  </si>
  <si>
    <t xml:space="preserve">C0616</t>
  </si>
  <si>
    <t xml:space="preserve">actor_id</t>
  </si>
  <si>
    <t xml:space="preserve">Mapeada en academic-work-plan-service/src/pta/entities/pta-territorial-approval.entity.ts:56 (PtaTerritorialApprovalEntity.actorId)</t>
  </si>
  <si>
    <t xml:space="preserve">Identificador del usuario que registra la decisión territorial.</t>
  </si>
  <si>
    <t xml:space="preserve">¿A qué tabla de usuarios corresponde actor_id?</t>
  </si>
  <si>
    <t xml:space="preserve">C0617</t>
  </si>
  <si>
    <t xml:space="preserve">actor_nombre</t>
  </si>
  <si>
    <t xml:space="preserve">Mapeada en academic-work-plan-service/src/pta/entities/pta-territorial-approval.entity.ts:59 (PtaTerritorialApprovalEntity.actorNombre)</t>
  </si>
  <si>
    <t xml:space="preserve">Nombre del usuario que registra la decisión territorial.</t>
  </si>
  <si>
    <t xml:space="preserve">C0618</t>
  </si>
  <si>
    <t xml:space="preserve">actor_rol</t>
  </si>
  <si>
    <t xml:space="preserve">Mapeada en academic-work-plan-service/src/pta/entities/pta-territorial-approval.entity.ts:62 (PtaTerritorialApprovalEntity.actorRol)</t>
  </si>
  <si>
    <t xml:space="preserve">Rol del usuario que registra la decisión territorial.</t>
  </si>
  <si>
    <t xml:space="preserve">C0619</t>
  </si>
  <si>
    <t xml:space="preserve">Mapeada en academic-work-plan-service/src/pta/entities/pta-territorial-approval.entity.ts:65 (PtaTerritorialApprovalEntity.comentarios)</t>
  </si>
  <si>
    <t xml:space="preserve">Comentarios sobre la decisión territorial.</t>
  </si>
  <si>
    <t xml:space="preserve">C0620</t>
  </si>
  <si>
    <t xml:space="preserve">fecha_decision</t>
  </si>
  <si>
    <t xml:space="preserve">Mapeada en academic-work-plan-service/src/pta/entities/pta-territorial-approval.entity.ts:68 (PtaTerritorialApprovalEntity.fechaDecision)</t>
  </si>
  <si>
    <t xml:space="preserve">Fecha de decisión.</t>
  </si>
  <si>
    <t xml:space="preserve">C0621</t>
  </si>
  <si>
    <t xml:space="preserve">academic-work-plan-service/src/pta/entities/pta-territorial-approval.entity.ts:49: 'pregrado' | 'posgrado' — mismo criterio de clasificación que ya usa clasificarAsignaturasDocencia para Sede Central (programa.tipo).</t>
  </si>
  <si>
    <t xml:space="preserve">Nivel de formación al que corresponde la aprobación: pregrado o posgrado, con el mismo criterio de clasificación por tipo de programa usado para Sede Central. Por defecto pregrado.</t>
  </si>
  <si>
    <t xml:space="preserve">código: academic-work-plan-service/src/pta/entities/pta-territorial-approval.entity.ts:49</t>
  </si>
  <si>
    <t xml:space="preserve">C0622</t>
  </si>
  <si>
    <t xml:space="preserve">character varying(60)</t>
  </si>
  <si>
    <t xml:space="preserve">idx_pta_territorial_approval_pta_componente, uq_pta_territorial_componente_nivel</t>
  </si>
  <si>
    <t xml:space="preserve">academic-work-plan-service/src/pta/entities/pta-territorial-approval.entity.ts:38: EFDS-1353: qué componente territorial aprueba esta fila ('academica_territorial' | 'complementarias_territorial'). Sin esta columna, la Docencia y la Complementaria de una misma territorial/nivel colisionarían en la misma fila (migración 401).</t>
  </si>
  <si>
    <t xml:space="preserve">Componente territorial que aprueba el registro. Valores previstos: academica_territorial, complementarias_territorial; por defecto academica_territorial (EFDS-1353).</t>
  </si>
  <si>
    <t xml:space="preserve">código: academic-work-plan-service/src/pta/entities/pta-territorial-approval.entity.ts:38</t>
  </si>
  <si>
    <t xml:space="preserve">C0623</t>
  </si>
  <si>
    <t xml:space="preserve">Ámbito al que aplica la aprobación territorial.</t>
  </si>
  <si>
    <t xml:space="preserve">nombre + tipo + columnas vecinas (scope_id)</t>
  </si>
  <si>
    <t xml:space="preserve">¿Qué valores toma scope?</t>
  </si>
  <si>
    <t xml:space="preserve">C0624</t>
  </si>
  <si>
    <t xml:space="preserve">¿A qué entidad apunta scope_id según cada valor de scope?</t>
  </si>
  <si>
    <t xml:space="preserve">C0625</t>
  </si>
  <si>
    <t xml:space="preserve">PtaTerritorialReview</t>
  </si>
  <si>
    <t xml:space="preserve">uq_pta_territorial_review_componente_nivel</t>
  </si>
  <si>
    <t xml:space="preserve">Mapeada en academic-work-plan-service/src/pta/entities/pta-territorial-review.entity.ts:41 (PtaTerritorialReviewEntity.territorialId)</t>
  </si>
  <si>
    <t xml:space="preserve">Identificador de la territorial que realiza la revisión.</t>
  </si>
  <si>
    <t xml:space="preserve">C0626</t>
  </si>
  <si>
    <t xml:space="preserve">Mapeada en academic-work-plan-service/src/pta/entities/pta-territorial-review.entity.ts:44 (PtaTerritorialReviewEntity.territorialNombre)</t>
  </si>
  <si>
    <t xml:space="preserve">Nombre de la territorial que realiza la revisión.</t>
  </si>
  <si>
    <t xml:space="preserve">C0627</t>
  </si>
  <si>
    <t xml:space="preserve">academic-work-plan-service/src/pta/entities/pta-territorial-review.entity.ts:49: 'pregrado' | 'posgrado' — mismo criterio de clasificación que ya usa clasificarAsignaturasDocencia para Sede Central (programa.tipo).</t>
  </si>
  <si>
    <t xml:space="preserve">Nivel de formación al que corresponde la revisión: pregrado o posgrado, con el mismo criterio de clasificación por tipo de programa usado para Sede Central. Por defecto pregrado.</t>
  </si>
  <si>
    <t xml:space="preserve">código: academic-work-plan-service/src/pta/entities/pta-territorial-review.entity.ts:49</t>
  </si>
  <si>
    <t xml:space="preserve">C0628</t>
  </si>
  <si>
    <t xml:space="preserve">academic-work-plan-service/src/pta/entities/pta-territorial-review.entity.ts:53: pendiente | revisado | devuelto | db/migrations/399_create_pta_territorial_review.sql:32: 'pendiente', 'revisado', 'devuelto'</t>
  </si>
  <si>
    <t xml:space="preserve">Estado de la revisión territorial del PTA. Valores previstos: pendiente, revisado, devuelto; por defecto pendiente.</t>
  </si>
  <si>
    <t xml:space="preserve">código: academic-work-plan-service/src/pta/entities/pta-territorial-review.entity.ts:53</t>
  </si>
  <si>
    <t xml:space="preserve">C0629</t>
  </si>
  <si>
    <t xml:space="preserve">Mapeada en academic-work-plan-service/src/pta/entities/pta-territorial-review.entity.ts:56 (PtaTerritorialReviewEntity.revisorId)</t>
  </si>
  <si>
    <t xml:space="preserve">Identificador del usuario que realiza la revisión territorial.</t>
  </si>
  <si>
    <t xml:space="preserve">C0630</t>
  </si>
  <si>
    <t xml:space="preserve">Mapeada en academic-work-plan-service/src/pta/entities/pta-territorial-review.entity.ts:59 (PtaTerritorialReviewEntity.revisorNombre)</t>
  </si>
  <si>
    <t xml:space="preserve">Nombre del usuario que realiza la revisión territorial.</t>
  </si>
  <si>
    <t xml:space="preserve">C0631</t>
  </si>
  <si>
    <t xml:space="preserve">Mapeada en academic-work-plan-service/src/pta/entities/pta-territorial-review.entity.ts:62 (PtaTerritorialReviewEntity.revisorRol)</t>
  </si>
  <si>
    <t xml:space="preserve">Rol del usuario que realiza la revisión territorial.</t>
  </si>
  <si>
    <t xml:space="preserve">C0632</t>
  </si>
  <si>
    <t xml:space="preserve">Mapeada en academic-work-plan-service/src/pta/entities/pta-territorial-review.entity.ts:65 (PtaTerritorialReviewEntity.comentarios)</t>
  </si>
  <si>
    <t xml:space="preserve">Comentarios de la revisión territorial.</t>
  </si>
  <si>
    <t xml:space="preserve">C0633</t>
  </si>
  <si>
    <t xml:space="preserve">Mapeada en academic-work-plan-service/src/pta/entities/pta-territorial-review.entity.ts:68 (PtaTerritorialReviewEntity.fechaRevision)</t>
  </si>
  <si>
    <t xml:space="preserve">C0634</t>
  </si>
  <si>
    <t xml:space="preserve">idx_pta_territorial_review_pta_componente, uq_pta_territorial_review_componente_nivel</t>
  </si>
  <si>
    <t xml:space="preserve">academic-work-plan-service/src/pta/entities/pta-territorial-review.entity.ts:38: EFDS-1353: espejo de PtaTerritorialApproval.componente — distingue la revisión de Docencia territorial de la de Complementarias territoriales (migración 401).</t>
  </si>
  <si>
    <t xml:space="preserve">Componente territorial revisado: distingue la revisión de Docencia territorial (academica_territorial) de la de Complementarias territoriales (complementarias_territorial). Por defecto academica_territorial (EFDS-1353).</t>
  </si>
  <si>
    <t xml:space="preserve">código: academic-work-plan-service/src/pta/entities/pta-territorial-review.entity.ts:38</t>
  </si>
  <si>
    <t xml:space="preserve">C0635</t>
  </si>
  <si>
    <t xml:space="preserve">PTAUserData</t>
  </si>
  <si>
    <t xml:space="preserve">userId</t>
  </si>
  <si>
    <t xml:space="preserve">PTAUserData_userId_key</t>
  </si>
  <si>
    <t xml:space="preserve">Mapeada en academic-work-plan-service/src/pta/entities/pta-user-data.entity.ts:14 (PtaUserDataEntity.userId)</t>
  </si>
  <si>
    <t xml:space="preserve">Identificador del usuario al que pertenecen las preferencias; valor único.</t>
  </si>
  <si>
    <t xml:space="preserve">C0636</t>
  </si>
  <si>
    <t xml:space="preserve">tags</t>
  </si>
  <si>
    <t xml:space="preserve">Mapeada en academic-work-plan-service/src/pta/entities/pta-user-data.entity.ts:17 (PtaUserDataEntity.tags)</t>
  </si>
  <si>
    <t xml:space="preserve">Etiquetas que el usuario asigna a los planes de trabajo, en formato JSON.</t>
  </si>
  <si>
    <t xml:space="preserve">¿Qué estructura tiene tags y a qué elementos se asignan?</t>
  </si>
  <si>
    <t xml:space="preserve">C0637</t>
  </si>
  <si>
    <t xml:space="preserve">notes</t>
  </si>
  <si>
    <t xml:space="preserve">Mapeada en academic-work-plan-service/src/pta/entities/pta-user-data.entity.ts:20 (PtaUserDataEntity.notes)</t>
  </si>
  <si>
    <t xml:space="preserve">Notas personales del usuario sobre los planes de trabajo, en formato JSON.</t>
  </si>
  <si>
    <t xml:space="preserve">¿Qué estructura tiene notes?</t>
  </si>
  <si>
    <t xml:space="preserve">C0638</t>
  </si>
  <si>
    <t xml:space="preserve">pinned</t>
  </si>
  <si>
    <t xml:space="preserve">Mapeada en academic-work-plan-service/src/pta/entities/pta-user-data.entity.ts:23 (PtaUserDataEntity.pinned)</t>
  </si>
  <si>
    <t xml:space="preserve">Lista de elementos fijados por el usuario, en formato JSON.</t>
  </si>
  <si>
    <t xml:space="preserve">¿Qué elementos se fijan (planes, docentes…)?</t>
  </si>
  <si>
    <t xml:space="preserve">C0639</t>
  </si>
  <si>
    <t xml:space="preserve">priority</t>
  </si>
  <si>
    <t xml:space="preserve">Mapeada en academic-work-plan-service/src/pta/entities/pta-user-data.entity.ts:26 (PtaUserDataEntity.priority)</t>
  </si>
  <si>
    <t xml:space="preserve">Lista de elementos marcados como prioritarios por el usuario, en formato JSON.</t>
  </si>
  <si>
    <t xml:space="preserve">¿Qué elementos se priorizan y cómo se ordena la lista?</t>
  </si>
  <si>
    <t xml:space="preserve">C0640</t>
  </si>
  <si>
    <t xml:space="preserve">Rol</t>
  </si>
  <si>
    <t xml:space="preserve">Rol_nombre_key</t>
  </si>
  <si>
    <t xml:space="preserve">Nombre del registro de Rol.</t>
  </si>
  <si>
    <t xml:space="preserve">C0641</t>
  </si>
  <si>
    <t xml:space="preserve">Descripción del registro de Rol.</t>
  </si>
  <si>
    <t xml:space="preserve">C0642</t>
  </si>
  <si>
    <t xml:space="preserve">isSystem</t>
  </si>
  <si>
    <t xml:space="preserve">Indica si aplica: issystem.</t>
  </si>
  <si>
    <t xml:space="preserve">C0643</t>
  </si>
  <si>
    <t xml:space="preserve">Estado del registro de Rol.</t>
  </si>
  <si>
    <t xml:space="preserve">C0644</t>
  </si>
  <si>
    <t xml:space="preserve">RundAccesoDatosLog</t>
  </si>
  <si>
    <t xml:space="preserve">idx_rund_acceso_actor_fecha</t>
  </si>
  <si>
    <t xml:space="preserve">Identificador del usuario que accedió a los datos.</t>
  </si>
  <si>
    <t xml:space="preserve">nombre + tabla de bitácora de acceso + índice por actor y fecha</t>
  </si>
  <si>
    <t xml:space="preserve">C0645</t>
  </si>
  <si>
    <t xml:space="preserve">roles</t>
  </si>
  <si>
    <t xml:space="preserve">Roles que tenía el usuario al momento del acceso (lista).</t>
  </si>
  <si>
    <t xml:space="preserve">nombre + tipo text[]</t>
  </si>
  <si>
    <t xml:space="preserve">C0646</t>
  </si>
  <si>
    <t xml:space="preserve">endpoint</t>
  </si>
  <si>
    <t xml:space="preserve">Ruta del servicio (endpoint) consultado.</t>
  </si>
  <si>
    <t xml:space="preserve">C0647</t>
  </si>
  <si>
    <t xml:space="preserve">recurso_id</t>
  </si>
  <si>
    <t xml:space="preserve">idx_rund_acceso_recurso</t>
  </si>
  <si>
    <t xml:space="preserve">Identificador del recurso consultado.</t>
  </si>
  <si>
    <t xml:space="preserve">¿Qué tipo de recurso es (docente, documento, soporte)?</t>
  </si>
  <si>
    <t xml:space="preserve">C0648</t>
  </si>
  <si>
    <t xml:space="preserve">docentes</t>
  </si>
  <si>
    <t xml:space="preserve">idx_rund_acceso_docentes</t>
  </si>
  <si>
    <t xml:space="preserve">Identificadores de los docentes cuyos datos se consultaron (lista).</t>
  </si>
  <si>
    <t xml:space="preserve">nombre + tipo text[] + índice</t>
  </si>
  <si>
    <t xml:space="preserve">C0649</t>
  </si>
  <si>
    <t xml:space="preserve">campos</t>
  </si>
  <si>
    <t xml:space="preserve">Nombres de los campos consultados (lista).</t>
  </si>
  <si>
    <t xml:space="preserve">C0650</t>
  </si>
  <si>
    <t xml:space="preserve">COMPLETO, DENEGADO, ENMASCARADO</t>
  </si>
  <si>
    <t xml:space="preserve">Resultado del control de acceso. Valores permitidos: COMPLETO, ENMASCARADO, DENEGADO.</t>
  </si>
  <si>
    <t xml:space="preserve">C0651</t>
  </si>
  <si>
    <t xml:space="preserve">ip</t>
  </si>
  <si>
    <t xml:space="preserve">Dirección IP registrada.</t>
  </si>
  <si>
    <t xml:space="preserve">C0652</t>
  </si>
  <si>
    <t xml:space="preserve">RundAccesoExterno</t>
  </si>
  <si>
    <t xml:space="preserve">ente_nombre</t>
  </si>
  <si>
    <t xml:space="preserve">Mapeada en academic-work-plan-service/src/pta/entities/rund-acceso-externo.entity.ts:14 (RundAccesoExternoEntity.enteNombre)</t>
  </si>
  <si>
    <t xml:space="preserve">Nombre de la entidad externa a la que se otorga el acceso.</t>
  </si>
  <si>
    <t xml:space="preserve">nombre + tabla de acceso externo</t>
  </si>
  <si>
    <t xml:space="preserve">C0653</t>
  </si>
  <si>
    <t xml:space="preserve">ente_contacto</t>
  </si>
  <si>
    <t xml:space="preserve">Mapeada en academic-work-plan-service/src/pta/entities/rund-acceso-externo.entity.ts:17 (RundAccesoExternoEntity.enteContacto)</t>
  </si>
  <si>
    <t xml:space="preserve">Datos de contacto de la entidad externa.</t>
  </si>
  <si>
    <t xml:space="preserve">¿Guarda correo, teléfono o nombre de la persona de contacto?</t>
  </si>
  <si>
    <t xml:space="preserve">C0654</t>
  </si>
  <si>
    <t xml:space="preserve">RundAccesoExterno_token_key, idx_rund_acceso_externo_token</t>
  </si>
  <si>
    <t xml:space="preserve">Mapeada en academic-work-plan-service/src/pta/entities/rund-acceso-externo.entity.ts:20 (RundAccesoExternoEntity.token)</t>
  </si>
  <si>
    <t xml:space="preserve">Token de acceso que se entrega a la entidad externa. No se repite.</t>
  </si>
  <si>
    <t xml:space="preserve">nombre + restricción única</t>
  </si>
  <si>
    <t xml:space="preserve">C0655</t>
  </si>
  <si>
    <t xml:space="preserve">docente_id</t>
  </si>
  <si>
    <t xml:space="preserve">academic-work-plan-service/src/pta/entities/rund-acceso-externo.entity.ts:24: Siempre acotado a un docente puntual (ver F022: consultas por docente y período). | db/migrations/417_create_rund_macro_docente_acceso_externo.sql:21: Cada acceso externo se limita siempre a UN docente puntual (F022: "qué dictó el docente X en el período Y"); si un ente necesita ver varios docentes, se le otorgan varios accesos.</t>
  </si>
  <si>
    <t xml:space="preserve">Identificador del único docente cuyos datos puede consultar la entidad externa con este acceso; si necesita ver varios docentes, se otorgan varios accesos (REQ-RUND-F022).</t>
  </si>
  <si>
    <t xml:space="preserve">código: academic-work-plan-service/src/pta/entities/rund-acceso-externo.entity.ts:24; db/migrations/417_create_rund_macro_docente_acceso_externo.sql:21</t>
  </si>
  <si>
    <t xml:space="preserve">C0656</t>
  </si>
  <si>
    <t xml:space="preserve">motivo</t>
  </si>
  <si>
    <t xml:space="preserve">Mapeada en academic-work-plan-service/src/pta/entities/rund-acceso-externo.entity.ts:27 (RundAccesoExternoEntity.motivo)</t>
  </si>
  <si>
    <t xml:space="preserve">Motivo por el que se otorga el acceso.</t>
  </si>
  <si>
    <t xml:space="preserve">C0657</t>
  </si>
  <si>
    <t xml:space="preserve">Mapeada en academic-work-plan-service/src/pta/entities/rund-acceso-externo.entity.ts:30 (RundAccesoExternoEntity.fechaInicio)</t>
  </si>
  <si>
    <t xml:space="preserve">C0658</t>
  </si>
  <si>
    <t xml:space="preserve">idx_rund_acceso_externo_vigencia</t>
  </si>
  <si>
    <t xml:space="preserve">Mapeada en academic-work-plan-service/src/pta/entities/rund-acceso-externo.entity.ts:33 (RundAccesoExternoEntity.fechaFin)</t>
  </si>
  <si>
    <t xml:space="preserve">C0659</t>
  </si>
  <si>
    <t xml:space="preserve">Mapeada en academic-work-plan-service/src/pta/entities/rund-acceso-externo.entity.ts:36 (RundAccesoExternoEntity.activo)</t>
  </si>
  <si>
    <t xml:space="preserve">C0660</t>
  </si>
  <si>
    <t xml:space="preserve">otorgado_por</t>
  </si>
  <si>
    <t xml:space="preserve">Mapeada en academic-work-plan-service/src/pta/entities/rund-acceso-externo.entity.ts:39 (RundAccesoExternoEntity.otorgadoPor)</t>
  </si>
  <si>
    <t xml:space="preserve">Identificador del usuario que otorgó el acceso.</t>
  </si>
  <si>
    <t xml:space="preserve">nombre + columnas vecinas revoked_by</t>
  </si>
  <si>
    <t xml:space="preserve">C0661</t>
  </si>
  <si>
    <t xml:space="preserve">revoked_at</t>
  </si>
  <si>
    <t xml:space="preserve">Mapeada en academic-work-plan-service/src/pta/entities/rund-acceso-externo.entity.ts:42 (RundAccesoExternoEntity.revokedAt)</t>
  </si>
  <si>
    <t xml:space="preserve">Fecha y hora en que se revocó el acceso, con zona horaria. Vacía si sigue vigente.</t>
  </si>
  <si>
    <t xml:space="preserve">nombre + tipo timestamptz + columna vecina revoked_by</t>
  </si>
  <si>
    <t xml:space="preserve">C0662</t>
  </si>
  <si>
    <t xml:space="preserve">revoked_by</t>
  </si>
  <si>
    <t xml:space="preserve">Mapeada en academic-work-plan-service/src/pta/entities/rund-acceso-externo.entity.ts:45 (RundAccesoExternoEntity.revokedBy)</t>
  </si>
  <si>
    <t xml:space="preserve">Identificador del usuario que revocó el acceso.</t>
  </si>
  <si>
    <t xml:space="preserve">nombre + columna vecina revoked_at</t>
  </si>
  <si>
    <t xml:space="preserve">C0663</t>
  </si>
  <si>
    <t xml:space="preserve">RundAprobacionLog</t>
  </si>
  <si>
    <t xml:space="preserve">idx_rund_aprobacion_log_docente</t>
  </si>
  <si>
    <t xml:space="preserve">Mapeada en academic-work-plan-service/src/pta/entities/rund-aprobacion-log.entity.ts:16 (RundAprobacionLogEntity.docenteId)</t>
  </si>
  <si>
    <t xml:space="preserve">Identificador del docente al que corresponde el evento.</t>
  </si>
  <si>
    <t xml:space="preserve">nombre + tipo uuid + índice</t>
  </si>
  <si>
    <t xml:space="preserve">C0664</t>
  </si>
  <si>
    <t xml:space="preserve">bloque</t>
  </si>
  <si>
    <t xml:space="preserve">academic-work-plan-service/src/pta/entities/rund-aprobacion-log.entity.ts:20: Bloque afectado: IDENTIDAD, FORMACION, VINCULACION, CONTACTO, GENERAL</t>
  </si>
  <si>
    <t xml:space="preserve">Bloque del perfil RUND afectado por el evento: IDENTIDAD, FORMACION, VINCULACION, CONTACTO o GENERAL.</t>
  </si>
  <si>
    <t xml:space="preserve">código: academic-work-plan-service/src/pta/entities/rund-aprobacion-log.entity.ts:20</t>
  </si>
  <si>
    <t xml:space="preserve">C0665</t>
  </si>
  <si>
    <t xml:space="preserve">academic-work-plan-service/src/pta/entities/rund-aprobacion-log.entity.ts:24: Acción realizada: CREAR | APROBAR | DEVOLVER | EDITAR | VINCULAR_SOPORTE | DESVINCULAR_SOPORTE | CONSULTAR_DATOS_SENSIBLES</t>
  </si>
  <si>
    <t xml:space="preserve">Acción registrada en la bitácora: CREAR, APROBAR, DEVOLVER, EDITAR, VINCULAR_SOPORTE, DESVINCULAR_SOPORTE o CONSULTAR_DATOS_SENSIBLES.</t>
  </si>
  <si>
    <t xml:space="preserve">código: academic-work-plan-service/src/pta/entities/rund-aprobacion-log.entity.ts:24</t>
  </si>
  <si>
    <t xml:space="preserve">C0666</t>
  </si>
  <si>
    <t xml:space="preserve">academic-work-plan-service/src/pta/entities/rund-aprobacion-log.entity.ts:28: ID del actor que realizó la acción (userId o 'SISTEMA')</t>
  </si>
  <si>
    <t xml:space="preserve">Identificador del usuario que realizó la acción, o el valor SISTEMA cuando la acción es automática.</t>
  </si>
  <si>
    <t xml:space="preserve">código: academic-work-plan-service/src/pta/entities/rund-aprobacion-log.entity.ts:28</t>
  </si>
  <si>
    <t xml:space="preserve">C0667</t>
  </si>
  <si>
    <t xml:space="preserve">academic-work-plan-service/src/pta/entities/rund-aprobacion-log.entity.ts:32: Canal de origen: MASIVO | MODAL | AUTOGESTION</t>
  </si>
  <si>
    <t xml:space="preserve">Canal por el que se realizó la acción: MASIVO, MODAL o AUTOGESTION.</t>
  </si>
  <si>
    <t xml:space="preserve">código: academic-work-plan-service/src/pta/entities/rund-aprobacion-log.entity.ts:32</t>
  </si>
  <si>
    <t xml:space="preserve">C0668</t>
  </si>
  <si>
    <t xml:space="preserve">campo_afectado</t>
  </si>
  <si>
    <t xml:space="preserve">academic-work-plan-service/src/pta/entities/rund-aprobacion-log.entity.ts:36: Campo específico afectado (ej: 'TITULO_PREGRADO', 'TIPO_VINCULACION')</t>
  </si>
  <si>
    <t xml:space="preserve">Nombre del campo específico afectado por la acción (por ejemplo, TITULO_PREGRADO o TIPO_VINCULACION).</t>
  </si>
  <si>
    <t xml:space="preserve">código: academic-work-plan-service/src/pta/entities/rund-aprobacion-log.entity.ts:36</t>
  </si>
  <si>
    <t xml:space="preserve">C0669</t>
  </si>
  <si>
    <t xml:space="preserve">dato_previo</t>
  </si>
  <si>
    <t xml:space="preserve">academic-work-plan-service/src/pta/entities/rund-aprobacion-log.entity.ts:40: Valor anterior del campo (para re-versionamiento BR-046)</t>
  </si>
  <si>
    <t xml:space="preserve">Valor del campo antes de la acción, usado para el reversionamiento (BR-046).</t>
  </si>
  <si>
    <t xml:space="preserve">código: academic-work-plan-service/src/pta/entities/rund-aprobacion-log.entity.ts:40</t>
  </si>
  <si>
    <t xml:space="preserve">C0670</t>
  </si>
  <si>
    <t xml:space="preserve">dato_nuevo</t>
  </si>
  <si>
    <t xml:space="preserve">academic-work-plan-service/src/pta/entities/rund-aprobacion-log.entity.ts:44: Valor nuevo del campo</t>
  </si>
  <si>
    <t xml:space="preserve">Valor del campo después de la acción.</t>
  </si>
  <si>
    <t xml:space="preserve">código: academic-work-plan-service/src/pta/entities/rund-aprobacion-log.entity.ts:44</t>
  </si>
  <si>
    <t xml:space="preserve">C0671</t>
  </si>
  <si>
    <t xml:space="preserve">observacion</t>
  </si>
  <si>
    <t xml:space="preserve">academic-work-plan-service/src/pta/entities/rund-aprobacion-log.entity.ts:48: Observación obligatoria (en devoluciones BR-045)</t>
  </si>
  <si>
    <t xml:space="preserve">Observación registrada con la acción; es obligatoria en las devoluciones (BR-045).</t>
  </si>
  <si>
    <t xml:space="preserve">código: academic-work-plan-service/src/pta/entities/rund-aprobacion-log.entity.ts:48</t>
  </si>
  <si>
    <t xml:space="preserve">C0672</t>
  </si>
  <si>
    <t xml:space="preserve">soporte_id</t>
  </si>
  <si>
    <t xml:space="preserve">academic-work-plan-service/src/pta/entities/rund-aprobacion-log.entity.ts:52: ID del soporte vinculado/desvinculado (si aplica)</t>
  </si>
  <si>
    <t xml:space="preserve">Identificador del soporte documental vinculado o desvinculado en la acción, cuando aplica.</t>
  </si>
  <si>
    <t xml:space="preserve">código: academic-work-plan-service/src/pta/entities/rund-aprobacion-log.entity.ts:52</t>
  </si>
  <si>
    <t xml:space="preserve">C0673</t>
  </si>
  <si>
    <t xml:space="preserve">academic-work-plan-service/src/pta/entities/rund-aprobacion-log.entity.ts:56: IP del cliente (para Canal 3 — autogestión)</t>
  </si>
  <si>
    <t xml:space="preserve">Dirección IP del cliente que realizó la acción, registrada para el canal de autogestión.</t>
  </si>
  <si>
    <t xml:space="preserve">código: academic-work-plan-service/src/pta/entities/rund-aprobacion-log.entity.ts:56</t>
  </si>
  <si>
    <t xml:space="preserve">C0674</t>
  </si>
  <si>
    <t xml:space="preserve">academic-work-plan-service/src/pta/entities/rund-aprobacion-log.entity.ts:60: Metadatos adicionales (JSON) — ej: { habeasData: true, invitacionId: '...' }</t>
  </si>
  <si>
    <t xml:space="preserve">Metadatos adicionales de la acción en formato JSON (por ejemplo, habeasData o invitacionId).</t>
  </si>
  <si>
    <t xml:space="preserve">código: academic-work-plan-service/src/pta/entities/rund-aprobacion-log.entity.ts:60</t>
  </si>
  <si>
    <t xml:space="preserve">C0675</t>
  </si>
  <si>
    <t xml:space="preserve">RundCampoEstado</t>
  </si>
  <si>
    <t xml:space="preserve">idx_rund_campo_estado_docente</t>
  </si>
  <si>
    <t xml:space="preserve">Mapeada en academic-work-plan-service/src/pta/entities/rund-campo-estado.entity.ts:13 (RundCampoEstadoEntity.docenteId)</t>
  </si>
  <si>
    <t xml:space="preserve">Identificador del docente.</t>
  </si>
  <si>
    <t xml:space="preserve">C0676</t>
  </si>
  <si>
    <t xml:space="preserve">academic-work-plan-service/src/pta/entities/rund-campo-estado.entity.ts:23: Bloque de campos: - IDENTIDAD: documento, tipo_doc, nombre, fecha_nacimiento, genero - FORMACION: nivel, pregrado, especializacion, maestria, doctorado, posdoctorado - VINCULACION: tipo, regimen, categoria, dedicacion, acto_administrativo, puntaje_salarial, etc. - CONTACTO: correo_institucional, cor</t>
  </si>
  <si>
    <t xml:space="preserve">Bloque de campos del perfil RUND al que corresponde el estado: IDENTIDAD (documento, nombre, fecha de nacimiento, género), FORMACION (niveles de formación), VINCULACION (tipo, régimen, categoría, dedicación, acto administrativo, puntaje salarial) o CONTACTO (correos y teléfono).</t>
  </si>
  <si>
    <t xml:space="preserve">código: academic-work-plan-service/src/pta/entities/rund-campo-estado.entity.ts:23</t>
  </si>
  <si>
    <t xml:space="preserve">C0677</t>
  </si>
  <si>
    <t xml:space="preserve">academic-work-plan-service/src/pta/entities/rund-campo-estado.entity.ts:29: BR-044 — Estados: Pendiente | En revisión | Aprobado | Devuelto | Soporte faltante</t>
  </si>
  <si>
    <t xml:space="preserve">Estado de aprobación del bloque: Pendiente, En revisión, Aprobado, Devuelto o Soporte faltante (BR-044).</t>
  </si>
  <si>
    <t xml:space="preserve">código: academic-work-plan-service/src/pta/entities/rund-campo-estado.entity.ts:29; nota: flujo según la documentación de la entidad</t>
  </si>
  <si>
    <t xml:space="preserve">C0678</t>
  </si>
  <si>
    <t xml:space="preserve">cargado_por</t>
  </si>
  <si>
    <t xml:space="preserve">academic-work-plan-service/src/pta/entities/rund-campo-estado.entity.ts:35: Trazabilidad de quién cargó o editó los datos de este bloque.</t>
  </si>
  <si>
    <t xml:space="preserve">Usuario que cargó o editó los datos del bloque.</t>
  </si>
  <si>
    <t xml:space="preserve">código: academic-work-plan-service/src/pta/entities/rund-campo-estado.entity.ts:35</t>
  </si>
  <si>
    <t xml:space="preserve">C0679</t>
  </si>
  <si>
    <t xml:space="preserve">revisado_por</t>
  </si>
  <si>
    <t xml:space="preserve">academic-work-plan-service/src/pta/entities/rund-campo-estado.entity.ts:42: Trazabilidad de quién revisó/aprobó este bloque. Puede coincidir con cargadoPor si cuenta con permisos de revisión.</t>
  </si>
  <si>
    <t xml:space="preserve">Usuario que revisó o aprobó el bloque; puede coincidir con cargado_por si tiene permisos de revisión.</t>
  </si>
  <si>
    <t xml:space="preserve">código: academic-work-plan-service/src/pta/entities/rund-campo-estado.entity.ts:42</t>
  </si>
  <si>
    <t xml:space="preserve">C0680</t>
  </si>
  <si>
    <t xml:space="preserve">academic-work-plan-service/src/pta/entities/rund-campo-estado.entity.ts:48: BR-045 — Observación obligatoria al devolver.</t>
  </si>
  <si>
    <t xml:space="preserve">Observación sobre el bloque; es obligatoria al devolverlo (BR-045).</t>
  </si>
  <si>
    <t xml:space="preserve">código: academic-work-plan-service/src/pta/entities/rund-campo-estado.entity.ts:48</t>
  </si>
  <si>
    <t xml:space="preserve">C0681</t>
  </si>
  <si>
    <t xml:space="preserve">academic-work-plan-service/src/pta/entities/rund-campo-estado.entity.ts:54: BR-046 — Versión del bloque (incrementa en cada cambio de dato aprobado).</t>
  </si>
  <si>
    <t xml:space="preserve">Versión del bloque; se incrementa en cada cambio de dato aprobado (BR-046).</t>
  </si>
  <si>
    <t xml:space="preserve">código: academic-work-plan-service/src/pta/entities/rund-campo-estado.entity.ts:54</t>
  </si>
  <si>
    <t xml:space="preserve">C0682</t>
  </si>
  <si>
    <t xml:space="preserve">academic-work-plan-service/src/pta/entities/rund-campo-estado.entity.ts:60: Canal de origen del último cambio: MASIVO | MODAL | AUTOGESTION</t>
  </si>
  <si>
    <t xml:space="preserve">Canal de origen del último cambio del bloque: MASIVO, MODAL o AUTOGESTION.</t>
  </si>
  <si>
    <t xml:space="preserve">código: academic-work-plan-service/src/pta/entities/rund-campo-estado.entity.ts:60</t>
  </si>
  <si>
    <t xml:space="preserve">C0683</t>
  </si>
  <si>
    <t xml:space="preserve">soporte_ids</t>
  </si>
  <si>
    <t xml:space="preserve">academic-work-plan-service/src/pta/entities/rund-campo-estado.entity.ts:67: IDs de soportes vinculados (referencias a Carpeta Digital). BR-038 — Soporte obligatorio por campo crítico.</t>
  </si>
  <si>
    <t xml:space="preserve">Identificadores de los soportes vinculados al bloque, en formato JSON (lista), que referencian documentos de la Carpeta Digital (BR-038).</t>
  </si>
  <si>
    <t xml:space="preserve">código: academic-work-plan-service/src/pta/entities/rund-campo-estado.entity.ts:67</t>
  </si>
  <si>
    <t xml:space="preserve">C0684</t>
  </si>
  <si>
    <t xml:space="preserve">academic-work-plan-service/src/pta/entities/rund-campo-estado.entity.ts:73: Fecha de la última revisión/aprobación.</t>
  </si>
  <si>
    <t xml:space="preserve">Fecha de la última revisión o aprobación del bloque.</t>
  </si>
  <si>
    <t xml:space="preserve">código: academic-work-plan-service/src/pta/entities/rund-campo-estado.entity.ts:73</t>
  </si>
  <si>
    <t xml:space="preserve">C0685</t>
  </si>
  <si>
    <t xml:space="preserve">RundCargaMasiva</t>
  </si>
  <si>
    <t xml:space="preserve">nombre_archivo</t>
  </si>
  <si>
    <t xml:space="preserve">Nombre del archivo importado.</t>
  </si>
  <si>
    <t xml:space="preserve">nombre + descripción de la tabla</t>
  </si>
  <si>
    <t xml:space="preserve">C0686</t>
  </si>
  <si>
    <t xml:space="preserve">tipo_mime</t>
  </si>
  <si>
    <t xml:space="preserve">Tipo MIME del archivo importado.</t>
  </si>
  <si>
    <t xml:space="preserve">C0687</t>
  </si>
  <si>
    <t xml:space="preserve">C0688</t>
  </si>
  <si>
    <t xml:space="preserve">sha256</t>
  </si>
  <si>
    <t xml:space="preserve">character varying(64)</t>
  </si>
  <si>
    <t xml:space="preserve">Hash SHA-256 del archivo, en 64 caracteres hexadecimales.</t>
  </si>
  <si>
    <t xml:space="preserve">nombre + tipo varchar(64)</t>
  </si>
  <si>
    <t xml:space="preserve">C0689</t>
  </si>
  <si>
    <t xml:space="preserve">contenido</t>
  </si>
  <si>
    <t xml:space="preserve">bytea</t>
  </si>
  <si>
    <t xml:space="preserve">Contenido binario del archivo importado.</t>
  </si>
  <si>
    <t xml:space="preserve">nombre + tipo bytea + descripción de la tabla</t>
  </si>
  <si>
    <t xml:space="preserve">C0690</t>
  </si>
  <si>
    <t xml:space="preserve">Identificador del usuario que realizó la importación.</t>
  </si>
  <si>
    <t xml:space="preserve">C0691</t>
  </si>
  <si>
    <t xml:space="preserve">justificacion</t>
  </si>
  <si>
    <t xml:space="preserve">Justificación de la importación masiva.</t>
  </si>
  <si>
    <t xml:space="preserve">nombre + tipo text not null</t>
  </si>
  <si>
    <t xml:space="preserve">C0692</t>
  </si>
  <si>
    <t xml:space="preserve">C0693</t>
  </si>
  <si>
    <t xml:space="preserve">COMPLETADA, COMPLETADA_CON_ERRORES, FALLIDA, PROCESANDO</t>
  </si>
  <si>
    <t xml:space="preserve">Estado del registro de RundCargaMasiva.</t>
  </si>
  <si>
    <t xml:space="preserve">C0694</t>
  </si>
  <si>
    <t xml:space="preserve">resumen</t>
  </si>
  <si>
    <t xml:space="preserve">Resumen del resultado de la importación, en formato JSON.</t>
  </si>
  <si>
    <t xml:space="preserve">nombre + tipo jsonb</t>
  </si>
  <si>
    <t xml:space="preserve">¿Qué estructura tiene (registros creados, actualizados, con error)?</t>
  </si>
  <si>
    <t xml:space="preserve">C0695</t>
  </si>
  <si>
    <t xml:space="preserve">RundDocumentoCategoria</t>
  </si>
  <si>
    <t xml:space="preserve">Nombre del registro de RundDocumentoCategoria.</t>
  </si>
  <si>
    <t xml:space="preserve">C0696</t>
  </si>
  <si>
    <t xml:space="preserve">Descripción del registro de RundDocumentoCategoria.</t>
  </si>
  <si>
    <t xml:space="preserve">C0697</t>
  </si>
  <si>
    <t xml:space="preserve">mime_permitidos</t>
  </si>
  <si>
    <t xml:space="preserve">Tipos MIME permitidos para los documentos de la categoría (lista). Por defecto, application/pdf.</t>
  </si>
  <si>
    <t xml:space="preserve">nombre + tipo text[] + defecto</t>
  </si>
  <si>
    <t xml:space="preserve">C0698</t>
  </si>
  <si>
    <t xml:space="preserve">tamano_maximo_bytes</t>
  </si>
  <si>
    <t xml:space="preserve">Tamaño máximo permitido del archivo, en bytes. Por defecto, 10485760 (10 MB).</t>
  </si>
  <si>
    <t xml:space="preserve">nombre + tipo bigint + defecto</t>
  </si>
  <si>
    <t xml:space="preserve">C0699</t>
  </si>
  <si>
    <t xml:space="preserve">C0700</t>
  </si>
  <si>
    <t xml:space="preserve">C0701</t>
  </si>
  <si>
    <t xml:space="preserve">RundDocumentoPerfil</t>
  </si>
  <si>
    <t xml:space="preserve">documento_logico_id</t>
  </si>
  <si>
    <t xml:space="preserve">RundDocumentoPerfil_documento_logico_id_version_key, uq_rund_documento_perfil_vigente</t>
  </si>
  <si>
    <t xml:space="preserve">Identificador común a todas las versiones de un mismo documento. Junto con version no se repite.</t>
  </si>
  <si>
    <t xml:space="preserve">nombre + índice único (documento_logico_id, version) + descripción de la tabla</t>
  </si>
  <si>
    <t xml:space="preserve">C0702</t>
  </si>
  <si>
    <t xml:space="preserve">Función academic_work_plan.prevent_rund_document_change — academic_work_plan.prevent_rund_document_change: JOIN academic_work_plan."Docente" d ON d.id::text = j.docente_id::text</t>
  </si>
  <si>
    <t xml:space="preserve">idx_rund_documento_perfil_docente_categoria</t>
  </si>
  <si>
    <t xml:space="preserve">Identificador del docente dueño del documento.</t>
  </si>
  <si>
    <t xml:space="preserve">nombre + uso en la función prevent_rund_document_change (JOIN con Docente)</t>
  </si>
  <si>
    <t xml:space="preserve">C0703</t>
  </si>
  <si>
    <t xml:space="preserve">Bloque del perfil RUND al que se asocia el documento.</t>
  </si>
  <si>
    <t xml:space="preserve">nombre + columna homónima en RundCampoEstado</t>
  </si>
  <si>
    <t xml:space="preserve">¿Qué bloques existen?</t>
  </si>
  <si>
    <t xml:space="preserve">C0704</t>
  </si>
  <si>
    <t xml:space="preserve">tipo_soporte</t>
  </si>
  <si>
    <t xml:space="preserve">Tipo de soporte que acredita el documento.</t>
  </si>
  <si>
    <t xml:space="preserve">¿Qué valores toma y de qué catálogo salen?</t>
  </si>
  <si>
    <t xml:space="preserve">C0705</t>
  </si>
  <si>
    <t xml:space="preserve">Descripción del registro de RundDocumentoPerfil.</t>
  </si>
  <si>
    <t xml:space="preserve">C0706</t>
  </si>
  <si>
    <t xml:space="preserve">RundDocumentoPerfil_documento_logico_id_version_key</t>
  </si>
  <si>
    <t xml:space="preserve">C0707</t>
  </si>
  <si>
    <t xml:space="preserve">Nombre original del archivo cargado.</t>
  </si>
  <si>
    <t xml:space="preserve">C0708</t>
  </si>
  <si>
    <t xml:space="preserve">C0709</t>
  </si>
  <si>
    <t xml:space="preserve">C0710</t>
  </si>
  <si>
    <t xml:space="preserve">checksum_sha256</t>
  </si>
  <si>
    <t xml:space="preserve">Hash SHA-256 del archivo.</t>
  </si>
  <si>
    <t xml:space="preserve">C0711</t>
  </si>
  <si>
    <t xml:space="preserve">proveedor_almacenamiento</t>
  </si>
  <si>
    <t xml:space="preserve">Proveedor donde se almacena el archivo (OpenKM o almacenamiento local de desarrollo).</t>
  </si>
  <si>
    <t xml:space="preserve">¿Con qué valores exactos se registra cada proveedor?</t>
  </si>
  <si>
    <t xml:space="preserve">C0712</t>
  </si>
  <si>
    <t xml:space="preserve">almacenamiento_id</t>
  </si>
  <si>
    <t xml:space="preserve">Identificador del archivo en el proveedor de almacenamiento.</t>
  </si>
  <si>
    <t xml:space="preserve">C0713</t>
  </si>
  <si>
    <t xml:space="preserve">almacenamiento_ruta</t>
  </si>
  <si>
    <t xml:space="preserve">Ruta del archivo en el proveedor de almacenamiento.</t>
  </si>
  <si>
    <t xml:space="preserve">C0714</t>
  </si>
  <si>
    <t xml:space="preserve">ACTIVO, ELIMINADO, REEMPLAZADO</t>
  </si>
  <si>
    <t xml:space="preserve">Estado del registro de RundDocumentoPerfil.</t>
  </si>
  <si>
    <t xml:space="preserve">C0715</t>
  </si>
  <si>
    <t xml:space="preserve">rund_soporte_id</t>
  </si>
  <si>
    <t xml:space="preserve">idx_rund_documento_perfil_soporte</t>
  </si>
  <si>
    <t xml:space="preserve">Identificador del soporte RUND al que corresponde el documento.</t>
  </si>
  <si>
    <t xml:space="preserve">¿A qué tabla de soportes apunta?</t>
  </si>
  <si>
    <t xml:space="preserve">C0716</t>
  </si>
  <si>
    <t xml:space="preserve">eliminado_por</t>
  </si>
  <si>
    <t xml:space="preserve">Usuario que realizó la eliminación.</t>
  </si>
  <si>
    <t xml:space="preserve">C0717</t>
  </si>
  <si>
    <t xml:space="preserve">eliminado_en</t>
  </si>
  <si>
    <t xml:space="preserve">C0718</t>
  </si>
  <si>
    <t xml:space="preserve">RundExtraccionInicio</t>
  </si>
  <si>
    <t xml:space="preserve">desde</t>
  </si>
  <si>
    <t xml:space="preserve">Fecha y hora desde la que se toman los registros para la extracción, con zona horaria.</t>
  </si>
  <si>
    <t xml:space="preserve">nombre + tipo timestamptz + defecto now()</t>
  </si>
  <si>
    <t xml:space="preserve">¿Qué proceso usa esta fecha y qué registros filtra?</t>
  </si>
  <si>
    <t xml:space="preserve">C0719</t>
  </si>
  <si>
    <t xml:space="preserve">RundExtraccionSugerencia</t>
  </si>
  <si>
    <t xml:space="preserve">campo</t>
  </si>
  <si>
    <t xml:space="preserve">Función academic_work_plan.prevent_rund_document_change — academic_work_plan.prevent_rund_document_change: AND s.campo = 'documentNumber'</t>
  </si>
  <si>
    <t xml:space="preserve">RundExtraccionSugerencia_trabajo_id_campo_key</t>
  </si>
  <si>
    <t xml:space="preserve">Nombre del campo del perfil para el que se sugiere un valor (por ejemplo, documentNumber).</t>
  </si>
  <si>
    <t xml:space="preserve">nombre + índice único (trabajo_id, campo) + uso en la función prevent_rund_document_change</t>
  </si>
  <si>
    <t xml:space="preserve">C0720</t>
  </si>
  <si>
    <t xml:space="preserve">Función academic_work_plan.prevent_rund_document_change — academic_work_plan.prevent_rund_document_change: AND regexp_replace(UPPER(BTRIM(s.valor)), '[^A-Z0-9]', '', 'g') =</t>
  </si>
  <si>
    <t xml:space="preserve">Valor sugerido, extraído del documento.</t>
  </si>
  <si>
    <t xml:space="preserve">nombre + uso en la función prevent_rund_document_change</t>
  </si>
  <si>
    <t xml:space="preserve">C0721</t>
  </si>
  <si>
    <t xml:space="preserve">valor_previo</t>
  </si>
  <si>
    <t xml:space="preserve">Valor que tenía el campo antes de la sugerencia.</t>
  </si>
  <si>
    <t xml:space="preserve">nombre + columna vecina valor</t>
  </si>
  <si>
    <t xml:space="preserve">C0722</t>
  </si>
  <si>
    <t xml:space="preserve">pagina</t>
  </si>
  <si>
    <t xml:space="preserve">Número de la página del documento de donde se extrajo el valor. Debe ser mayor que cero.</t>
  </si>
  <si>
    <t xml:space="preserve">nombre + CHECK pagina &gt; 0</t>
  </si>
  <si>
    <t xml:space="preserve">C0723</t>
  </si>
  <si>
    <t xml:space="preserve">evidencia</t>
  </si>
  <si>
    <t xml:space="preserve">Fragmento de texto del documento que respalda el valor sugerido.</t>
  </si>
  <si>
    <t xml:space="preserve">nombre + tipo text + columna vecina pagina</t>
  </si>
  <si>
    <t xml:space="preserve">¿Es el texto extraído o una referencia a una región del documento?</t>
  </si>
  <si>
    <t xml:space="preserve">C0724</t>
  </si>
  <si>
    <t xml:space="preserve">confianza</t>
  </si>
  <si>
    <t xml:space="preserve">numeric</t>
  </si>
  <si>
    <t xml:space="preserve">Nivel de confianza de la extracción, entre 0 y 1.</t>
  </si>
  <si>
    <t xml:space="preserve">nombre + CHECK entre 0 y 1</t>
  </si>
  <si>
    <t xml:space="preserve">C0725</t>
  </si>
  <si>
    <t xml:space="preserve">baja_confianza</t>
  </si>
  <si>
    <t xml:space="preserve">Indica si aplica: baja confianza.</t>
  </si>
  <si>
    <t xml:space="preserve">C0726</t>
  </si>
  <si>
    <t xml:space="preserve">APROBADA, CORREGIDA, DESCARTADA, PENDIENTE</t>
  </si>
  <si>
    <t xml:space="preserve">Estado del registro de RundExtraccionSugerencia.</t>
  </si>
  <si>
    <t xml:space="preserve">C0727</t>
  </si>
  <si>
    <t xml:space="preserve">valor_confirmado</t>
  </si>
  <si>
    <t xml:space="preserve">Valor confirmado por el revisor.</t>
  </si>
  <si>
    <t xml:space="preserve">nombre + columnas vecinas revisado_por y revisado_en</t>
  </si>
  <si>
    <t xml:space="preserve">C0728</t>
  </si>
  <si>
    <t xml:space="preserve">Usuario que realizó la revisión.</t>
  </si>
  <si>
    <t xml:space="preserve">C0729</t>
  </si>
  <si>
    <t xml:space="preserve">Motivo de la decisión del revisor sobre la sugerencia.</t>
  </si>
  <si>
    <t xml:space="preserve">nombre + columnas vecinas estado y revisado_por</t>
  </si>
  <si>
    <t xml:space="preserve">¿Se registra solo al rechazar o en cualquier decisión?</t>
  </si>
  <si>
    <t xml:space="preserve">C0730</t>
  </si>
  <si>
    <t xml:space="preserve">revisado_en</t>
  </si>
  <si>
    <t xml:space="preserve">C0731</t>
  </si>
  <si>
    <t xml:space="preserve">RundExtraccionTrabajo</t>
  </si>
  <si>
    <t xml:space="preserve">idx_rund_extraccion_docente</t>
  </si>
  <si>
    <t xml:space="preserve">Identificador del docente cuyo documento RUND se procesa en este trabajo de extracción. Referencia a academic_work_plan."Docente".</t>
  </si>
  <si>
    <t xml:space="preserve">nombre + uuid + JOIN con Docente en prevent_rund_document_change</t>
  </si>
  <si>
    <t xml:space="preserve">C0732</t>
  </si>
  <si>
    <t xml:space="preserve">COMPLETADO, ERROR, OBSOLETO, PENDIENTE, PROCESANDO</t>
  </si>
  <si>
    <t xml:space="preserve">idx_rund_extraccion_cola</t>
  </si>
  <si>
    <t xml:space="preserve">Estado del registro de RundExtraccionTrabajo.</t>
  </si>
  <si>
    <t xml:space="preserve">C0733</t>
  </si>
  <si>
    <t xml:space="preserve">intentos</t>
  </si>
  <si>
    <t xml:space="preserve">Número de intentos de procesamiento realizados para este trabajo de extracción.</t>
  </si>
  <si>
    <t xml:space="preserve">nombre + integer con defecto 0 + columnas vecinas de cola (estado, disponible_en)</t>
  </si>
  <si>
    <t xml:space="preserve">¿Se incrementa en cada intento fallido o en cada toma del trabajo, y existe un máximo de reintentos?</t>
  </si>
  <si>
    <t xml:space="preserve">C0734</t>
  </si>
  <si>
    <t xml:space="preserve">disponible_en</t>
  </si>
  <si>
    <t xml:space="preserve">Fecha y hora a partir de la cual el trabajo queda disponible para que un proceso lo tome de la cola.</t>
  </si>
  <si>
    <t xml:space="preserve">nombre + timestamptz con defecto now() + índice idx_rund_extraccion_cola</t>
  </si>
  <si>
    <t xml:space="preserve">¿Se reprograma a una fecha futura cuando el trabajo falla y debe reintentarse?</t>
  </si>
  <si>
    <t xml:space="preserve">C0735</t>
  </si>
  <si>
    <t xml:space="preserve">lease_id</t>
  </si>
  <si>
    <t xml:space="preserve">Identificador de la reserva temporal (lease) con la que un proceso de trabajo toma el registro para procesarlo.</t>
  </si>
  <si>
    <t xml:space="preserve">nombre técnico + uuid + columna vecina lease_hasta</t>
  </si>
  <si>
    <t xml:space="preserve">¿Qué componente asigna este identificador y se limpia al terminar el procesamiento?</t>
  </si>
  <si>
    <t xml:space="preserve">C0736</t>
  </si>
  <si>
    <t xml:space="preserve">lease_hasta</t>
  </si>
  <si>
    <t xml:space="preserve">Fecha y hora en que vence la reserva temporal (lease) del trabajo; después puede tomarlo otro proceso.</t>
  </si>
  <si>
    <t xml:space="preserve">nombre + timestamptz + columna vecina lease_id</t>
  </si>
  <si>
    <t xml:space="preserve">¿Cuál es la duración de la reserva y qué ocurre con el trabajo cuando vence sin terminar?</t>
  </si>
  <si>
    <t xml:space="preserve">C0737</t>
  </si>
  <si>
    <t xml:space="preserve">perfil_base</t>
  </si>
  <si>
    <t xml:space="preserve">Datos del perfil del docente usados como punto de partida para la extracción, en formato JSON.</t>
  </si>
  <si>
    <t xml:space="preserve">nombre + jsonb con defecto '{}'</t>
  </si>
  <si>
    <t xml:space="preserve">¿Qué estructura tiene este JSON y de dónde se toman los datos del perfil base?</t>
  </si>
  <si>
    <t xml:space="preserve">C0738</t>
  </si>
  <si>
    <t xml:space="preserve">motor</t>
  </si>
  <si>
    <t xml:space="preserve">Información del motor de extracción usado en el trabajo (por ejemplo, nombre, versión o parámetros), en formato JSON.</t>
  </si>
  <si>
    <t xml:space="preserve">nombre técnico + jsonb con defecto '{}'</t>
  </si>
  <si>
    <t xml:space="preserve">¿Qué datos guarda este JSON: identificación del motor, configuración o resultados del procesamiento?</t>
  </si>
  <si>
    <t xml:space="preserve">C0739</t>
  </si>
  <si>
    <t xml:space="preserve">error_codigo</t>
  </si>
  <si>
    <t xml:space="preserve">Código del error ocurrido en el último intento de procesamiento, si lo hubo.</t>
  </si>
  <si>
    <t xml:space="preserve">nombre + text nulo + columna vecina intentos</t>
  </si>
  <si>
    <t xml:space="preserve">¿Existe un catálogo de códigos de error posibles?</t>
  </si>
  <si>
    <t xml:space="preserve">C0740</t>
  </si>
  <si>
    <t xml:space="preserve">etapa</t>
  </si>
  <si>
    <t xml:space="preserve">Etapa actual del trabajo de extracción dentro de su procesamiento. Valor inicial: EN_COLA.</t>
  </si>
  <si>
    <t xml:space="preserve">nombre + text con defecto 'EN_COLA'</t>
  </si>
  <si>
    <t xml:space="preserve">¿Cuáles son las etapas posibles además de EN_COLA y en qué se diferencian de la columna estado?</t>
  </si>
  <si>
    <t xml:space="preserve">C0741</t>
  </si>
  <si>
    <t xml:space="preserve">etapa_desde</t>
  </si>
  <si>
    <t xml:space="preserve">Fecha y hora en que el trabajo entró a su etapa actual.</t>
  </si>
  <si>
    <t xml:space="preserve">nombre + timestamptz con defecto now() + columna vecina etapa</t>
  </si>
  <si>
    <t xml:space="preserve">C0742</t>
  </si>
  <si>
    <t xml:space="preserve">iniciado_en</t>
  </si>
  <si>
    <t xml:space="preserve">Fecha y hora del inicio.</t>
  </si>
  <si>
    <t xml:space="preserve">C0743</t>
  </si>
  <si>
    <t xml:space="preserve">notificacion_id</t>
  </si>
  <si>
    <t xml:space="preserve">Identificador de la notificación asociada al trabajo de extracción. Se genera automáticamente.</t>
  </si>
  <si>
    <t xml:space="preserve">nombre + uuid con defecto gen_random_uuid() + columnas vecinas notificado_en, notificacion_proxima</t>
  </si>
  <si>
    <t xml:space="preserve">¿Este identificador corresponde a un registro del esquema notifications o solo sirve para evitar avisos duplicados?</t>
  </si>
  <si>
    <t xml:space="preserve">C0744</t>
  </si>
  <si>
    <t xml:space="preserve">notificado_en</t>
  </si>
  <si>
    <t xml:space="preserve">Fecha y hora de la notificación.</t>
  </si>
  <si>
    <t xml:space="preserve">C0745</t>
  </si>
  <si>
    <t xml:space="preserve">notificacion_proxima</t>
  </si>
  <si>
    <t xml:space="preserve">idx_rund_extraccion_aviso</t>
  </si>
  <si>
    <t xml:space="preserve">Fecha y hora programada para el próximo aviso relacionado con el trabajo de extracción.</t>
  </si>
  <si>
    <t xml:space="preserve">nombre + timestamptz con defecto now() + índice idx_rund_extraccion_aviso</t>
  </si>
  <si>
    <t xml:space="preserve">¿A quién se envía el aviso y con qué periodicidad se reprograma?</t>
  </si>
  <si>
    <t xml:space="preserve">C0746</t>
  </si>
  <si>
    <t xml:space="preserve">RundInvitacionDocente</t>
  </si>
  <si>
    <t xml:space="preserve">idx_rund_invitacion_correo</t>
  </si>
  <si>
    <t xml:space="preserve">Correo electrónico institucional del docente al que se envía la invitación.</t>
  </si>
  <si>
    <t xml:space="preserve">nombre + varchar(255) + índice idx_rund_invitacion_correo</t>
  </si>
  <si>
    <t xml:space="preserve">C0747</t>
  </si>
  <si>
    <t xml:space="preserve">documento_identidad</t>
  </si>
  <si>
    <t xml:space="preserve">Número del documento de identidad del docente invitado.</t>
  </si>
  <si>
    <t xml:space="preserve">nombre + varchar(100)</t>
  </si>
  <si>
    <t xml:space="preserve">C0748</t>
  </si>
  <si>
    <t xml:space="preserve">token_invitacion</t>
  </si>
  <si>
    <t xml:space="preserve">RundInvitacionDocente_token_invitacion_key, idx_rund_invitacion_token</t>
  </si>
  <si>
    <t xml:space="preserve">Token único del enlace de invitación enviado al docente.</t>
  </si>
  <si>
    <t xml:space="preserve">nombre + restricción única + columna vecina caducidad_token</t>
  </si>
  <si>
    <t xml:space="preserve">C0749</t>
  </si>
  <si>
    <t xml:space="preserve">otp_hash</t>
  </si>
  <si>
    <t xml:space="preserve">Hash del código de un solo uso (OTP) enviado al docente para validar el acceso. No guarda el código en claro.</t>
  </si>
  <si>
    <t xml:space="preserve">nombre + varchar(255) + columna vecina intentos_otp</t>
  </si>
  <si>
    <t xml:space="preserve">¿Qué algoritmo de hash se usa y se borra el valor después de validar el código?</t>
  </si>
  <si>
    <t xml:space="preserve">C0750</t>
  </si>
  <si>
    <t xml:space="preserve">estado_invitacion</t>
  </si>
  <si>
    <t xml:space="preserve">Estado de la invitación al docente. Valor inicial: Enviada.</t>
  </si>
  <si>
    <t xml:space="preserve">nombre + varchar(50) con defecto 'Enviada'</t>
  </si>
  <si>
    <t xml:space="preserve">¿Cuáles son los demás estados posibles (por ejemplo, Abierta, Completada, Vencida)?</t>
  </si>
  <si>
    <t xml:space="preserve">C0751</t>
  </si>
  <si>
    <t xml:space="preserve">caducidad_token</t>
  </si>
  <si>
    <t xml:space="preserve">Fecha y hora en que vence el token de invitación.</t>
  </si>
  <si>
    <t xml:space="preserve">nombre + timestamp + columna vecina token_invitacion</t>
  </si>
  <si>
    <t xml:space="preserve">C0752</t>
  </si>
  <si>
    <t xml:space="preserve">Número de intentos de validación del código OTP realizados por el docente.</t>
  </si>
  <si>
    <t xml:space="preserve">nombre + integer con defecto 0 + columna vecina bloqueo_hasta</t>
  </si>
  <si>
    <t xml:space="preserve">¿Cuántos intentos fallidos se permiten antes del bloqueo y se cuentan también los exitosos?</t>
  </si>
  <si>
    <t xml:space="preserve">C0753</t>
  </si>
  <si>
    <t xml:space="preserve">bloqueo_hasta</t>
  </si>
  <si>
    <t xml:space="preserve">Fecha y hora hasta la cual la invitación queda bloqueada tras superar los intentos permitidos de OTP.</t>
  </si>
  <si>
    <t xml:space="preserve">nombre + timestamp + columna vecina intentos_otp</t>
  </si>
  <si>
    <t xml:space="preserve">¿Cuánto dura el bloqueo y qué número de intentos lo activa?</t>
  </si>
  <si>
    <t xml:space="preserve">C0754</t>
  </si>
  <si>
    <t xml:space="preserve">fecha_envio</t>
  </si>
  <si>
    <t xml:space="preserve">Fecha de envio.</t>
  </si>
  <si>
    <t xml:space="preserve">C0755</t>
  </si>
  <si>
    <t xml:space="preserve">fecha_apertura</t>
  </si>
  <si>
    <t xml:space="preserve">Fecha de apertura.</t>
  </si>
  <si>
    <t xml:space="preserve">C0756</t>
  </si>
  <si>
    <t xml:space="preserve">ultima_actividad</t>
  </si>
  <si>
    <t xml:space="preserve">Fecha y hora de la última acción del docente sobre la invitación.</t>
  </si>
  <si>
    <t xml:space="preserve">nombre + timestamp + columnas vecinas fecha_envio, fecha_apertura</t>
  </si>
  <si>
    <t xml:space="preserve">¿Qué acciones actualizan este valor: apertura, validación OTP o carga de información?</t>
  </si>
  <si>
    <t xml:space="preserve">C0757</t>
  </si>
  <si>
    <t xml:space="preserve">Identificador del docente asociado a la invitación, en texto.</t>
  </si>
  <si>
    <t xml:space="preserve">nombre + text nulo</t>
  </si>
  <si>
    <t xml:space="preserve">¿Corresponde al id de academic_work_plan."Docente" y por qué se guarda como texto y no como uuid?</t>
  </si>
  <si>
    <t xml:space="preserve">C0758</t>
  </si>
  <si>
    <t xml:space="preserve">operador_id</t>
  </si>
  <si>
    <t xml:space="preserve">Identificador del usuario operador que generó o envió la invitación.</t>
  </si>
  <si>
    <t xml:space="preserve">nombre + varchar(255) nulo</t>
  </si>
  <si>
    <t xml:space="preserve">¿El operador es el usuario de auth."user" o de auth.personas, y qué identificador se guarda?</t>
  </si>
  <si>
    <t xml:space="preserve">C0759</t>
  </si>
  <si>
    <t xml:space="preserve">RundMacroDocenteConsultaLog</t>
  </si>
  <si>
    <t xml:space="preserve">tipo_consulta</t>
  </si>
  <si>
    <t xml:space="preserve">academic-work-plan-service/src/pta/entities/rund-macro-docente-consulta-log.entity.ts:16: MACRO_DOCENTE | CONSULTA_PUNTUAL | EXTERNA | db/migrations/417_create_rund_macro_docente_acceso_externo.sql:41: MACRO_DOCENTE | CONSULTA_PUNTUAL | EXTERNA</t>
  </si>
  <si>
    <t xml:space="preserve">Tipo de consulta realizada sobre el Macro Docente: MACRO_DOCENTE, CONSULTA_PUNTUAL o EXTERNA.</t>
  </si>
  <si>
    <t xml:space="preserve">código: academic-work-plan-service/src/pta/entities/rund-macro-docente-consulta-log.entity.ts:16; db/migrations/417_create_rund_macro_docente_acceso_externo.sql:41</t>
  </si>
  <si>
    <t xml:space="preserve">C0760</t>
  </si>
  <si>
    <t xml:space="preserve">Mapeada en academic-work-plan-service/src/pta/entities/rund-macro-docente-consulta-log.entity.ts:19 (RundMacroDocenteConsultaLogEntity.actorId)</t>
  </si>
  <si>
    <t xml:space="preserve">Identificador del usuario que realizó la consulta.</t>
  </si>
  <si>
    <t xml:space="preserve">nombre + text not null + columna vecina roles</t>
  </si>
  <si>
    <t xml:space="preserve">¿Qué identificador se guarda (id de usuario, id de persona o correo)?</t>
  </si>
  <si>
    <t xml:space="preserve">C0761</t>
  </si>
  <si>
    <t xml:space="preserve">Mapeada en academic-work-plan-service/src/pta/entities/rund-macro-docente-consulta-log.entity.ts:22 (RundMacroDocenteConsultaLogEntity.roles)</t>
  </si>
  <si>
    <t xml:space="preserve">Roles que tenía el usuario al momento de la consulta, como lista de textos.</t>
  </si>
  <si>
    <t xml:space="preserve">nombre + text[] + columna vecina actor_id</t>
  </si>
  <si>
    <t xml:space="preserve">C0762</t>
  </si>
  <si>
    <t xml:space="preserve">idx_rund_macro_docente_log_docente</t>
  </si>
  <si>
    <t xml:space="preserve">Mapeada en academic-work-plan-service/src/pta/entities/rund-macro-docente-consulta-log.entity.ts:28 (RundMacroDocenteConsultaLogEntity.docenteId)</t>
  </si>
  <si>
    <t xml:space="preserve">Identificador del docente consultado, cuando la consulta se refiere a un docente específico.</t>
  </si>
  <si>
    <t xml:space="preserve">nombre + text nulo + índice idx_rund_macro_docente_log_docente</t>
  </si>
  <si>
    <t xml:space="preserve">¿Corresponde al id de academic_work_plan."Docente"?</t>
  </si>
  <si>
    <t xml:space="preserve">C0763</t>
  </si>
  <si>
    <t xml:space="preserve">Mapeada en academic-work-plan-service/src/pta/entities/rund-macro-docente-consulta-log.entity.ts:31 (RundMacroDocenteConsultaLogEntity.periodo)</t>
  </si>
  <si>
    <t xml:space="preserve">Periodo académico consultado.</t>
  </si>
  <si>
    <t xml:space="preserve">¿Qué formato tiene el periodo (por ejemplo, 2026-1)?</t>
  </si>
  <si>
    <t xml:space="preserve">C0764</t>
  </si>
  <si>
    <t xml:space="preserve">filtros</t>
  </si>
  <si>
    <t xml:space="preserve">Mapeada en academic-work-plan-service/src/pta/entities/rund-macro-docente-consulta-log.entity.ts:34 (RundMacroDocenteConsultaLogEntity.filtros)</t>
  </si>
  <si>
    <t xml:space="preserve">Filtros aplicados en la consulta, en formato JSON.</t>
  </si>
  <si>
    <t xml:space="preserve">nombre + jsonb + tabla de registro de consultas</t>
  </si>
  <si>
    <t xml:space="preserve">C0765</t>
  </si>
  <si>
    <t xml:space="preserve">total_resultados</t>
  </si>
  <si>
    <t xml:space="preserve">Mapeada en academic-work-plan-service/src/pta/entities/rund-macro-docente-consulta-log.entity.ts:37 (RundMacroDocenteConsultaLogEntity.totalResultados)</t>
  </si>
  <si>
    <t xml:space="preserve">Número de registros devueltos por la consulta.</t>
  </si>
  <si>
    <t xml:space="preserve">nombre + integer + tabla de registro de consultas</t>
  </si>
  <si>
    <t xml:space="preserve">C0766</t>
  </si>
  <si>
    <t xml:space="preserve">Mapeada en academic-work-plan-service/src/pta/entities/rund-macro-docente-consulta-log.entity.ts:40 (RundMacroDocenteConsultaLogEntity.ip)</t>
  </si>
  <si>
    <t xml:space="preserve">C0767</t>
  </si>
  <si>
    <t xml:space="preserve">RundSoporteCampo</t>
  </si>
  <si>
    <t xml:space="preserve">idx_rund_soporte_campo_bloque, idx_rund_soporte_campo_docente</t>
  </si>
  <si>
    <t xml:space="preserve">Mapeada en academic-work-plan-service/src/pta/entities/rund-soporte-campo.entity.ts:13 (RundSoporteCampoEntity.docenteId)</t>
  </si>
  <si>
    <t xml:space="preserve">Identificador del docente al que pertenece el soporte.</t>
  </si>
  <si>
    <t xml:space="preserve">nombre + uuid + índices por docente</t>
  </si>
  <si>
    <t xml:space="preserve">C0768</t>
  </si>
  <si>
    <t xml:space="preserve">idx_rund_soporte_campo_bloque</t>
  </si>
  <si>
    <t xml:space="preserve">academic-work-plan-service/src/pta/entities/rund-soporte-campo.entity.ts:20: Bloque de campos al que aplica este soporte. IDENTIDAD | FORMACION | VINCULACION | CONTACTO</t>
  </si>
  <si>
    <t xml:space="preserve">Bloque de campos RUND al que aplica el soporte: IDENTIDAD, FORMACION, VINCULACION o CONTACTO.</t>
  </si>
  <si>
    <t xml:space="preserve">código: academic-work-plan-service/src/pta/entities/rund-soporte-campo.entity.ts:20</t>
  </si>
  <si>
    <t xml:space="preserve">C0769</t>
  </si>
  <si>
    <t xml:space="preserve">academic-work-plan-service/src/pta/entities/rund-soporte-campo.entity.ts:32: BR-039 — Tipo de soporte según catálogo: - IDENTIDAD: documento_identidad, cedula_extranjeria - FORMACION: diploma_pregrado, acta_grado_pregrado, diploma_especializacion, diploma_maestria, diploma_doctorado, convalidacion_men - VINCULACION: acto_administrativo, resolucion_nombramiento, contrato, eva</t>
  </si>
  <si>
    <t xml:space="preserve">Tipo de soporte según el catálogo por bloque (BR-039): por ejemplo, documento_identidad (IDENTIDAD), diploma_pregrado o convalidacion_men (FORMACION) y acto_administrativo o contrato (VINCULACION). CONTACTO no requiere soporte.</t>
  </si>
  <si>
    <t xml:space="preserve">código: academic-work-plan-service/src/pta/entities/rund-soporte-campo.entity.ts:32</t>
  </si>
  <si>
    <t xml:space="preserve">C0770</t>
  </si>
  <si>
    <t xml:space="preserve">documento_carpeta_id</t>
  </si>
  <si>
    <t xml:space="preserve">academic-work-plan-service/src/pta/entities/rund-soporte-campo.entity.ts:39: BR-058 — Referencia al documento en Carpeta Digital (no duplicamos el archivo). Puede ser el ID del tipo_documento o el ID del archivo en Carpeta Digital.</t>
  </si>
  <si>
    <t xml:space="preserve">Referencia al documento en la Carpeta Digital, sin duplicar el archivo: puede ser el identificador del tipo_documento o el del archivo en la Carpeta Digital (BR-058).</t>
  </si>
  <si>
    <t xml:space="preserve">código: academic-work-plan-service/src/pta/entities/rund-soporte-campo.entity.ts:39</t>
  </si>
  <si>
    <t xml:space="preserve">C0771</t>
  </si>
  <si>
    <t xml:space="preserve">academic-work-plan-service/src/pta/entities/rund-soporte-campo.entity.ts:45: Nombre descriptivo del archivo para display.</t>
  </si>
  <si>
    <t xml:space="preserve">Nombre descriptivo del archivo del soporte, para mostrar.</t>
  </si>
  <si>
    <t xml:space="preserve">código: academic-work-plan-service/src/pta/entities/rund-soporte-campo.entity.ts:45</t>
  </si>
  <si>
    <t xml:space="preserve">C0772</t>
  </si>
  <si>
    <t xml:space="preserve">academic-work-plan-service/src/pta/entities/rund-soporte-campo.entity.ts:51: Estado del soporte: Pendiente | Aprobado | Rechazado</t>
  </si>
  <si>
    <t xml:space="preserve">Estado del soporte: Pendiente, Aprobado o Rechazado.</t>
  </si>
  <si>
    <t xml:space="preserve">código: academic-work-plan-service/src/pta/entities/rund-soporte-campo.entity.ts:51</t>
  </si>
  <si>
    <t xml:space="preserve">C0773</t>
  </si>
  <si>
    <t xml:space="preserve">academic-work-plan-service/src/pta/entities/rund-soporte-campo.entity.ts:67: Quién cargó el soporte.</t>
  </si>
  <si>
    <t xml:space="preserve">Usuario que cargó el soporte.</t>
  </si>
  <si>
    <t xml:space="preserve">código: academic-work-plan-service/src/pta/entities/rund-soporte-campo.entity.ts:67</t>
  </si>
  <si>
    <t xml:space="preserve">C0774</t>
  </si>
  <si>
    <t xml:space="preserve">academic-work-plan-service/src/pta/entities/rund-soporte-campo.entity.ts:73: Observación del revisor (motivo de rechazo, etc.)</t>
  </si>
  <si>
    <t xml:space="preserve">Observación del revisor sobre el soporte, como el motivo de rechazo.</t>
  </si>
  <si>
    <t xml:space="preserve">código: academic-work-plan-service/src/pta/entities/rund-soporte-campo.entity.ts:73</t>
  </si>
  <si>
    <t xml:space="preserve">C0775</t>
  </si>
  <si>
    <t xml:space="preserve">academic-work-plan-service/src/pta/entities/rund-soporte-campo.entity.ts:61: BR-055 — Fecha de vencimiento (solo para soportes con vigencia: certificaciones, evaluaciones). null = sin caducidad (diplomas).</t>
  </si>
  <si>
    <t xml:space="preserve">Fecha de vencimiento del soporte, solo para soportes con vigencia (certificaciones, evaluaciones); vacía si no caduca, como los diplomas (BR-055).</t>
  </si>
  <si>
    <t xml:space="preserve">código: academic-work-plan-service/src/pta/entities/rund-soporte-campo.entity.ts:61</t>
  </si>
  <si>
    <t xml:space="preserve">C0776</t>
  </si>
  <si>
    <t xml:space="preserve">documento_perfil_id</t>
  </si>
  <si>
    <t xml:space="preserve">Identificador del documento de perfil del docente al que se asocia el soporte.</t>
  </si>
  <si>
    <t xml:space="preserve">nombre + uuid nulo</t>
  </si>
  <si>
    <t xml:space="preserve">¿Hace referencia a academic_work_plan."Documento" u otra tabla?</t>
  </si>
  <si>
    <t xml:space="preserve">C0777</t>
  </si>
  <si>
    <t xml:space="preserve">revisiones_campos</t>
  </si>
  <si>
    <t xml:space="preserve">Mapeada en academic-work-plan-service/src/pta/entities/rund-soporte-campo.entity.ts:54 (RundSoporteCampoEntity.revisionesCampos)</t>
  </si>
  <si>
    <t xml:space="preserve">Resultado de la revisión de cada campo del soporte, en formato JSON.</t>
  </si>
  <si>
    <t xml:space="preserve">¿Qué estructura tiene el JSON (campo, estado, observación, revisor)?</t>
  </si>
  <si>
    <t xml:space="preserve">C0778</t>
  </si>
  <si>
    <t xml:space="preserve">Sede</t>
  </si>
  <si>
    <t xml:space="preserve">Mapeada en academic-work-plan-service/src/pta/entities/sede.entity.ts:16 (SedeEntity.nombre)</t>
  </si>
  <si>
    <t xml:space="preserve">Nombre del registro de Sede.</t>
  </si>
  <si>
    <t xml:space="preserve">C0779</t>
  </si>
  <si>
    <t xml:space="preserve">municipio</t>
  </si>
  <si>
    <t xml:space="preserve">Mapeada en academic-work-plan-service/src/pta/entities/sede.entity.ts:19 (SedeEntity.municipio)</t>
  </si>
  <si>
    <t xml:space="preserve">Municipio donde se ubica la sede.</t>
  </si>
  <si>
    <t xml:space="preserve">C0780</t>
  </si>
  <si>
    <t xml:space="preserve">Sede_codigo_key</t>
  </si>
  <si>
    <t xml:space="preserve">Mapeada en academic-work-plan-service/src/pta/entities/sede.entity.ts:22 (SedeEntity.codigo)</t>
  </si>
  <si>
    <t xml:space="preserve">Código del registro de Sede. Único en la tabla.</t>
  </si>
  <si>
    <t xml:space="preserve">C0781</t>
  </si>
  <si>
    <t xml:space="preserve">SistemaAlerta</t>
  </si>
  <si>
    <t xml:space="preserve">Tipo del registro de SistemaAlerta.</t>
  </si>
  <si>
    <t xml:space="preserve">C0782</t>
  </si>
  <si>
    <t xml:space="preserve">severidad</t>
  </si>
  <si>
    <t xml:space="preserve">Nivel de severidad de la alerta; por defecto, «ALTA».</t>
  </si>
  <si>
    <t xml:space="preserve">¿Qué otros valores toma severidad?</t>
  </si>
  <si>
    <t xml:space="preserve">C0783</t>
  </si>
  <si>
    <t xml:space="preserve">Mensaje descriptivo de la alerta.</t>
  </si>
  <si>
    <t xml:space="preserve">C0784</t>
  </si>
  <si>
    <t xml:space="preserve">entidadId</t>
  </si>
  <si>
    <t xml:space="preserve">Identificador del registro que origina la alerta.</t>
  </si>
  <si>
    <t xml:space="preserve">nombre + tipo + columnas vecinas (entidadRef)</t>
  </si>
  <si>
    <t xml:space="preserve">¿A qué tablas puede apuntar entidadId?</t>
  </si>
  <si>
    <t xml:space="preserve">C0785</t>
  </si>
  <si>
    <t xml:space="preserve">entidadRef</t>
  </si>
  <si>
    <t xml:space="preserve">Referencia o tipo de la entidad que origina la alerta.</t>
  </si>
  <si>
    <t xml:space="preserve">nombre + tipo + columnas vecinas (entidadId)</t>
  </si>
  <si>
    <t xml:space="preserve">¿Qué guarda entidadRef: el nombre de la tabla, un código legible u otro dato?</t>
  </si>
  <si>
    <t xml:space="preserve">C0786</t>
  </si>
  <si>
    <t xml:space="preserve">resuelta</t>
  </si>
  <si>
    <t xml:space="preserve">Indica si aplica: resuelta.</t>
  </si>
  <si>
    <t xml:space="preserve">C0787</t>
  </si>
  <si>
    <t xml:space="preserve">SolicitudPTA</t>
  </si>
  <si>
    <t xml:space="preserve">Mapeada en academic-work-plan-service/src/pta/entities/solicitud-pta.entity.ts:11 (SolicitudPtaEntity.docenteNombre)</t>
  </si>
  <si>
    <t xml:space="preserve">Nombre del docente que presenta la solicitud.</t>
  </si>
  <si>
    <t xml:space="preserve">C0788</t>
  </si>
  <si>
    <t xml:space="preserve">docenteEmail</t>
  </si>
  <si>
    <t xml:space="preserve">Mapeada en academic-work-plan-service/src/pta/entities/solicitud-pta.entity.ts:14 (SolicitudPtaEntity.docenteEmail)</t>
  </si>
  <si>
    <t xml:space="preserve">Correo electrónico del docente que presenta la solicitud.</t>
  </si>
  <si>
    <t xml:space="preserve">C0789</t>
  </si>
  <si>
    <t xml:space="preserve">caso</t>
  </si>
  <si>
    <t xml:space="preserve">Mapeada en academic-work-plan-service/src/pta/entities/solicitud-pta.entity.ts:45 (SolicitudPtaEntity.caso)</t>
  </si>
  <si>
    <t xml:space="preserve">Caso o tipo de situación que motiva la solicitud.</t>
  </si>
  <si>
    <t xml:space="preserve">nombre + tipo + columnas vecinas (casoLibre)</t>
  </si>
  <si>
    <t xml:space="preserve">¿Qué valores toma caso?</t>
  </si>
  <si>
    <t xml:space="preserve">C0790</t>
  </si>
  <si>
    <t xml:space="preserve">razon</t>
  </si>
  <si>
    <t xml:space="preserve">Mapeada en academic-work-plan-service/src/pta/entities/solicitud-pta.entity.ts:48 (SolicitudPtaEntity.razon)</t>
  </si>
  <si>
    <t xml:space="preserve">Razón de la solicitud.</t>
  </si>
  <si>
    <t xml:space="preserve">nombre + tipo + columnas vecinas (justificacion)</t>
  </si>
  <si>
    <t xml:space="preserve">¿En qué se diferencia razon de justificacion?</t>
  </si>
  <si>
    <t xml:space="preserve">C0791</t>
  </si>
  <si>
    <t xml:space="preserve">Mapeada en academic-work-plan-service/src/pta/entities/solicitud-pta.entity.ts:51 (SolicitudPtaEntity.justificacion)</t>
  </si>
  <si>
    <t xml:space="preserve">Justificación detallada de la solicitud.</t>
  </si>
  <si>
    <t xml:space="preserve">C0792</t>
  </si>
  <si>
    <t xml:space="preserve">casoLibre</t>
  </si>
  <si>
    <t xml:space="preserve">Mapeada en academic-work-plan-service/src/pta/entities/solicitud-pta.entity.ts:54 (SolicitudPtaEntity.casoLibre)</t>
  </si>
  <si>
    <t xml:space="preserve">Descripción libre del caso cuando no corresponde a uno predefinido.</t>
  </si>
  <si>
    <t xml:space="preserve">nombre + tipo + columnas vecinas (caso)</t>
  </si>
  <si>
    <t xml:space="preserve">¿Se diligencia solo cuando caso es «otro»?</t>
  </si>
  <si>
    <t xml:space="preserve">C0793</t>
  </si>
  <si>
    <t xml:space="preserve">archivos</t>
  </si>
  <si>
    <t xml:space="preserve">Mapeada en academic-work-plan-service/src/pta/entities/solicitud-pta.entity.ts:57 (SolicitudPtaEntity.archivos)</t>
  </si>
  <si>
    <t xml:space="preserve">Archivos de soporte de la solicitud, en formato JSON.</t>
  </si>
  <si>
    <t xml:space="preserve">¿Qué estructura tiene archivos (nombre, URL, tamaño)?</t>
  </si>
  <si>
    <t xml:space="preserve">C0794</t>
  </si>
  <si>
    <t xml:space="preserve">idx_solicitud_estado, idx_solicitud_tipo_estado</t>
  </si>
  <si>
    <t xml:space="preserve">Mapeada en academic-work-plan-service/src/pta/entities/solicitud-pta.entity.ts:60 (SolicitudPtaEntity.estado)</t>
  </si>
  <si>
    <t xml:space="preserve">Estado del registro de SolicitudPTA.</t>
  </si>
  <si>
    <t xml:space="preserve">C0795</t>
  </si>
  <si>
    <t xml:space="preserve">resueltoPor</t>
  </si>
  <si>
    <t xml:space="preserve">Mapeada en academic-work-plan-service/src/pta/entities/solicitud-pta.entity.ts:63 (SolicitudPtaEntity.resueltoPor)</t>
  </si>
  <si>
    <t xml:space="preserve">Identificador del usuario que resolvió la solicitud.</t>
  </si>
  <si>
    <t xml:space="preserve">¿resueltoPor guarda el id, el correo o el nombre del usuario?</t>
  </si>
  <si>
    <t xml:space="preserve">C0796</t>
  </si>
  <si>
    <t xml:space="preserve">resolucionFecha</t>
  </si>
  <si>
    <t xml:space="preserve">Mapeada en academic-work-plan-service/src/pta/entities/solicitud-pta.entity.ts:66 (SolicitudPtaEntity.resolucionFecha)</t>
  </si>
  <si>
    <t xml:space="preserve">Fecha y hora de resolución de la solicitud.</t>
  </si>
  <si>
    <t xml:space="preserve">C0797</t>
  </si>
  <si>
    <t xml:space="preserve">resolucionMotivo</t>
  </si>
  <si>
    <t xml:space="preserve">Mapeada en academic-work-plan-service/src/pta/entities/solicitud-pta.entity.ts:69 (SolicitudPtaEntity.resolucionMotivo)</t>
  </si>
  <si>
    <t xml:space="preserve">Motivo de la resolución de la solicitud.</t>
  </si>
  <si>
    <t xml:space="preserve">C0798</t>
  </si>
  <si>
    <t xml:space="preserve">resolucionAccion</t>
  </si>
  <si>
    <t xml:space="preserve">Mapeada en academic-work-plan-service/src/pta/entities/solicitud-pta.entity.ts:72 (SolicitudPtaEntity.resolucionAccion)</t>
  </si>
  <si>
    <t xml:space="preserve">Acción tomada al resolver la solicitud.</t>
  </si>
  <si>
    <t xml:space="preserve">¿Qué valores toma resolucionAccion?</t>
  </si>
  <si>
    <t xml:space="preserve">C0799</t>
  </si>
  <si>
    <t xml:space="preserve">territorialNueva</t>
  </si>
  <si>
    <t xml:space="preserve">Mapeada en academic-work-plan-service/src/pta/entities/solicitud-pta.entity.ts:75 (SolicitudPtaEntity.territorialNueva)</t>
  </si>
  <si>
    <t xml:space="preserve">Territorial nueva solicitada para el docente.</t>
  </si>
  <si>
    <t xml:space="preserve">¿Se diligencia solo en solicitudes de cambio de territorial?</t>
  </si>
  <si>
    <t xml:space="preserve">C0800</t>
  </si>
  <si>
    <t xml:space="preserve">horasPtaOriginal</t>
  </si>
  <si>
    <t xml:space="preserve">Mapeada en academic-work-plan-service/src/pta/entities/solicitud-pta.entity.ts:78 (SolicitudPtaEntity.horasPtaOriginal)</t>
  </si>
  <si>
    <t xml:space="preserve">Número de horas del plan de trabajo antes de la solicitud.</t>
  </si>
  <si>
    <t xml:space="preserve">nombre + tipo + columnas vecinas (horasPtaNuevo)</t>
  </si>
  <si>
    <t xml:space="preserve">C0801</t>
  </si>
  <si>
    <t xml:space="preserve">horasPtaNuevo</t>
  </si>
  <si>
    <t xml:space="preserve">Mapeada en academic-work-plan-service/src/pta/entities/solicitud-pta.entity.ts:81 (SolicitudPtaEntity.horasPtaNuevo)</t>
  </si>
  <si>
    <t xml:space="preserve">Número de horas del plan de trabajo solicitadas.</t>
  </si>
  <si>
    <t xml:space="preserve">nombre + tipo + columnas vecinas (horasPtaOriginal)</t>
  </si>
  <si>
    <t xml:space="preserve">C0802</t>
  </si>
  <si>
    <t xml:space="preserve">notificacionLeida</t>
  </si>
  <si>
    <t xml:space="preserve">Mapeada en academic-work-plan-service/src/pta/entities/solicitud-pta.entity.ts:84 (SolicitudPtaEntity.notificacionLeida)</t>
  </si>
  <si>
    <t xml:space="preserve">Indica si el registro está notificacionleida.</t>
  </si>
  <si>
    <t xml:space="preserve">C0803</t>
  </si>
  <si>
    <t xml:space="preserve">tipoSolicitud</t>
  </si>
  <si>
    <t xml:space="preserve">idx_solicitud_tipo_estado</t>
  </si>
  <si>
    <t xml:space="preserve">academic-work-plan-service/src/pta/entities/solicitud-pta.entity.ts:19: "creacion" conserva el flujo histórico; "edicion_componentes" actúa sobre el mismo PTA y nunca habilita la creación de un plan adicional.</t>
  </si>
  <si>
    <t xml:space="preserve">Tipo de solicitud del docente. Valores previstos: creacion (flujo de creación del PTA) y edicion_componentes (edición de componentes del mismo PTA, sin crear un plan adicional); por defecto creacion.</t>
  </si>
  <si>
    <t xml:space="preserve">código: academic-work-plan-service/src/pta/entities/solicitud-pta.entity.ts:19</t>
  </si>
  <si>
    <t xml:space="preserve">C0804</t>
  </si>
  <si>
    <t xml:space="preserve">ptaId</t>
  </si>
  <si>
    <t xml:space="preserve">idx_solicitud_pta_id, uq_solicitud_edicion_activa_por_pta</t>
  </si>
  <si>
    <t xml:space="preserve">Mapeada en academic-work-plan-service/src/pta/entities/solicitud-pta.entity.ts:22 (SolicitudPtaEntity.ptaId)</t>
  </si>
  <si>
    <t xml:space="preserve">Identificador del plan de trabajo académico al que se refiere la solicitud.</t>
  </si>
  <si>
    <t xml:space="preserve">C0805</t>
  </si>
  <si>
    <t xml:space="preserve">componentes</t>
  </si>
  <si>
    <t xml:space="preserve">idx_solicitud_pta_componentes_gin</t>
  </si>
  <si>
    <t xml:space="preserve">academic-work-plan-service/src/pta/entities/solicitud-pta.entity.ts:27: Componentes funcionales seleccionados por el docente: docencia, investigacion, extension y/o complementarias.</t>
  </si>
  <si>
    <t xml:space="preserve">Componentes funcionales del PTA seleccionados por el docente en la solicitud (docencia, investigacion, extension o complementarias), en formato JSON.</t>
  </si>
  <si>
    <t xml:space="preserve">código: academic-work-plan-service/src/pta/entities/solicitud-pta.entity.ts:27</t>
  </si>
  <si>
    <t xml:space="preserve">C0806</t>
  </si>
  <si>
    <t xml:space="preserve">estadoPtaAnterior</t>
  </si>
  <si>
    <t xml:space="preserve">academic-work-plan-service/src/pta/entities/solicitud-pta.entity.ts:42: Estado consolidado que tenía el PTA antes de autorizar su reapertura.</t>
  </si>
  <si>
    <t xml:space="preserve">Estado consolidado que tenía el PTA antes de autorizar su reapertura.</t>
  </si>
  <si>
    <t xml:space="preserve">código: academic-work-plan-service/src/pta/entities/solicitud-pta.entity.ts:42</t>
  </si>
  <si>
    <t xml:space="preserve">C0807</t>
  </si>
  <si>
    <t xml:space="preserve">Territorial</t>
  </si>
  <si>
    <t xml:space="preserve">Vista control_interno.v_auditorias_kanban_completo</t>
  </si>
  <si>
    <t xml:space="preserve">Territorial_nombre_key</t>
  </si>
  <si>
    <t xml:space="preserve">Mapeada en academic-work-plan-service/src/pta/entities/territorial.entity.ts:9 (TerritorialEntity.nombre)</t>
  </si>
  <si>
    <t xml:space="preserve">Nombre del registro de Territorial.</t>
  </si>
  <si>
    <t xml:space="preserve">C0808</t>
  </si>
  <si>
    <t xml:space="preserve">Territorial_codigo_key</t>
  </si>
  <si>
    <t xml:space="preserve">Mapeada en academic-work-plan-service/src/pta/entities/territorial.entity.ts:12 (TerritorialEntity.codigo)</t>
  </si>
  <si>
    <t xml:space="preserve">Código del registro de Territorial.</t>
  </si>
  <si>
    <t xml:space="preserve">C0809</t>
  </si>
  <si>
    <t xml:space="preserve">ubicacion_semestral</t>
  </si>
  <si>
    <t xml:space="preserve">ubicacion_semestral_codigo_key</t>
  </si>
  <si>
    <t xml:space="preserve">Mapeada en academic-work-plan-service/src/pta/entities/ubicacion-semestral.entity.ts:8 (UbicacionSemestralEntity.codigo)</t>
  </si>
  <si>
    <t xml:space="preserve">Código del registro de ubicacion_semestral. Único en la tabla.</t>
  </si>
  <si>
    <t xml:space="preserve">C0810</t>
  </si>
  <si>
    <t xml:space="preserve">etiqueta</t>
  </si>
  <si>
    <t xml:space="preserve">ubicacion_semestral_etiqueta_key</t>
  </si>
  <si>
    <t xml:space="preserve">Mapeada en academic-work-plan-service/src/pta/entities/ubicacion-semestral.entity.ts:11 (UbicacionSemestralEntity.etiqueta)</t>
  </si>
  <si>
    <t xml:space="preserve">Texto con el que se muestra el semestre del plan de estudios; es único en la tabla.</t>
  </si>
  <si>
    <t xml:space="preserve">C0811</t>
  </si>
  <si>
    <t xml:space="preserve">tipo_programa</t>
  </si>
  <si>
    <t xml:space="preserve">academic-work-plan-service/src/pta/entities/ubicacion-semestral.entity.ts:14: 'pregrado' | 'posgrado' | academic-schedule-service/src/catalogo/entities/ubicacion-semestral.readonly.entity.ts:19: 'pregrado' | 'posgrado'</t>
  </si>
  <si>
    <t xml:space="preserve">Tipo de programa al que corresponde la ubicación semestral. Valores permitidos: pregrado, posgrado.</t>
  </si>
  <si>
    <t xml:space="preserve">código: academic-work-plan-service/src/pta/entities/ubicacion-semestral.entity.ts:14</t>
  </si>
  <si>
    <t xml:space="preserve">C0812</t>
  </si>
  <si>
    <t xml:space="preserve">Mapeada en academic-work-plan-service/src/pta/entities/ubicacion-semestral.entity.ts:17 (UbicacionSemestralEntity.orden)</t>
  </si>
  <si>
    <t xml:space="preserve">C0813</t>
  </si>
  <si>
    <t xml:space="preserve">Usuario</t>
  </si>
  <si>
    <t xml:space="preserve">Usuario_email_key</t>
  </si>
  <si>
    <t xml:space="preserve">Mapeada en academic-work-plan-service/src/pta/entities/usuario.entity.ts:8 (UsuarioEntity.email)</t>
  </si>
  <si>
    <t xml:space="preserve">C0814</t>
  </si>
  <si>
    <t xml:space="preserve">password</t>
  </si>
  <si>
    <t xml:space="preserve">Mapeada en academic-work-plan-service/src/pta/entities/usuario.entity.ts:11 (UsuarioEntity.password)</t>
  </si>
  <si>
    <t xml:space="preserve">Contraseña del usuario para el inicio de sesión, almacenada cifrada.</t>
  </si>
  <si>
    <t xml:space="preserve">nombre + tipo + columnas vecinas (email, activo)</t>
  </si>
  <si>
    <t xml:space="preserve">¿La contraseña se guarda con hash (bcrypt u otro) y esta tabla sigue en uso frente a auth."user"?</t>
  </si>
  <si>
    <t xml:space="preserve">C0815</t>
  </si>
  <si>
    <t xml:space="preserve">Mapeada en academic-work-plan-service/src/pta/entities/usuario.entity.ts:14 (UsuarioEntity.nombre)</t>
  </si>
  <si>
    <t xml:space="preserve">Nombre del registro de Usuario.</t>
  </si>
  <si>
    <t xml:space="preserve">C0816</t>
  </si>
  <si>
    <t xml:space="preserve">Mapeada en academic-work-plan-service/src/pta/entities/usuario.entity.ts:17 (UsuarioEntity.activo)</t>
  </si>
  <si>
    <t xml:space="preserve">C0817</t>
  </si>
  <si>
    <t xml:space="preserve">validacion_documental</t>
  </si>
  <si>
    <t xml:space="preserve">campo_rund</t>
  </si>
  <si>
    <t xml:space="preserve">uq_docente_campo</t>
  </si>
  <si>
    <t xml:space="preserve">Campo del RUND al que corresponde el documento de soporte del docente.</t>
  </si>
  <si>
    <t xml:space="preserve">nombre + tipo + columnas vecinas + índice único uq_docente_campo</t>
  </si>
  <si>
    <t xml:space="preserve">¿Qué valores toma campo_rund y de qué catálogo provienen?</t>
  </si>
  <si>
    <t xml:space="preserve">C0818</t>
  </si>
  <si>
    <t xml:space="preserve">tipo_documento_soporte</t>
  </si>
  <si>
    <t xml:space="preserve">Tipo de documento de soporte exigido para el campo del RUND.</t>
  </si>
  <si>
    <t xml:space="preserve">¿Se relaciona con auth.tipo_documento o es texto libre?</t>
  </si>
  <si>
    <t xml:space="preserve">C0819</t>
  </si>
  <si>
    <t xml:space="preserve">id_documento_carpeta</t>
  </si>
  <si>
    <t xml:space="preserve">Identificador del documento de la carpeta digital del docente usado como soporte.</t>
  </si>
  <si>
    <t xml:space="preserve">¿Referencia a auth.documento_carpeta_digital.id_documento y por qué es de tipo text?</t>
  </si>
  <si>
    <t xml:space="preserve">C0820</t>
  </si>
  <si>
    <t xml:space="preserve">estado_documento</t>
  </si>
  <si>
    <t xml:space="preserve">Aceptado, No aplica, Pendiente, Rechazado, Sin cargar</t>
  </si>
  <si>
    <t xml:space="preserve">Estado de validación del documento de soporte. Valores permitidos: Aceptado, No aplica, Pendiente, Rechazado, Sin cargar. Por defecto, Sin cargar.</t>
  </si>
  <si>
    <t xml:space="preserve">C0821</t>
  </si>
  <si>
    <t xml:space="preserve">fecha_carga</t>
  </si>
  <si>
    <t xml:space="preserve">Fecha de carga.</t>
  </si>
  <si>
    <t xml:space="preserve">C0822</t>
  </si>
  <si>
    <t xml:space="preserve">C0823</t>
  </si>
  <si>
    <t xml:space="preserve">C0824</t>
  </si>
  <si>
    <t xml:space="preserve">Observación registrada sobre el registro.</t>
  </si>
  <si>
    <t xml:space="preserve">C0825</t>
  </si>
  <si>
    <t xml:space="preserve">certificate_correction_requests</t>
  </si>
  <si>
    <t xml:space="preserve">certificate_correction_requests_request_number_key</t>
  </si>
  <si>
    <t xml:space="preserve">Mapeada en certification-service/src/certificates/certificate-correction-request.entity.ts:49 (CertificateCorrectionRequest.request_number)</t>
  </si>
  <si>
    <t xml:space="preserve">Número de la solicitud de corrección; es único en la tabla.</t>
  </si>
  <si>
    <t xml:space="preserve">C0826</t>
  </si>
  <si>
    <t xml:space="preserve">APPROVED, IN_REVIEW, PENDING, REJECTED</t>
  </si>
  <si>
    <t xml:space="preserve">idx_certificate_corrections_status_created</t>
  </si>
  <si>
    <t xml:space="preserve">Mapeada en certification-service/src/certificates/certificate-correction-request.entity.ts:55 (CertificateCorrectionRequest.status)</t>
  </si>
  <si>
    <t xml:space="preserve">Estado del registro de certificate_correction_requests.</t>
  </si>
  <si>
    <t xml:space="preserve">C0827</t>
  </si>
  <si>
    <t xml:space="preserve">Mapeada en certification-service/src/certificates/certificate-correction-request.entity.ts:58 (CertificateCorrectionRequest.description)</t>
  </si>
  <si>
    <t xml:space="preserve">Descripción del registro de certificate_correction_requests.</t>
  </si>
  <si>
    <t xml:space="preserve">C0828</t>
  </si>
  <si>
    <t xml:space="preserve">Mapeada en certification-service/src/certificates/certificate-correction-request.entity.ts:61 (CertificateCorrectionRequest.requester_name)</t>
  </si>
  <si>
    <t xml:space="preserve">Nombre de la persona que solicita la corrección del certificado.</t>
  </si>
  <si>
    <t xml:space="preserve">C0829</t>
  </si>
  <si>
    <t xml:space="preserve">Mapeada en certification-service/src/certificates/certificate-correction-request.entity.ts:64 (CertificateCorrectionRequest.requester_email)</t>
  </si>
  <si>
    <t xml:space="preserve">Correo electrónico de la persona que solicita la corrección del certificado.</t>
  </si>
  <si>
    <t xml:space="preserve">C0830</t>
  </si>
  <si>
    <t xml:space="preserve">submitted_evidence</t>
  </si>
  <si>
    <t xml:space="preserve">Mapeada en certification-service/src/certificates/certificate-correction-request.entity.ts:67 (CertificateCorrectionRequest.submitted_evidence)</t>
  </si>
  <si>
    <t xml:space="preserve">Evidencias presentadas por el solicitante con la solicitud de corrección, en formato JSON. Por defecto, una lista vacía.</t>
  </si>
  <si>
    <t xml:space="preserve">¿El JSON guarda la referencia a archivos (URL, nombre) o el contenido?</t>
  </si>
  <si>
    <t xml:space="preserve">C0831</t>
  </si>
  <si>
    <t xml:space="preserve">reviewed_by_id</t>
  </si>
  <si>
    <t xml:space="preserve">Mapeada en certification-service/src/certificates/certificate-correction-request.entity.ts:76 (CertificateCorrectionRequest.reviewed_by_id)</t>
  </si>
  <si>
    <t xml:space="preserve">Identificador del coordinador que revisa la solicitud de corrección.</t>
  </si>
  <si>
    <t xml:space="preserve">¿reviewed_by_id corresponde a auth.personas.id_person u otro UUID?</t>
  </si>
  <si>
    <t xml:space="preserve">C0832</t>
  </si>
  <si>
    <t xml:space="preserve">reviewed_by_name</t>
  </si>
  <si>
    <t xml:space="preserve">Mapeada en certification-service/src/certificates/certificate-correction-request.entity.ts:79 (CertificateCorrectionRequest.reviewed_by_name)</t>
  </si>
  <si>
    <t xml:space="preserve">Nombre del coordinador que revisa la solicitud de corrección.</t>
  </si>
  <si>
    <t xml:space="preserve">C0833</t>
  </si>
  <si>
    <t xml:space="preserve">reviewed_by_email</t>
  </si>
  <si>
    <t xml:space="preserve">Mapeada en certification-service/src/certificates/certificate-correction-request.entity.ts:82 (CertificateCorrectionRequest.reviewed_by_email)</t>
  </si>
  <si>
    <t xml:space="preserve">Correo electrónico del coordinador que revisa la solicitud de corrección.</t>
  </si>
  <si>
    <t xml:space="preserve">C0834</t>
  </si>
  <si>
    <t xml:space="preserve">review_started_at</t>
  </si>
  <si>
    <t xml:space="preserve">Mapeada en certification-service/src/certificates/certificate-correction-request.entity.ts:85 (CertificateCorrectionRequest.review_started_at)</t>
  </si>
  <si>
    <t xml:space="preserve">Fecha y hora en que inició la revisión de la solicitud de corrección.</t>
  </si>
  <si>
    <t xml:space="preserve">C0835</t>
  </si>
  <si>
    <t xml:space="preserve">resolution_description</t>
  </si>
  <si>
    <t xml:space="preserve">Mapeada en certification-service/src/certificates/certificate-correction-request.entity.ts:88 (CertificateCorrectionRequest.resolution_description)</t>
  </si>
  <si>
    <t xml:space="preserve">Descripción de la resolución del coordinador sobre la solicitud de corrección.</t>
  </si>
  <si>
    <t xml:space="preserve">C0836</t>
  </si>
  <si>
    <t xml:space="preserve">resolution_evidence</t>
  </si>
  <si>
    <t xml:space="preserve">Mapeada en certification-service/src/certificates/certificate-correction-request.entity.ts:91 (CertificateCorrectionRequest.resolution_evidence)</t>
  </si>
  <si>
    <t xml:space="preserve">Evidencias de la resolución de la solicitud de corrección, en formato JSON. Por defecto, una lista vacía.</t>
  </si>
  <si>
    <t xml:space="preserve">C0837</t>
  </si>
  <si>
    <t xml:space="preserve">corrected_data</t>
  </si>
  <si>
    <t xml:space="preserve">Mapeada en certification-service/src/certificates/certificate-correction-request.entity.ts:94 (CertificateCorrectionRequest.corrected_data)</t>
  </si>
  <si>
    <t xml:space="preserve">Datos del certificado corregidos como resultado de la solicitud, en formato JSON.</t>
  </si>
  <si>
    <t xml:space="preserve">nombre + tipo + columnas vecinas (certificate_snapshot)</t>
  </si>
  <si>
    <t xml:space="preserve">¿corrected_data guarda solo los campos modificados o el certificado completo?</t>
  </si>
  <si>
    <t xml:space="preserve">C0838</t>
  </si>
  <si>
    <t xml:space="preserve">resolved_at</t>
  </si>
  <si>
    <t xml:space="preserve">Mapeada en certification-service/src/certificates/certificate-correction-request.entity.ts:100 (CertificateCorrectionRequest.resolved_at)</t>
  </si>
  <si>
    <t xml:space="preserve">Fecha y hora en que se resolvió la solicitud de corrección.</t>
  </si>
  <si>
    <t xml:space="preserve">C0839</t>
  </si>
  <si>
    <t xml:space="preserve">certificate_requests</t>
  </si>
  <si>
    <t xml:space="preserve">idx_requests_person</t>
  </si>
  <si>
    <t xml:space="preserve">db/init/old/005_schema_certification.sql:17: Relationship with person (auth.person) Optional reference to auth.person</t>
  </si>
  <si>
    <t xml:space="preserve">Identificador opcional de la persona que solicita el certificado laboral; según el código, referencia a la tabla de personas de auth.</t>
  </si>
  <si>
    <t xml:space="preserve">código: db/init/old/005_schema_certification.sql:17</t>
  </si>
  <si>
    <t xml:space="preserve">¿person_id (uuid) referencia a auth.personas? ¿A qué columna?</t>
  </si>
  <si>
    <t xml:space="preserve">C0840</t>
  </si>
  <si>
    <t xml:space="preserve">db/init/old/005_schema_certification.sql:20: DATA1: Full name of the employee</t>
  </si>
  <si>
    <t xml:space="preserve">Nombre completo del empleado (dato DATA1 del certificado).</t>
  </si>
  <si>
    <t xml:space="preserve">código: db/init/old/005_schema_certification.sql:20</t>
  </si>
  <si>
    <t xml:space="preserve">C0841</t>
  </si>
  <si>
    <t xml:space="preserve">idx_requests_id_number</t>
  </si>
  <si>
    <t xml:space="preserve">db/init/old/005_schema_certification.sql:23: DATA2: ID number</t>
  </si>
  <si>
    <t xml:space="preserve">Número de identificación del empleado (dato DATA2 del certificado).</t>
  </si>
  <si>
    <t xml:space="preserve">código: db/init/old/005_schema_certification.sql:23</t>
  </si>
  <si>
    <t xml:space="preserve">C0842</t>
  </si>
  <si>
    <t xml:space="preserve">hiring_date</t>
  </si>
  <si>
    <t xml:space="preserve">db/init/old/005_schema_certification.sql:32: DATA4: Hiring date (contract start)</t>
  </si>
  <si>
    <t xml:space="preserve">Fecha de vinculación del empleado, correspondiente al inicio del contrato (dato DATA4 del certificado).</t>
  </si>
  <si>
    <t xml:space="preserve">código: db/init/old/005_schema_certification.sql:32</t>
  </si>
  <si>
    <t xml:space="preserve">C0843</t>
  </si>
  <si>
    <t xml:space="preserve">position_location</t>
  </si>
  <si>
    <t xml:space="preserve">db/init/old/005_schema_certification.sql:38: DATA6: Position location (city)</t>
  </si>
  <si>
    <t xml:space="preserve">Ciudad de ubicación del cargo (dato DATA6 del certificado).</t>
  </si>
  <si>
    <t xml:space="preserve">código: db/init/old/005_schema_certification.sql:38</t>
  </si>
  <si>
    <t xml:space="preserve">C0844</t>
  </si>
  <si>
    <t xml:space="preserve">db/init/old/005_schema_certification.sql:48: Territorial Directorate Bogotá, etc.</t>
  </si>
  <si>
    <t xml:space="preserve">Dependencia o dirección territorial del empleado (por ejemplo, Dirección Territorial Bogotá).</t>
  </si>
  <si>
    <t xml:space="preserve">código: db/init/old/005_schema_certification.sql:48</t>
  </si>
  <si>
    <t xml:space="preserve">C0845</t>
  </si>
  <si>
    <t xml:space="preserve">db/init/old/005_schema_certification.sql:49: Main campus, Bogotá D.C., etc.</t>
  </si>
  <si>
    <t xml:space="preserve">Sede del empleado (por ejemplo, Sede Central, Bogotá D.C.).</t>
  </si>
  <si>
    <t xml:space="preserve">código: db/init/old/005_schema_certification.sql:49</t>
  </si>
  <si>
    <t xml:space="preserve">C0846</t>
  </si>
  <si>
    <t xml:space="preserve">Mapeada en certification-service/src/certificates/certificate-request.entity.ts:81 (CertificateRequest.email)</t>
  </si>
  <si>
    <t xml:space="preserve">C0847</t>
  </si>
  <si>
    <t xml:space="preserve">Mapeada en certification-service/src/certificates/certificate-request.entity.ts:84 (CertificateRequest.phone)</t>
  </si>
  <si>
    <t xml:space="preserve">Número de teléfono del solicitante del certificado laboral.</t>
  </si>
  <si>
    <t xml:space="preserve">C0848</t>
  </si>
  <si>
    <t xml:space="preserve">idx_requests_status</t>
  </si>
  <si>
    <t xml:space="preserve">db/init/old/005_schema_certification.sql:54: Request status PENDING, APPROVED, REJECTED, GENERATED</t>
  </si>
  <si>
    <t xml:space="preserve">Estado de la solicitud del certificado laboral. Valores previstos: PENDING, APPROVED, REJECTED, GENERATED; por defecto PENDING.</t>
  </si>
  <si>
    <t xml:space="preserve">código: db/init/old/005_schema_certification.sql:54</t>
  </si>
  <si>
    <t xml:space="preserve">C0849</t>
  </si>
  <si>
    <t xml:space="preserve">idx_requests_date</t>
  </si>
  <si>
    <t xml:space="preserve">Mapeada en certification-service/src/certificates/certificate-request.entity.ts:96 (CertificateRequest.request_date)</t>
  </si>
  <si>
    <t xml:space="preserve">Fecha y hora de la solicitud del certificado. Por defecto, la fecha y hora del registro.</t>
  </si>
  <si>
    <t xml:space="preserve">C0850</t>
  </si>
  <si>
    <t xml:space="preserve">db/init/old/005_schema_certification.sql:64: Observations</t>
  </si>
  <si>
    <t xml:space="preserve">Observaciones sobre la solicitud del certificado laboral.</t>
  </si>
  <si>
    <t xml:space="preserve">código: db/init/old/005_schema_certification.sql:64</t>
  </si>
  <si>
    <t xml:space="preserve">C0851</t>
  </si>
  <si>
    <t xml:space="preserve">Mapeada en certification-service/src/certificates/certificate-request.entity.ts:90 (CertificateRequest.validation_code)</t>
  </si>
  <si>
    <t xml:space="preserve">Código de validación del certificado laboral.</t>
  </si>
  <si>
    <t xml:space="preserve">nombre + tipo + columnas vecinas (validation_expires_at)</t>
  </si>
  <si>
    <t xml:space="preserve">¿El código sirve para verificar la autenticidad del certificado o para confirmar la solicitud?</t>
  </si>
  <si>
    <t xml:space="preserve">C0852</t>
  </si>
  <si>
    <t xml:space="preserve">idx_certificate_requests_validation_expires</t>
  </si>
  <si>
    <t xml:space="preserve">Mapeada en certification-service/src/certificates/certificate-request.entity.ts:93 (CertificateRequest.validation_expires_at)</t>
  </si>
  <si>
    <t xml:space="preserve">Fecha y hora de vencimiento del código de validación.</t>
  </si>
  <si>
    <t xml:space="preserve">C0853</t>
  </si>
  <si>
    <t xml:space="preserve">base_position_code</t>
  </si>
  <si>
    <t xml:space="preserve">Mapeada en certification-service/src/certificates/certificate-request.entity.ts:54 (CertificateRequest.base_position_code)</t>
  </si>
  <si>
    <t xml:space="preserve">Código del cargo base del empleado.</t>
  </si>
  <si>
    <t xml:space="preserve">nombre + tipo + columnas vecinas (position_code, grade_code)</t>
  </si>
  <si>
    <t xml:space="preserve">¿En qué se diferencia el código del cargo base de position_code?</t>
  </si>
  <si>
    <t xml:space="preserve">C0854</t>
  </si>
  <si>
    <t xml:space="preserve">hierarchical_level</t>
  </si>
  <si>
    <t xml:space="preserve">Mapeada en certification-service/src/certificates/certificate-request.entity.ts:57 (CertificateRequest.hierarchical_level)</t>
  </si>
  <si>
    <t xml:space="preserve">Nivel jerárquico del cargo del empleado.</t>
  </si>
  <si>
    <t xml:space="preserve">C0855</t>
  </si>
  <si>
    <t xml:space="preserve">position_name</t>
  </si>
  <si>
    <t xml:space="preserve">Mapeada en certification-service/src/certificates/certificate-request.entity.ts:60 (CertificateRequest.position_name)</t>
  </si>
  <si>
    <t xml:space="preserve">Nombre del cargo del empleado.</t>
  </si>
  <si>
    <t xml:space="preserve">C0856</t>
  </si>
  <si>
    <t xml:space="preserve">organization_department</t>
  </si>
  <si>
    <t xml:space="preserve">Mapeada en certification-service/src/certificates/certificate-request.entity.ts:63 (CertificateRequest.organization_department)</t>
  </si>
  <si>
    <t xml:space="preserve">Dependencia de la estructura organizacional a la que pertenece el empleado.</t>
  </si>
  <si>
    <t xml:space="preserve">nombre + tipo + columnas vecinas (department)</t>
  </si>
  <si>
    <t xml:space="preserve">¿En qué se diferencia organization_department de department?</t>
  </si>
  <si>
    <t xml:space="preserve">C0857</t>
  </si>
  <si>
    <t xml:space="preserve">internal_group</t>
  </si>
  <si>
    <t xml:space="preserve">Mapeada en certification-service/src/certificates/certificate-request.entity.ts:66 (CertificateRequest.internal_group)</t>
  </si>
  <si>
    <t xml:space="preserve">Grupo interno de trabajo al que pertenece el empleado.</t>
  </si>
  <si>
    <t xml:space="preserve">C0858</t>
  </si>
  <si>
    <t xml:space="preserve">cost_center</t>
  </si>
  <si>
    <t xml:space="preserve">Mapeada en certification-service/src/certificates/certificate-request.entity.ts:75 (CertificateRequest.cost_center)</t>
  </si>
  <si>
    <t xml:space="preserve">Centro de costo al que está asociado el empleado.</t>
  </si>
  <si>
    <t xml:space="preserve">C0859</t>
  </si>
  <si>
    <t xml:space="preserve">entity_logo_filename</t>
  </si>
  <si>
    <t xml:space="preserve">Mapeada en certification-service/src/certificates/template-config.entity.ts:27 (TemplateConfig.entityLogoFilename)</t>
  </si>
  <si>
    <t xml:space="preserve">Nombre del archivo del logo de la entidad usado en la plantilla del certificado.</t>
  </si>
  <si>
    <t xml:space="preserve">nombre + tipo + columnas vecinas (entity_logo_url)</t>
  </si>
  <si>
    <t xml:space="preserve">C0860</t>
  </si>
  <si>
    <t xml:space="preserve">entity_logo_size</t>
  </si>
  <si>
    <t xml:space="preserve">Mapeada en certification-service/src/certificates/template-config.entity.ts:30 (TemplateConfig.entityLogoSize)</t>
  </si>
  <si>
    <t xml:space="preserve">Tamaño del logo de la entidad en la plantilla del certificado.</t>
  </si>
  <si>
    <t xml:space="preserve">nombre + tipo + columnas vecinas (varchar)</t>
  </si>
  <si>
    <t xml:space="preserve">¿entity_logo_size es el tamaño del archivo o las dimensiones de presentación?</t>
  </si>
  <si>
    <t xml:space="preserve">C0861</t>
  </si>
  <si>
    <t xml:space="preserve">Mapeada en certification-service/src/certificates/template-config.entity.ts:42 (TemplateConfig.version)</t>
  </si>
  <si>
    <t xml:space="preserve">C0862</t>
  </si>
  <si>
    <t xml:space="preserve">Mapeada en certification-service/src/certificates/template-config.entity.ts:45 (TemplateConfig.status)</t>
  </si>
  <si>
    <t xml:space="preserve">Estado del registro de certificate_template_config.</t>
  </si>
  <si>
    <t xml:space="preserve">C0863</t>
  </si>
  <si>
    <t xml:space="preserve">template_type</t>
  </si>
  <si>
    <t xml:space="preserve">idx_certificate_template_config_template_type</t>
  </si>
  <si>
    <t xml:space="preserve">Mapeada en certification-service/src/certificates/template-config.entity.ts:63 (TemplateConfig.templateType)</t>
  </si>
  <si>
    <t xml:space="preserve">Tipo de plantilla de certificado laboral. Por defecto, docente.</t>
  </si>
  <si>
    <t xml:space="preserve">¿Qué otros valores toma template_type (por ejemplo, administrativo)?</t>
  </si>
  <si>
    <t xml:space="preserve">C0864</t>
  </si>
  <si>
    <t xml:space="preserve">Mapeada en certification-service/src/certificates/template-config.entity.ts:66 (TemplateConfig.signatureUrl)</t>
  </si>
  <si>
    <t xml:space="preserve">Dirección (URL) del archivo de la imagen de la firma usada en el certificado.</t>
  </si>
  <si>
    <t xml:space="preserve">C0865</t>
  </si>
  <si>
    <t xml:space="preserve">signature_filename</t>
  </si>
  <si>
    <t xml:space="preserve">Mapeada en certification-service/src/certificates/template-config.entity.ts:69 (TemplateConfig.signatureFilename)</t>
  </si>
  <si>
    <t xml:space="preserve">Nombre del archivo de la imagen de la firma usada en el certificado.</t>
  </si>
  <si>
    <t xml:space="preserve">C0866</t>
  </si>
  <si>
    <t xml:space="preserve">signature_size</t>
  </si>
  <si>
    <t xml:space="preserve">Mapeada en certification-service/src/certificates/template-config.entity.ts:72 (TemplateConfig.signatureSize)</t>
  </si>
  <si>
    <t xml:space="preserve">Tamaño de la imagen de la firma en el certificado.</t>
  </si>
  <si>
    <t xml:space="preserve">¿signature_size es el tamaño del archivo o las dimensiones de presentación?</t>
  </si>
  <si>
    <t xml:space="preserve">C0867</t>
  </si>
  <si>
    <t xml:space="preserve">signer_name_override</t>
  </si>
  <si>
    <t xml:space="preserve">Mapeada en certification-service/src/certificates/template-config.entity.ts:75 (TemplateConfig.signerNameOverride)</t>
  </si>
  <si>
    <t xml:space="preserve">Nombre del firmante que se muestra en el certificado en lugar del nombre registrado del firmante.</t>
  </si>
  <si>
    <t xml:space="preserve">nombre + tipo + columnas vecinas (signer_id)</t>
  </si>
  <si>
    <t xml:space="preserve">¿Este nombre reemplaza el del firmante asociado a signer_id?</t>
  </si>
  <si>
    <t xml:space="preserve">C0868</t>
  </si>
  <si>
    <t xml:space="preserve">certificate_templates</t>
  </si>
  <si>
    <t xml:space="preserve">Mapeada en certification-service/src/certificates/certificate-template.entity.ts:8 (CertificateTemplate.name)</t>
  </si>
  <si>
    <t xml:space="preserve">Nombre del registro de certificate_templates.</t>
  </si>
  <si>
    <t xml:space="preserve">C0869</t>
  </si>
  <si>
    <t xml:space="preserve">Mapeada en certification-service/src/certificates/certificate-template.entity.ts:11 (CertificateTemplate.description)</t>
  </si>
  <si>
    <t xml:space="preserve">Descripción del registro de certificate_templates.</t>
  </si>
  <si>
    <t xml:space="preserve">C0870</t>
  </si>
  <si>
    <t xml:space="preserve">html_content</t>
  </si>
  <si>
    <t xml:space="preserve">db/init/old/005_schema_certification.sql:163: Template content HTML with placeholders {{NAME}}, {{ID_NUMBER}}, etc.</t>
  </si>
  <si>
    <t xml:space="preserve">Contenido HTML de la plantilla del certificado, con marcadores como {{NAME}} e {{ID_NUMBER}}.</t>
  </si>
  <si>
    <t xml:space="preserve">código: db/init/old/005_schema_certification.sql:163</t>
  </si>
  <si>
    <t xml:space="preserve">C0871</t>
  </si>
  <si>
    <t xml:space="preserve">db/init/old/005_schema_certification.sql:166: Type</t>
  </si>
  <si>
    <t xml:space="preserve">Tipo de certificado que genera la plantilla; por defecto LABOR_TEACHER.</t>
  </si>
  <si>
    <t xml:space="preserve">código: db/init/old/005_schema_certification.sql:166</t>
  </si>
  <si>
    <t xml:space="preserve">¿Qué otros valores toma certificate_type además de LABOR_TEACHER?</t>
  </si>
  <si>
    <t xml:space="preserve">C0872</t>
  </si>
  <si>
    <t xml:space="preserve">db/init/old/005_schema_certification.sql:169: Status</t>
  </si>
  <si>
    <t xml:space="preserve">Indica si la plantilla está activa; por defecto verdadero.</t>
  </si>
  <si>
    <t xml:space="preserve">código: db/init/old/005_schema_certification.sql:169</t>
  </si>
  <si>
    <t xml:space="preserve">C0873</t>
  </si>
  <si>
    <t xml:space="preserve">Mapeada en certification-service/src/certificates/certificate-template.entity.ts:23 (CertificateTemplate.version)</t>
  </si>
  <si>
    <t xml:space="preserve">C0874</t>
  </si>
  <si>
    <t xml:space="preserve">idx_certificate_validations_validation_date, idx_validations_date</t>
  </si>
  <si>
    <t xml:space="preserve">db/init/old/005_schema_certification.sql:141: Validation data</t>
  </si>
  <si>
    <t xml:space="preserve">Fecha y hora en que se validó el certificado laboral; por defecto el momento de registro.</t>
  </si>
  <si>
    <t xml:space="preserve">código: db/init/old/005_schema_certification.sql:141</t>
  </si>
  <si>
    <t xml:space="preserve">C0875</t>
  </si>
  <si>
    <t xml:space="preserve">Mapeada en certification-service/src/certificates/certificate-validation.entity.ts:15 (CertificateValidation.ip_address)</t>
  </si>
  <si>
    <t xml:space="preserve">Dirección IP desde la que se consultó la validación del certificado.</t>
  </si>
  <si>
    <t xml:space="preserve">nombre + tipo + columnas vecinas (user_agent, country, isp) ~</t>
  </si>
  <si>
    <t xml:space="preserve">C0876</t>
  </si>
  <si>
    <t xml:space="preserve">Mapeada en certification-service/src/certificates/certificate-validation.entity.ts:18 (CertificateValidation.user_agent)</t>
  </si>
  <si>
    <t xml:space="preserve">C0877</t>
  </si>
  <si>
    <t xml:space="preserve">db/init/old/005_schema_certification.sql:144: City/country from where it was validated</t>
  </si>
  <si>
    <t xml:space="preserve">Ciudad y país desde donde se validó el certificado.</t>
  </si>
  <si>
    <t xml:space="preserve">código: db/init/old/005_schema_certification.sql:144</t>
  </si>
  <si>
    <t xml:space="preserve">C0878</t>
  </si>
  <si>
    <t xml:space="preserve">certificates</t>
  </si>
  <si>
    <t xml:space="preserve">certificates_verification_code_key, idx_certificates_code</t>
  </si>
  <si>
    <t xml:space="preserve">db/init/old/005_schema_certification.sql:80: Unique identifiers Unique QR code for validation</t>
  </si>
  <si>
    <t xml:space="preserve">Código QR único para validar el certificado laboral.</t>
  </si>
  <si>
    <t xml:space="preserve">código: db/init/old/005_schema_certification.sql:80</t>
  </si>
  <si>
    <t xml:space="preserve">C0879</t>
  </si>
  <si>
    <t xml:space="preserve">certificates_certificate_number_key, idx_certificates_number</t>
  </si>
  <si>
    <t xml:space="preserve">db/init/old/005_schema_certification.sql:81: Official certificate number</t>
  </si>
  <si>
    <t xml:space="preserve">Número oficial único del certificado laboral.</t>
  </si>
  <si>
    <t xml:space="preserve">código: db/init/old/005_schema_certification.sql:81</t>
  </si>
  <si>
    <t xml:space="preserve">C0880</t>
  </si>
  <si>
    <t xml:space="preserve">db/init/old/005_schema_certification.sql:87: Employee data (denormalized for historical purposes)</t>
  </si>
  <si>
    <t xml:space="preserve">Nombre completo del empleado, copiado en el certificado para conservar el histórico.</t>
  </si>
  <si>
    <t xml:space="preserve">código: db/init/old/005_schema_certification.sql:87</t>
  </si>
  <si>
    <t xml:space="preserve">C0881</t>
  </si>
  <si>
    <t xml:space="preserve">Mapeada en certification-service/src/certificates/certificate.entity.ts:23 (Certificate.id_number)</t>
  </si>
  <si>
    <t xml:space="preserve">Número de identificación del empleado a quien se expide el certificado laboral.</t>
  </si>
  <si>
    <t xml:space="preserve">nombre + tipo + columnas vecinas (full_name) + índice ~</t>
  </si>
  <si>
    <t xml:space="preserve">C0882</t>
  </si>
  <si>
    <t xml:space="preserve">career_category</t>
  </si>
  <si>
    <t xml:space="preserve">Mapeada en certification-service/src/certificates/certificate.entity.ts:29 (Certificate.career_category)</t>
  </si>
  <si>
    <t xml:space="preserve">Categoría de carrera del empleado registrada en el certificado (por ejemplo, tipo de vinculación o régimen de carrera).</t>
  </si>
  <si>
    <t xml:space="preserve">¿Qué valores toma career_category y de qué fuente se obtiene (planta, carrera administrativa, provisionalidad)?</t>
  </si>
  <si>
    <t xml:space="preserve">C0883</t>
  </si>
  <si>
    <t xml:space="preserve">Mapeada en certification-service/src/certificates/certificate.entity.ts:32 (Certificate.hiring_date)</t>
  </si>
  <si>
    <t xml:space="preserve">Fecha de vinculación del empleado a la entidad, informada en el certificado laboral.</t>
  </si>
  <si>
    <t xml:space="preserve">nombre + tipo + columnas vecinas ~</t>
  </si>
  <si>
    <t xml:space="preserve">C0884</t>
  </si>
  <si>
    <t xml:space="preserve">position_category</t>
  </si>
  <si>
    <t xml:space="preserve">Mapeada en certification-service/src/certificates/certificate.entity.ts:35 (Certificate.position_category)</t>
  </si>
  <si>
    <t xml:space="preserve">Categoría o denominación del cargo del empleado registrada en el certificado.</t>
  </si>
  <si>
    <t xml:space="preserve">¿position_category guarda la denominación del cargo o el nivel jerárquico (asistencial, profesional, etc.)?</t>
  </si>
  <si>
    <t xml:space="preserve">C0885</t>
  </si>
  <si>
    <t xml:space="preserve">Mapeada en certification-service/src/certificates/certificate.entity.ts:38 (Certificate.position_location)</t>
  </si>
  <si>
    <t xml:space="preserve">Ubicación o dependencia donde el empleado desempeña el cargo, según el certificado.</t>
  </si>
  <si>
    <t xml:space="preserve">¿position_location corresponde a la dependencia, la sede o la ciudad del cargo?</t>
  </si>
  <si>
    <t xml:space="preserve">C0886</t>
  </si>
  <si>
    <t xml:space="preserve">monthly_salary</t>
  </si>
  <si>
    <t xml:space="preserve">numeric(12,2)</t>
  </si>
  <si>
    <t xml:space="preserve">Mapeada en certification-service/src/certificates/certificate.entity.ts:41 (Certificate.monthly_salary)</t>
  </si>
  <si>
    <t xml:space="preserve">Asignación salarial mensual del empleado incluida en el certificado, en pesos colombianos.</t>
  </si>
  <si>
    <t xml:space="preserve">nombre + tipo + columnas vecinas (include_salary)</t>
  </si>
  <si>
    <t xml:space="preserve">¿monthly_salary es la asignación básica o incluye otros factores salariales? ¿Siempre en pesos colombianos?</t>
  </si>
  <si>
    <t xml:space="preserve">C0887</t>
  </si>
  <si>
    <t xml:space="preserve">salary_text</t>
  </si>
  <si>
    <t xml:space="preserve">Mapeada en certification-service/src/certificates/certificate.entity.ts:65 (Certificate.salary_text)</t>
  </si>
  <si>
    <t xml:space="preserve">Valor del salario mensual escrito en letras, tal como aparece en el certificado.</t>
  </si>
  <si>
    <t xml:space="preserve">nombre + tipo + columnas vecinas (monthly_salary)</t>
  </si>
  <si>
    <t xml:space="preserve">¿salary_text contiene el valor del salario en letras para el texto del certificado?</t>
  </si>
  <si>
    <t xml:space="preserve">C0888</t>
  </si>
  <si>
    <t xml:space="preserve">Mapeada en certification-service/src/certificates/certificate.entity.ts:68 (Certificate.department)</t>
  </si>
  <si>
    <t xml:space="preserve">Dependencia del empleado registrada en el certificado.</t>
  </si>
  <si>
    <t xml:space="preserve">¿department es la dependencia organizacional del empleado o el departamento geográfico?</t>
  </si>
  <si>
    <t xml:space="preserve">C0889</t>
  </si>
  <si>
    <t xml:space="preserve">Mapeada en certification-service/src/certificates/certificate.entity.ts:84 (Certificate.campus)</t>
  </si>
  <si>
    <t xml:space="preserve">Sede de la ESAP a la que pertenece el empleado, según el certificado.</t>
  </si>
  <si>
    <t xml:space="preserve">¿campus se toma de un catálogo de sedes o es texto libre?</t>
  </si>
  <si>
    <t xml:space="preserve">C0890</t>
  </si>
  <si>
    <t xml:space="preserve">db/init/old/005_schema_certification.sql:104: Certificate dates Date when the certificate is issued</t>
  </si>
  <si>
    <t xml:space="preserve">Fecha de expedición del certificado.</t>
  </si>
  <si>
    <t xml:space="preserve">código: db/init/old/005_schema_certification.sql:104</t>
  </si>
  <si>
    <t xml:space="preserve">C0891</t>
  </si>
  <si>
    <t xml:space="preserve">issuance_timestamp</t>
  </si>
  <si>
    <t xml:space="preserve">Mapeada en certification-service/src/certificates/certificate.entity.ts:90 (Certificate.issuance_timestamp)</t>
  </si>
  <si>
    <t xml:space="preserve">Fecha y hora en que se generó el certificado.</t>
  </si>
  <si>
    <t xml:space="preserve">nombre + tipo + defecto now() ~</t>
  </si>
  <si>
    <t xml:space="preserve">C0892</t>
  </si>
  <si>
    <t xml:space="preserve">db/init/old/005_schema_certification.sql:109: Certificate signer ALBA LUCÍA MARÍN ZULUAGA</t>
  </si>
  <si>
    <t xml:space="preserve">código: db/init/old/005_schema_certification.sql:109</t>
  </si>
  <si>
    <t xml:space="preserve">C0893</t>
  </si>
  <si>
    <t xml:space="preserve">db/init/old/005_schema_certification.sql:110: TECHNICAL DIRECTOR OF HUMAN TALENT</t>
  </si>
  <si>
    <t xml:space="preserve">Cargo del firmante del certificado (por ejemplo, Director Técnico de Talento Humano).</t>
  </si>
  <si>
    <t xml:space="preserve">código: db/init/old/005_schema_certification.sql:110</t>
  </si>
  <si>
    <t xml:space="preserve">C0894</t>
  </si>
  <si>
    <t xml:space="preserve">signer_department</t>
  </si>
  <si>
    <t xml:space="preserve">Mapeada en certification-service/src/certificates/certificate.entity.ts:99 (Certificate.signer_department)</t>
  </si>
  <si>
    <t xml:space="preserve">Dependencia del firmante del certificado, copiada al momento de la expedición.</t>
  </si>
  <si>
    <t xml:space="preserve">nombre + columnas vecinas (signer_name, signer_position) ~</t>
  </si>
  <si>
    <t xml:space="preserve">C0895</t>
  </si>
  <si>
    <t xml:space="preserve">db/init/old/005_schema_certification.sql:114: PDF file Path or URL of the generated PDF</t>
  </si>
  <si>
    <t xml:space="preserve">Ruta o URL del archivo PDF generado del certificado.</t>
  </si>
  <si>
    <t xml:space="preserve">código: db/init/old/005_schema_certification.sql:114</t>
  </si>
  <si>
    <t xml:space="preserve">C0896</t>
  </si>
  <si>
    <t xml:space="preserve">db/init/old/005_schema_certification.sql:118: Status VALID, REVOKED, EXPIRED</t>
  </si>
  <si>
    <t xml:space="preserve">Estado del certificado laboral. Valores previstos: VALID, REVOKED, EXPIRED; por defecto VALID.</t>
  </si>
  <si>
    <t xml:space="preserve">código: db/init/old/005_schema_certification.sql:118</t>
  </si>
  <si>
    <t xml:space="preserve">C0897</t>
  </si>
  <si>
    <t xml:space="preserve">validation_count</t>
  </si>
  <si>
    <t xml:space="preserve">db/init/old/005_schema_certification.sql:124: Validations</t>
  </si>
  <si>
    <t xml:space="preserve">Número de veces que se ha validado el certificado; por defecto 0.</t>
  </si>
  <si>
    <t xml:space="preserve">nombre + tipo + defecto + tabla certificate_validations</t>
  </si>
  <si>
    <t xml:space="preserve">C0898</t>
  </si>
  <si>
    <t xml:space="preserve">technical_bonus</t>
  </si>
  <si>
    <t xml:space="preserve">Mapeada en certification-service/src/certificates/certificate.entity.ts:44 (Certificate.technical_bonus)</t>
  </si>
  <si>
    <t xml:space="preserve">Valor de la bonificación técnica del empleado incluido en el certificado; 0 si no aplica.</t>
  </si>
  <si>
    <t xml:space="preserve">nombre + tipo + defecto 0 + columnas vecinas (include_technical_bonus, technical_bonuses)</t>
  </si>
  <si>
    <t xml:space="preserve">¿technical_bonus es un valor en pesos o un porcentaje? ¿Qué relación tiene con technical_bonuses?</t>
  </si>
  <si>
    <t xml:space="preserve">C0899</t>
  </si>
  <si>
    <t xml:space="preserve">last_corrected_at</t>
  </si>
  <si>
    <t xml:space="preserve">Mapeada en certification-service/src/certificates/certificate.entity.ts:120 (Certificate.last_corrected_at)</t>
  </si>
  <si>
    <t xml:space="preserve">Fecha y hora de la última corrección del certificado.</t>
  </si>
  <si>
    <t xml:space="preserve">nombre + tipo + columnas vecinas (is_corrected) ~</t>
  </si>
  <si>
    <t xml:space="preserve">C0900</t>
  </si>
  <si>
    <t xml:space="preserve">labor_function_profiles</t>
  </si>
  <si>
    <t xml:space="preserve">position_code</t>
  </si>
  <si>
    <t xml:space="preserve">idx_labor_function_profiles_position_grade</t>
  </si>
  <si>
    <t xml:space="preserve">certification-service/src/certificates/labor-function-profile.entity.ts:24: Legacy context is retained for recovery, never used to associate functions.</t>
  </si>
  <si>
    <t xml:space="preserve">Código del cargo del perfil de funciones, tomado de la Matriz de Funciones ESAP.</t>
  </si>
  <si>
    <t xml:space="preserve">código: certification-service/src/certificates/labor-function-profile.entity.ts:24</t>
  </si>
  <si>
    <t xml:space="preserve">El código indica que el contexto heredado se conserva solo para recuperación y no se usa para asociar funciones: ¿aplica a position_code? ¿La asociación usa combined_code o match_key?</t>
  </si>
  <si>
    <t xml:space="preserve">C0901</t>
  </si>
  <si>
    <t xml:space="preserve">grade_code</t>
  </si>
  <si>
    <t xml:space="preserve">Mapeada en certification-service/src/certificates/labor-function-profile.entity.ts:27 (LaborFunctionProfile.grade_code)</t>
  </si>
  <si>
    <t xml:space="preserve">Código del grado del cargo en el perfil de funciones, según la Matriz de Funciones ESAP.</t>
  </si>
  <si>
    <t xml:space="preserve">nombre + descripción de la tabla + índice con position_code ~</t>
  </si>
  <si>
    <t xml:space="preserve">C0902</t>
  </si>
  <si>
    <t xml:space="preserve">Mapeada en certification-service/src/certificates/labor-function-profile.entity.ts:36 (LaborFunctionProfile.hierarchical_level)</t>
  </si>
  <si>
    <t xml:space="preserve">Nivel jerárquico del cargo (por ejemplo, directivo, asesor, profesional, técnico o asistencial).</t>
  </si>
  <si>
    <t xml:space="preserve">nombre + tipo + descripción de la tabla</t>
  </si>
  <si>
    <t xml:space="preserve">¿hierarchical_level usa los niveles jerárquicos del Decreto 785 de 2005 o otra clasificación?</t>
  </si>
  <si>
    <t xml:space="preserve">C0903</t>
  </si>
  <si>
    <t xml:space="preserve">Mapeada en certification-service/src/certificates/labor-function-profile.entity.ts:39 (LaborFunctionProfile.position_name)</t>
  </si>
  <si>
    <t xml:space="preserve">Denominación del cargo del perfil de funciones.</t>
  </si>
  <si>
    <t xml:space="preserve">nombre + tipo + descripción de la tabla ~</t>
  </si>
  <si>
    <t xml:space="preserve">C0904</t>
  </si>
  <si>
    <t xml:space="preserve">department_name</t>
  </si>
  <si>
    <t xml:space="preserve">Mapeada en certification-service/src/certificates/labor-function-profile.entity.ts:42 (LaborFunctionProfile.department_name)</t>
  </si>
  <si>
    <t xml:space="preserve">Nombre de la dependencia a la que pertenece el cargo, según la Matriz de Funciones ESAP.</t>
  </si>
  <si>
    <t xml:space="preserve">C0905</t>
  </si>
  <si>
    <t xml:space="preserve">department_key</t>
  </si>
  <si>
    <t xml:space="preserve">Mapeada en certification-service/src/certificates/labor-function-profile.entity.ts:45 (LaborFunctionProfile.department_key)</t>
  </si>
  <si>
    <t xml:space="preserve">Clave normalizada del nombre de la dependencia, usada para asociar empleados con el perfil.</t>
  </si>
  <si>
    <t xml:space="preserve">nombre + descripción de la tabla (códigos normalizados)</t>
  </si>
  <si>
    <t xml:space="preserve">¿Cómo se normaliza department_key (mayúsculas, sin tildes, sin espacios)?</t>
  </si>
  <si>
    <t xml:space="preserve">C0906</t>
  </si>
  <si>
    <t xml:space="preserve">Mapeada en certification-service/src/certificates/labor-function-profile.entity.ts:48 (LaborFunctionProfile.internal_group)</t>
  </si>
  <si>
    <t xml:space="preserve">Nombre del grupo interno de trabajo al que pertenece el cargo.</t>
  </si>
  <si>
    <t xml:space="preserve">C0907</t>
  </si>
  <si>
    <t xml:space="preserve">internal_group_key</t>
  </si>
  <si>
    <t xml:space="preserve">Mapeada en certification-service/src/certificates/labor-function-profile.entity.ts:51 (LaborFunctionProfile.internal_group_key)</t>
  </si>
  <si>
    <t xml:space="preserve">Clave normalizada del grupo interno de trabajo, usada para asociar empleados con el perfil.</t>
  </si>
  <si>
    <t xml:space="preserve">¿Cómo se normaliza internal_group_key?</t>
  </si>
  <si>
    <t xml:space="preserve">C0908</t>
  </si>
  <si>
    <t xml:space="preserve">Mapeada en certification-service/src/certificates/labor-function-profile.entity.ts:54 (LaborFunctionProfile.cost_center)</t>
  </si>
  <si>
    <t xml:space="preserve">Centro de costo asociado al cargo en la Matriz de Funciones ESAP.</t>
  </si>
  <si>
    <t xml:space="preserve">¿cost_center guarda el código o el nombre del centro de costo?</t>
  </si>
  <si>
    <t xml:space="preserve">C0909</t>
  </si>
  <si>
    <t xml:space="preserve">source_sheet</t>
  </si>
  <si>
    <t xml:space="preserve">Mapeada en certification-service/src/certificates/labor-function-profile.entity.ts:57 (LaborFunctionProfile.source_sheet)</t>
  </si>
  <si>
    <t xml:space="preserve">Nombre de la hoja de la Matriz de Funciones ESAP de la que se importó el perfil.</t>
  </si>
  <si>
    <t xml:space="preserve">nombre + descripción de la tabla (importación de la matriz) ~</t>
  </si>
  <si>
    <t xml:space="preserve">C0910</t>
  </si>
  <si>
    <t xml:space="preserve">Mapeada en certification-service/src/certificates/labor-function-profile.entity.ts:60 (LaborFunctionProfile.is_active)</t>
  </si>
  <si>
    <t xml:space="preserve">C0911</t>
  </si>
  <si>
    <t xml:space="preserve">ux_labor_function_profiles_id_number</t>
  </si>
  <si>
    <t xml:space="preserve">Mapeada en certification-service/src/certificates/labor-function-profile.entity.ts:20 (LaborFunctionProfile.id_number)</t>
  </si>
  <si>
    <t xml:space="preserve">Número de identificación del empleado asociado al perfil de funciones; único por perfil.</t>
  </si>
  <si>
    <t xml:space="preserve">nombre + tipo + índice único</t>
  </si>
  <si>
    <t xml:space="preserve">¿id_number asocia un empleado específico al perfil? ¿Cuándo queda vacío?</t>
  </si>
  <si>
    <t xml:space="preserve">C0912</t>
  </si>
  <si>
    <t xml:space="preserve">labor_functions</t>
  </si>
  <si>
    <t xml:space="preserve">ordinal</t>
  </si>
  <si>
    <t xml:space="preserve">ux_labor_functions_profile_ordinal</t>
  </si>
  <si>
    <t xml:space="preserve">Mapeada en certification-service/src/certificates/labor-function.entity.ts:24 (LaborFunction.ordinal)</t>
  </si>
  <si>
    <t xml:space="preserve">Número de orden de la función dentro del perfil del cargo; único por perfil.</t>
  </si>
  <si>
    <t xml:space="preserve">nombre + índice único (profile_id, ordinal) + descripción de la tabla ~</t>
  </si>
  <si>
    <t xml:space="preserve">C0913</t>
  </si>
  <si>
    <t xml:space="preserve">Mapeada en certification-service/src/certificates/labor-function.entity.ts:27 (LaborFunction.description)</t>
  </si>
  <si>
    <t xml:space="preserve">Descripción del registro de labor_functions.</t>
  </si>
  <si>
    <t xml:space="preserve">C0914</t>
  </si>
  <si>
    <t xml:space="preserve">db/init/old/005_schema_certification.sql:185: Signer data</t>
  </si>
  <si>
    <t xml:space="preserve">Nombre completo del firmante autorizado de certificados laborales.</t>
  </si>
  <si>
    <t xml:space="preserve">código: db/init/old/005_schema_certification.sql:185</t>
  </si>
  <si>
    <t xml:space="preserve">C0915</t>
  </si>
  <si>
    <t xml:space="preserve">Mapeada en certification-service/src/certificates/signer.entity.ts:11 (Signer.position)</t>
  </si>
  <si>
    <t xml:space="preserve">Cargo del firmante autorizado.</t>
  </si>
  <si>
    <t xml:space="preserve">nombre + tipo + columnas vecinas (full_name, department) ~</t>
  </si>
  <si>
    <t xml:space="preserve">C0916</t>
  </si>
  <si>
    <t xml:space="preserve">Mapeada en certification-service/src/certificates/signer.entity.ts:14 (Signer.department)</t>
  </si>
  <si>
    <t xml:space="preserve">Dependencia a la que pertenece el firmante autorizado.</t>
  </si>
  <si>
    <t xml:space="preserve">C0917</t>
  </si>
  <si>
    <t xml:space="preserve">db/init/old/005_schema_certification.sql:190: Digital signature (image)</t>
  </si>
  <si>
    <t xml:space="preserve">Ruta o URL de la imagen de la firma digital del firmante.</t>
  </si>
  <si>
    <t xml:space="preserve">código: db/init/old/005_schema_certification.sql:190</t>
  </si>
  <si>
    <t xml:space="preserve">C0918</t>
  </si>
  <si>
    <t xml:space="preserve">db/init/old/005_schema_certification.sql:194: Status</t>
  </si>
  <si>
    <t xml:space="preserve">código: db/init/old/005_schema_certification.sql:194</t>
  </si>
  <si>
    <t xml:space="preserve">C0919</t>
  </si>
  <si>
    <t xml:space="preserve">db/init/old/005_schema_certification.sql:195: Primary/default signer</t>
  </si>
  <si>
    <t xml:space="preserve">código: db/init/old/005_schema_certification.sql:195</t>
  </si>
  <si>
    <t xml:space="preserve">C0920</t>
  </si>
  <si>
    <t xml:space="preserve">technical_bonus_assignments</t>
  </si>
  <si>
    <t xml:space="preserve">Mapeada en certification-service/src/certificates/technical-bonus-assignment.entity.ts:26 (TechnicalBonusAssignment.full_name)</t>
  </si>
  <si>
    <t xml:space="preserve">Nombre completo del empleado al que se asigna el porcentaje de bonificación técnica.</t>
  </si>
  <si>
    <t xml:space="preserve">nombre + tipo + columnas vecinas (id_number, percentage) ~</t>
  </si>
  <si>
    <t xml:space="preserve">C0921</t>
  </si>
  <si>
    <t xml:space="preserve">technical_bonus_templates</t>
  </si>
  <si>
    <t xml:space="preserve">label</t>
  </si>
  <si>
    <t xml:space="preserve">Mapeada en certification-service/src/certificates/technical-bonus-template.entity.ts:34 (TechnicalBonusTemplate.label)</t>
  </si>
  <si>
    <t xml:space="preserve">Etiqueta visible de la plantilla de bonificación técnica.</t>
  </si>
  <si>
    <t xml:space="preserve">nombre + tipo + columnas vecinas (category, description)</t>
  </si>
  <si>
    <t xml:space="preserve">¿label es el nombre que se muestra al usuario para elegir la plantilla?</t>
  </si>
  <si>
    <t xml:space="preserve">C0922</t>
  </si>
  <si>
    <t xml:space="preserve">Mapeada en certification-service/src/certificates/technical-bonus-template.entity.ts:37 (TechnicalBonusTemplate.description)</t>
  </si>
  <si>
    <t xml:space="preserve">Descripción del registro de technical_bonus_templates.</t>
  </si>
  <si>
    <t xml:space="preserve">C0923</t>
  </si>
  <si>
    <t xml:space="preserve">Mapeada en certification-service/src/certificates/technical-bonus-template.entity.ts:43 (TechnicalBonusTemplate.display_order)</t>
  </si>
  <si>
    <t xml:space="preserve">Orden de presentación de la plantilla en las listas; 0 por defecto.</t>
  </si>
  <si>
    <t xml:space="preserve">nombre + tipo + defecto 0 ~</t>
  </si>
  <si>
    <t xml:space="preserve">C0924</t>
  </si>
  <si>
    <t xml:space="preserve">is_system</t>
  </si>
  <si>
    <t xml:space="preserve">Mapeada en certification-service/src/certificates/technical-bonus-template.entity.ts:46 (TechnicalBonusTemplate.is_system)</t>
  </si>
  <si>
    <t xml:space="preserve">Indica si aplica: system.</t>
  </si>
  <si>
    <t xml:space="preserve">C0925</t>
  </si>
  <si>
    <t xml:space="preserve">Mapeada en certification-service/src/certificates/technical-bonus-template.entity.ts:49 (TechnicalBonusTemplate.is_active)</t>
  </si>
  <si>
    <t xml:space="preserve">C0926</t>
  </si>
  <si>
    <t xml:space="preserve">changed_at</t>
  </si>
  <si>
    <t xml:space="preserve">idx_template_config_changes_date</t>
  </si>
  <si>
    <t xml:space="preserve">Mapeada en certification-service/src/certificates/template-config-change.entity.ts:38 (TemplateConfigChange.changedAt)</t>
  </si>
  <si>
    <t xml:space="preserve">Fecha y hora en que se registró el cambio de configuración de la plantilla.</t>
  </si>
  <si>
    <t xml:space="preserve">nombre + tipo + defecto CURRENT_TIMESTAMP ~</t>
  </si>
  <si>
    <t xml:space="preserve">C0927</t>
  </si>
  <si>
    <t xml:space="preserve">Mapeada en certification-service/src/certificates/template-config-change.entity.ts:41 (TemplateConfigChange.changedBy)</t>
  </si>
  <si>
    <t xml:space="preserve">Usuario que realizó el cambio de configuración de la plantilla.</t>
  </si>
  <si>
    <t xml:space="preserve">C0928</t>
  </si>
  <si>
    <t xml:space="preserve">template_signers</t>
  </si>
  <si>
    <t xml:space="preserve">Mapeada en certification-service/src/certificates/template-signer.entity.ts:14 (TemplateSigner.full_name)</t>
  </si>
  <si>
    <t xml:space="preserve">Nombre completo del firmante disponible para las plantillas de certificado laboral.</t>
  </si>
  <si>
    <t xml:space="preserve">C0929</t>
  </si>
  <si>
    <t xml:space="preserve">Mapeada en certification-service/src/certificates/template-signer.entity.ts:17 (TemplateSigner.position)</t>
  </si>
  <si>
    <t xml:space="preserve">Cargo del firmante.</t>
  </si>
  <si>
    <t xml:space="preserve">C0930</t>
  </si>
  <si>
    <t xml:space="preserve">Mapeada en certification-service/src/certificates/template-signer.entity.ts:20 (TemplateSigner.department)</t>
  </si>
  <si>
    <t xml:space="preserve">C0931</t>
  </si>
  <si>
    <t xml:space="preserve">Mapeada en certification-service/src/certificates/template-signer.entity.ts:23 (TemplateSigner.is_active)</t>
  </si>
  <si>
    <t xml:space="preserve">C0932</t>
  </si>
  <si>
    <t xml:space="preserve">actas</t>
  </si>
  <si>
    <t xml:space="preserve">numero_acta</t>
  </si>
  <si>
    <t xml:space="preserve">Mapeada en legal-management-service/src/entities/acta.entity.ts:16 (Acta.numeroActa)</t>
  </si>
  <si>
    <t xml:space="preserve">Número del acta.</t>
  </si>
  <si>
    <t xml:space="preserve">C0933</t>
  </si>
  <si>
    <t xml:space="preserve">Mapeada en legal-management-service/src/entities/acta.entity.ts:19 (Acta.fecha)</t>
  </si>
  <si>
    <t xml:space="preserve">Fecha de la reunión o sesión que consta en el acta.</t>
  </si>
  <si>
    <t xml:space="preserve">C0934</t>
  </si>
  <si>
    <t xml:space="preserve">horario</t>
  </si>
  <si>
    <t xml:space="preserve">Mapeada en legal-management-service/src/entities/acta.entity.ts:22 (Acta.horario)</t>
  </si>
  <si>
    <t xml:space="preserve">Horario de la reunión registrada en el acta.</t>
  </si>
  <si>
    <t xml:space="preserve">¿Qué formato tiene horario (hora inicio–fin)?</t>
  </si>
  <si>
    <t xml:space="preserve">C0935</t>
  </si>
  <si>
    <t xml:space="preserve">duracion</t>
  </si>
  <si>
    <t xml:space="preserve">Mapeada en legal-management-service/src/entities/acta.entity.ts:25 (Acta.duracion)</t>
  </si>
  <si>
    <t xml:space="preserve">Duración de la reunión registrada en el acta.</t>
  </si>
  <si>
    <t xml:space="preserve">¿En qué unidad o formato se registra la duración?</t>
  </si>
  <si>
    <t xml:space="preserve">C0936</t>
  </si>
  <si>
    <t xml:space="preserve">lugar</t>
  </si>
  <si>
    <t xml:space="preserve">Mapeada en legal-management-service/src/entities/acta.entity.ts:28 (Acta.lugar)</t>
  </si>
  <si>
    <t xml:space="preserve">Lugar donde se realizó la reunión.</t>
  </si>
  <si>
    <t xml:space="preserve">C0937</t>
  </si>
  <si>
    <t xml:space="preserve">presidente</t>
  </si>
  <si>
    <t xml:space="preserve">Mapeada en legal-management-service/src/entities/acta.entity.ts:31 (Acta.presidente)</t>
  </si>
  <si>
    <t xml:space="preserve">Nombre de quien presidió la reunión.</t>
  </si>
  <si>
    <t xml:space="preserve">C0938</t>
  </si>
  <si>
    <t xml:space="preserve">participantes</t>
  </si>
  <si>
    <t xml:space="preserve">db/migrations/old/047_create_evidencias_actas.sql:28: Can store JSON or comma-separated list</t>
  </si>
  <si>
    <t xml:space="preserve">Participantes del acta, guardados como JSON o como lista separada por comas.</t>
  </si>
  <si>
    <t xml:space="preserve">código: db/migrations/old/047_create_evidencias_actas.sql:28</t>
  </si>
  <si>
    <t xml:space="preserve">¿Qué formato se usa hoy al guardar los participantes: JSON o lista separada por comas?</t>
  </si>
  <si>
    <t xml:space="preserve">C0939</t>
  </si>
  <si>
    <t xml:space="preserve">Mapeada en legal-management-service/src/entities/acta.entity.ts:37 (Acta.resumen)</t>
  </si>
  <si>
    <t xml:space="preserve">Resumen del contenido del acta.</t>
  </si>
  <si>
    <t xml:space="preserve">C0940</t>
  </si>
  <si>
    <t xml:space="preserve">decisiones_tomadas</t>
  </si>
  <si>
    <t xml:space="preserve">Mapeada en legal-management-service/src/entities/acta.entity.ts:40 (Acta.decisionesTomadas)</t>
  </si>
  <si>
    <t xml:space="preserve">Decisiones tomadas en la reunión.</t>
  </si>
  <si>
    <t xml:space="preserve">C0941</t>
  </si>
  <si>
    <t xml:space="preserve">Firmada, Programada</t>
  </si>
  <si>
    <t xml:space="preserve">Mapeada en legal-management-service/src/entities/acta.entity.ts:43 (Acta.estado)</t>
  </si>
  <si>
    <t xml:space="preserve">Estado del registro de actas.</t>
  </si>
  <si>
    <t xml:space="preserve">C0942</t>
  </si>
  <si>
    <t xml:space="preserve">archivo_nombre</t>
  </si>
  <si>
    <t xml:space="preserve">Mapeada en legal-management-service/src/entities/acta.entity.ts:46 (Acta.archivoNombre)</t>
  </si>
  <si>
    <t xml:space="preserve">Nombre del archivo del acta.</t>
  </si>
  <si>
    <t xml:space="preserve">nombre + tipo + columnas vecinas (archivo_url)</t>
  </si>
  <si>
    <t xml:space="preserve">C0943</t>
  </si>
  <si>
    <t xml:space="preserve">archivo_url</t>
  </si>
  <si>
    <t xml:space="preserve">Mapeada en legal-management-service/src/entities/acta.entity.ts:49 (Acta.archivoUrl)</t>
  </si>
  <si>
    <t xml:space="preserve">URL del archivo del acta.</t>
  </si>
  <si>
    <t xml:space="preserve">C0944</t>
  </si>
  <si>
    <t xml:space="preserve">archivo_tamano</t>
  </si>
  <si>
    <t xml:space="preserve">Mapeada en legal-management-service/src/entities/acta.entity.ts:52 (Acta.archivoTamano)</t>
  </si>
  <si>
    <t xml:space="preserve">Tamaño del archivo del acta.</t>
  </si>
  <si>
    <t xml:space="preserve">¿La unidad del tamaño es bytes?</t>
  </si>
  <si>
    <t xml:space="preserve">C0945</t>
  </si>
  <si>
    <t xml:space="preserve">Mapeada en legal-management-service/src/entities/acta.entity.ts:55 (Acta.tipo)</t>
  </si>
  <si>
    <t xml:space="preserve">Tipo del registro de actas.</t>
  </si>
  <si>
    <t xml:space="preserve">C0946</t>
  </si>
  <si>
    <t xml:space="preserve">actors</t>
  </si>
  <si>
    <t xml:space="preserve">Mapeada en legal-management-service/src/entities/actor.entity.ts:17 (Actor.nombre)</t>
  </si>
  <si>
    <t xml:space="preserve">Nombre del registro de actors.</t>
  </si>
  <si>
    <t xml:space="preserve">C0947</t>
  </si>
  <si>
    <t xml:space="preserve">tipo_persona</t>
  </si>
  <si>
    <t xml:space="preserve">legal-management-service/src/entities/actor.entity.ts:20: NATURAL, JURIDICA | db/migrations/110_add_actors_table.sql:9: NATURAL, JURIDICA</t>
  </si>
  <si>
    <t xml:space="preserve">Tipo de persona del actor. Valores: NATURAL, JURIDICA.</t>
  </si>
  <si>
    <t xml:space="preserve">código: actor.entity.ts:20</t>
  </si>
  <si>
    <t xml:space="preserve">C0948</t>
  </si>
  <si>
    <t xml:space="preserve">Mapeada en legal-management-service/src/entities/actor.entity.ts:23 (Actor.identificacion)</t>
  </si>
  <si>
    <t xml:space="preserve">C0949</t>
  </si>
  <si>
    <t xml:space="preserve">rol</t>
  </si>
  <si>
    <t xml:space="preserve">idx_actors_rol</t>
  </si>
  <si>
    <t xml:space="preserve">legal-management-service/src/entities/actor.entity.ts:26: DEMANDANTE, DEMANDADO, OTRO | db/migrations/110_add_actors_table.sql:11: DEMANDANTE, DEMANDADO, OTRO</t>
  </si>
  <si>
    <t xml:space="preserve">Rol del actor en el expediente. Valores: DEMANDANTE, DEMANDADO, OTRO.</t>
  </si>
  <si>
    <t xml:space="preserve">código: actor.entity.ts:26</t>
  </si>
  <si>
    <t xml:space="preserve">C0950</t>
  </si>
  <si>
    <t xml:space="preserve">cargo</t>
  </si>
  <si>
    <t xml:space="preserve">db/migrations/110_add_actors_table.sql:12: Opcional, para demandados/otros</t>
  </si>
  <si>
    <t xml:space="preserve">Cargo del actor; opcional, para demandados y otros.</t>
  </si>
  <si>
    <t xml:space="preserve">código: db/migrations/110_add_actors_table.sql:12</t>
  </si>
  <si>
    <t xml:space="preserve">C0951</t>
  </si>
  <si>
    <t xml:space="preserve">Mapeada en legal-management-service/src/entities/actor.entity.ts:35 (Actor.email)</t>
  </si>
  <si>
    <t xml:space="preserve">C0952</t>
  </si>
  <si>
    <t xml:space="preserve">Mapeada en legal-management-service/src/entities/actor.entity.ts:38 (Actor.telefono)</t>
  </si>
  <si>
    <t xml:space="preserve">C0953</t>
  </si>
  <si>
    <t xml:space="preserve">Mapeada en legal-management-service/src/entities/actor.entity.ts:41 (Actor.direccion)</t>
  </si>
  <si>
    <t xml:space="preserve">Dirección del actor del expediente.</t>
  </si>
  <si>
    <t xml:space="preserve">C0954</t>
  </si>
  <si>
    <t xml:space="preserve">apoderado</t>
  </si>
  <si>
    <t xml:space="preserve">Mapeada en legal-management-service/src/entities/actor.entity.ts:44 (Actor.apoderado)</t>
  </si>
  <si>
    <t xml:space="preserve">Nombre del apoderado del actor.</t>
  </si>
  <si>
    <t xml:space="preserve">C0955</t>
  </si>
  <si>
    <t xml:space="preserve">dependencia</t>
  </si>
  <si>
    <t xml:space="preserve">Mapeada en legal-management-service/src/entities/actor.entity.ts:32 (Actor.dependencia)</t>
  </si>
  <si>
    <t xml:space="preserve">Dependencia a la que pertenece el actor.</t>
  </si>
  <si>
    <t xml:space="preserve">¿Aplica solo a actores internos de la ESAP?</t>
  </si>
  <si>
    <t xml:space="preserve">C0956</t>
  </si>
  <si>
    <t xml:space="preserve">actuaciones</t>
  </si>
  <si>
    <t xml:space="preserve">expediente_id</t>
  </si>
  <si>
    <t xml:space="preserve">idx_actuaciones_expediente</t>
  </si>
  <si>
    <t xml:space="preserve">legal-management-service/src/entities/actuacion.entity.ts:11: Changed to simple string column to support both GUIDs (Judicial) and Radicados (Disciplinario) FK constraint was removed in DB to allow this polymorphism</t>
  </si>
  <si>
    <t xml:space="preserve">Identificador del expediente o proceso al que pertenece la actuación: GUID en procesos judiciales o radicado en procesos disciplinarios. No tiene clave foránea.</t>
  </si>
  <si>
    <t xml:space="preserve">código: legal-management-service/src/entities/actuacion.entity.ts:11</t>
  </si>
  <si>
    <t xml:space="preserve">C0957</t>
  </si>
  <si>
    <t xml:space="preserve">tipo_actuacion</t>
  </si>
  <si>
    <t xml:space="preserve">db/init/old/02_actuaciones_schema.sql:7: AUTO_ADMISORIO, PRUEBAS, FALLO, etc.</t>
  </si>
  <si>
    <t xml:space="preserve">Tipo de actuación (por ejemplo, AUTO_ADMISORIO, PRUEBAS, FALLO).</t>
  </si>
  <si>
    <t xml:space="preserve">código: db/init/old/02_actuaciones_schema.sql:7</t>
  </si>
  <si>
    <t xml:space="preserve">¿Cuál es la lista completa de tipos de actuación?</t>
  </si>
  <si>
    <t xml:space="preserve">C0958</t>
  </si>
  <si>
    <t xml:space="preserve">Mapeada en legal-management-service/src/entities/actuacion.entity.ts:20 (Actuacion.descripcion)</t>
  </si>
  <si>
    <t xml:space="preserve">Descripción del registro de actuaciones.</t>
  </si>
  <si>
    <t xml:space="preserve">C0959</t>
  </si>
  <si>
    <t xml:space="preserve">fecha_actuacion</t>
  </si>
  <si>
    <t xml:space="preserve">Mapeada en legal-management-service/src/entities/actuacion.entity.ts:23 (Actuacion.fechaActuacion)</t>
  </si>
  <si>
    <t xml:space="preserve">Fecha de actuación.</t>
  </si>
  <si>
    <t xml:space="preserve">C0960</t>
  </si>
  <si>
    <t xml:space="preserve">documento_url</t>
  </si>
  <si>
    <t xml:space="preserve">Mapeada en legal-management-service/src/entities/actuacion.entity.ts:26 (Actuacion.documentoUrl)</t>
  </si>
  <si>
    <t xml:space="preserve">URL del documento soporte de la actuación.</t>
  </si>
  <si>
    <t xml:space="preserve">C0961</t>
  </si>
  <si>
    <t xml:space="preserve">documento_nombre</t>
  </si>
  <si>
    <t xml:space="preserve">Mapeada en legal-management-service/src/entities/actuacion.entity.ts:29 (Actuacion.documentoNombre)</t>
  </si>
  <si>
    <t xml:space="preserve">Nombre del documento soporte de la actuación.</t>
  </si>
  <si>
    <t xml:space="preserve">C0962</t>
  </si>
  <si>
    <t xml:space="preserve">usuario_responsable</t>
  </si>
  <si>
    <t xml:space="preserve">Mapeada en legal-management-service/src/entities/actuacion.entity.ts:32 (Actuacion.usuarioResponsable)</t>
  </si>
  <si>
    <t xml:space="preserve">Nombre del usuario responsable de la actuación. Valor por defecto: Sistema.</t>
  </si>
  <si>
    <t xml:space="preserve">¿Qué diferencia hay entre usuario_responsable y responsable_id?</t>
  </si>
  <si>
    <t xml:space="preserve">C0963</t>
  </si>
  <si>
    <t xml:space="preserve">legal-management-service/src/entities/actuacion.entity.ts:41: 'MANUAL', 'AUDIENCIA', 'AUTO', 'ACTA', 'EVIDENCIA', 'OFICIO' | db/migrations/old/094_add_unified_history_columns.sql:5: 'MANUAL', 'AUDIENCIA', 'AUTO', 'ACTA', 'EVIDENCIA', 'OFICIO'</t>
  </si>
  <si>
    <t xml:space="preserve">Origen de la actuación en el historial unificado. Valores: MANUAL, AUDIENCIA, AUTO, ACTA, EVIDENCIA, OFICIO. Por defecto, MANUAL.</t>
  </si>
  <si>
    <t xml:space="preserve">código: actuacion.entity.ts:41</t>
  </si>
  <si>
    <t xml:space="preserve">C0964</t>
  </si>
  <si>
    <t xml:space="preserve">referencia_id</t>
  </si>
  <si>
    <t xml:space="preserve">idx_actuaciones_referencia</t>
  </si>
  <si>
    <t xml:space="preserve">db/migrations/old/094_add_unified_history_columns.sql:6: ID del registro original (Auto, Audiencia, etc.)</t>
  </si>
  <si>
    <t xml:space="preserve">Identificador del registro original que generó la actuación (auto, audiencia, etc.).</t>
  </si>
  <si>
    <t xml:space="preserve">código: db/migrations/old/094_add_unified_history_columns.sql:6</t>
  </si>
  <si>
    <t xml:space="preserve">C0965</t>
  </si>
  <si>
    <t xml:space="preserve">db/migrations/old/094_add_unified_history_columns.sql:7: Para guardar datos extra si se requiere</t>
  </si>
  <si>
    <t xml:space="preserve">Datos adicionales de la actuación, en formato JSON.</t>
  </si>
  <si>
    <t xml:space="preserve">código: db/migrations/old/094_add_unified_history_columns.sql:7</t>
  </si>
  <si>
    <t xml:space="preserve">C0966</t>
  </si>
  <si>
    <t xml:space="preserve">responsable_id</t>
  </si>
  <si>
    <t xml:space="preserve">legal-management-service/src/entities/actuacion.entity.ts:38: Id del usuario (auth."user") asignado como responsable de la actuación, usado para notificarle que tiene una nueva actividad pendiente. `usuarioResponsable` arriba solo guarda el nombre para mostrar y no basta para resolver a quién notificar.</t>
  </si>
  <si>
    <t xml:space="preserve">Identificador del usuario (auth."user") asignado como responsable de la actuación; se usa para notificarle la nueva actividad pendiente.</t>
  </si>
  <si>
    <t xml:space="preserve">código: legal-management-service/src/entities/actuacion.entity.ts:38</t>
  </si>
  <si>
    <t xml:space="preserve">C0967</t>
  </si>
  <si>
    <t xml:space="preserve">adjuntos_correo</t>
  </si>
  <si>
    <t xml:space="preserve">graph_message_id</t>
  </si>
  <si>
    <t xml:space="preserve">idx_adjuntos_graph_message</t>
  </si>
  <si>
    <t xml:space="preserve">Mapeada en legal-management-service/src/entities/adjunto-correo.entity.ts:16 (AdjuntoCorreo.graphMessageId)</t>
  </si>
  <si>
    <t xml:space="preserve">Identificador del mensaje en Microsoft Graph al que pertenece el adjunto.</t>
  </si>
  <si>
    <t xml:space="preserve">C0968</t>
  </si>
  <si>
    <t xml:space="preserve">Mapeada en legal-management-service/src/entities/adjunto-correo.entity.ts:22 (AdjuntoCorreo.nombre)</t>
  </si>
  <si>
    <t xml:space="preserve">Nombre del registro de adjuntos_correo.</t>
  </si>
  <si>
    <t xml:space="preserve">C0969</t>
  </si>
  <si>
    <t xml:space="preserve">content_type</t>
  </si>
  <si>
    <t xml:space="preserve">Mapeada en legal-management-service/src/entities/adjunto-correo.entity.ts:25 (AdjuntoCorreo.contentType)</t>
  </si>
  <si>
    <t xml:space="preserve">Tipo de contenido (MIME) del adjunto.</t>
  </si>
  <si>
    <t xml:space="preserve">C0970</t>
  </si>
  <si>
    <t xml:space="preserve">tamanio</t>
  </si>
  <si>
    <t xml:space="preserve">Mapeada en legal-management-service/src/entities/adjunto-correo.entity.ts:28 (AdjuntoCorreo.tamanio)</t>
  </si>
  <si>
    <t xml:space="preserve">Tamaño del adjunto. Valor por defecto: 0.</t>
  </si>
  <si>
    <t xml:space="preserve">C0971</t>
  </si>
  <si>
    <t xml:space="preserve">descargado</t>
  </si>
  <si>
    <t xml:space="preserve">Mapeada en legal-management-service/src/entities/adjunto-correo.entity.ts:34 (AdjuntoCorreo.descargado)</t>
  </si>
  <si>
    <t xml:space="preserve">Indica si el registro está descargado.</t>
  </si>
  <si>
    <t xml:space="preserve">C0972</t>
  </si>
  <si>
    <t xml:space="preserve">audiencias</t>
  </si>
  <si>
    <t xml:space="preserve">abogado_id</t>
  </si>
  <si>
    <t xml:space="preserve">Mapeada en legal-management-service/src/entities/audiencia.entity.ts:16 (Audiencia.abogadoId)</t>
  </si>
  <si>
    <t xml:space="preserve">Identificador del abogado responsable de la audiencia.</t>
  </si>
  <si>
    <t xml:space="preserve">¿Referencia a qué tabla de abogados? No tiene FK declarada.</t>
  </si>
  <si>
    <t xml:space="preserve">C0973</t>
  </si>
  <si>
    <t xml:space="preserve">titulo</t>
  </si>
  <si>
    <t xml:space="preserve">Mapeada en legal-management-service/src/entities/audiencia.entity.ts:25 (Audiencia.titulo)</t>
  </si>
  <si>
    <t xml:space="preserve">Título de la audiencia.</t>
  </si>
  <si>
    <t xml:space="preserve">C0974</t>
  </si>
  <si>
    <t xml:space="preserve">fecha_hora_inicio</t>
  </si>
  <si>
    <t xml:space="preserve">Mapeada en legal-management-service/src/entities/audiencia.entity.ts:28 (Audiencia.fechaHoraInicio)</t>
  </si>
  <si>
    <t xml:space="preserve">Fecha de hora inicio.</t>
  </si>
  <si>
    <t xml:space="preserve">C0975</t>
  </si>
  <si>
    <t xml:space="preserve">duracion_minutos</t>
  </si>
  <si>
    <t xml:space="preserve">Mapeada en legal-management-service/src/entities/audiencia.entity.ts:31 (Audiencia.duracionMinutos)</t>
  </si>
  <si>
    <t xml:space="preserve">Duración de la audiencia, en minutos.</t>
  </si>
  <si>
    <t xml:space="preserve">C0976</t>
  </si>
  <si>
    <t xml:space="preserve">legal-management-service/src/entities/audiencia.entity.ts:34: 'VIRTUAL' | 'PRESENCIAL' | db/migrations/old/034_complete_abogados_data.sql:36: 'VIRTUAL', 'PRESENCIAL' | db/init/old/04_abogados_calendario_schema.sql:25: 'VIRTUAL', 'PRESENCIAL'</t>
  </si>
  <si>
    <t xml:space="preserve">Modalidad de la audiencia. Valores: VIRTUAL, PRESENCIAL.</t>
  </si>
  <si>
    <t xml:space="preserve">código: audiencia.entity.ts:34</t>
  </si>
  <si>
    <t xml:space="preserve">C0977</t>
  </si>
  <si>
    <t xml:space="preserve">ubicacion</t>
  </si>
  <si>
    <t xml:space="preserve">Mapeada en legal-management-service/src/entities/audiencia.entity.ts:37 (Audiencia.ubicacion)</t>
  </si>
  <si>
    <t xml:space="preserve">Lugar de realización de la audiencia.</t>
  </si>
  <si>
    <t xml:space="preserve">¿Se llena solo cuando la modalidad es PRESENCIAL?</t>
  </si>
  <si>
    <t xml:space="preserve">C0978</t>
  </si>
  <si>
    <t xml:space="preserve">link_reunion</t>
  </si>
  <si>
    <t xml:space="preserve">Mapeada en legal-management-service/src/entities/audiencia.entity.ts:40 (Audiencia.linkReunion)</t>
  </si>
  <si>
    <t xml:space="preserve">Enlace de la reunión virtual de la audiencia.</t>
  </si>
  <si>
    <t xml:space="preserve">nombre + tipo + columnas vecinas (modalidad)</t>
  </si>
  <si>
    <t xml:space="preserve">C0979</t>
  </si>
  <si>
    <t xml:space="preserve">legal-management-service/src/entities/audiencia.entity.ts:43: 'PROGRAMADA', 'REALIZADA', 'CANCELADA', 'APLAZADA' | db/migrations/old/034_complete_abogados_data.sql:39: 'PROGRAMADA', 'REALIZADA', 'CANCELADA', 'APLAZADA' | db/init/old/04_abogados_calendario_schema.sql:28: 'PROGRAMADA', 'REALIZADA', 'CANCELADA', 'APLAZADA'</t>
  </si>
  <si>
    <t xml:space="preserve">Estado de la audiencia. Valores: PROGRAMADA, REALIZADA, CANCELADA, APLAZADA. Por defecto, PROGRAMADA.</t>
  </si>
  <si>
    <t xml:space="preserve">código: audiencia.entity.ts:43</t>
  </si>
  <si>
    <t xml:space="preserve">C0980</t>
  </si>
  <si>
    <t xml:space="preserve">notas_preparacion</t>
  </si>
  <si>
    <t xml:space="preserve">Mapeada en legal-management-service/src/entities/audiencia.entity.ts:46 (Audiencia.notasPreparacion)</t>
  </si>
  <si>
    <t xml:space="preserve">Notas de preparación de la audiencia.</t>
  </si>
  <si>
    <t xml:space="preserve">¿Quién registra las notas de preparación (el abogado asignado)?</t>
  </si>
  <si>
    <t xml:space="preserve">C0981</t>
  </si>
  <si>
    <t xml:space="preserve">historial</t>
  </si>
  <si>
    <t xml:space="preserve">Mapeada en legal-management-service/src/entities/audiencia.entity.ts:49 (Audiencia.historial)</t>
  </si>
  <si>
    <t xml:space="preserve">Historial de cambios de la audiencia, en formato JSON. Valor por defecto: arreglo vacío.</t>
  </si>
  <si>
    <t xml:space="preserve">¿Qué estructura tiene cada elemento del historial?</t>
  </si>
  <si>
    <t xml:space="preserve">C0982</t>
  </si>
  <si>
    <t xml:space="preserve">abogado_nombre</t>
  </si>
  <si>
    <t xml:space="preserve">Mapeada en legal-management-service/src/entities/audiencia.entity.ts:19 (Audiencia.abogadoNombre)</t>
  </si>
  <si>
    <t xml:space="preserve">Nombre del abogado responsable de la audiencia.</t>
  </si>
  <si>
    <t xml:space="preserve">C0983</t>
  </si>
  <si>
    <t xml:space="preserve">abogado_email</t>
  </si>
  <si>
    <t xml:space="preserve">Mapeada en legal-management-service/src/entities/audiencia.entity.ts:22 (Audiencia.abogadoEmail)</t>
  </si>
  <si>
    <t xml:space="preserve">Correo electrónico del abogado responsable de la audiencia.</t>
  </si>
  <si>
    <t xml:space="preserve">C0984</t>
  </si>
  <si>
    <t xml:space="preserve">autos</t>
  </si>
  <si>
    <t xml:space="preserve">character varying</t>
  </si>
  <si>
    <t xml:space="preserve">db/migrations/old/046_create_autos_juzgamiento.sql:7: e.g. AUTO-001-2024</t>
  </si>
  <si>
    <t xml:space="preserve">Número del auto (por ejemplo, AUTO-001-2024).</t>
  </si>
  <si>
    <t xml:space="preserve">código: db/migrations/old/046_create_autos_juzgamiento.sql:7</t>
  </si>
  <si>
    <t xml:space="preserve">C0985</t>
  </si>
  <si>
    <t xml:space="preserve">db/migrations/old/046_create_autos_juzgamiento.sql:8: e.g. Auto Admisorio</t>
  </si>
  <si>
    <t xml:space="preserve">Tipo de auto (por ejemplo, Auto Admisorio).</t>
  </si>
  <si>
    <t xml:space="preserve">código: db/migrations/old/046_create_autos_juzgamiento.sql:8</t>
  </si>
  <si>
    <t xml:space="preserve">¿Hay un catálogo cerrado de tipos de auto?</t>
  </si>
  <si>
    <t xml:space="preserve">C0986</t>
  </si>
  <si>
    <t xml:space="preserve">fecha_auto</t>
  </si>
  <si>
    <t xml:space="preserve">Mapeada en legal-management-service/src/entities/auto.entity.ts:22 (Auto.fechaAuto)</t>
  </si>
  <si>
    <t xml:space="preserve">Fecha de auto.</t>
  </si>
  <si>
    <t xml:space="preserve">C0987</t>
  </si>
  <si>
    <t xml:space="preserve">juzgado</t>
  </si>
  <si>
    <t xml:space="preserve">Mapeada en legal-management-service/src/entities/auto.entity.ts:25 (Auto.juzgado)</t>
  </si>
  <si>
    <t xml:space="preserve">Juzgado que emite el auto. Valor por defecto: Juzgado Interno Disciplinario.</t>
  </si>
  <si>
    <t xml:space="preserve">C0988</t>
  </si>
  <si>
    <t xml:space="preserve">Mapeada en legal-management-service/src/entities/auto.entity.ts:28 (Auto.resumen)</t>
  </si>
  <si>
    <t xml:space="preserve">Resumen del contenido del auto.</t>
  </si>
  <si>
    <t xml:space="preserve">C0989</t>
  </si>
  <si>
    <t xml:space="preserve">legal-management-service/src/entities/auto.entity.ts:31: Pendiente, Notificado, Archivado | db/migrations/old/046_create_autos_juzgamiento.sql:12: Pendiente, Notificado, Archivado</t>
  </si>
  <si>
    <t xml:space="preserve">Estado del auto. Valores: Pendiente, Notificado, Archivado. Por defecto, Pendiente.</t>
  </si>
  <si>
    <t xml:space="preserve">código: auto.entity.ts:31</t>
  </si>
  <si>
    <t xml:space="preserve">C0990</t>
  </si>
  <si>
    <t xml:space="preserve">fecha_notificacion</t>
  </si>
  <si>
    <t xml:space="preserve">Mapeada en legal-management-service/src/entities/auto.entity.ts:34 (Auto.fechaNotificacion) | Validación: IsDateString</t>
  </si>
  <si>
    <t xml:space="preserve">Fecha de notificación.</t>
  </si>
  <si>
    <t xml:space="preserve">C0991</t>
  </si>
  <si>
    <t xml:space="preserve">db/migrations/old/046_create_autos_juzgamiento.sql:14: Essential: the auto IS the file</t>
  </si>
  <si>
    <t xml:space="preserve">URL del archivo del auto. Obligatoria.</t>
  </si>
  <si>
    <t xml:space="preserve">código: db/migrations/old/046_create_autos_juzgamiento.sql:14</t>
  </si>
  <si>
    <t xml:space="preserve">C0992</t>
  </si>
  <si>
    <t xml:space="preserve">Mapeada en legal-management-service/src/entities/auto.entity.ts:40 (Auto.archivoNombre)</t>
  </si>
  <si>
    <t xml:space="preserve">Nombre del archivo del auto.</t>
  </si>
  <si>
    <t xml:space="preserve">C0993</t>
  </si>
  <si>
    <t xml:space="preserve">borradores_correos</t>
  </si>
  <si>
    <t xml:space="preserve">idx_borradores_correos_usuario</t>
  </si>
  <si>
    <t xml:space="preserve">legal-management-service/src/entities/borrador-correo.entity.ts:27: Propietario del borrador (privado por usuario). | db/migrations/382_create_borradores_correos.sql:19: Propietario del borrador. Los borradores son PRIVADOS: cada usuario solo ve los suyos. Se guarda el id (y el nombre para trazabilidad/UI). | Validación: IsOptional, IsString</t>
  </si>
  <si>
    <t xml:space="preserve">Identificador del usuario propietario del borrador; cada usuario solo ve sus propios borradores.</t>
  </si>
  <si>
    <t xml:space="preserve">código: db/migrations/382_create_borradores_correos.sql:19</t>
  </si>
  <si>
    <t xml:space="preserve">C0994</t>
  </si>
  <si>
    <t xml:space="preserve">Mapeada en legal-management-service/src/entities/borrador-correo.entity.ts:30 (BorradorCorreo.usuarioNombre) | Validación: IsNotEmpty, IsString</t>
  </si>
  <si>
    <t xml:space="preserve">Nombre del usuario dueño del borrador.</t>
  </si>
  <si>
    <t xml:space="preserve">C0995</t>
  </si>
  <si>
    <t xml:space="preserve">destinatarios_to</t>
  </si>
  <si>
    <t xml:space="preserve">legal-management-service/src/entities/borrador-correo.entity.ts:38: Destinatarios como arreglo JSON de correos (texto). "Para" | db/migrations/382_create_borradores_correos.sql:28: Destinatarios como arreglo JSON de correos (texto). Coherente con correos_juridicos.destinatarios / destinatarios_cco. "Para"</t>
  </si>
  <si>
    <t xml:space="preserve">Destinatarios principales («Para») del borrador, como arreglo JSON de correos en texto.</t>
  </si>
  <si>
    <t xml:space="preserve">código: borrador-correo.entity.ts:38</t>
  </si>
  <si>
    <t xml:space="preserve">C0996</t>
  </si>
  <si>
    <t xml:space="preserve">destinatarios_cc</t>
  </si>
  <si>
    <t xml:space="preserve">legal-management-service/src/entities/borrador-correo.entity.ts:41: CC | db/migrations/382_create_borradores_correos.sql:29: CC</t>
  </si>
  <si>
    <t xml:space="preserve">Destinatarios en copia (CC) del borrador.</t>
  </si>
  <si>
    <t xml:space="preserve">código: borrador-correo.entity.ts:41</t>
  </si>
  <si>
    <t xml:space="preserve">C0997</t>
  </si>
  <si>
    <t xml:space="preserve">destinatarios_cco</t>
  </si>
  <si>
    <t xml:space="preserve">legal-management-service/src/entities/borrador-correo.entity.ts:44: CCO | db/migrations/382_create_borradores_correos.sql:30: CCO / Copia Oculta</t>
  </si>
  <si>
    <t xml:space="preserve">Destinatarios en copia oculta (CCO) del borrador.</t>
  </si>
  <si>
    <t xml:space="preserve">código: borrador-correo.entity.ts:44</t>
  </si>
  <si>
    <t xml:space="preserve">C0998</t>
  </si>
  <si>
    <t xml:space="preserve">asunto</t>
  </si>
  <si>
    <t xml:space="preserve">Mapeada en legal-management-service/src/entities/borrador-correo.entity.ts:47 (BorradorCorreo.asunto)</t>
  </si>
  <si>
    <t xml:space="preserve">Asunto del correo en borrador.</t>
  </si>
  <si>
    <t xml:space="preserve">nombre + documentación de la entidad</t>
  </si>
  <si>
    <t xml:space="preserve">C0999</t>
  </si>
  <si>
    <t xml:space="preserve">cuerpo</t>
  </si>
  <si>
    <t xml:space="preserve">Mapeada en legal-management-service/src/entities/borrador-correo.entity.ts:50 (BorradorCorreo.cuerpo)</t>
  </si>
  <si>
    <t xml:space="preserve">Cuerpo del correo en redacción.</t>
  </si>
  <si>
    <t xml:space="preserve">¿El cuerpo se guarda en HTML o en texto plano?</t>
  </si>
  <si>
    <t xml:space="preserve">C1000</t>
  </si>
  <si>
    <t xml:space="preserve">solicitar_acuse</t>
  </si>
  <si>
    <t xml:space="preserve">db/migrations/382_create_borradores_correos.sql:39: Opción "solicitar acuse de recibido" tal como la dejó el usuario.</t>
  </si>
  <si>
    <t xml:space="preserve">Indica si el usuario dejó marcada la opción «solicitar acuse de recibido» en el borrador.</t>
  </si>
  <si>
    <t xml:space="preserve">código: db/migrations/382_create_borradores_correos.sql:39</t>
  </si>
  <si>
    <t xml:space="preserve">C1001</t>
  </si>
  <si>
    <t xml:space="preserve">cat_tipos_requerimiento</t>
  </si>
  <si>
    <t xml:space="preserve">Mapeada en legal-management-service/src/entities/tipo-requerimiento-oc.entity.ts:8 (TipoRequerimientoOC.nombre)</t>
  </si>
  <si>
    <t xml:space="preserve">Nombre del registro de cat_tipos_requerimiento.</t>
  </si>
  <si>
    <t xml:space="preserve">C1002</t>
  </si>
  <si>
    <t xml:space="preserve">Mapeada en legal-management-service/src/entities/tipo-requerimiento-oc.entity.ts:11 (TipoRequerimientoOC.descripcion)</t>
  </si>
  <si>
    <t xml:space="preserve">Descripción del registro de cat_tipos_requerimiento.</t>
  </si>
  <si>
    <t xml:space="preserve">C1003</t>
  </si>
  <si>
    <t xml:space="preserve">idx_cat_tipos_req_activo</t>
  </si>
  <si>
    <t xml:space="preserve">Mapeada en legal-management-service/src/entities/tipo-requerimiento-oc.entity.ts:14 (TipoRequerimientoOC.activo)</t>
  </si>
  <si>
    <t xml:space="preserve">C1004</t>
  </si>
  <si>
    <t xml:space="preserve">idx_cat_tipos_req_orden</t>
  </si>
  <si>
    <t xml:space="preserve">Mapeada en legal-management-service/src/entities/tipo-requerimiento-oc.entity.ts:17 (TipoRequerimientoOC.orden)</t>
  </si>
  <si>
    <t xml:space="preserve">C1005</t>
  </si>
  <si>
    <t xml:space="preserve">coactivos_historial</t>
  </si>
  <si>
    <t xml:space="preserve">tipo_evento</t>
  </si>
  <si>
    <t xml:space="preserve">legal-management-service/src/entities/coactivo-historial.entity.ts:16: CREACION, PAGO, CAMBIO_ETAPA, ACTUALIZACION | db/migrations/old/103_create_pagos_historial_coactivos.sql:23: CREACION, PAGO, CAMBIO_ETAPA, ACTUALIZACION</t>
  </si>
  <si>
    <t xml:space="preserve">Tipo de evento del historial del proceso coactivo. Valores: CREACION, PAGO, CAMBIO_ETAPA, ACTUALIZACION.</t>
  </si>
  <si>
    <t xml:space="preserve">código: coactivo-historial.entity.ts:16</t>
  </si>
  <si>
    <t xml:space="preserve">C1006</t>
  </si>
  <si>
    <t xml:space="preserve">campo_modificado</t>
  </si>
  <si>
    <t xml:space="preserve">Mapeada en legal-management-service/src/entities/coactivo-historial.entity.ts:19 (CoactivoHistorial.campoModificado)</t>
  </si>
  <si>
    <t xml:space="preserve">Nombre del campo modificado en el evento.</t>
  </si>
  <si>
    <t xml:space="preserve">nombre + columnas vecinas (valor_anterior, valor_nuevo)</t>
  </si>
  <si>
    <t xml:space="preserve">¿Se llena solo en los eventos ACTUALIZACION y CAMBIO_ETAPA?</t>
  </si>
  <si>
    <t xml:space="preserve">C1007</t>
  </si>
  <si>
    <t xml:space="preserve">valor_anterior</t>
  </si>
  <si>
    <t xml:space="preserve">Mapeada en legal-management-service/src/entities/coactivo-historial.entity.ts:22 (CoactivoHistorial.valorAnterior)</t>
  </si>
  <si>
    <t xml:space="preserve">Valor del campo antes de la modificación.</t>
  </si>
  <si>
    <t xml:space="preserve">nombre + tipo + columnas vecinas (campo_modificado)</t>
  </si>
  <si>
    <t xml:space="preserve">C1008</t>
  </si>
  <si>
    <t xml:space="preserve">valor_nuevo</t>
  </si>
  <si>
    <t xml:space="preserve">Mapeada en legal-management-service/src/entities/coactivo-historial.entity.ts:25 (CoactivoHistorial.valorNuevo)</t>
  </si>
  <si>
    <t xml:space="preserve">Valor del campo después de la modificación.</t>
  </si>
  <si>
    <t xml:space="preserve">C1009</t>
  </si>
  <si>
    <t xml:space="preserve">usuario</t>
  </si>
  <si>
    <t xml:space="preserve">db/migrations/old/103_create_pagos_historial_coactivos.sql:27: ID o Nombre del usuario responsable</t>
  </si>
  <si>
    <t xml:space="preserve">Identificador o nombre del usuario responsable del evento.</t>
  </si>
  <si>
    <t xml:space="preserve">código: db/migrations/old/103_create_pagos_historial_coactivos.sql:27</t>
  </si>
  <si>
    <t xml:space="preserve">C1010</t>
  </si>
  <si>
    <t xml:space="preserve">Mapeada en legal-management-service/src/entities/coactivo-historial.entity.ts:31 (CoactivoHistorial.detalles)</t>
  </si>
  <si>
    <t xml:space="preserve">Detalles adicionales del evento del historial.</t>
  </si>
  <si>
    <t xml:space="preserve">¿Qué información adicional se registra en detalles?</t>
  </si>
  <si>
    <t xml:space="preserve">C1011</t>
  </si>
  <si>
    <t xml:space="preserve">fecha_evento</t>
  </si>
  <si>
    <t xml:space="preserve">Mapeada en legal-management-service/src/entities/coactivo-historial.entity.ts:34 (CoactivoHistorial.fechaEvento)</t>
  </si>
  <si>
    <t xml:space="preserve">Fecha de evento.</t>
  </si>
  <si>
    <t xml:space="preserve">C1012</t>
  </si>
  <si>
    <t xml:space="preserve">Mapeada en legal-management-service/src/entities/comentario.entity.ts:16 (Comentario.contenido) | Validación: IsNotEmpty, IsString</t>
  </si>
  <si>
    <t xml:space="preserve">Texto del comentario.</t>
  </si>
  <si>
    <t xml:space="preserve">C1013</t>
  </si>
  <si>
    <t xml:space="preserve">Mapeada en legal-management-service/src/entities/comentario.entity.ts:19 (Comentario.usuarioId) | Validación: IsOptional, IsString</t>
  </si>
  <si>
    <t xml:space="preserve">Identificador del usuario autor del comentario.</t>
  </si>
  <si>
    <t xml:space="preserve">¿Qué identificador se guarda (id de auth."user", correo)?</t>
  </si>
  <si>
    <t xml:space="preserve">C1014</t>
  </si>
  <si>
    <t xml:space="preserve">Mapeada en legal-management-service/src/entities/comentario.entity.ts:22 (Comentario.usuarioNombre) | Validación: IsNotEmpty, IsString</t>
  </si>
  <si>
    <t xml:space="preserve">Nombre del usuario autor del comentario.</t>
  </si>
  <si>
    <t xml:space="preserve">C1015</t>
  </si>
  <si>
    <t xml:space="preserve">comentarios_consulta</t>
  </si>
  <si>
    <t xml:space="preserve">Mapeada en legal-management-service/src/entities/comentario-consulta.entity.ts:17 (ComentarioConsulta.mensaje)</t>
  </si>
  <si>
    <t xml:space="preserve">Texto del comentario sobre la consulta jurídica.</t>
  </si>
  <si>
    <t xml:space="preserve">C1016</t>
  </si>
  <si>
    <t xml:space="preserve">Mapeada en legal-management-service/src/entities/comentario-consulta.entity.ts:20 (ComentarioConsulta.usuario)</t>
  </si>
  <si>
    <t xml:space="preserve">¿Se guarda el nombre o el correo del usuario?</t>
  </si>
  <si>
    <t xml:space="preserve">C1017</t>
  </si>
  <si>
    <t xml:space="preserve">Mapeada en legal-management-service/src/entities/comentario-consulta.entity.ts:23 (ComentarioConsulta.cargo)</t>
  </si>
  <si>
    <t xml:space="preserve">Cargo del usuario autor del comentario.</t>
  </si>
  <si>
    <t xml:space="preserve">C1018</t>
  </si>
  <si>
    <t xml:space="preserve">Mapeada en legal-management-service/src/entities/comentario-consulta.entity.ts:26 (ComentarioConsulta.fecha)</t>
  </si>
  <si>
    <t xml:space="preserve">Fecha y hora del comentario. Valor por defecto: momento del registro.</t>
  </si>
  <si>
    <t xml:space="preserve">C1019</t>
  </si>
  <si>
    <t xml:space="preserve">comentarios_correo</t>
  </si>
  <si>
    <t xml:space="preserve">Mapeada en legal-management-service/src/entities/comentario-correo.entity.ts:16 (ComentarioCorreo.mensaje)</t>
  </si>
  <si>
    <t xml:space="preserve">Texto del comentario sobre la comunicación.</t>
  </si>
  <si>
    <t xml:space="preserve">C1020</t>
  </si>
  <si>
    <t xml:space="preserve">Mapeada en legal-management-service/src/entities/comentario-correo.entity.ts:19 (ComentarioCorreo.usuario)</t>
  </si>
  <si>
    <t xml:space="preserve">C1021</t>
  </si>
  <si>
    <t xml:space="preserve">Mapeada en legal-management-service/src/entities/comentario-correo.entity.ts:22 (ComentarioCorreo.cargo)</t>
  </si>
  <si>
    <t xml:space="preserve">C1022</t>
  </si>
  <si>
    <t xml:space="preserve">Mapeada en legal-management-service/src/entities/comentario-correo.entity.ts:25 (ComentarioCorreo.fecha)</t>
  </si>
  <si>
    <t xml:space="preserve">C1023</t>
  </si>
  <si>
    <t xml:space="preserve">comentarios_oc</t>
  </si>
  <si>
    <t xml:space="preserve">Mapeada en legal-management-service/src/entities/comentario-oc.entity.ts:16 (ComentarioOC.contenido) | Validación: IsNotEmpty, IsString</t>
  </si>
  <si>
    <t xml:space="preserve">Texto del comentario sobre el requerimiento.</t>
  </si>
  <si>
    <t xml:space="preserve">C1024</t>
  </si>
  <si>
    <t xml:space="preserve">ACTUACION, ALERTA, COMENTARIO, actuacion, alerta, general, importante, interno, respuesta, seguimiento</t>
  </si>
  <si>
    <t xml:space="preserve">Mapeada en legal-management-service/src/entities/comentario-oc.entity.ts:19 (ComentarioOC.tipo)</t>
  </si>
  <si>
    <t xml:space="preserve">Tipo del registro de comentarios_oc.</t>
  </si>
  <si>
    <t xml:space="preserve">C1025</t>
  </si>
  <si>
    <t xml:space="preserve">autor_id</t>
  </si>
  <si>
    <t xml:space="preserve">Mapeada en legal-management-service/src/entities/comentario-oc.entity.ts:22 (ComentarioOC.autorId)</t>
  </si>
  <si>
    <t xml:space="preserve">¿Referencia a auth."user"? No tiene FK declarada.</t>
  </si>
  <si>
    <t xml:space="preserve">C1026</t>
  </si>
  <si>
    <t xml:space="preserve">autor_nombre</t>
  </si>
  <si>
    <t xml:space="preserve">Mapeada en legal-management-service/src/entities/comentario-oc.entity.ts:25 (ComentarioOC.autorNombre)</t>
  </si>
  <si>
    <t xml:space="preserve">Nombre del autor del comentario.</t>
  </si>
  <si>
    <t xml:space="preserve">C1027</t>
  </si>
  <si>
    <t xml:space="preserve">conceptos_juridicos</t>
  </si>
  <si>
    <t xml:space="preserve">numero_concepto</t>
  </si>
  <si>
    <t xml:space="preserve">conceptos_juridicos_numero_concepto_key</t>
  </si>
  <si>
    <t xml:space="preserve">Número del concepto jurídico. Es único en la tabla.</t>
  </si>
  <si>
    <t xml:space="preserve">C1028</t>
  </si>
  <si>
    <t xml:space="preserve">CONCEPTO, MEMORANDO, REVISION, VIABILIDAD</t>
  </si>
  <si>
    <t xml:space="preserve">Tipo de documento jurídico. Valores permitidos: CONCEPTO, MEMORANDO, REVISION, VIABILIDAD. Valor por defecto: CONCEPTO.</t>
  </si>
  <si>
    <t xml:space="preserve">valores permitidos del CHECK + defecto</t>
  </si>
  <si>
    <t xml:space="preserve">C1029</t>
  </si>
  <si>
    <t xml:space="preserve">character varying(300)</t>
  </si>
  <si>
    <t xml:space="preserve">Título del concepto jurídico.</t>
  </si>
  <si>
    <t xml:space="preserve">C1030</t>
  </si>
  <si>
    <t xml:space="preserve">Resumen del concepto jurídico.</t>
  </si>
  <si>
    <t xml:space="preserve">C1031</t>
  </si>
  <si>
    <t xml:space="preserve">analisis_juridico</t>
  </si>
  <si>
    <t xml:space="preserve">Análisis jurídico que sustenta el concepto.</t>
  </si>
  <si>
    <t xml:space="preserve">C1032</t>
  </si>
  <si>
    <t xml:space="preserve">normatividad_aplicable</t>
  </si>
  <si>
    <t xml:space="preserve">Normas aplicables al caso analizado en el concepto.</t>
  </si>
  <si>
    <t xml:space="preserve">C1033</t>
  </si>
  <si>
    <t xml:space="preserve">conclusion</t>
  </si>
  <si>
    <t xml:space="preserve">Conclusión del concepto jurídico.</t>
  </si>
  <si>
    <t xml:space="preserve">C1034</t>
  </si>
  <si>
    <t xml:space="preserve">recomendaciones</t>
  </si>
  <si>
    <t xml:space="preserve">Recomendaciones del concepto jurídico.</t>
  </si>
  <si>
    <t xml:space="preserve">C1035</t>
  </si>
  <si>
    <t xml:space="preserve">documento_pdf_url</t>
  </si>
  <si>
    <t xml:space="preserve">URL del documento PDF del concepto.</t>
  </si>
  <si>
    <t xml:space="preserve">C1036</t>
  </si>
  <si>
    <t xml:space="preserve">APROBADO, BORRADOR, DEVUELTO, EMITIDO, EN_REVISION</t>
  </si>
  <si>
    <t xml:space="preserve">idx_conceptos_estado</t>
  </si>
  <si>
    <t xml:space="preserve">Estado del registro de conceptos_juridicos.</t>
  </si>
  <si>
    <t xml:space="preserve">C1037</t>
  </si>
  <si>
    <t xml:space="preserve">abogado_redactor_id</t>
  </si>
  <si>
    <t xml:space="preserve">Identificador del abogado que redactó el concepto.</t>
  </si>
  <si>
    <t xml:space="preserve">¿Referencia a qué tabla de abogados o usuarios? No tiene FK declarada.</t>
  </si>
  <si>
    <t xml:space="preserve">C1038</t>
  </si>
  <si>
    <t xml:space="preserve">abogado_redactor_nombre</t>
  </si>
  <si>
    <t xml:space="preserve">Nombre del abogado que redactó el concepto.</t>
  </si>
  <si>
    <t xml:space="preserve">C1039</t>
  </si>
  <si>
    <t xml:space="preserve">Identificador del usuario que revisó el concepto.</t>
  </si>
  <si>
    <t xml:space="preserve">¿Referencia a qué tabla de usuarios? No tiene FK declarada.</t>
  </si>
  <si>
    <t xml:space="preserve">C1040</t>
  </si>
  <si>
    <t xml:space="preserve">Nombre del usuario que revisó el concepto.</t>
  </si>
  <si>
    <t xml:space="preserve">C1041</t>
  </si>
  <si>
    <t xml:space="preserve">C1042</t>
  </si>
  <si>
    <t xml:space="preserve">comentarios_revision</t>
  </si>
  <si>
    <t xml:space="preserve">Comentarios de la revisión del concepto.</t>
  </si>
  <si>
    <t xml:space="preserve">nombre + tipo + columnas vecinas (fecha_revision)</t>
  </si>
  <si>
    <t xml:space="preserve">C1043</t>
  </si>
  <si>
    <t xml:space="preserve">aprobado_por</t>
  </si>
  <si>
    <t xml:space="preserve">Usuario que realizó la aprobación.</t>
  </si>
  <si>
    <t xml:space="preserve">C1044</t>
  </si>
  <si>
    <t xml:space="preserve">C1045</t>
  </si>
  <si>
    <t xml:space="preserve">C1046</t>
  </si>
  <si>
    <t xml:space="preserve">notificado_a</t>
  </si>
  <si>
    <t xml:space="preserve">Personas o dependencias a las que se notificó el concepto.</t>
  </si>
  <si>
    <t xml:space="preserve">¿Se guardan nombres o correos, y separados por qué carácter?</t>
  </si>
  <si>
    <t xml:space="preserve">C1047</t>
  </si>
  <si>
    <t xml:space="preserve">visible_banco</t>
  </si>
  <si>
    <t xml:space="preserve">idx_conceptos_banco</t>
  </si>
  <si>
    <t xml:space="preserve">Indica si aplica: visible banco.</t>
  </si>
  <si>
    <t xml:space="preserve">C1048</t>
  </si>
  <si>
    <t xml:space="preserve">etiquetas</t>
  </si>
  <si>
    <t xml:space="preserve">Etiquetas para clasificar y buscar el concepto.</t>
  </si>
  <si>
    <t xml:space="preserve">nombre + tipo + columnas vecinas (visible_banco)</t>
  </si>
  <si>
    <t xml:space="preserve">¿Las etiquetas son libres o salen de un catálogo?</t>
  </si>
  <si>
    <t xml:space="preserve">C1049</t>
  </si>
  <si>
    <t xml:space="preserve">consulta_juridica_historial</t>
  </si>
  <si>
    <t xml:space="preserve">legal-management-service/src/entities/consulta-juridica-historial.entity.ts:16: ASIGNACION, CAMBIO_ETAPA, RESPUESTA, etc.</t>
  </si>
  <si>
    <t xml:space="preserve">Tipo de evento del historial de la consulta jurídica, por ejemplo ASIGNACION, CAMBIO_ETAPA o RESPUESTA.</t>
  </si>
  <si>
    <t xml:space="preserve">código: consulta-juridica-historial.entity.ts:16</t>
  </si>
  <si>
    <t xml:space="preserve">¿Cuál es la lista completa de tipos de evento?</t>
  </si>
  <si>
    <t xml:space="preserve">C1050</t>
  </si>
  <si>
    <t xml:space="preserve">Mapeada en legal-management-service/src/entities/consulta-juridica-historial.entity.ts:19 (ConsultaJuridicaHistorial.descripcion)</t>
  </si>
  <si>
    <t xml:space="preserve">Descripción del registro de consulta_juridica_historial.</t>
  </si>
  <si>
    <t xml:space="preserve">C1051</t>
  </si>
  <si>
    <t xml:space="preserve">detalle</t>
  </si>
  <si>
    <t xml:space="preserve">Mapeada en legal-management-service/src/entities/consulta-juridica-historial.entity.ts:22 (ConsultaJuridicaHistorial.detalle)</t>
  </si>
  <si>
    <t xml:space="preserve">Detalle adicional del evento.</t>
  </si>
  <si>
    <t xml:space="preserve">¿Qué información se guarda en detalle (texto o JSON)?</t>
  </si>
  <si>
    <t xml:space="preserve">C1052</t>
  </si>
  <si>
    <t xml:space="preserve">Mapeada en legal-management-service/src/entities/consulta-juridica-historial.entity.ts:25 (ConsultaJuridicaHistorial.usuario)</t>
  </si>
  <si>
    <t xml:space="preserve">Usuario que generó el evento.</t>
  </si>
  <si>
    <t xml:space="preserve">¿Se guarda el nombre, el correo o el identificador del usuario?</t>
  </si>
  <si>
    <t xml:space="preserve">C1053</t>
  </si>
  <si>
    <t xml:space="preserve">Mapeada en legal-management-service/src/entities/consulta-juridica-historial.entity.ts:28 (ConsultaJuridicaHistorial.fecha)</t>
  </si>
  <si>
    <t xml:space="preserve">Fecha y hora del evento. Valor por defecto: momento del registro.</t>
  </si>
  <si>
    <t xml:space="preserve">C1054</t>
  </si>
  <si>
    <t xml:space="preserve">consultas_juridicas</t>
  </si>
  <si>
    <t xml:space="preserve">numero_radicado</t>
  </si>
  <si>
    <t xml:space="preserve">consultas_juridicas_numero_radicado_key</t>
  </si>
  <si>
    <t xml:space="preserve">Mapeada en legal-management-service/src/entities/consulta-juridica.entity.ts:8 (ConsultaJuridica.numeroRadicado)</t>
  </si>
  <si>
    <t xml:space="preserve">Número de radicado de la consulta jurídica. Es único en la tabla.</t>
  </si>
  <si>
    <t xml:space="preserve">C1055</t>
  </si>
  <si>
    <t xml:space="preserve">tipo_solicitud</t>
  </si>
  <si>
    <t xml:space="preserve">legal-management-service/src/entities/consulta-juridica.entity.ts:17: consulta, concepto_juridico, control_legalidad</t>
  </si>
  <si>
    <t xml:space="preserve">Tipo de solicitud. Valores: consulta, concepto_juridico, control_legalidad.</t>
  </si>
  <si>
    <t xml:space="preserve">código: consulta-juridica.entity.ts:17</t>
  </si>
  <si>
    <t xml:space="preserve">C1056</t>
  </si>
  <si>
    <t xml:space="preserve">area_solicitante</t>
  </si>
  <si>
    <t xml:space="preserve">idx_consultas_area</t>
  </si>
  <si>
    <t xml:space="preserve">Área que solicita la consulta.</t>
  </si>
  <si>
    <t xml:space="preserve">C1057</t>
  </si>
  <si>
    <t xml:space="preserve">funcionario_solicitante</t>
  </si>
  <si>
    <t xml:space="preserve">Nombre del funcionario que solicita la consulta.</t>
  </si>
  <si>
    <t xml:space="preserve">C1058</t>
  </si>
  <si>
    <t xml:space="preserve">cargo_solicitante</t>
  </si>
  <si>
    <t xml:space="preserve">Mapeada en legal-management-service/src/entities/consulta-juridica.entity.ts:26 (ConsultaJuridica.cargoSolicitante)</t>
  </si>
  <si>
    <t xml:space="preserve">Cargo del funcionario solicitante.</t>
  </si>
  <si>
    <t xml:space="preserve">C1059</t>
  </si>
  <si>
    <t xml:space="preserve">email_solicitante</t>
  </si>
  <si>
    <t xml:space="preserve">Mapeada en legal-management-service/src/entities/consulta-juridica.entity.ts:29 (ConsultaJuridica.emailSolicitante)</t>
  </si>
  <si>
    <t xml:space="preserve">Correo electrónico del solicitante.</t>
  </si>
  <si>
    <t xml:space="preserve">C1060</t>
  </si>
  <si>
    <t xml:space="preserve">telefono_solicitante</t>
  </si>
  <si>
    <t xml:space="preserve">Mapeada en legal-management-service/src/entities/consulta-juridica.entity.ts:32 (ConsultaJuridica.telefonoSolicitante)</t>
  </si>
  <si>
    <t xml:space="preserve">Teléfono del solicitante.</t>
  </si>
  <si>
    <t xml:space="preserve">C1061</t>
  </si>
  <si>
    <t xml:space="preserve">Asunto de la consulta jurídica.</t>
  </si>
  <si>
    <t xml:space="preserve">C1062</t>
  </si>
  <si>
    <t xml:space="preserve">Mapeada en legal-management-service/src/entities/consulta-juridica.entity.ts:41 (ConsultaJuridica.descripcion)</t>
  </si>
  <si>
    <t xml:space="preserve">Descripción del registro de consultas_juridicas.</t>
  </si>
  <si>
    <t xml:space="preserve">C1063</t>
  </si>
  <si>
    <t xml:space="preserve">antecedentes</t>
  </si>
  <si>
    <t xml:space="preserve">Mapeada en legal-management-service/src/entities/consulta-juridica.entity.ts:44 (ConsultaJuridica.antecedentes)</t>
  </si>
  <si>
    <t xml:space="preserve">Antecedentes de la consulta jurídica.</t>
  </si>
  <si>
    <t xml:space="preserve">C1064</t>
  </si>
  <si>
    <t xml:space="preserve">documentos_soporte_urls</t>
  </si>
  <si>
    <t xml:space="preserve">URL de los documentos soporte de la consulta.</t>
  </si>
  <si>
    <t xml:space="preserve">C1065</t>
  </si>
  <si>
    <t xml:space="preserve">tema_principal</t>
  </si>
  <si>
    <t xml:space="preserve">idx_consultas_tema</t>
  </si>
  <si>
    <t xml:space="preserve">Tema principal de la consulta.</t>
  </si>
  <si>
    <t xml:space="preserve">¿El tema principal sale de un catálogo?</t>
  </si>
  <si>
    <t xml:space="preserve">C1066</t>
  </si>
  <si>
    <t xml:space="preserve">palabras_clave</t>
  </si>
  <si>
    <t xml:space="preserve">Palabras clave de la consulta.</t>
  </si>
  <si>
    <t xml:space="preserve">C1067</t>
  </si>
  <si>
    <t xml:space="preserve">abogado_asignado_id</t>
  </si>
  <si>
    <t xml:space="preserve">idx_consultas_abogado</t>
  </si>
  <si>
    <t xml:space="preserve">Mapeada en legal-management-service/src/entities/consulta-juridica.entity.ts:47 (ConsultaJuridica.abogadoAsignadoId)</t>
  </si>
  <si>
    <t xml:space="preserve">Identificador del abogado asignado a la consulta.</t>
  </si>
  <si>
    <t xml:space="preserve">C1068</t>
  </si>
  <si>
    <t xml:space="preserve">abogado_asignado_nombre</t>
  </si>
  <si>
    <t xml:space="preserve">Mapeada en legal-management-service/src/entities/consulta-juridica.entity.ts:50 (ConsultaJuridica.abogadoAsignadoNombre)</t>
  </si>
  <si>
    <t xml:space="preserve">Nombre del abogado asignado a la consulta.</t>
  </si>
  <si>
    <t xml:space="preserve">C1069</t>
  </si>
  <si>
    <t xml:space="preserve">fecha_asignacion</t>
  </si>
  <si>
    <t xml:space="preserve">Mapeada en legal-management-service/src/entities/consulta-juridica.entity.ts:53 (ConsultaJuridica.fechaAsignacion)</t>
  </si>
  <si>
    <t xml:space="preserve">Fecha de asignación.</t>
  </si>
  <si>
    <t xml:space="preserve">C1070</t>
  </si>
  <si>
    <t xml:space="preserve">idx_consultas_estado</t>
  </si>
  <si>
    <t xml:space="preserve">legal-management-service/src/entities/consulta-juridica.entity.ts:68: en_radicacion, asignado, en_analisis, en_revision, respondido, cerrado, vencido</t>
  </si>
  <si>
    <t xml:space="preserve">Estado de la consulta jurídica. Valores en el código: en_radicacion, asignado, en_analisis, en_revision, respondido, cerrado, vencido. Por defecto, RADICADA.</t>
  </si>
  <si>
    <t xml:space="preserve">código: consulta-juridica.entity.ts:68</t>
  </si>
  <si>
    <t xml:space="preserve">El defecto de la base es RADICADA y el código lista valores en minúscula; ¿cuál es la lista vigente de estados?</t>
  </si>
  <si>
    <t xml:space="preserve">C1071</t>
  </si>
  <si>
    <t xml:space="preserve">fecha_radicacion</t>
  </si>
  <si>
    <t xml:space="preserve">idx_consultas_fecha</t>
  </si>
  <si>
    <t xml:space="preserve">Fecha de radicación.</t>
  </si>
  <si>
    <t xml:space="preserve">C1072</t>
  </si>
  <si>
    <t xml:space="preserve">C1073</t>
  </si>
  <si>
    <t xml:space="preserve">dias_termino</t>
  </si>
  <si>
    <t xml:space="preserve">Días de término para responder la consulta. Valor por defecto: 30.</t>
  </si>
  <si>
    <t xml:space="preserve">¿Qué diferencia hay entre dias_termino y termino_legal_dias? ¿Son días hábiles?</t>
  </si>
  <si>
    <t xml:space="preserve">C1074</t>
  </si>
  <si>
    <t xml:space="preserve">dias_transcurridos</t>
  </si>
  <si>
    <t xml:space="preserve">Días transcurridos desde la radicación de la consulta. Valor por defecto: 0.</t>
  </si>
  <si>
    <t xml:space="preserve">¿Se recalcula automáticamente y cuenta días hábiles o calendario?</t>
  </si>
  <si>
    <t xml:space="preserve">C1075</t>
  </si>
  <si>
    <t xml:space="preserve">suspendida</t>
  </si>
  <si>
    <t xml:space="preserve">Indica si el registro está suspendida.</t>
  </si>
  <si>
    <t xml:space="preserve">C1076</t>
  </si>
  <si>
    <t xml:space="preserve">fecha_suspension</t>
  </si>
  <si>
    <t xml:space="preserve">Fecha de suspensión.</t>
  </si>
  <si>
    <t xml:space="preserve">C1077</t>
  </si>
  <si>
    <t xml:space="preserve">motivo_suspension</t>
  </si>
  <si>
    <t xml:space="preserve">Motivo de la suspensión.</t>
  </si>
  <si>
    <t xml:space="preserve">C1078</t>
  </si>
  <si>
    <t xml:space="preserve">confidencial</t>
  </si>
  <si>
    <t xml:space="preserve">Indica si aplica: confidencial.</t>
  </si>
  <si>
    <t xml:space="preserve">C1079</t>
  </si>
  <si>
    <t xml:space="preserve">areas_con_acceso</t>
  </si>
  <si>
    <t xml:space="preserve">Áreas con acceso a la consulta cuando es confidencial.</t>
  </si>
  <si>
    <t xml:space="preserve">nombre + tipo + columnas vecinas (confidencial)</t>
  </si>
  <si>
    <t xml:space="preserve">¿Se guardan nombres o códigos de área?</t>
  </si>
  <si>
    <t xml:space="preserve">C1080</t>
  </si>
  <si>
    <t xml:space="preserve">prioridad</t>
  </si>
  <si>
    <t xml:space="preserve">legal-management-service/src/entities/consulta-juridica.entity.ts:56: alta, media, baja</t>
  </si>
  <si>
    <t xml:space="preserve">Prioridad de la consulta. Valores en el código: alta, media, baja. Por defecto, NORMAL.</t>
  </si>
  <si>
    <t xml:space="preserve">código: consulta-juridica.entity.ts:56</t>
  </si>
  <si>
    <t xml:space="preserve">El defecto de la base es NORMAL y el código lista alta, media, baja; ¿cuál es la lista vigente?</t>
  </si>
  <si>
    <t xml:space="preserve">C1081</t>
  </si>
  <si>
    <t xml:space="preserve">fecha_recepcion</t>
  </si>
  <si>
    <t xml:space="preserve">Mapeada en legal-management-service/src/entities/consulta-juridica.entity.ts:11 (ConsultaJuridica.fechaRecepcion)</t>
  </si>
  <si>
    <t xml:space="preserve">Fecha de recepción.</t>
  </si>
  <si>
    <t xml:space="preserve">C1082</t>
  </si>
  <si>
    <t xml:space="preserve">fecha_maxima_respuesta</t>
  </si>
  <si>
    <t xml:space="preserve">idx_consultas_fecha_maxima</t>
  </si>
  <si>
    <t xml:space="preserve">Mapeada en legal-management-service/src/entities/consulta-juridica.entity.ts:65 (ConsultaJuridica.fechaMaximaRespuesta)</t>
  </si>
  <si>
    <t xml:space="preserve">Fecha de maxima respuesta.</t>
  </si>
  <si>
    <t xml:space="preserve">C1083</t>
  </si>
  <si>
    <t xml:space="preserve">fecha_respuesta</t>
  </si>
  <si>
    <t xml:space="preserve">Mapeada en legal-management-service/src/entities/consulta-juridica.entity.ts:74 (ConsultaJuridica.fechaRespuesta)</t>
  </si>
  <si>
    <t xml:space="preserve">Fecha de respuesta.</t>
  </si>
  <si>
    <t xml:space="preserve">C1084</t>
  </si>
  <si>
    <t xml:space="preserve">Mapeada en legal-management-service/src/entities/consulta-juridica.entity.ts:92 (ConsultaJuridica.observaciones)</t>
  </si>
  <si>
    <t xml:space="preserve">C1085</t>
  </si>
  <si>
    <t xml:space="preserve">canal_entrada</t>
  </si>
  <si>
    <t xml:space="preserve">legal-management-service/src/entities/consulta-juridica.entity.ts:14: correo_electronico, active_document, ventanilla_unica</t>
  </si>
  <si>
    <t xml:space="preserve">Canal por el que ingresó la consulta. Valores: correo_electronico, active_document, ventanilla_unica.</t>
  </si>
  <si>
    <t xml:space="preserve">código: consulta-juridica.entity.ts:14</t>
  </si>
  <si>
    <t xml:space="preserve">C1086</t>
  </si>
  <si>
    <t xml:space="preserve">dependencia_solicitante</t>
  </si>
  <si>
    <t xml:space="preserve">Mapeada en legal-management-service/src/entities/consulta-juridica.entity.ts:20 (ConsultaJuridica.dependenciaSolicitante)</t>
  </si>
  <si>
    <t xml:space="preserve">Dependencia que solicita la consulta.</t>
  </si>
  <si>
    <t xml:space="preserve">¿Qué diferencia hay entre dependencia_solicitante y area_solicitante?</t>
  </si>
  <si>
    <t xml:space="preserve">C1087</t>
  </si>
  <si>
    <t xml:space="preserve">nombre_solicitante</t>
  </si>
  <si>
    <t xml:space="preserve">Mapeada en legal-management-service/src/entities/consulta-juridica.entity.ts:23 (ConsultaJuridica.nombreSolicitante)</t>
  </si>
  <si>
    <t xml:space="preserve">Nombre del solicitante de la consulta.</t>
  </si>
  <si>
    <t xml:space="preserve">¿Qué diferencia hay entre nombre_solicitante y funcionario_solicitante?</t>
  </si>
  <si>
    <t xml:space="preserve">C1088</t>
  </si>
  <si>
    <t xml:space="preserve">legal-management-service/src/entities/consulta-juridica.entity.ts:35: interno, externo</t>
  </si>
  <si>
    <t xml:space="preserve">Tipo de usuario solicitante. Valores: interno, externo. Por defecto, interno.</t>
  </si>
  <si>
    <t xml:space="preserve">código: consulta-juridica.entity.ts:35</t>
  </si>
  <si>
    <t xml:space="preserve">C1089</t>
  </si>
  <si>
    <t xml:space="preserve">materia_juridica</t>
  </si>
  <si>
    <t xml:space="preserve">idx_consultas_materia</t>
  </si>
  <si>
    <t xml:space="preserve">legal-management-service/src/entities/consulta-juridica.entity.ts:38: laboral, contractual, administrativo, disciplinario, presupuestal, academico, otra</t>
  </si>
  <si>
    <t xml:space="preserve">Materia jurídica de la consulta. Valores: laboral, contractual, administrativo, disciplinario, presupuestal, academico, otra.</t>
  </si>
  <si>
    <t xml:space="preserve">código: consulta-juridica.entity.ts:38</t>
  </si>
  <si>
    <t xml:space="preserve">C1090</t>
  </si>
  <si>
    <t xml:space="preserve">complejidad</t>
  </si>
  <si>
    <t xml:space="preserve">legal-management-service/src/entities/consulta-juridica.entity.ts:59: alta, media, baja</t>
  </si>
  <si>
    <t xml:space="preserve">Complejidad de la consulta. Valores: alta, media, baja.</t>
  </si>
  <si>
    <t xml:space="preserve">código: legal-management-service/src/entities/consulta-juridica.entity.ts:59</t>
  </si>
  <si>
    <t xml:space="preserve">C1091</t>
  </si>
  <si>
    <t xml:space="preserve">numero_oficio_respuesta</t>
  </si>
  <si>
    <t xml:space="preserve">Mapeada en legal-management-service/src/entities/consulta-juridica.entity.ts:71 (ConsultaJuridica.numeroOficioRespuesta)</t>
  </si>
  <si>
    <t xml:space="preserve">Número del oficio con que se respondió la consulta.</t>
  </si>
  <si>
    <t xml:space="preserve">¿El número del oficio proviene del sistema de correspondencia de la ESAP?</t>
  </si>
  <si>
    <t xml:space="preserve">C1092</t>
  </si>
  <si>
    <t xml:space="preserve">tipo_respuesta</t>
  </si>
  <si>
    <t xml:space="preserve">legal-management-service/src/entities/consulta-juridica.entity.ts:77: favorable, con_observaciones, desfavorable, informativa</t>
  </si>
  <si>
    <t xml:space="preserve">Tipo de respuesta. Valores: favorable, con_observaciones, desfavorable, informativa.</t>
  </si>
  <si>
    <t xml:space="preserve">código: consulta-juridica.entity.ts:77</t>
  </si>
  <si>
    <t xml:space="preserve">C1093</t>
  </si>
  <si>
    <t xml:space="preserve">documento_respuesta_url</t>
  </si>
  <si>
    <t xml:space="preserve">Mapeada en legal-management-service/src/entities/consulta-juridica.entity.ts:80 (ConsultaJuridica.documentoRespuestaUrl)</t>
  </si>
  <si>
    <t xml:space="preserve">URL del documento de respuesta a la consulta.</t>
  </si>
  <si>
    <t xml:space="preserve">C1094</t>
  </si>
  <si>
    <t xml:space="preserve">respuesta</t>
  </si>
  <si>
    <t xml:space="preserve">Mapeada en legal-management-service/src/entities/consulta-juridica.entity.ts:83 (ConsultaJuridica.respuesta)</t>
  </si>
  <si>
    <t xml:space="preserve">Texto de la respuesta a la consulta.</t>
  </si>
  <si>
    <t xml:space="preserve">C1095</t>
  </si>
  <si>
    <t xml:space="preserve">estado_archivo</t>
  </si>
  <si>
    <t xml:space="preserve">legal-management-service/src/entities/consulta-juridica.entity.ts:101: Campos para sistema de archivo ACTIVO, ARCHIVADO, ELIMINADO</t>
  </si>
  <si>
    <t xml:space="preserve">Estado de archivo de la consulta. Valores: ACTIVO, ARCHIVADO, ELIMINADO. Por defecto, ACTIVO.</t>
  </si>
  <si>
    <t xml:space="preserve">código: consulta-juridica.entity.ts:101</t>
  </si>
  <si>
    <t xml:space="preserve">C1096</t>
  </si>
  <si>
    <t xml:space="preserve">fecha_archivo</t>
  </si>
  <si>
    <t xml:space="preserve">Mapeada en legal-management-service/src/entities/consulta-juridica.entity.ts:104 (ConsultaJuridica.fechaArchivo)</t>
  </si>
  <si>
    <t xml:space="preserve">Fecha de archivo.</t>
  </si>
  <si>
    <t xml:space="preserve">C1097</t>
  </si>
  <si>
    <t xml:space="preserve">usuario_archivo</t>
  </si>
  <si>
    <t xml:space="preserve">Mapeada en legal-management-service/src/entities/consulta-juridica.entity.ts:107 (ConsultaJuridica.usuarioArchivo)</t>
  </si>
  <si>
    <t xml:space="preserve">Usuario que archivó la consulta.</t>
  </si>
  <si>
    <t xml:space="preserve">nombre + tipo + columnas vecinas (estado_archivo, fecha_archivo, motivo_archivo)</t>
  </si>
  <si>
    <t xml:space="preserve">C1098</t>
  </si>
  <si>
    <t xml:space="preserve">motivo_archivo</t>
  </si>
  <si>
    <t xml:space="preserve">Mapeada en legal-management-service/src/entities/consulta-juridica.entity.ts:110 (ConsultaJuridica.motivoArchivo)</t>
  </si>
  <si>
    <t xml:space="preserve">Motivo del archivo.</t>
  </si>
  <si>
    <t xml:space="preserve">C1099</t>
  </si>
  <si>
    <t xml:space="preserve">comentario_devolucion_jefe</t>
  </si>
  <si>
    <t xml:space="preserve">Mapeada en legal-management-service/src/entities/consulta-juridica.entity.ts:89 (ConsultaJuridica.comentarioDevolucionJefe)</t>
  </si>
  <si>
    <t xml:space="preserve">Comentario del jefe al devolver la consulta.</t>
  </si>
  <si>
    <t xml:space="preserve">¿Se registra cuando el jefe devuelve la respuesta al abogado para ajustes?</t>
  </si>
  <si>
    <t xml:space="preserve">C1100</t>
  </si>
  <si>
    <t xml:space="preserve">origen_comunicacion_id</t>
  </si>
  <si>
    <t xml:space="preserve">idx_consultas_origen_comunicacion</t>
  </si>
  <si>
    <t xml:space="preserve">legal-management-service/src/entities/consulta-juridica.entity.ts:97: Trazabilidad inversa: comunicación (correo jurídico) que dio origen a esta consulta cuando se crea desde el Centro de Comunicaciones → Clasificación IA.</t>
  </si>
  <si>
    <t xml:space="preserve">Identificador de la comunicación (correo jurídico) que dio origen a la consulta cuando se crea desde el Centro de Comunicaciones (Clasificación IA).</t>
  </si>
  <si>
    <t xml:space="preserve">código: legal-management-service/src/entities/consulta-juridica.entity.ts:97</t>
  </si>
  <si>
    <t xml:space="preserve">C1101</t>
  </si>
  <si>
    <t xml:space="preserve">correo_juridico_historial</t>
  </si>
  <si>
    <t xml:space="preserve">idx_correo_historial_tipo_evento, idx_historial_tipo_evento</t>
  </si>
  <si>
    <t xml:space="preserve">legal-management-service/src/entities/correo-juridico-historial.entity.ts:16: RECIBIDO, CLASIFICADO_IA, CLASIFICACION_MANUAL, ASOCIADO_PROCESO, LEIDO, ARCHIVADO, RESPONDIDO, REENVIADO | db/migrations/162_create_correo_juridico_historial.sql:7: RECIBIDO, CLASIFICADO_IA, CLASIFICACION_MANUAL, ASOCIADO_PROCESO, LEIDO, ARCHIVADO, RESPONDIDO, REENVIADO</t>
  </si>
  <si>
    <t xml:space="preserve">Tipo de evento del historial del correo jurídico. Valores: RECIBIDO, CLASIFICADO_IA, CLASIFICACION_MANUAL, ASOCIADO_PROCESO, LEIDO, ARCHIVADO, RESPONDIDO, REENVIADO.</t>
  </si>
  <si>
    <t xml:space="preserve">código: correo-juridico-historial.entity.ts:16</t>
  </si>
  <si>
    <t xml:space="preserve">C1102</t>
  </si>
  <si>
    <t xml:space="preserve">Mapeada en legal-management-service/src/entities/correo-juridico-historial.entity.ts:19 (CorreoJuridicoHistorial.descripcion)</t>
  </si>
  <si>
    <t xml:space="preserve">Descripción del registro de correo_juridico_historial.</t>
  </si>
  <si>
    <t xml:space="preserve">C1103</t>
  </si>
  <si>
    <t xml:space="preserve">detalle_json</t>
  </si>
  <si>
    <t xml:space="preserve">Mapeada en legal-management-service/src/entities/correo-juridico-historial.entity.ts:22 (CorreoJuridicoHistorial.detalleJson)</t>
  </si>
  <si>
    <t xml:space="preserve">Detalle del evento del correo, en formato JSON.</t>
  </si>
  <si>
    <t xml:space="preserve">¿Qué estructura tiene detalle_json según el tipo de evento?</t>
  </si>
  <si>
    <t xml:space="preserve">C1104</t>
  </si>
  <si>
    <t xml:space="preserve">Mapeada en legal-management-service/src/entities/correo-juridico-historial.entity.ts:25 (CorreoJuridicoHistorial.usuario)</t>
  </si>
  <si>
    <t xml:space="preserve">Usuario que generó el evento. Valor por defecto: Sistema.</t>
  </si>
  <si>
    <t xml:space="preserve">C1105</t>
  </si>
  <si>
    <t xml:space="preserve">correo_tracking_tokens</t>
  </si>
  <si>
    <t xml:space="preserve">correo_tracking_tokens_token_key, idx_tracking_token</t>
  </si>
  <si>
    <t xml:space="preserve">Mapeada en legal-management-service/src/entities/correo-tracking-token.entity.ts:19 (CorreoTrackingToken.token)</t>
  </si>
  <si>
    <t xml:space="preserve">Token único de seguimiento de apertura del correo o adjunto.</t>
  </si>
  <si>
    <t xml:space="preserve">C1106</t>
  </si>
  <si>
    <t xml:space="preserve">DOWNLOAD_LINK, OPEN_PIXEL</t>
  </si>
  <si>
    <t xml:space="preserve">legal-management-service/src/entities/correo-tracking-token.entity.ts:23: OPEN_PIXEL | DOWNLOAD_LINK | db/migrations/229_create_correo_tracking_tokens.sql:11: OPEN_PIXEL | DOWNLOAD_LINK</t>
  </si>
  <si>
    <t xml:space="preserve">Tipo de token de seguimiento del correo. Valores permitidos: OPEN_PIXEL (píxel de apertura), DOWNLOAD_LINK (enlace de descarga).</t>
  </si>
  <si>
    <t xml:space="preserve">valores permitidos del CHECK; código: db/migrations/229_create_correo_tracking_tokens.sql:11</t>
  </si>
  <si>
    <t xml:space="preserve">C1107</t>
  </si>
  <si>
    <t xml:space="preserve">abierto</t>
  </si>
  <si>
    <t xml:space="preserve">Mapeada en legal-management-service/src/entities/correo-tracking-token.entity.ts:26 (CorreoTrackingToken.abierto)</t>
  </si>
  <si>
    <t xml:space="preserve">Indica si aplica: abierto.</t>
  </si>
  <si>
    <t xml:space="preserve">C1108</t>
  </si>
  <si>
    <t xml:space="preserve">Mapeada en legal-management-service/src/entities/correo-tracking-token.entity.ts:29 (CorreoTrackingToken.fechaApertura)</t>
  </si>
  <si>
    <t xml:space="preserve">C1109</t>
  </si>
  <si>
    <t xml:space="preserve">ip_apertura</t>
  </si>
  <si>
    <t xml:space="preserve">Mapeada en legal-management-service/src/entities/correo-tracking-token.entity.ts:32 (CorreoTrackingToken.ipApertura)</t>
  </si>
  <si>
    <t xml:space="preserve">Dirección IP desde la que se abrió el correo o adjunto.</t>
  </si>
  <si>
    <t xml:space="preserve">nombre + tipo + columnas vecinas (abierto, fecha_apertura)</t>
  </si>
  <si>
    <t xml:space="preserve">C1110</t>
  </si>
  <si>
    <t xml:space="preserve">Mapeada en legal-management-service/src/entities/correo-tracking-token.entity.ts:35 (CorreoTrackingToken.userAgent)</t>
  </si>
  <si>
    <t xml:space="preserve">C1111</t>
  </si>
  <si>
    <t xml:space="preserve">destinatario_email</t>
  </si>
  <si>
    <t xml:space="preserve">legal-management-service/src/entities/correo-tracking-token.entity.ts:39: Destinatario original (para contexto)</t>
  </si>
  <si>
    <t xml:space="preserve">Correo electrónico del destinatario original del mensaje, guardado como contexto.</t>
  </si>
  <si>
    <t xml:space="preserve">código: legal-management-service/src/entities/correo-tracking-token.entity.ts:39</t>
  </si>
  <si>
    <t xml:space="preserve">C1112</t>
  </si>
  <si>
    <t xml:space="preserve">correos_juridicos</t>
  </si>
  <si>
    <t xml:space="preserve">correos_juridicos_graph_message_id_key</t>
  </si>
  <si>
    <t xml:space="preserve">Mapeada en legal-management-service/src/entities/correo-juridico.entity.ts:9 (CorreoJuridico.graphMessageId)</t>
  </si>
  <si>
    <t xml:space="preserve">Identificador del mensaje en Microsoft Graph. Es único en la tabla.</t>
  </si>
  <si>
    <t xml:space="preserve">C1113</t>
  </si>
  <si>
    <t xml:space="preserve">Mapeada en legal-management-service/src/entities/correo-juridico.entity.ts:12 (CorreoJuridico.asunto)</t>
  </si>
  <si>
    <t xml:space="preserve">Asunto del correo.</t>
  </si>
  <si>
    <t xml:space="preserve">C1114</t>
  </si>
  <si>
    <t xml:space="preserve">remitente_email</t>
  </si>
  <si>
    <t xml:space="preserve">Mapeada en legal-management-service/src/entities/correo-juridico.entity.ts:15 (CorreoJuridico.remitenteEmail)</t>
  </si>
  <si>
    <t xml:space="preserve">Correo electrónico del remitente.</t>
  </si>
  <si>
    <t xml:space="preserve">C1115</t>
  </si>
  <si>
    <t xml:space="preserve">remitente_nombre</t>
  </si>
  <si>
    <t xml:space="preserve">Mapeada en legal-management-service/src/entities/correo-juridico.entity.ts:18 (CorreoJuridico.remitenteNombre)</t>
  </si>
  <si>
    <t xml:space="preserve">Nombre del remitente.</t>
  </si>
  <si>
    <t xml:space="preserve">C1116</t>
  </si>
  <si>
    <t xml:space="preserve">destinatarios</t>
  </si>
  <si>
    <t xml:space="preserve">legal-management-service/src/entities/correo-juridico.entity.ts:21: CC (arreglo JSON de correos)</t>
  </si>
  <si>
    <t xml:space="preserve">Destinatarios en copia (CC) del correo, como arreglo JSON de correos.</t>
  </si>
  <si>
    <t xml:space="preserve">código: correo-juridico.entity.ts:21</t>
  </si>
  <si>
    <t xml:space="preserve">C1117</t>
  </si>
  <si>
    <t xml:space="preserve">idx_correos_juridicos_fecha</t>
  </si>
  <si>
    <t xml:space="preserve">Mapeada en legal-management-service/src/entities/correo-juridico.entity.ts:29 (CorreoJuridico.fechaRecepcion)</t>
  </si>
  <si>
    <t xml:space="preserve">C1118</t>
  </si>
  <si>
    <t xml:space="preserve">cuerpo_html</t>
  </si>
  <si>
    <t xml:space="preserve">Mapeada en legal-management-service/src/entities/correo-juridico.entity.ts:32 (CorreoJuridico.cuerpoHtml)</t>
  </si>
  <si>
    <t xml:space="preserve">Cuerpo del correo en formato HTML.</t>
  </si>
  <si>
    <t xml:space="preserve">C1119</t>
  </si>
  <si>
    <t xml:space="preserve">cuerpo_texto</t>
  </si>
  <si>
    <t xml:space="preserve">Mapeada en legal-management-service/src/entities/correo-juridico.entity.ts:35 (CorreoJuridico.cuerpoTexto)</t>
  </si>
  <si>
    <t xml:space="preserve">Cuerpo del correo en texto plano.</t>
  </si>
  <si>
    <t xml:space="preserve">C1120</t>
  </si>
  <si>
    <t xml:space="preserve">tiene_adjuntos</t>
  </si>
  <si>
    <t xml:space="preserve">Mapeada en legal-management-service/src/entities/correo-juridico.entity.ts:38 (CorreoJuridico.tieneAdjuntos)</t>
  </si>
  <si>
    <t xml:space="preserve">Indica si aplica: adjuntos.</t>
  </si>
  <si>
    <t xml:space="preserve">C1121</t>
  </si>
  <si>
    <t xml:space="preserve">leido</t>
  </si>
  <si>
    <t xml:space="preserve">idx_correos_juridicos_leido</t>
  </si>
  <si>
    <t xml:space="preserve">Mapeada en legal-management-service/src/entities/correo-juridico.entity.ts:41 (CorreoJuridico.leido)</t>
  </si>
  <si>
    <t xml:space="preserve">Indica si el registro está leido.</t>
  </si>
  <si>
    <t xml:space="preserve">C1122</t>
  </si>
  <si>
    <t xml:space="preserve">archivado</t>
  </si>
  <si>
    <t xml:space="preserve">idx_correos_juridicos_archivado</t>
  </si>
  <si>
    <t xml:space="preserve">Mapeada en legal-management-service/src/entities/correo-juridico.entity.ts:44 (CorreoJuridico.archivado)</t>
  </si>
  <si>
    <t xml:space="preserve">Indica si el registro está archivado.</t>
  </si>
  <si>
    <t xml:space="preserve">C1123</t>
  </si>
  <si>
    <t xml:space="preserve">urgente</t>
  </si>
  <si>
    <t xml:space="preserve">idx_correos_juridicos_urgente</t>
  </si>
  <si>
    <t xml:space="preserve">Mapeada en legal-management-service/src/entities/correo-juridico.entity.ts:47 (CorreoJuridico.urgente)</t>
  </si>
  <si>
    <t xml:space="preserve">Indica si aplica: urgente.</t>
  </si>
  <si>
    <t xml:space="preserve">C1124</t>
  </si>
  <si>
    <t xml:space="preserve">idx_correos_juridicos_tipo</t>
  </si>
  <si>
    <t xml:space="preserve">legal-management-service/src/entities/correo-juridico.entity.ts:50: JUDICIAL, CORREO, OFICIO | db/migrations/old/065_create_correos_juridicos.sql:19: Classification fields JUDICIAL, CORREO, OFICIO</t>
  </si>
  <si>
    <t xml:space="preserve">Clasificación del correo. Valores: JUDICIAL, CORREO, OFICIO. Por defecto, CORREO.</t>
  </si>
  <si>
    <t xml:space="preserve">código: correo-juridico.entity.ts:50</t>
  </si>
  <si>
    <t xml:space="preserve">C1125</t>
  </si>
  <si>
    <t xml:space="preserve">Mapeada en legal-management-service/src/entities/correo-juridico.entity.ts:60 (CorreoJuridico.categoria)</t>
  </si>
  <si>
    <t xml:space="preserve">Categoría del correo.</t>
  </si>
  <si>
    <t xml:space="preserve">¿Qué valores toma categoria y en qué se diferencia de tipo y de ai_suggested_category?</t>
  </si>
  <si>
    <t xml:space="preserve">C1126</t>
  </si>
  <si>
    <t xml:space="preserve">modulo_sugerido</t>
  </si>
  <si>
    <t xml:space="preserve">Mapeada en legal-management-service/src/entities/correo-juridico.entity.ts:63 (CorreoJuridico.moduloSugerido)</t>
  </si>
  <si>
    <t xml:space="preserve">Módulo de gestión jurídica sugerido por la clasificación automática del correo.</t>
  </si>
  <si>
    <t xml:space="preserve">nombre + tipo + columnas vecinas (confianza_clasificacion, modulo_destino)</t>
  </si>
  <si>
    <t xml:space="preserve">¿Quién sugiere el módulo: reglas o modelo de IA?</t>
  </si>
  <si>
    <t xml:space="preserve">C1127</t>
  </si>
  <si>
    <t xml:space="preserve">confianza_clasificacion</t>
  </si>
  <si>
    <t xml:space="preserve">Mapeada en legal-management-service/src/entities/correo-juridico.entity.ts:66 (CorreoJuridico.confianzaClasificacion)</t>
  </si>
  <si>
    <t xml:space="preserve">Nivel de confianza de la clasificación automática del correo.</t>
  </si>
  <si>
    <t xml:space="preserve">¿En qué escala se expresa la confianza (0–1 o 0–100)?</t>
  </si>
  <si>
    <t xml:space="preserve">C1128</t>
  </si>
  <si>
    <t xml:space="preserve">ai_suggested_category</t>
  </si>
  <si>
    <t xml:space="preserve">Mapeada en legal-management-service/src/entities/correo-juridico.entity.ts:69 (CorreoJuridico.aiSuggestedCategory)</t>
  </si>
  <si>
    <t xml:space="preserve">Categoría del correo sugerida por inteligencia artificial.</t>
  </si>
  <si>
    <t xml:space="preserve">C1129</t>
  </si>
  <si>
    <t xml:space="preserve">is_trained</t>
  </si>
  <si>
    <t xml:space="preserve">Mapeada en legal-management-service/src/entities/correo-juridico.entity.ts:72 (CorreoJuridico.isTrained)</t>
  </si>
  <si>
    <t xml:space="preserve">Indica si aplica: trained.</t>
  </si>
  <si>
    <t xml:space="preserve">C1130</t>
  </si>
  <si>
    <t xml:space="preserve">idx_correos_juridicos_expediente</t>
  </si>
  <si>
    <t xml:space="preserve">Mapeada en legal-management-service/src/entities/correo-juridico.entity.ts:75 (CorreoJuridico.expedienteId)</t>
  </si>
  <si>
    <t xml:space="preserve">Identificador del expediente al que se asoció el correo.</t>
  </si>
  <si>
    <t xml:space="preserve">El tipo es texto: ¿guarda expedientes.id o el radicado?</t>
  </si>
  <si>
    <t xml:space="preserve">C1131</t>
  </si>
  <si>
    <t xml:space="preserve">legal-management-service/src/entities/correo-juridico.entity.ts:90: ENTRANTE, ENVIADO</t>
  </si>
  <si>
    <t xml:space="preserve">Dirección del correo. Valores: ENTRANTE, ENVIADO. Por defecto, ENTRANTE.</t>
  </si>
  <si>
    <t xml:space="preserve">código: correo-juridico.entity.ts:90</t>
  </si>
  <si>
    <t xml:space="preserve">C1132</t>
  </si>
  <si>
    <t xml:space="preserve">Mapeada en legal-management-service/src/entities/correo-juridico.entity.ts:93 (CorreoJuridico.destinatariosTo)</t>
  </si>
  <si>
    <t xml:space="preserve">Destinatarios principales («Para») del correo.</t>
  </si>
  <si>
    <t xml:space="preserve">nombre + columnas vecinas (destinatarios, destinatarios_cco)</t>
  </si>
  <si>
    <t xml:space="preserve">¿Se guarda como arreglo JSON de correos, igual que destinatarios?</t>
  </si>
  <si>
    <t xml:space="preserve">C1133</t>
  </si>
  <si>
    <t xml:space="preserve">is_forwarded</t>
  </si>
  <si>
    <t xml:space="preserve">Mapeada en legal-management-service/src/entities/correo-juridico.entity.ts:100 (CorreoJuridico.isForwarded)</t>
  </si>
  <si>
    <t xml:space="preserve">Indica si aplica: forwarded.</t>
  </si>
  <si>
    <t xml:space="preserve">C1134</t>
  </si>
  <si>
    <t xml:space="preserve">is_replied</t>
  </si>
  <si>
    <t xml:space="preserve">legal-management-service/src/entities/correo-juridico.entity.ts:97: ── Threading / Reply support ──</t>
  </si>
  <si>
    <t xml:space="preserve">Indica si el correo fue respondido.</t>
  </si>
  <si>
    <t xml:space="preserve">nombre + tipo + código: correo-juridico.entity.ts:97 (sección de hilos y respuestas)</t>
  </si>
  <si>
    <t xml:space="preserve">C1135</t>
  </si>
  <si>
    <t xml:space="preserve">thread_id</t>
  </si>
  <si>
    <t xml:space="preserve">idx_correos_thread_id</t>
  </si>
  <si>
    <t xml:space="preserve">Mapeada en legal-management-service/src/entities/correo-juridico.entity.ts:106 (CorreoJuridico.threadId)</t>
  </si>
  <si>
    <t xml:space="preserve">Identificador del hilo de conversación del correo.</t>
  </si>
  <si>
    <t xml:space="preserve">C1136</t>
  </si>
  <si>
    <t xml:space="preserve">internet_message_id</t>
  </si>
  <si>
    <t xml:space="preserve">idx_correos_internet_msg_id</t>
  </si>
  <si>
    <t xml:space="preserve">Mapeada en legal-management-service/src/entities/correo-juridico.entity.ts:109 (CorreoJuridico.internetMessageId)</t>
  </si>
  <si>
    <t xml:space="preserve">Identificador del mensaje en Internet (cabecera Message-ID).</t>
  </si>
  <si>
    <t xml:space="preserve">C1137</t>
  </si>
  <si>
    <t xml:space="preserve">proceso_id_sugerido</t>
  </si>
  <si>
    <t xml:space="preserve">legal-management-service/src/entities/correo-juridico.entity.ts:113: ── NLP Entity extraction ──</t>
  </si>
  <si>
    <t xml:space="preserve">Identificador del proceso sugerido por la extracción automática de entidades (NLP) del correo.</t>
  </si>
  <si>
    <t xml:space="preserve">código: legal-management-service/src/entities/correo-juridico.entity.ts:113</t>
  </si>
  <si>
    <t xml:space="preserve">¿Guarda el identificador interno del expediente o el radicado detectado en el texto?</t>
  </si>
  <si>
    <t xml:space="preserve">C1138</t>
  </si>
  <si>
    <t xml:space="preserve">implicado_sugerido</t>
  </si>
  <si>
    <t xml:space="preserve">Mapeada en legal-management-service/src/entities/correo-juridico.entity.ts:116 (CorreoJuridico.implicadoSugerido)</t>
  </si>
  <si>
    <t xml:space="preserve">Implicado sugerido por la clasificación automática del correo.</t>
  </si>
  <si>
    <t xml:space="preserve">¿Se guarda el nombre o el identificador del implicado?</t>
  </si>
  <si>
    <t xml:space="preserve">C1139</t>
  </si>
  <si>
    <t xml:space="preserve">submodulo_sugerido</t>
  </si>
  <si>
    <t xml:space="preserve">Mapeada en legal-management-service/src/entities/correo-juridico.entity.ts:119 (CorreoJuridico.submoduloSugerido)</t>
  </si>
  <si>
    <t xml:space="preserve">Submódulo sugerido por la clasificación automática del correo.</t>
  </si>
  <si>
    <t xml:space="preserve">¿Qué valores admite submodulo_sugerido?</t>
  </si>
  <si>
    <t xml:space="preserve">C1140</t>
  </si>
  <si>
    <t xml:space="preserve">buzon</t>
  </si>
  <si>
    <t xml:space="preserve">idx_correos_juridicos_buzon</t>
  </si>
  <si>
    <t xml:space="preserve">legal-management-service/src/entities/correo-juridico.entity.ts:57: Buzón de origen (cuenta de correo desde la que se sincronizó). Permite separar las dos bandejas: 'JUDICIAL' (tab Judiciales/Oficios) y 'CORREOS' (tab Correos). Los tabs generales (Respondidos/Urgentes/Enviados/Archivados) muestran ambos y filtran internamente por este campo. JUDICIAL, CORREOS</t>
  </si>
  <si>
    <t xml:space="preserve">Buzón de origen: cuenta de correo desde la que se sincronizó el mensaje; separa la bandeja JUDICIAL (Judiciales/Oficios) de la bandeja CORREOS. Valores: JUDICIAL, CORREOS. Por defecto, JUDICIAL.</t>
  </si>
  <si>
    <t xml:space="preserve">código: correo-juridico.entity.ts:57</t>
  </si>
  <si>
    <t xml:space="preserve">C1141</t>
  </si>
  <si>
    <t xml:space="preserve">consulta_id</t>
  </si>
  <si>
    <t xml:space="preserve">idx_correos_juridicos_consulta</t>
  </si>
  <si>
    <t xml:space="preserve">legal-management-service/src/entities/correo-juridico.entity.ts:81: Trazabilidad de derivación: consulta de Asesoría Jurídica asociada. Asesoría usa la tabla `consultas_juridicas` (no comparte `expedientes`), por eso se guarda en columna propia en lugar de reutilizar `expediente_id`.</t>
  </si>
  <si>
    <t xml:space="preserve">Identificador de la consulta de Asesoría Jurídica (consultas_juridicas) a la que se derivó la comunicación.</t>
  </si>
  <si>
    <t xml:space="preserve">código: legal-management-service/src/entities/correo-juridico.entity.ts:81</t>
  </si>
  <si>
    <t xml:space="preserve">C1142</t>
  </si>
  <si>
    <t xml:space="preserve">modulo_destino</t>
  </si>
  <si>
    <t xml:space="preserve">legal-management-service/src/entities/correo-juridico.entity.ts:87: Módulo destino al que se derivó la comunicación: 'DEFENSA_JUDICIAL', 'JUZGAMIENTO_DISCIPLINARIO' o 'ASESORIA_JURIDICA'. Persiste la intención de derivación de forma consultable (antes solo vivía en el metadata de la Actuación).</t>
  </si>
  <si>
    <t xml:space="preserve">Módulo al que se derivó la comunicación. Valores: DEFENSA_JUDICIAL, JUZGAMIENTO_DISCIPLINARIO, ASESORIA_JURIDICA.</t>
  </si>
  <si>
    <t xml:space="preserve">código: legal-management-service/src/entities/correo-juridico.entity.ts:87</t>
  </si>
  <si>
    <t xml:space="preserve">C1143</t>
  </si>
  <si>
    <t xml:space="preserve">decisiones_disciplinarias</t>
  </si>
  <si>
    <t xml:space="preserve">sancion</t>
  </si>
  <si>
    <t xml:space="preserve">db/migrations/old/066_create_decisiones_disciplinarias.sql:12: Tipo de sanción aplicada si aplica | db/migrations/old/067_create_decisiones_disciplinarias_v2.sql:10: Tipo de sanción aplicada si aplica</t>
  </si>
  <si>
    <t xml:space="preserve">Tipo de sanción aplicada en la decisión, si aplica.</t>
  </si>
  <si>
    <t xml:space="preserve">código: db/migrations/old/066_create_decisiones_disciplinarias.sql:12</t>
  </si>
  <si>
    <t xml:space="preserve">C1144</t>
  </si>
  <si>
    <t xml:space="preserve">consideraciones</t>
  </si>
  <si>
    <t xml:space="preserve">db/migrations/old/066_create_decisiones_disciplinarias.sql:13: Consideraciones del fallo | db/migrations/old/067_create_decisiones_disciplinarias_v2.sql:11: Consideraciones del fallo</t>
  </si>
  <si>
    <t xml:space="preserve">Consideraciones del fallo.</t>
  </si>
  <si>
    <t xml:space="preserve">código: db/migrations/old/066_create_decisiones_disciplinarias.sql:13</t>
  </si>
  <si>
    <t xml:space="preserve">C1145</t>
  </si>
  <si>
    <t xml:space="preserve">fundamentos_juridicos</t>
  </si>
  <si>
    <t xml:space="preserve">db/migrations/old/066_create_decisiones_disciplinarias.sql:14: Fundamentos legales de la decisión | db/migrations/old/067_create_decisiones_disciplinarias_v2.sql:12: Fundamentos legales de la decisión</t>
  </si>
  <si>
    <t xml:space="preserve">Fundamentos legales de la decisión.</t>
  </si>
  <si>
    <t xml:space="preserve">código: db/migrations/old/066_create_decisiones_disciplinarias.sql:14</t>
  </si>
  <si>
    <t xml:space="preserve">C1146</t>
  </si>
  <si>
    <t xml:space="preserve">responsable</t>
  </si>
  <si>
    <t xml:space="preserve">db/migrations/old/066_create_decisiones_disciplinarias.sql:15: Nombre del funcionario que toma la decisión | db/migrations/old/067_create_decisiones_disciplinarias_v2.sql:13: Nombre del funcionario que toma la decisión</t>
  </si>
  <si>
    <t xml:space="preserve">Nombre del funcionario que toma la decisión.</t>
  </si>
  <si>
    <t xml:space="preserve">código: db/migrations/old/066_create_decisiones_disciplinarias.sql:15</t>
  </si>
  <si>
    <t xml:space="preserve">C1147</t>
  </si>
  <si>
    <t xml:space="preserve">cargo_responsable</t>
  </si>
  <si>
    <t xml:space="preserve">db/migrations/old/066_create_decisiones_disciplinarias.sql:16: Cargo del funcionario | db/migrations/old/067_create_decisiones_disciplinarias_v2.sql:14: Cargo del funcionario</t>
  </si>
  <si>
    <t xml:space="preserve">Cargo del funcionario que toma la decisión.</t>
  </si>
  <si>
    <t xml:space="preserve">código: db/migrations/old/066_create_decisiones_disciplinarias.sql:16</t>
  </si>
  <si>
    <t xml:space="preserve">C1148</t>
  </si>
  <si>
    <t xml:space="preserve">idx_decisiones_fecha</t>
  </si>
  <si>
    <t xml:space="preserve">db/migrations/old/066_create_decisiones_disciplinarias.sql:17: Fecha de la decisión | db/migrations/old/067_create_decisiones_disciplinarias_v2.sql:15: Fecha de la decisión</t>
  </si>
  <si>
    <t xml:space="preserve">Fecha de la decisión. Valor por defecto: fecha actual.</t>
  </si>
  <si>
    <t xml:space="preserve">código: db/migrations/old/066_create_decisiones_disciplinarias.sql:17</t>
  </si>
  <si>
    <t xml:space="preserve">C1149</t>
  </si>
  <si>
    <t xml:space="preserve">documentos</t>
  </si>
  <si>
    <t xml:space="preserve">db/migrations/old/045_create_documentos_table.sql:13: Información del documento</t>
  </si>
  <si>
    <t xml:space="preserve">Nombre del documento asociado al expediente.</t>
  </si>
  <si>
    <t xml:space="preserve">código: db/migrations/old/045_create_documentos_table.sql:13</t>
  </si>
  <si>
    <t xml:space="preserve">C1150</t>
  </si>
  <si>
    <t xml:space="preserve">Mapeada en legal-management-service/src/entities/documento.entity.ts:22 (Documento.descripcion)</t>
  </si>
  <si>
    <t xml:space="preserve">Descripción del registro de documentos.</t>
  </si>
  <si>
    <t xml:space="preserve">C1151</t>
  </si>
  <si>
    <t xml:space="preserve">archivo_nombre_original</t>
  </si>
  <si>
    <t xml:space="preserve">Mapeada en legal-management-service/src/entities/documento.entity.ts:28 (Documento.archivoNombreOriginal)</t>
  </si>
  <si>
    <t xml:space="preserve">C1152</t>
  </si>
  <si>
    <t xml:space="preserve">db/migrations/old/045_create_documentos_table.sql:20: Tamaño en bytes</t>
  </si>
  <si>
    <t xml:space="preserve">código: db/migrations/old/045_create_documentos_table.sql:20</t>
  </si>
  <si>
    <t xml:space="preserve">C1153</t>
  </si>
  <si>
    <t xml:space="preserve">archivo_mime_type</t>
  </si>
  <si>
    <t xml:space="preserve">Mapeada en legal-management-service/src/entities/documento.entity.ts:34 (Documento.archivoMimeType)</t>
  </si>
  <si>
    <t xml:space="preserve">C1154</t>
  </si>
  <si>
    <t xml:space="preserve">fecha_documento</t>
  </si>
  <si>
    <t xml:space="preserve">idx_documentos_fecha</t>
  </si>
  <si>
    <t xml:space="preserve">db/migrations/old/045_create_documentos_table.sql:24: Metadatos Fecha del documento (diferente a fecha de carga)</t>
  </si>
  <si>
    <t xml:space="preserve">Fecha del documento, distinta de la fecha de carga.</t>
  </si>
  <si>
    <t xml:space="preserve">código: db/migrations/old/045_create_documentos_table.sql:24</t>
  </si>
  <si>
    <t xml:space="preserve">C1155</t>
  </si>
  <si>
    <t xml:space="preserve">numero_folios</t>
  </si>
  <si>
    <t xml:space="preserve">Mapeada en legal-management-service/src/entities/documento.entity.ts:40 (Documento.numeroFolios)</t>
  </si>
  <si>
    <t xml:space="preserve">Número de folios del documento.</t>
  </si>
  <si>
    <t xml:space="preserve">C1156</t>
  </si>
  <si>
    <t xml:space="preserve">Mapeada en legal-management-service/src/entities/documento.entity.ts:43 (Documento.confidencial)</t>
  </si>
  <si>
    <t xml:space="preserve">C1157</t>
  </si>
  <si>
    <t xml:space="preserve">subido_por</t>
  </si>
  <si>
    <t xml:space="preserve">db/migrations/old/045_create_documentos_table.sql:29: Auditoría</t>
  </si>
  <si>
    <t xml:space="preserve">Usuario que cargó el documento.</t>
  </si>
  <si>
    <t xml:space="preserve">código: db/migrations/old/045_create_documentos_table.sql:29 (sección de auditoría)</t>
  </si>
  <si>
    <t xml:space="preserve">¿Guarda el identificador o el nombre del usuario?</t>
  </si>
  <si>
    <t xml:space="preserve">C1158</t>
  </si>
  <si>
    <t xml:space="preserve">Mapeada en legal-management-service/src/entities/documento.entity.ts:49 (Documento.categoria)</t>
  </si>
  <si>
    <t xml:space="preserve">Categoría del documento. Valor por defecto: documentos.</t>
  </si>
  <si>
    <t xml:space="preserve">¿Qué otros valores admite categoria?</t>
  </si>
  <si>
    <t xml:space="preserve">C1159</t>
  </si>
  <si>
    <t xml:space="preserve">documentos_consulta</t>
  </si>
  <si>
    <t xml:space="preserve">Mapeada en legal-management-service/src/entities/documento-consulta.entity.ts:16 (DocumentoConsulta.nombre)</t>
  </si>
  <si>
    <t xml:space="preserve">Nombre del registro de documentos_consulta.</t>
  </si>
  <si>
    <t xml:space="preserve">C1160</t>
  </si>
  <si>
    <t xml:space="preserve">Mapeada en legal-management-service/src/entities/documento-consulta.entity.ts:22 (DocumentoConsulta.descripcion)</t>
  </si>
  <si>
    <t xml:space="preserve">Descripción del registro de documentos_consulta.</t>
  </si>
  <si>
    <t xml:space="preserve">C1161</t>
  </si>
  <si>
    <t xml:space="preserve">Mapeada en legal-management-service/src/entities/documento-consulta.entity.ts:25 (DocumentoConsulta.archivoUrl)</t>
  </si>
  <si>
    <t xml:space="preserve">URL del archivo del documento.</t>
  </si>
  <si>
    <t xml:space="preserve">C1162</t>
  </si>
  <si>
    <t xml:space="preserve">Mapeada en legal-management-service/src/entities/documento-consulta.entity.ts:28 (DocumentoConsulta.archivoNombreOriginal)</t>
  </si>
  <si>
    <t xml:space="preserve">C1163</t>
  </si>
  <si>
    <t xml:space="preserve">Mapeada en legal-management-service/src/entities/documento-consulta.entity.ts:31 (DocumentoConsulta.tamanoBytes)</t>
  </si>
  <si>
    <t xml:space="preserve">C1164</t>
  </si>
  <si>
    <t xml:space="preserve">Mapeada en legal-management-service/src/entities/documento-consulta.entity.ts:34 (DocumentoConsulta.mimeType)</t>
  </si>
  <si>
    <t xml:space="preserve">C1165</t>
  </si>
  <si>
    <t xml:space="preserve">Mapeada en legal-management-service/src/entities/documento-consulta.entity.ts:37 (DocumentoConsulta.subidoPor)</t>
  </si>
  <si>
    <t xml:space="preserve">Usuario que realizó la carga.</t>
  </si>
  <si>
    <t xml:space="preserve">C1166</t>
  </si>
  <si>
    <t xml:space="preserve">Mapeada en legal-management-service/src/entities/documento-consulta.entity.ts:43 (DocumentoConsulta.fechaDocumento)</t>
  </si>
  <si>
    <t xml:space="preserve">Fecha de documento.</t>
  </si>
  <si>
    <t xml:space="preserve">C1167</t>
  </si>
  <si>
    <t xml:space="preserve">documentos_oc</t>
  </si>
  <si>
    <t xml:space="preserve">Mapeada en legal-management-service/src/entities/documento-oc.entity.ts:16 (DocumentoOC.nombre)</t>
  </si>
  <si>
    <t xml:space="preserve">Nombre del registro de documentos_oc.</t>
  </si>
  <si>
    <t xml:space="preserve">C1168</t>
  </si>
  <si>
    <t xml:space="preserve">acuse, anexo, evidencia, informe, oficio, otro, respuesta</t>
  </si>
  <si>
    <t xml:space="preserve">idx_documentos_oc_tipo</t>
  </si>
  <si>
    <t xml:space="preserve">Mapeada en legal-management-service/src/entities/documento-oc.entity.ts:19 (DocumentoOC.tipoDocumento)</t>
  </si>
  <si>
    <t xml:space="preserve">Tipo de documento. Valores permitidos: acuse, anexo, evidencia, informe, oficio, otro, respuesta. Valor por defecto: otro.</t>
  </si>
  <si>
    <t xml:space="preserve">C1169</t>
  </si>
  <si>
    <t xml:space="preserve">Mapeada en legal-management-service/src/entities/documento-oc.entity.ts:22 (DocumentoOC.descripcion)</t>
  </si>
  <si>
    <t xml:space="preserve">Descripción del registro de documentos_oc.</t>
  </si>
  <si>
    <t xml:space="preserve">C1170</t>
  </si>
  <si>
    <t xml:space="preserve">Mapeada en legal-management-service/src/entities/documento-oc.entity.ts:25 (DocumentoOC.archivoUrl)</t>
  </si>
  <si>
    <t xml:space="preserve">C1171</t>
  </si>
  <si>
    <t xml:space="preserve">Mapeada en legal-management-service/src/entities/documento-oc.entity.ts:28 (DocumentoOC.tamanoBytes)</t>
  </si>
  <si>
    <t xml:space="preserve">C1172</t>
  </si>
  <si>
    <t xml:space="preserve">Mapeada en legal-management-service/src/entities/documento-oc.entity.ts:31 (DocumentoOC.mimeType)</t>
  </si>
  <si>
    <t xml:space="preserve">C1173</t>
  </si>
  <si>
    <t xml:space="preserve">Mapeada en legal-management-service/src/entities/documento-oc.entity.ts:34 (DocumentoOC.subidoPor)</t>
  </si>
  <si>
    <t xml:space="preserve">C1174</t>
  </si>
  <si>
    <t xml:space="preserve">Mapeada en legal-management-service/src/entities/documento-oc.entity.ts:37 (DocumentoOC.fechaDocumento)</t>
  </si>
  <si>
    <t xml:space="preserve">C1175</t>
  </si>
  <si>
    <t xml:space="preserve">evidencias</t>
  </si>
  <si>
    <t xml:space="preserve">Mapeada en legal-management-service/src/entities/evidencia.entity.ts:16 (Evidencia.descripcion)</t>
  </si>
  <si>
    <t xml:space="preserve">Descripción del registro de evidencias.</t>
  </si>
  <si>
    <t xml:space="preserve">C1176</t>
  </si>
  <si>
    <t xml:space="preserve">aportado_por</t>
  </si>
  <si>
    <t xml:space="preserve">Mapeada en legal-management-service/src/entities/evidencia.entity.ts:19 (Evidencia.aportadoPor)</t>
  </si>
  <si>
    <t xml:space="preserve">Persona que aportó la evidencia.</t>
  </si>
  <si>
    <t xml:space="preserve">C1177</t>
  </si>
  <si>
    <t xml:space="preserve">fecha_presentacion</t>
  </si>
  <si>
    <t xml:space="preserve">Mapeada en legal-management-service/src/entities/evidencia.entity.ts:22 (Evidencia.fechaPresentacion)</t>
  </si>
  <si>
    <t xml:space="preserve">Fecha de presentación.</t>
  </si>
  <si>
    <t xml:space="preserve">C1178</t>
  </si>
  <si>
    <t xml:space="preserve">Mapeada en legal-management-service/src/entities/evidencia.entity.ts:25 (Evidencia.archivoNombre)</t>
  </si>
  <si>
    <t xml:space="preserve">Nombre del archivo de la evidencia.</t>
  </si>
  <si>
    <t xml:space="preserve">C1179</t>
  </si>
  <si>
    <t xml:space="preserve">Mapeada en legal-management-service/src/entities/evidencia.entity.ts:28 (Evidencia.archivoUrl)</t>
  </si>
  <si>
    <t xml:space="preserve">URL del archivo de la evidencia.</t>
  </si>
  <si>
    <t xml:space="preserve">C1180</t>
  </si>
  <si>
    <t xml:space="preserve">Mapeada en legal-management-service/src/entities/evidencia.entity.ts:31 (Evidencia.archivoTamano)</t>
  </si>
  <si>
    <t xml:space="preserve">Tamaño del archivo de la evidencia.</t>
  </si>
  <si>
    <t xml:space="preserve">C1181</t>
  </si>
  <si>
    <t xml:space="preserve">Mapeada en legal-management-service/src/entities/evidencia.entity.ts:34 (Evidencia.tipo)</t>
  </si>
  <si>
    <t xml:space="preserve">Tipo del registro de evidencias.</t>
  </si>
  <si>
    <t xml:space="preserve">C1182</t>
  </si>
  <si>
    <t xml:space="preserve">Alta, Baja, Media</t>
  </si>
  <si>
    <t xml:space="preserve">Mapeada en legal-management-service/src/entities/evidencia.entity.ts:37 (Evidencia.prioridad)</t>
  </si>
  <si>
    <t xml:space="preserve">Prioridad de la evidencia. Valores permitidos: Alta, Media, Baja.</t>
  </si>
  <si>
    <t xml:space="preserve">C1183</t>
  </si>
  <si>
    <t xml:space="preserve">Admitida, En Revisión, Pendiente, Rechazada, Valida</t>
  </si>
  <si>
    <t xml:space="preserve">Mapeada en legal-management-service/src/entities/evidencia.entity.ts:40 (Evidencia.estado)</t>
  </si>
  <si>
    <t xml:space="preserve">Estado del registro de evidencias.</t>
  </si>
  <si>
    <t xml:space="preserve">C1184</t>
  </si>
  <si>
    <t xml:space="preserve">excepciones_procesales</t>
  </si>
  <si>
    <t xml:space="preserve">Mapeada en legal-management-service/src/entities/excepcion-procesal.entity.ts:15 (ExcepcionProcesal.descripcion)</t>
  </si>
  <si>
    <t xml:space="preserve">Descripción del registro de excepciones_procesales.</t>
  </si>
  <si>
    <t xml:space="preserve">C1185</t>
  </si>
  <si>
    <t xml:space="preserve">fundamento</t>
  </si>
  <si>
    <t xml:space="preserve">Mapeada en legal-management-service/src/entities/excepcion-procesal.entity.ts:18 (ExcepcionProcesal.fundamento)</t>
  </si>
  <si>
    <t xml:space="preserve">Fundamento de la excepción procesal.</t>
  </si>
  <si>
    <t xml:space="preserve">C1186</t>
  </si>
  <si>
    <t xml:space="preserve">resolucion</t>
  </si>
  <si>
    <t xml:space="preserve">Mapeada en legal-management-service/src/entities/excepcion-procesal.entity.ts:24 (ExcepcionProcesal.resolucion)</t>
  </si>
  <si>
    <t xml:space="preserve">Decisión adoptada sobre la excepción procesal.</t>
  </si>
  <si>
    <t xml:space="preserve">nombre + tipo + columnas vecinas (fecha_resolucion)</t>
  </si>
  <si>
    <t xml:space="preserve">C1187</t>
  </si>
  <si>
    <t xml:space="preserve">Mapeada en legal-management-service/src/entities/excepcion-procesal.entity.ts:27 (ExcepcionProcesal.fechaPresentacion)</t>
  </si>
  <si>
    <t xml:space="preserve">C1188</t>
  </si>
  <si>
    <t xml:space="preserve">fecha_resolucion</t>
  </si>
  <si>
    <t xml:space="preserve">Mapeada en legal-management-service/src/entities/excepcion-procesal.entity.ts:30 (ExcepcionProcesal.fechaResolucion)</t>
  </si>
  <si>
    <t xml:space="preserve">Fecha de resolución.</t>
  </si>
  <si>
    <t xml:space="preserve">C1189</t>
  </si>
  <si>
    <t xml:space="preserve">presentado_por</t>
  </si>
  <si>
    <t xml:space="preserve">Mapeada en legal-management-service/src/entities/excepcion-procesal.entity.ts:33 (ExcepcionProcesal.presentadoPor)</t>
  </si>
  <si>
    <t xml:space="preserve">Persona que presentó la excepción.</t>
  </si>
  <si>
    <t xml:space="preserve">C1190</t>
  </si>
  <si>
    <t xml:space="preserve">expedientes</t>
  </si>
  <si>
    <t xml:space="preserve">radicado</t>
  </si>
  <si>
    <t xml:space="preserve">expedientes_radicado_key</t>
  </si>
  <si>
    <t xml:space="preserve">Mapeada en legal-management-service/src/entities/expediente.entity.ts:42 (Expediente.radicado) | Validación: IsString, Length(23, 23, { message: 'El radicado debe tener 23 dígitos.' })</t>
  </si>
  <si>
    <t xml:space="preserve">Número de radicado del expediente, de 23 dígitos. Es único en la tabla.</t>
  </si>
  <si>
    <t xml:space="preserve">restricción única + validación Length(23, 23)</t>
  </si>
  <si>
    <t xml:space="preserve">C1191</t>
  </si>
  <si>
    <t xml:space="preserve">jurisdiccion</t>
  </si>
  <si>
    <t xml:space="preserve">legal-management-service/src/entities/expediente.entity.ts:45: CIVIL, PENAL, ADMINISTRATIVO | db/migrations/old/000a_legal_schema_init.sql:16: CIVIL, PENAL, ADMINISTRATIVO | db/init/old/01_legal_schema_init.sql:13: CIVIL, PENAL, ADMINISTRATIVO | Validación: IsString</t>
  </si>
  <si>
    <t xml:space="preserve">Jurisdicción del expediente. Valores: CIVIL, PENAL, ADMINISTRATIVO.</t>
  </si>
  <si>
    <t xml:space="preserve">código: expediente.entity.ts:45</t>
  </si>
  <si>
    <t xml:space="preserve">C1192</t>
  </si>
  <si>
    <t xml:space="preserve">tipo_proceso</t>
  </si>
  <si>
    <t xml:space="preserve">db/migrations/old/000a_legal_schema_init.sql:17: REPARACION DIRECTA, NULIDAD, ETC | db/init/old/01_legal_schema_init.sql:14: REPARACION DIRECTA, NULIDAD, ETC</t>
  </si>
  <si>
    <t xml:space="preserve">Tipo de proceso judicial, por ejemplo REPARACION DIRECTA o NULIDAD.</t>
  </si>
  <si>
    <t xml:space="preserve">código: db/migrations/old/000a_legal_schema_init.sql:17</t>
  </si>
  <si>
    <t xml:space="preserve">¿Cuál es la lista completa de tipos de proceso?</t>
  </si>
  <si>
    <t xml:space="preserve">C1193</t>
  </si>
  <si>
    <t xml:space="preserve">demandante</t>
  </si>
  <si>
    <t xml:space="preserve">Mapeada en legal-management-service/src/entities/expediente.entity.ts:51 (Expediente.demandante) | Validación: IsString</t>
  </si>
  <si>
    <t xml:space="preserve">Nombre del demandante.</t>
  </si>
  <si>
    <t xml:space="preserve">C1194</t>
  </si>
  <si>
    <t xml:space="preserve">demandado</t>
  </si>
  <si>
    <t xml:space="preserve">Mapeada en legal-management-service/src/entities/expediente.entity.ts:54 (Expediente.demandado) | Validación: IsString</t>
  </si>
  <si>
    <t xml:space="preserve">Nombre del demandado. Valor por defecto: ESAP.</t>
  </si>
  <si>
    <t xml:space="preserve">C1195</t>
  </si>
  <si>
    <t xml:space="preserve">legal-management-service/src/entities/expediente.entity.ts:57: RADICADO, EN_TRAMITE, FALLO... | db/migrations/old/000a_legal_schema_init.sql:20: RADICADO, EN_TRAMITE, FALLO, TRASLADO_DESCARGOS | db/init/old/01_legal_schema_init.sql:17: RADICADO, EN_TRAMITE, FALLO, TRASLADO_DESCARGOS</t>
  </si>
  <si>
    <t xml:space="preserve">Estado del expediente, por ejemplo RADICADO, EN_TRAMITE, FALLO o TRASLADO_DESCARGOS.</t>
  </si>
  <si>
    <t xml:space="preserve">código: db/migrations/old/000a_legal_schema_init.sql:20</t>
  </si>
  <si>
    <t xml:space="preserve">¿Cuál es la lista completa de estados del expediente?</t>
  </si>
  <si>
    <t xml:space="preserve">C1196</t>
  </si>
  <si>
    <t xml:space="preserve">Mapeada en legal-management-service/src/entities/expediente.entity.ts:60 (Expediente.fechaRadicacion)</t>
  </si>
  <si>
    <t xml:space="preserve">C1197</t>
  </si>
  <si>
    <t xml:space="preserve">cuantia</t>
  </si>
  <si>
    <t xml:space="preserve">numeric(15,2)</t>
  </si>
  <si>
    <t xml:space="preserve">Mapeada en legal-management-service/src/entities/expediente.entity.ts:63 (Expediente.cuantia) | Validación: IsNumber, IsOptional</t>
  </si>
  <si>
    <t xml:space="preserve">Cuantía del proceso.</t>
  </si>
  <si>
    <t xml:space="preserve">¿La cuantía se registra en pesos colombianos?</t>
  </si>
  <si>
    <t xml:space="preserve">C1198</t>
  </si>
  <si>
    <t xml:space="preserve">abogado_sustanciador</t>
  </si>
  <si>
    <t xml:space="preserve">db/migrations/old/000a_legal_schema_init.sql:25: Campos adicionales inferidos de UI | db/init/old/01_legal_schema_init.sql:22: Campos adicionales inferidos de UI</t>
  </si>
  <si>
    <t xml:space="preserve">Nombre del abogado sustanciador del expediente.</t>
  </si>
  <si>
    <t xml:space="preserve">nombre + tipo; código: 000a_legal_schema_init.sql:25 («campos inferidos de UI»)</t>
  </si>
  <si>
    <t xml:space="preserve">¿Guarda el nombre o el identificador del abogado?</t>
  </si>
  <si>
    <t xml:space="preserve">C1199</t>
  </si>
  <si>
    <t xml:space="preserve">fecha_prescripcion</t>
  </si>
  <si>
    <t xml:space="preserve">Mapeada en legal-management-service/src/entities/expediente.entity.ts:85 (Expediente.fechaPrescripcion)</t>
  </si>
  <si>
    <t xml:space="preserve">Fecha de prescripción.</t>
  </si>
  <si>
    <t xml:space="preserve">C1200</t>
  </si>
  <si>
    <t xml:space="preserve">riesgo_prescripcion</t>
  </si>
  <si>
    <t xml:space="preserve">Mapeada en legal-management-service/src/entities/expediente.entity.ts:88 (Expediente.riesgoPrescripcion)</t>
  </si>
  <si>
    <t xml:space="preserve">Indica si aplica: riesgo prescripción.</t>
  </si>
  <si>
    <t xml:space="preserve">C1201</t>
  </si>
  <si>
    <t xml:space="preserve">termino_procesal_dias</t>
  </si>
  <si>
    <t xml:space="preserve">Mapeada en legal-management-service/src/entities/expediente.entity.ts:91 (Expediente.terminoProcesalDias) | Validación: IsNumber, IsOptional</t>
  </si>
  <si>
    <t xml:space="preserve">Días del término procesal.</t>
  </si>
  <si>
    <t xml:space="preserve">nombre + tipo + columnas vecinas (tipo_conteo_termino)</t>
  </si>
  <si>
    <t xml:space="preserve">¿A qué término corresponde y se cuenta según tipo_conteo_termino?</t>
  </si>
  <si>
    <t xml:space="preserve">C1202</t>
  </si>
  <si>
    <t xml:space="preserve">ultima_actuacion</t>
  </si>
  <si>
    <t xml:space="preserve">Mapeada en legal-management-service/src/entities/expediente.entity.ts:97 (Expediente.ultimaActuacion)</t>
  </si>
  <si>
    <t xml:space="preserve">Descripción de la última actuación registrada en el expediente.</t>
  </si>
  <si>
    <t xml:space="preserve">¿Se actualiza automáticamente a partir de la tabla actuaciones?</t>
  </si>
  <si>
    <t xml:space="preserve">C1203</t>
  </si>
  <si>
    <t xml:space="preserve">Mapeada en legal-management-service/src/entities/expediente.entity.ts:100 (Expediente.ubicacionFisica)</t>
  </si>
  <si>
    <t xml:space="preserve">Ubicación física del expediente.</t>
  </si>
  <si>
    <t xml:space="preserve">C1204</t>
  </si>
  <si>
    <t xml:space="preserve">sancion_proyectada</t>
  </si>
  <si>
    <t xml:space="preserve">Mapeada en legal-management-service/src/entities/expediente.entity.ts:103 (Expediente.sancionProyectada)</t>
  </si>
  <si>
    <t xml:space="preserve">Sanción proyectada en el proceso.</t>
  </si>
  <si>
    <t xml:space="preserve">¿Es texto libre o sale de un catálogo de sanciones?</t>
  </si>
  <si>
    <t xml:space="preserve">C1205</t>
  </si>
  <si>
    <t xml:space="preserve">hechos</t>
  </si>
  <si>
    <t xml:space="preserve">Mapeada en legal-management-service/src/entities/expediente.entity.ts:197 (Expediente.hechos)</t>
  </si>
  <si>
    <t xml:space="preserve">Descripción de los hechos del proceso.</t>
  </si>
  <si>
    <t xml:space="preserve">nombre + tipo + columnas vecinas (hechos_list)</t>
  </si>
  <si>
    <t xml:space="preserve">¿Qué diferencia hay entre hechos y hechos_list?</t>
  </si>
  <si>
    <t xml:space="preserve">C1206</t>
  </si>
  <si>
    <t xml:space="preserve">fecha_limite_etapa</t>
  </si>
  <si>
    <t xml:space="preserve">Mapeada en legal-management-service/src/entities/expediente.entity.ts:225 (Expediente.fechaLimiteEtapa)</t>
  </si>
  <si>
    <t xml:space="preserve">Fecha límite etapa.</t>
  </si>
  <si>
    <t xml:space="preserve">C1207</t>
  </si>
  <si>
    <t xml:space="preserve">medio_control</t>
  </si>
  <si>
    <t xml:space="preserve">Mapeada en legal-management-service/src/entities/expediente.entity.ts:106 (Expediente.medioControl) | Validación: IsString</t>
  </si>
  <si>
    <t xml:space="preserve">Medio de control judicial del proceso.</t>
  </si>
  <si>
    <t xml:space="preserve">C1208</t>
  </si>
  <si>
    <t xml:space="preserve">juzgado_conocimiento</t>
  </si>
  <si>
    <t xml:space="preserve">Mapeada en legal-management-service/src/entities/expediente.entity.ts:109 (Expediente.juzgadoConocimiento) | Validación: IsString</t>
  </si>
  <si>
    <t xml:space="preserve">Juzgado que conoce del proceso.</t>
  </si>
  <si>
    <t xml:space="preserve">C1209</t>
  </si>
  <si>
    <t xml:space="preserve">pretension_demandante</t>
  </si>
  <si>
    <t xml:space="preserve">Mapeada en legal-management-service/src/entities/expediente.entity.ts:112 (Expediente.pretensionDemandante) | Validación: IsString</t>
  </si>
  <si>
    <t xml:space="preserve">Pretensiones del demandante.</t>
  </si>
  <si>
    <t xml:space="preserve">C1210</t>
  </si>
  <si>
    <t xml:space="preserve">acto_administrativo_demandado</t>
  </si>
  <si>
    <t xml:space="preserve">Mapeada en legal-management-service/src/entities/expediente.entity.ts:115 (Expediente.actoAdministrativoDemandado) | Validación: IsOptional, IsString</t>
  </si>
  <si>
    <t xml:space="preserve">Acto administrativo demandado en el proceso.</t>
  </si>
  <si>
    <t xml:space="preserve">C1211</t>
  </si>
  <si>
    <t xml:space="preserve">Mapeada en legal-management-service/src/entities/expediente.entity.ts:118 (Expediente.fechaNotificacion) | Validación: IsDateString</t>
  </si>
  <si>
    <t xml:space="preserve">C1212</t>
  </si>
  <si>
    <t xml:space="preserve">fecha_vencimiento_termino</t>
  </si>
  <si>
    <t xml:space="preserve">Mapeada en legal-management-service/src/entities/expediente.entity.ts:121 (Expediente.fechaVencimientoTermino) | Validación: IsDateString, IsOptional</t>
  </si>
  <si>
    <t xml:space="preserve">Fecha de vencimiento termino.</t>
  </si>
  <si>
    <t xml:space="preserve">C1213</t>
  </si>
  <si>
    <t xml:space="preserve">tipo_id_demandante</t>
  </si>
  <si>
    <t xml:space="preserve">Mapeada en legal-management-service/src/entities/expediente.entity.ts:124 (Expediente.tipoIdDemandante) | Validación: IsString</t>
  </si>
  <si>
    <t xml:space="preserve">Tipo de documento de identificación del demandante.</t>
  </si>
  <si>
    <t xml:space="preserve">¿Qué valores admite (CC, NIT, CE…)?</t>
  </si>
  <si>
    <t xml:space="preserve">C1214</t>
  </si>
  <si>
    <t xml:space="preserve">numero_id_demandante</t>
  </si>
  <si>
    <t xml:space="preserve">Mapeada en legal-management-service/src/entities/expediente.entity.ts:127 (Expediente.numeroIdDemandante) | Validación: IsString</t>
  </si>
  <si>
    <t xml:space="preserve">Número de documento de identificación del demandante.</t>
  </si>
  <si>
    <t xml:space="preserve">C1215</t>
  </si>
  <si>
    <t xml:space="preserve">tipo_id_demandado</t>
  </si>
  <si>
    <t xml:space="preserve">Mapeada en legal-management-service/src/entities/expediente.entity.ts:130 (Expediente.tipoIdDemandado) | Validación: IsString</t>
  </si>
  <si>
    <t xml:space="preserve">Tipo de documento de identificación del demandado.</t>
  </si>
  <si>
    <t xml:space="preserve">C1216</t>
  </si>
  <si>
    <t xml:space="preserve">numero_id_demandado</t>
  </si>
  <si>
    <t xml:space="preserve">Mapeada en legal-management-service/src/entities/expediente.entity.ts:133 (Expediente.numeroIdDemandado) | Validación: IsString</t>
  </si>
  <si>
    <t xml:space="preserve">Número de documento de identificación del demandado.</t>
  </si>
  <si>
    <t xml:space="preserve">C1217</t>
  </si>
  <si>
    <t xml:space="preserve">etapa_procesal</t>
  </si>
  <si>
    <t xml:space="preserve">Mapeada en legal-management-service/src/entities/expediente.entity.ts:159 (Expediente.etapaProcesal)</t>
  </si>
  <si>
    <t xml:space="preserve">Etapa procesal del expediente. Valor por defecto: RADICACION.</t>
  </si>
  <si>
    <t xml:space="preserve">¿Qué valores admite etapa_procesal y en qué se diferencia de etapa?</t>
  </si>
  <si>
    <t xml:space="preserve">C1218</t>
  </si>
  <si>
    <t xml:space="preserve">documentos_iniciales_urls</t>
  </si>
  <si>
    <t xml:space="preserve">db/migrations/old/000b_update_expediente_schema.sql:21: Array of URLs for initial docs | db/init/old/05_update_expediente_schema.sql:17: Array of URLs for initial docs | Validación: IsArray, IsOptional, IsString({ each: true })</t>
  </si>
  <si>
    <t xml:space="preserve">URL de los documentos iniciales del expediente, como arreglo.</t>
  </si>
  <si>
    <t xml:space="preserve">código: db/migrations/old/000b_update_expediente_schema.sql:21</t>
  </si>
  <si>
    <t xml:space="preserve">C1219</t>
  </si>
  <si>
    <t xml:space="preserve">demandado_direccion</t>
  </si>
  <si>
    <t xml:space="preserve">legal-management-service/src/entities/expediente.entity.ts:150: Campos de contacto del demandado (opcional)</t>
  </si>
  <si>
    <t xml:space="preserve">Dirección de contacto del demandado; opcional.</t>
  </si>
  <si>
    <t xml:space="preserve">código: legal-management-service/src/entities/expediente.entity.ts:150</t>
  </si>
  <si>
    <t xml:space="preserve">C1220</t>
  </si>
  <si>
    <t xml:space="preserve">demandado_telefono</t>
  </si>
  <si>
    <t xml:space="preserve">Mapeada en legal-management-service/src/entities/expediente.entity.ts:153 (Expediente.demandadoTelefono)</t>
  </si>
  <si>
    <t xml:space="preserve">Teléfono del demandado.</t>
  </si>
  <si>
    <t xml:space="preserve">C1221</t>
  </si>
  <si>
    <t xml:space="preserve">demandado_email</t>
  </si>
  <si>
    <t xml:space="preserve">Mapeada en legal-management-service/src/entities/expediente.entity.ts:156 (Expediente.demandadoEmail)</t>
  </si>
  <si>
    <t xml:space="preserve">Correo electrónico del demandado.</t>
  </si>
  <si>
    <t xml:space="preserve">C1222</t>
  </si>
  <si>
    <t xml:space="preserve">tipo_conteo_termino</t>
  </si>
  <si>
    <t xml:space="preserve">legal-management-service/src/entities/expediente.entity.ts:94: 'HABILES' (business days) or 'CALENDARIO' (calendar days) | Validación: IsOptional, IsString</t>
  </si>
  <si>
    <t xml:space="preserve">Tipo de conteo de los términos del expediente. Valores: HABILES (días hábiles), CALENDARIO (días calendario). Por defecto, HABILES.</t>
  </si>
  <si>
    <t xml:space="preserve">código: expediente.entity.ts:94</t>
  </si>
  <si>
    <t xml:space="preserve">C1223</t>
  </si>
  <si>
    <t xml:space="preserve">nivel_riesgo</t>
  </si>
  <si>
    <t xml:space="preserve">legal-management-service/src/entities/expediente.entity.ts:67: Campos para Dashboard y Conciliación | Validación: IsOptional, IsString</t>
  </si>
  <si>
    <t xml:space="preserve">Nivel de riesgo del expediente, usado en el tablero y en conciliación.</t>
  </si>
  <si>
    <t xml:space="preserve">código: legal-management-service/src/entities/expediente.entity.ts:67</t>
  </si>
  <si>
    <t xml:space="preserve">¿Qué valores toma el nivel de riesgo y quién lo asigna?</t>
  </si>
  <si>
    <t xml:space="preserve">C1224</t>
  </si>
  <si>
    <t xml:space="preserve">provision_contable</t>
  </si>
  <si>
    <t xml:space="preserve">Mapeada en legal-management-service/src/entities/expediente.entity.ts:70 (Expediente.provisionContable) | Validación: IsNumber, IsOptional</t>
  </si>
  <si>
    <t xml:space="preserve">Valor de la provisión contable del proceso.</t>
  </si>
  <si>
    <t xml:space="preserve">nombre + tipo + columnas vecinas (fecha_estimacion_provision)</t>
  </si>
  <si>
    <t xml:space="preserve">¿El valor se registra en pesos colombianos?</t>
  </si>
  <si>
    <t xml:space="preserve">C1225</t>
  </si>
  <si>
    <t xml:space="preserve">fecha_estimacion_provision</t>
  </si>
  <si>
    <t xml:space="preserve">Mapeada en legal-management-service/src/entities/expediente.entity.ts:73 (Expediente.fechaEstimacionProvision) | Validación: IsDateString, IsOptional</t>
  </si>
  <si>
    <t xml:space="preserve">Fecha de estimación provisión.</t>
  </si>
  <si>
    <t xml:space="preserve">C1226</t>
  </si>
  <si>
    <t xml:space="preserve">observacion_provision</t>
  </si>
  <si>
    <t xml:space="preserve">Mapeada en legal-management-service/src/entities/expediente.entity.ts:76 (Expediente.observacionProvision) | Validación: IsOptional, IsString</t>
  </si>
  <si>
    <t xml:space="preserve">Observación sobre la provisión contable.</t>
  </si>
  <si>
    <t xml:space="preserve">C1227</t>
  </si>
  <si>
    <t xml:space="preserve">campos_adicionales</t>
  </si>
  <si>
    <t xml:space="preserve">Mapeada en legal-management-service/src/entities/expediente.entity.ts:217 (Expediente.camposAdicionales) | Validación: IsOptional</t>
  </si>
  <si>
    <t xml:space="preserve">Campos adicionales del expediente, en formato JSON.</t>
  </si>
  <si>
    <t xml:space="preserve">¿Qué estructura tiene campos_adicionales y según qué tipo de proceso?</t>
  </si>
  <si>
    <t xml:space="preserve">C1228</t>
  </si>
  <si>
    <t xml:space="preserve">idx_expedientes_origen</t>
  </si>
  <si>
    <t xml:space="preserve">legal-management-service/src/entities/expediente.entity.ts:206: Origen del proceso (queja, denuncia, de oficio, etc.)</t>
  </si>
  <si>
    <t xml:space="preserve">Origen del proceso (por ejemplo, queja, denuncia, de oficio).</t>
  </si>
  <si>
    <t xml:space="preserve">código: legal-management-service/src/entities/expediente.entity.ts:206</t>
  </si>
  <si>
    <t xml:space="preserve">C1229</t>
  </si>
  <si>
    <t xml:space="preserve">territorial</t>
  </si>
  <si>
    <t xml:space="preserve">idx_expedientes_territorial</t>
  </si>
  <si>
    <t xml:space="preserve">legal-management-service/src/entities/expediente.entity.ts:211: Territorial asociada. Antes vivía dentro de campos_adicionales; ahora tiene columna propia (indexable/reporteable) con backfill en migración 369.</t>
  </si>
  <si>
    <t xml:space="preserve">Territorial asociada al expediente; antes se guardaba en campos_adicionales (migración 369).</t>
  </si>
  <si>
    <t xml:space="preserve">código: legal-management-service/src/entities/expediente.entity.ts:211</t>
  </si>
  <si>
    <t xml:space="preserve">C1230</t>
  </si>
  <si>
    <t xml:space="preserve">presunta_conducta</t>
  </si>
  <si>
    <t xml:space="preserve">Mapeada en legal-management-service/src/entities/expediente.entity.ts:214 (Expediente.presuntaConducta)</t>
  </si>
  <si>
    <t xml:space="preserve">Descripción de la presunta conducta investigada.</t>
  </si>
  <si>
    <t xml:space="preserve">C1231</t>
  </si>
  <si>
    <t xml:space="preserve">hechos_list</t>
  </si>
  <si>
    <t xml:space="preserve">legal-management-service/src/entities/expediente.entity.ts:202: Múltiples hechos del proceso (uniformación juzgamiento). Se conserva `hechos` (texto) como representación concatenada para compatibilidad con vistas previas.</t>
  </si>
  <si>
    <t xml:space="preserve">Hechos del proceso, como arreglo JSON; la columna hechos conserva su versión concatenada en texto.</t>
  </si>
  <si>
    <t xml:space="preserve">código: legal-management-service/src/entities/expediente.entity.ts:202</t>
  </si>
  <si>
    <t xml:space="preserve">C1232</t>
  </si>
  <si>
    <t xml:space="preserve">idx_expedientes_origen_comunicacion</t>
  </si>
  <si>
    <t xml:space="preserve">legal-management-service/src/entities/expediente.entity.ts:222: Trazabilidad inversa: comunicación (correo jurídico) que dio origen a este proceso cuando se crea desde el Centro de Comunicaciones → Clasificación IA.</t>
  </si>
  <si>
    <t xml:space="preserve">Identificador de la comunicación (correo jurídico) que dio origen al proceso cuando se crea desde el Centro de Comunicaciones (Clasificación IA).</t>
  </si>
  <si>
    <t xml:space="preserve">código: legal-management-service/src/entities/expediente.entity.ts:222</t>
  </si>
  <si>
    <t xml:space="preserve">C1233</t>
  </si>
  <si>
    <t xml:space="preserve">hallazgos</t>
  </si>
  <si>
    <t xml:space="preserve">codigo_hallazgo</t>
  </si>
  <si>
    <t xml:space="preserve">hallazgos_codigo_hallazgo_key</t>
  </si>
  <si>
    <t xml:space="preserve">Mapeada en legal-management-service/src/entities/hallazgo.entity.ts:20 (Hallazgo.codigoHallazgo)</t>
  </si>
  <si>
    <t xml:space="preserve">Código único del hallazgo.</t>
  </si>
  <si>
    <t xml:space="preserve">nombre + tipo + restricción única</t>
  </si>
  <si>
    <t xml:space="preserve">¿El código lo asigna el organismo de control o lo genera el sistema, y con qué formato?</t>
  </si>
  <si>
    <t xml:space="preserve">C1234</t>
  </si>
  <si>
    <t xml:space="preserve">numero_interno</t>
  </si>
  <si>
    <t xml:space="preserve">Mapeada en legal-management-service/src/entities/hallazgo.entity.ts:23 (Hallazgo.numeroInterno)</t>
  </si>
  <si>
    <t xml:space="preserve">Número interno asignado al hallazgo por la entidad.</t>
  </si>
  <si>
    <t xml:space="preserve">¿Quién asigna el número interno y en qué se diferencia de codigo_hallazgo?</t>
  </si>
  <si>
    <t xml:space="preserve">C1235</t>
  </si>
  <si>
    <t xml:space="preserve">tipo_hallazgo</t>
  </si>
  <si>
    <t xml:space="preserve">ADMINISTRATIVO, DISCIPLINARIO, FISCAL, PENAL</t>
  </si>
  <si>
    <t xml:space="preserve">Mapeada en legal-management-service/src/entities/hallazgo.entity.ts:26 (Hallazgo.tipoHallazgo)</t>
  </si>
  <si>
    <t xml:space="preserve">Tipo de hallazgo según su incidencia. Valores permitidos: ADMINISTRATIVO, DISCIPLINARIO, FISCAL, PENAL. Por defecto, ADMINISTRATIVO.</t>
  </si>
  <si>
    <t xml:space="preserve">C1236</t>
  </si>
  <si>
    <t xml:space="preserve">Mapeada en legal-management-service/src/entities/hallazgo.entity.ts:29 (Hallazgo.titulo)</t>
  </si>
  <si>
    <t xml:space="preserve">Título del hallazgo.</t>
  </si>
  <si>
    <t xml:space="preserve">C1237</t>
  </si>
  <si>
    <t xml:space="preserve">Mapeada en legal-management-service/src/entities/hallazgo.entity.ts:32 (Hallazgo.descripcion)</t>
  </si>
  <si>
    <t xml:space="preserve">Descripción del registro de hallazgos.</t>
  </si>
  <si>
    <t xml:space="preserve">C1238</t>
  </si>
  <si>
    <t xml:space="preserve">causa_raiz</t>
  </si>
  <si>
    <t xml:space="preserve">Mapeada en legal-management-service/src/entities/hallazgo.entity.ts:35 (Hallazgo.causaRaiz)</t>
  </si>
  <si>
    <t xml:space="preserve">Causa raíz identificada para el hallazgo.</t>
  </si>
  <si>
    <t xml:space="preserve">C1239</t>
  </si>
  <si>
    <t xml:space="preserve">efecto</t>
  </si>
  <si>
    <t xml:space="preserve">Mapeada en legal-management-service/src/entities/hallazgo.entity.ts:38 (Hallazgo.efecto)</t>
  </si>
  <si>
    <t xml:space="preserve">Efecto o consecuencia del hallazgo.</t>
  </si>
  <si>
    <t xml:space="preserve">C1240</t>
  </si>
  <si>
    <t xml:space="preserve">area_responsable</t>
  </si>
  <si>
    <t xml:space="preserve">Mapeada en legal-management-service/src/entities/hallazgo.entity.ts:41 (Hallazgo.areaResponsable)</t>
  </si>
  <si>
    <t xml:space="preserve">Nombre del área responsable de atender el hallazgo.</t>
  </si>
  <si>
    <t xml:space="preserve">¿El área se registra como texto libre o se toma de un catálogo de dependencias?</t>
  </si>
  <si>
    <t xml:space="preserve">C1241</t>
  </si>
  <si>
    <t xml:space="preserve">funcionario_responsable</t>
  </si>
  <si>
    <t xml:space="preserve">Mapeada en legal-management-service/src/entities/hallazgo.entity.ts:44 (Hallazgo.funcionarioResponsable)</t>
  </si>
  <si>
    <t xml:space="preserve">Nombre del funcionario responsable de atender el hallazgo.</t>
  </si>
  <si>
    <t xml:space="preserve">¿Se guarda el nombre completo del funcionario o un identificador de usuario?</t>
  </si>
  <si>
    <t xml:space="preserve">C1242</t>
  </si>
  <si>
    <t xml:space="preserve">accion_correctiva</t>
  </si>
  <si>
    <t xml:space="preserve">Mapeada en legal-management-service/src/entities/hallazgo.entity.ts:47 (Hallazgo.accionCorrectiva)</t>
  </si>
  <si>
    <t xml:space="preserve">Acción correctiva definida para subsanar el hallazgo.</t>
  </si>
  <si>
    <t xml:space="preserve">C1243</t>
  </si>
  <si>
    <t xml:space="preserve">fecha_compromiso</t>
  </si>
  <si>
    <t xml:space="preserve">idx_hallazgos_fecha</t>
  </si>
  <si>
    <t xml:space="preserve">Mapeada en legal-management-service/src/entities/hallazgo.entity.ts:50 (Hallazgo.fechaCompromiso)</t>
  </si>
  <si>
    <t xml:space="preserve">Fecha de compromiso.</t>
  </si>
  <si>
    <t xml:space="preserve">C1244</t>
  </si>
  <si>
    <t xml:space="preserve">indicador_cumplimiento</t>
  </si>
  <si>
    <t xml:space="preserve">Mapeada en legal-management-service/src/entities/hallazgo.entity.ts:53 (Hallazgo.indicadorCumplimiento)</t>
  </si>
  <si>
    <t xml:space="preserve">Indicador con el que se mide el cumplimiento de la acción correctiva.</t>
  </si>
  <si>
    <t xml:space="preserve">¿El indicador es una descripción libre o una fórmula de cálculo?</t>
  </si>
  <si>
    <t xml:space="preserve">C1245</t>
  </si>
  <si>
    <t xml:space="preserve">meta_indicador</t>
  </si>
  <si>
    <t xml:space="preserve">Mapeada en legal-management-service/src/entities/hallazgo.entity.ts:56 (Hallazgo.metaIndicador)</t>
  </si>
  <si>
    <t xml:space="preserve">Meta del indicador de cumplimiento.</t>
  </si>
  <si>
    <t xml:space="preserve">¿En qué unidad se expresa la meta (porcentaje, cantidad, texto libre)?</t>
  </si>
  <si>
    <t xml:space="preserve">C1246</t>
  </si>
  <si>
    <t xml:space="preserve">ABIERTO, CERRADO, EN_CURSO, EN_REVISION, RECHAZADO</t>
  </si>
  <si>
    <t xml:space="preserve">Vista control_interno.v_auditorias_kanban_completo; Vista control_interno.v_auditorias_por_estado</t>
  </si>
  <si>
    <t xml:space="preserve">idx_hallazgos_estado</t>
  </si>
  <si>
    <t xml:space="preserve">Mapeada en legal-management-service/src/entities/hallazgo.entity.ts:59 (Hallazgo.estado)</t>
  </si>
  <si>
    <t xml:space="preserve">Estado del registro de hallazgos.</t>
  </si>
  <si>
    <t xml:space="preserve">C1247</t>
  </si>
  <si>
    <t xml:space="preserve">porcentaje_avance</t>
  </si>
  <si>
    <t xml:space="preserve">Mapeada en legal-management-service/src/entities/hallazgo.entity.ts:62 (Hallazgo.porcentajeAvance)</t>
  </si>
  <si>
    <t xml:space="preserve">Porcentaje de avance de la acción correctiva (0 a 100). Por defecto, 0.</t>
  </si>
  <si>
    <t xml:space="preserve">nombre + tipo + defecto</t>
  </si>
  <si>
    <t xml:space="preserve">¿Se calcula a partir de los reportes de avance o se registra manualmente?</t>
  </si>
  <si>
    <t xml:space="preserve">C1248</t>
  </si>
  <si>
    <t xml:space="preserve">fecha_ultimo_reporte</t>
  </si>
  <si>
    <t xml:space="preserve">Mapeada en legal-management-service/src/entities/hallazgo.entity.ts:65 (Hallazgo.fechaUltimoReporte)</t>
  </si>
  <si>
    <t xml:space="preserve">Fecha de último reporte.</t>
  </si>
  <si>
    <t xml:space="preserve">C1249</t>
  </si>
  <si>
    <t xml:space="preserve">fecha_proximo_reporte</t>
  </si>
  <si>
    <t xml:space="preserve">Mapeada en legal-management-service/src/entities/hallazgo.entity.ts:68 (Hallazgo.fechaProximoReporte)</t>
  </si>
  <si>
    <t xml:space="preserve">Fecha de proximo reporte.</t>
  </si>
  <si>
    <t xml:space="preserve">C1250</t>
  </si>
  <si>
    <t xml:space="preserve">periodicidad_reporte</t>
  </si>
  <si>
    <t xml:space="preserve">ANUAL, MENSUAL, SEMESTRAL, TRIMESTRAL</t>
  </si>
  <si>
    <t xml:space="preserve">Mapeada en legal-management-service/src/entities/hallazgo.entity.ts:71 (Hallazgo.periodicidadReporte)</t>
  </si>
  <si>
    <t xml:space="preserve">Periodicidad con que se reporta el avance del hallazgo. Valores permitidos: ANUAL, MENSUAL, SEMESTRAL, TRIMESTRAL. Por defecto, TRIMESTRAL.</t>
  </si>
  <si>
    <t xml:space="preserve">C1251</t>
  </si>
  <si>
    <t xml:space="preserve">documento_plan_url</t>
  </si>
  <si>
    <t xml:space="preserve">Mapeada en legal-management-service/src/entities/hallazgo.entity.ts:74 (Hallazgo.documentoPlanUrl)</t>
  </si>
  <si>
    <t xml:space="preserve">URL del documento del plan de mejoramiento asociado al hallazgo.</t>
  </si>
  <si>
    <t xml:space="preserve">¿La URL apunta al almacenamiento de la plataforma o a un sistema externo?</t>
  </si>
  <si>
    <t xml:space="preserve">C1252</t>
  </si>
  <si>
    <t xml:space="preserve">historial_consultas</t>
  </si>
  <si>
    <t xml:space="preserve">Acción registrada sobre la consulta.</t>
  </si>
  <si>
    <t xml:space="preserve">¿Qué valores toma la acción (creación, cambio de estado, respuesta…)?</t>
  </si>
  <si>
    <t xml:space="preserve">C1253</t>
  </si>
  <si>
    <t xml:space="preserve">Descripción del registro de historial_consultas.</t>
  </si>
  <si>
    <t xml:space="preserve">C1254</t>
  </si>
  <si>
    <t xml:space="preserve">estado_anterior</t>
  </si>
  <si>
    <t xml:space="preserve">Estado de la consulta antes de la acción.</t>
  </si>
  <si>
    <t xml:space="preserve">C1255</t>
  </si>
  <si>
    <t xml:space="preserve">estado_nuevo</t>
  </si>
  <si>
    <t xml:space="preserve">Estado de la consulta después de la acción.</t>
  </si>
  <si>
    <t xml:space="preserve">C1256</t>
  </si>
  <si>
    <t xml:space="preserve">C1257</t>
  </si>
  <si>
    <t xml:space="preserve">Fecha y hora en que se registró la acción. Por defecto, la fecha y hora de inserción.</t>
  </si>
  <si>
    <t xml:space="preserve">C1258</t>
  </si>
  <si>
    <t xml:space="preserve">notas_expediente</t>
  </si>
  <si>
    <t xml:space="preserve">db/migrations/old/054_create_tareas_notas_expediente.sql:50: Datos de la nota | Validación: IsNotEmpty, IsString</t>
  </si>
  <si>
    <t xml:space="preserve">Contenido de la nota del expediente.</t>
  </si>
  <si>
    <t xml:space="preserve">código: db/migrations/old/054_create_tareas_notas_expediente.sql:50</t>
  </si>
  <si>
    <t xml:space="preserve">C1259</t>
  </si>
  <si>
    <t xml:space="preserve">db/migrations/old/054_create_tareas_notas_expediente.sql:54: Autor</t>
  </si>
  <si>
    <t xml:space="preserve">Identificador del autor de la nota.</t>
  </si>
  <si>
    <t xml:space="preserve">código: db/migrations/old/054_create_tareas_notas_expediente.sql:54</t>
  </si>
  <si>
    <t xml:space="preserve">C1260</t>
  </si>
  <si>
    <t xml:space="preserve">db/migrations/old/054_create_tareas_notas_expediente.sql:55: Backup or display name</t>
  </si>
  <si>
    <t xml:space="preserve">Nombre del autor de la nota, para mostrar o como respaldo.</t>
  </si>
  <si>
    <t xml:space="preserve">código: db/migrations/old/054_create_tareas_notas_expediente.sql:55</t>
  </si>
  <si>
    <t xml:space="preserve">C1261</t>
  </si>
  <si>
    <t xml:space="preserve">oficios_enviados</t>
  </si>
  <si>
    <t xml:space="preserve">Mapeada en legal-management-service/src/entities/oficio-enviado.entity.ts:8 (OficioEnviado.numero)</t>
  </si>
  <si>
    <t xml:space="preserve">C1262</t>
  </si>
  <si>
    <t xml:space="preserve">idx_oficios_expediente</t>
  </si>
  <si>
    <t xml:space="preserve">Mapeada en legal-management-service/src/entities/oficio-enviado.entity.ts:11 (OficioEnviado.expedienteId)</t>
  </si>
  <si>
    <t xml:space="preserve">Identificador del expediente al que corresponde el oficio.</t>
  </si>
  <si>
    <t xml:space="preserve">nombre + tipo + índice + columnas vecinas</t>
  </si>
  <si>
    <t xml:space="preserve">¿A qué tabla de expedientes corresponde este identificador, según el valor de modulo?</t>
  </si>
  <si>
    <t xml:space="preserve">C1263</t>
  </si>
  <si>
    <t xml:space="preserve">idx_oficios_modulo</t>
  </si>
  <si>
    <t xml:space="preserve">db/migrations/119_create_oficios_enviados.sql:13: 'juzgamiento-disciplinario', 'defensa-judicial', 'procesos-coactivos', etc.</t>
  </si>
  <si>
    <t xml:space="preserve">Módulo desde el que se envía el oficio (por ejemplo, juzgamiento-disciplinario, defensa-judicial, procesos-coactivos).</t>
  </si>
  <si>
    <t xml:space="preserve">código: db/migrations/119_create_oficios_enviados.sql:13</t>
  </si>
  <si>
    <t xml:space="preserve">C1264</t>
  </si>
  <si>
    <t xml:space="preserve">Mapeada en legal-management-service/src/entities/oficio-enviado.entity.ts:17 (OficioEnviado.asunto)</t>
  </si>
  <si>
    <t xml:space="preserve">Asunto del oficio.</t>
  </si>
  <si>
    <t xml:space="preserve">C1265</t>
  </si>
  <si>
    <t xml:space="preserve">destinatario</t>
  </si>
  <si>
    <t xml:space="preserve">Mapeada en legal-management-service/src/entities/oficio-enviado.entity.ts:20 (OficioEnviado.destinatario)</t>
  </si>
  <si>
    <t xml:space="preserve">Nombre del destinatario del oficio.</t>
  </si>
  <si>
    <t xml:space="preserve">C1266</t>
  </si>
  <si>
    <t xml:space="preserve">Mapeada en legal-management-service/src/entities/oficio-enviado.entity.ts:23 (OficioEnviado.destinatarioEmail)</t>
  </si>
  <si>
    <t xml:space="preserve">Correo electrónico del destinatario del oficio.</t>
  </si>
  <si>
    <t xml:space="preserve">C1267</t>
  </si>
  <si>
    <t xml:space="preserve">Mapeada en legal-management-service/src/entities/oficio-enviado.entity.ts:26 (OficioEnviado.contenido) | Validación: IsNotEmpty, IsString</t>
  </si>
  <si>
    <t xml:space="preserve">Contenido del oficio en texto. Obligatorio.</t>
  </si>
  <si>
    <t xml:space="preserve">nombre + tipo + validaciones IsNotEmpty, IsString</t>
  </si>
  <si>
    <t xml:space="preserve">C1268</t>
  </si>
  <si>
    <t xml:space="preserve">contenido_html</t>
  </si>
  <si>
    <t xml:space="preserve">db/migrations/119_create_oficios_enviados.sql:18: HTML content as sent via email (template rendered)</t>
  </si>
  <si>
    <t xml:space="preserve">Contenido HTML del oficio tal como se envió por correo, con la plantilla aplicada.</t>
  </si>
  <si>
    <t xml:space="preserve">código: db/migrations/119_create_oficios_enviados.sql:18</t>
  </si>
  <si>
    <t xml:space="preserve">C1269</t>
  </si>
  <si>
    <t xml:space="preserve">firma</t>
  </si>
  <si>
    <t xml:space="preserve">Mapeada en legal-management-service/src/entities/oficio-enviado.entity.ts:32 (OficioEnviado.firma)</t>
  </si>
  <si>
    <t xml:space="preserve">Firma o nombre del firmante del oficio.</t>
  </si>
  <si>
    <t xml:space="preserve">¿La firma guarda el nombre y cargo del firmante o una referencia a una imagen de firma?</t>
  </si>
  <si>
    <t xml:space="preserve">C1270</t>
  </si>
  <si>
    <t xml:space="preserve">plantilla</t>
  </si>
  <si>
    <t xml:space="preserve">db/migrations/119_create_oficios_enviados.sql:20: 'prorroga', 'remision', 'contestacion', 'solicitudPruebas', 'oficioBlanco'</t>
  </si>
  <si>
    <t xml:space="preserve">Plantilla usada en el oficio. Valores: prorroga, remision, contestacion, solicitudPruebas, oficioBlanco.</t>
  </si>
  <si>
    <t xml:space="preserve">código: db/migrations/119_create_oficios_enviados.sql:20</t>
  </si>
  <si>
    <t xml:space="preserve">C1271</t>
  </si>
  <si>
    <t xml:space="preserve">Mapeada en legal-management-service/src/entities/oficio-enviado.entity.ts:38 (OficioEnviado.estado)</t>
  </si>
  <si>
    <t xml:space="preserve">Estado del registro de oficios_enviados.</t>
  </si>
  <si>
    <t xml:space="preserve">C1272</t>
  </si>
  <si>
    <t xml:space="preserve">idx_oficios_fecha</t>
  </si>
  <si>
    <t xml:space="preserve">Mapeada en legal-management-service/src/entities/oficio-enviado.entity.ts:41 (OficioEnviado.fechaEnvio)</t>
  </si>
  <si>
    <t xml:space="preserve">C1273</t>
  </si>
  <si>
    <t xml:space="preserve">archivos_adjuntos</t>
  </si>
  <si>
    <t xml:space="preserve">db/migrations/119_create_oficios_enviados.sql:23: Array of {nombre, url, tipo, size}</t>
  </si>
  <si>
    <t xml:space="preserve">Archivos adjuntos del oficio, como arreglo JSON de objetos {nombre, url, tipo, size}.</t>
  </si>
  <si>
    <t xml:space="preserve">código: db/migrations/119_create_oficios_enviados.sql:23</t>
  </si>
  <si>
    <t xml:space="preserve">C1274</t>
  </si>
  <si>
    <t xml:space="preserve">db/migrations/119_create_oficios_enviados.sql:24: Microsoft Graph message ID if sent via email</t>
  </si>
  <si>
    <t xml:space="preserve">Identificador del mensaje en Microsoft Graph cuando el oficio se envió por correo.</t>
  </si>
  <si>
    <t xml:space="preserve">código: db/migrations/119_create_oficios_enviados.sql:24</t>
  </si>
  <si>
    <t xml:space="preserve">C1275</t>
  </si>
  <si>
    <t xml:space="preserve">organismos_control</t>
  </si>
  <si>
    <t xml:space="preserve">sigla</t>
  </si>
  <si>
    <t xml:space="preserve">organismos_control_sigla_key</t>
  </si>
  <si>
    <t xml:space="preserve">Mapeada en legal-management-service/src/entities/organismo-control-legal.entity.ts:8 (OrganismoControlOC.sigla)</t>
  </si>
  <si>
    <t xml:space="preserve">Sigla única del organismo de control.</t>
  </si>
  <si>
    <t xml:space="preserve">C1276</t>
  </si>
  <si>
    <t xml:space="preserve">Mapeada en legal-management-service/src/entities/organismo-control-legal.entity.ts:11 (OrganismoControlOC.nombre)</t>
  </si>
  <si>
    <t xml:space="preserve">Nombre del registro de organismos_control.</t>
  </si>
  <si>
    <t xml:space="preserve">C1277</t>
  </si>
  <si>
    <t xml:space="preserve">Mapeada en legal-management-service/src/entities/organismo-control-legal.entity.ts:14 (OrganismoControlOC.descripcion)</t>
  </si>
  <si>
    <t xml:space="preserve">Descripción del registro de organismos_control.</t>
  </si>
  <si>
    <t xml:space="preserve">C1278</t>
  </si>
  <si>
    <t xml:space="preserve">Mapeada en legal-management-service/src/entities/organismo-control-legal.entity.ts:20 (OrganismoControlOC.activo)</t>
  </si>
  <si>
    <t xml:space="preserve">C1279</t>
  </si>
  <si>
    <t xml:space="preserve">correos</t>
  </si>
  <si>
    <t xml:space="preserve">Mapeada en legal-management-service/src/entities/organismo-control-legal.entity.ts:17 (OrganismoControlOC.correos)</t>
  </si>
  <si>
    <t xml:space="preserve">Lista de correos electrónicos del organismo de control, en formato JSON. Por defecto, lista vacía.</t>
  </si>
  <si>
    <t xml:space="preserve">C1280</t>
  </si>
  <si>
    <t xml:space="preserve">pagos_coactivos</t>
  </si>
  <si>
    <t xml:space="preserve">Mapeada en legal-management-service/src/entities/pago-coactivo.entity.ts:16 (PagoCoactivo.valor)</t>
  </si>
  <si>
    <t xml:space="preserve">Valor total del pago registrado en el proceso coactivo.</t>
  </si>
  <si>
    <t xml:space="preserve">C1281</t>
  </si>
  <si>
    <t xml:space="preserve">fecha_pago</t>
  </si>
  <si>
    <t xml:space="preserve">Mapeada en legal-management-service/src/entities/pago-coactivo.entity.ts:48 (PagoCoactivo.fechaPago)</t>
  </si>
  <si>
    <t xml:space="preserve">Fecha de pago.</t>
  </si>
  <si>
    <t xml:space="preserve">C1282</t>
  </si>
  <si>
    <t xml:space="preserve">soporte_url</t>
  </si>
  <si>
    <t xml:space="preserve">Mapeada en legal-management-service/src/entities/pago-coactivo.entity.ts:51 (PagoCoactivo.soporteUrl)</t>
  </si>
  <si>
    <t xml:space="preserve">URL del soporte del pago.</t>
  </si>
  <si>
    <t xml:space="preserve">C1283</t>
  </si>
  <si>
    <t xml:space="preserve">legal-management-service/src/entities/pago-coactivo.entity.ts:54: BANCO, MANUAL | db/migrations/old/103_create_pagos_historial_coactivos.sql:13: BANCO, MANUAL, etc.</t>
  </si>
  <si>
    <t xml:space="preserve">Origen del registro del pago. Valores: BANCO, MANUAL. Por defecto, MANUAL.</t>
  </si>
  <si>
    <t xml:space="preserve">código: pago-coactivo.entity.ts:54</t>
  </si>
  <si>
    <t xml:space="preserve">C1284</t>
  </si>
  <si>
    <t xml:space="preserve">Mapeada en legal-management-service/src/entities/pago-coactivo.entity.ts:57 (PagoCoactivo.observaciones)</t>
  </si>
  <si>
    <t xml:space="preserve">C1285</t>
  </si>
  <si>
    <t xml:space="preserve">abono_capital</t>
  </si>
  <si>
    <t xml:space="preserve">Mapeada en legal-management-service/src/entities/pago-coactivo.entity.ts:24 (PagoCoactivo.abonoCapital)</t>
  </si>
  <si>
    <t xml:space="preserve">Parte del pago abonada al capital de la obligación. Por defecto, 0.</t>
  </si>
  <si>
    <t xml:space="preserve">C1286</t>
  </si>
  <si>
    <t xml:space="preserve">abono_intereses</t>
  </si>
  <si>
    <t xml:space="preserve">Mapeada en legal-management-service/src/entities/pago-coactivo.entity.ts:32 (PagoCoactivo.abonoIntereses)</t>
  </si>
  <si>
    <t xml:space="preserve">Parte del pago abonada a los intereses de la obligación. Por defecto, 0.</t>
  </si>
  <si>
    <t xml:space="preserve">C1287</t>
  </si>
  <si>
    <t xml:space="preserve">abono_costas</t>
  </si>
  <si>
    <t xml:space="preserve">Mapeada en legal-management-service/src/entities/pago-coactivo.entity.ts:40 (PagoCoactivo.abonoCostas)</t>
  </si>
  <si>
    <t xml:space="preserve">Parte del pago abonada a las costas del proceso. Por defecto, 0.</t>
  </si>
  <si>
    <t xml:space="preserve">C1288</t>
  </si>
  <si>
    <t xml:space="preserve">pei_indicadores</t>
  </si>
  <si>
    <t xml:space="preserve">db/migrations/old/053_create_pei_module.sql:6: Ej: "Eficiencia en Defensa Judicial"</t>
  </si>
  <si>
    <t xml:space="preserve">Nombre del indicador del PEI (por ejemplo, «Eficiencia en Defensa Judicial»).</t>
  </si>
  <si>
    <t xml:space="preserve">código: db/migrations/old/053_create_pei_module.sql:6</t>
  </si>
  <si>
    <t xml:space="preserve">C1289</t>
  </si>
  <si>
    <t xml:space="preserve">Mapeada en legal-management-service/src/entities/pei-indicador.entity.ts:12 (PeiIndicador.descripcion)</t>
  </si>
  <si>
    <t xml:space="preserve">Descripción del registro de pei_indicadores.</t>
  </si>
  <si>
    <t xml:space="preserve">C1290</t>
  </si>
  <si>
    <t xml:space="preserve">eje_estrategico</t>
  </si>
  <si>
    <t xml:space="preserve">idx_pei_eje</t>
  </si>
  <si>
    <t xml:space="preserve">legal-management-service/src/entities/pei-indicador.entity.ts:15: 'GESTION', 'TALENTO', 'TRANSPARENCIA', 'TECNOLOGIA' | db/migrations/old/053_create_pei_module.sql:10: Clasificación 'GESTION', 'TALENTO', 'TRANSPARENCIA', 'TECNOLOGIA'</t>
  </si>
  <si>
    <t xml:space="preserve">Eje estratégico del indicador. Valores: GESTION, TALENTO, TRANSPARENCIA, TECNOLOGIA.</t>
  </si>
  <si>
    <t xml:space="preserve">código: pei-indicador.entity.ts:15</t>
  </si>
  <si>
    <t xml:space="preserve">C1291</t>
  </si>
  <si>
    <t xml:space="preserve">meta_objetivo</t>
  </si>
  <si>
    <t xml:space="preserve">numeric(10,2)</t>
  </si>
  <si>
    <t xml:space="preserve">db/migrations/old/053_create_pei_module.sql:13: Metas Numéricas Ej: 100.00</t>
  </si>
  <si>
    <t xml:space="preserve">Meta numérica del indicador, por ejemplo 100.00.</t>
  </si>
  <si>
    <t xml:space="preserve">código: db/migrations/old/053_create_pei_module.sql:13</t>
  </si>
  <si>
    <t xml:space="preserve">¿La meta se expresa en la unidad indicada en unidad_medida?</t>
  </si>
  <si>
    <t xml:space="preserve">C1292</t>
  </si>
  <si>
    <t xml:space="preserve">unidad_medida</t>
  </si>
  <si>
    <t xml:space="preserve">db/migrations/old/053_create_pei_module.sql:14: 'PORCENTAJE', 'NUMERO', 'MONEDA'</t>
  </si>
  <si>
    <t xml:space="preserve">Unidad de medida de la meta. Valores: PORCENTAJE, NUMERO, MONEDA; valor por defecto PORCENTAJE.</t>
  </si>
  <si>
    <t xml:space="preserve">código: db/migrations/old/053_create_pei_module.sql:14</t>
  </si>
  <si>
    <t xml:space="preserve">C1293</t>
  </si>
  <si>
    <t xml:space="preserve">legal-management-service/src/entities/pei-indicador.entity.ts:24: TypeORM maps date types to string by default or Date | db/migrations/old/053_create_pei_module.sql:17: Plazos</t>
  </si>
  <si>
    <t xml:space="preserve">Fecha de inicio del plazo del indicador.</t>
  </si>
  <si>
    <t xml:space="preserve">código: db/migrations/old/053_create_pei_module.sql:17</t>
  </si>
  <si>
    <t xml:space="preserve">C1294</t>
  </si>
  <si>
    <t xml:space="preserve">Mapeada en legal-management-service/src/entities/pei-indicador.entity.ts:27 (PeiIndicador.fechaFin)</t>
  </si>
  <si>
    <t xml:space="preserve">C1295</t>
  </si>
  <si>
    <t xml:space="preserve">frecuencia_medicion</t>
  </si>
  <si>
    <t xml:space="preserve">Mapeada en legal-management-service/src/entities/pei-indicador.entity.ts:30 (PeiIndicador.frecuenciaMedicion)</t>
  </si>
  <si>
    <t xml:space="preserve">Frecuencia de medición del indicador. Por defecto, MENSUAL.</t>
  </si>
  <si>
    <t xml:space="preserve">¿Qué valores admite la frecuencia además de MENSUAL?</t>
  </si>
  <si>
    <t xml:space="preserve">C1296</t>
  </si>
  <si>
    <t xml:space="preserve">db/migrations/old/053_create_pei_module.sql:22: Responsable Changed to UUID to match existing user system if applicable, or keep INT if external. Using UUID for consistency with 'users' usually.</t>
  </si>
  <si>
    <t xml:space="preserve">Identificador (UUID) del usuario responsable del indicador.</t>
  </si>
  <si>
    <t xml:space="preserve">código: db/migrations/old/053_create_pei_module.sql:22</t>
  </si>
  <si>
    <t xml:space="preserve">¿Referencia a auth."user", a auth.personas o a la tabla de abogados?</t>
  </si>
  <si>
    <t xml:space="preserve">C1297</t>
  </si>
  <si>
    <t xml:space="preserve">responsable_nombre</t>
  </si>
  <si>
    <t xml:space="preserve">db/migrations/old/053_create_pei_module.sql:23: Snapshot for display</t>
  </si>
  <si>
    <t xml:space="preserve">Nombre del responsable del indicador, copiado para mostrar.</t>
  </si>
  <si>
    <t xml:space="preserve">código: db/migrations/old/053_create_pei_module.sql:23</t>
  </si>
  <si>
    <t xml:space="preserve">C1298</t>
  </si>
  <si>
    <t xml:space="preserve">idx_pei_estado</t>
  </si>
  <si>
    <t xml:space="preserve">db/migrations/old/053_create_pei_module.sql:26: Estado del Indicador 'ACTIVO', 'INACTIVO', 'ARCHIVADO'</t>
  </si>
  <si>
    <t xml:space="preserve">Estado del indicador. Valores: ACTIVO, INACTIVO, ARCHIVADO; valor por defecto ACTIVO.</t>
  </si>
  <si>
    <t xml:space="preserve">código: db/migrations/old/053_create_pei_module.sql:26</t>
  </si>
  <si>
    <t xml:space="preserve">C1299</t>
  </si>
  <si>
    <t xml:space="preserve">Mapeada en legal-management-service/src/entities/pei-indicador.entity.ts:42 (PeiIndicador.prioridad)</t>
  </si>
  <si>
    <t xml:space="preserve">Prioridad del indicador. Por defecto, MEDIA.</t>
  </si>
  <si>
    <t xml:space="preserve">¿Qué valores admite la prioridad además de MEDIA?</t>
  </si>
  <si>
    <t xml:space="preserve">C1300</t>
  </si>
  <si>
    <t xml:space="preserve">tipo_indicador</t>
  </si>
  <si>
    <t xml:space="preserve">Mapeada en legal-management-service/src/entities/pei-indicador.entity.ts:45 (PeiIndicador.tipoIndicador)</t>
  </si>
  <si>
    <t xml:space="preserve">Tipo de indicador del plan estratégico institucional. Por defecto, GESTION.</t>
  </si>
  <si>
    <t xml:space="preserve">¿Qué otros tipos de indicador existen además de GESTION?</t>
  </si>
  <si>
    <t xml:space="preserve">C1301</t>
  </si>
  <si>
    <t xml:space="preserve">archived_at</t>
  </si>
  <si>
    <t xml:space="preserve">idx_pei_archived_at</t>
  </si>
  <si>
    <t xml:space="preserve">Mapeada en legal-management-service/src/entities/pei-indicador.entity.ts:48 (PeiIndicador.archivedAt)</t>
  </si>
  <si>
    <t xml:space="preserve">Fecha y hora en que se archivó el indicador; vacío si está activo.</t>
  </si>
  <si>
    <t xml:space="preserve">C1302</t>
  </si>
  <si>
    <t xml:space="preserve">archived_by</t>
  </si>
  <si>
    <t xml:space="preserve">Mapeada en legal-management-service/src/entities/pei-indicador.entity.ts:51 (PeiIndicador.archivedBy)</t>
  </si>
  <si>
    <t xml:space="preserve">Usuario que archivó el indicador.</t>
  </si>
  <si>
    <t xml:space="preserve">C1303</t>
  </si>
  <si>
    <t xml:space="preserve">archive_reason</t>
  </si>
  <si>
    <t xml:space="preserve">Mapeada en legal-management-service/src/entities/pei-indicador.entity.ts:54 (PeiIndicador.archiveReason)</t>
  </si>
  <si>
    <t xml:space="preserve">Motivo por el que se archivó el indicador.</t>
  </si>
  <si>
    <t xml:space="preserve">C1304</t>
  </si>
  <si>
    <t xml:space="preserve">pei_registros_avance</t>
  </si>
  <si>
    <t xml:space="preserve">valor_reportado</t>
  </si>
  <si>
    <t xml:space="preserve">db/migrations/old/053_create_pei_module.sql:37: El valor real en este momento</t>
  </si>
  <si>
    <t xml:space="preserve">Valor real del indicador reportado en el registro de avance.</t>
  </si>
  <si>
    <t xml:space="preserve">código: db/migrations/old/053_create_pei_module.sql:37</t>
  </si>
  <si>
    <t xml:space="preserve">C1305</t>
  </si>
  <si>
    <t xml:space="preserve">numeric(5,2)</t>
  </si>
  <si>
    <t xml:space="preserve">db/migrations/old/053_create_pei_module.sql:38: Calculado: (valor_reportado / meta) * 100</t>
  </si>
  <si>
    <t xml:space="preserve">Porcentaje de avance, calculado como (valor_reportado / meta) × 100.</t>
  </si>
  <si>
    <t xml:space="preserve">código: db/migrations/old/053_create_pei_module.sql:38</t>
  </si>
  <si>
    <t xml:space="preserve">C1306</t>
  </si>
  <si>
    <t xml:space="preserve">db/migrations/old/053_create_pei_module.sql:40: Justificación del avance</t>
  </si>
  <si>
    <t xml:space="preserve">Justificación del avance reportado.</t>
  </si>
  <si>
    <t xml:space="preserve">código: db/migrations/old/053_create_pei_module.sql:40</t>
  </si>
  <si>
    <t xml:space="preserve">C1307</t>
  </si>
  <si>
    <t xml:space="preserve">evidencia_url</t>
  </si>
  <si>
    <t xml:space="preserve">db/migrations/old/053_create_pei_module.sql:41: Link a documento soporte (opcional)</t>
  </si>
  <si>
    <t xml:space="preserve">Enlace al documento soporte del avance; opcional.</t>
  </si>
  <si>
    <t xml:space="preserve">código: db/migrations/old/053_create_pei_module.sql:41</t>
  </si>
  <si>
    <t xml:space="preserve">C1308</t>
  </si>
  <si>
    <t xml:space="preserve">usuario_registra_id</t>
  </si>
  <si>
    <t xml:space="preserve">db/migrations/old/053_create_pei_module.sql:44: Quién hizo la actualización</t>
  </si>
  <si>
    <t xml:space="preserve">Identificador del usuario que registró el avance.</t>
  </si>
  <si>
    <t xml:space="preserve">código: db/migrations/old/053_create_pei_module.sql:44</t>
  </si>
  <si>
    <t xml:space="preserve">C1309</t>
  </si>
  <si>
    <t xml:space="preserve">planes_comentarios</t>
  </si>
  <si>
    <t xml:space="preserve">Mapeada en legal-management-service/src/entities/planes-mejoramiento.entity.ts:161 (PlanComentario.mensaje)</t>
  </si>
  <si>
    <t xml:space="preserve">Texto del comentario sobre el plan de mejoramiento.</t>
  </si>
  <si>
    <t xml:space="preserve">C1310</t>
  </si>
  <si>
    <t xml:space="preserve">Mapeada en legal-management-service/src/entities/planes-mejoramiento.entity.ts:164 (PlanComentario.usuarioId) | Validación: IsOptional, IsString</t>
  </si>
  <si>
    <t xml:space="preserve">Identificador del usuario que escribió el comentario.</t>
  </si>
  <si>
    <t xml:space="preserve">nombre + tipo + validaciones IsOptional, IsString</t>
  </si>
  <si>
    <t xml:space="preserve">¿Corresponde a auth."user" o a auth.personas?</t>
  </si>
  <si>
    <t xml:space="preserve">C1311</t>
  </si>
  <si>
    <t xml:space="preserve">planes_evidencias</t>
  </si>
  <si>
    <t xml:space="preserve">Mapeada en legal-management-service/src/entities/planes-mejoramiento.entity.ts:106 (PlanEvidencia.titulo)</t>
  </si>
  <si>
    <t xml:space="preserve">Título de la evidencia cargada al plan de mejoramiento.</t>
  </si>
  <si>
    <t xml:space="preserve">C1312</t>
  </si>
  <si>
    <t xml:space="preserve">url_archivo</t>
  </si>
  <si>
    <t xml:space="preserve">Mapeada en legal-management-service/src/entities/planes-mejoramiento.entity.ts:109 (PlanEvidencia.urlArchivo)</t>
  </si>
  <si>
    <t xml:space="preserve">C1313</t>
  </si>
  <si>
    <t xml:space="preserve">Mapeada en legal-management-service/src/entities/planes-mejoramiento.entity.ts:112 (PlanEvidencia.tipoArchivo)</t>
  </si>
  <si>
    <t xml:space="preserve">¿Se guarda el tipo MIME o la extensión del archivo?</t>
  </si>
  <si>
    <t xml:space="preserve">C1314</t>
  </si>
  <si>
    <t xml:space="preserve">Mapeada en legal-management-service/src/entities/planes-mejoramiento.entity.ts:115 (PlanEvidencia.uploadedBy)</t>
  </si>
  <si>
    <t xml:space="preserve">Usuario que cargó la evidencia.</t>
  </si>
  <si>
    <t xml:space="preserve">C1315</t>
  </si>
  <si>
    <t xml:space="preserve">planes_hallazgos</t>
  </si>
  <si>
    <t xml:space="preserve">Mapeada en legal-management-service/src/entities/plan-hallazgo.entity.ts:22 (PlanHallazgo.nombre)</t>
  </si>
  <si>
    <t xml:space="preserve">Nombre del registro de planes_hallazgos.</t>
  </si>
  <si>
    <t xml:space="preserve">C1316</t>
  </si>
  <si>
    <t xml:space="preserve">Mapeada en legal-management-service/src/entities/plan-hallazgo.entity.ts:25 (PlanHallazgo.descripcion)</t>
  </si>
  <si>
    <t xml:space="preserve">Descripción del registro de planes_hallazgos.</t>
  </si>
  <si>
    <t xml:space="preserve">C1317</t>
  </si>
  <si>
    <t xml:space="preserve">Mapeada en legal-management-service/src/entities/plan-hallazgo.entity.ts:28 (PlanHallazgo.porcentajeAvance)</t>
  </si>
  <si>
    <t xml:space="preserve">Porcentaje de avance del hallazgo o acción de mejora (0 a 100). El avance global del plan es el promedio de los avances de sus hallazgos. Por defecto, 0.</t>
  </si>
  <si>
    <t xml:space="preserve">documentación de la entidad en el código</t>
  </si>
  <si>
    <t xml:space="preserve">C1318</t>
  </si>
  <si>
    <t xml:space="preserve">Mapeada en legal-management-service/src/entities/plan-hallazgo.entity.ts:31 (PlanHallazgo.archivoUrl)</t>
  </si>
  <si>
    <t xml:space="preserve">URL del archivo de soporte del hallazgo.</t>
  </si>
  <si>
    <t xml:space="preserve">C1319</t>
  </si>
  <si>
    <t xml:space="preserve">Mapeada en legal-management-service/src/entities/plan-hallazgo.entity.ts:34 (PlanHallazgo.archivoNombre)</t>
  </si>
  <si>
    <t xml:space="preserve">Nombre del archivo de soporte del hallazgo.</t>
  </si>
  <si>
    <t xml:space="preserve">C1320</t>
  </si>
  <si>
    <t xml:space="preserve">archivo_mime</t>
  </si>
  <si>
    <t xml:space="preserve">Mapeada en legal-management-service/src/entities/plan-hallazgo.entity.ts:37 (PlanHallazgo.archivoMime)</t>
  </si>
  <si>
    <t xml:space="preserve">Tipo MIME del archivo de soporte del hallazgo.</t>
  </si>
  <si>
    <t xml:space="preserve">C1321</t>
  </si>
  <si>
    <t xml:space="preserve">planes_mejoramiento</t>
  </si>
  <si>
    <t xml:space="preserve">planes_mejoramiento_codigo_key</t>
  </si>
  <si>
    <t xml:space="preserve">Mapeada en legal-management-service/src/entities/planes-mejoramiento.entity.ts:10 (PlanMejoramiento.codigo)</t>
  </si>
  <si>
    <t xml:space="preserve">Código del registro de planes_mejoramiento. Único en la tabla.</t>
  </si>
  <si>
    <t xml:space="preserve">C1322</t>
  </si>
  <si>
    <t xml:space="preserve">Mapeada en legal-management-service/src/entities/planes-mejoramiento.entity.ts:13 (PlanMejoramiento.titulo)</t>
  </si>
  <si>
    <t xml:space="preserve">Título del plan de mejoramiento.</t>
  </si>
  <si>
    <t xml:space="preserve">C1323</t>
  </si>
  <si>
    <t xml:space="preserve">Mapeada en legal-management-service/src/entities/planes-mejoramiento.entity.ts:16 (PlanMejoramiento.descripcion)</t>
  </si>
  <si>
    <t xml:space="preserve">Descripción del registro de planes_mejoramiento.</t>
  </si>
  <si>
    <t xml:space="preserve">C1324</t>
  </si>
  <si>
    <t xml:space="preserve">AUDITORIA_EXTERNA, AUTOEVALUACION, CONTRALORIA, HALLAZGO_AUDITORIA, OCI, OTRO, PROCURADURIA, RIESGO</t>
  </si>
  <si>
    <t xml:space="preserve">legal-management-service/src/entities/planes-mejoramiento.entity.ts:19: 'RIESGO', 'HALLAZGO_AUDITORIA', 'AUTOEVALUACION'</t>
  </si>
  <si>
    <t xml:space="preserve">Origen del plan de mejoramiento. Valores permitidos: AUDITORIA_EXTERNA, AUTOEVALUACION, CONTRALORIA, HALLAZGO_AUDITORIA, OCI, OTRO, PROCURADURIA, RIESGO.</t>
  </si>
  <si>
    <t xml:space="preserve">C1325</t>
  </si>
  <si>
    <t xml:space="preserve">origen_id</t>
  </si>
  <si>
    <t xml:space="preserve">idx_planes_origen_id</t>
  </si>
  <si>
    <t xml:space="preserve">Mapeada en legal-management-service/src/entities/planes-mejoramiento.entity.ts:22 (PlanMejoramiento.origenId)</t>
  </si>
  <si>
    <t xml:space="preserve">Identificador del registro que dio origen al plan.</t>
  </si>
  <si>
    <t xml:space="preserve">nombre + columna vecina origen</t>
  </si>
  <si>
    <t xml:space="preserve">¿A qué tabla apunta origen_id según el valor de origen?</t>
  </si>
  <si>
    <t xml:space="preserve">C1326</t>
  </si>
  <si>
    <t xml:space="preserve">legal-management-service/src/entities/planes-mejoramiento.entity.ts:25: FK to auth users</t>
  </si>
  <si>
    <t xml:space="preserve">Identificador del usuario responsable del plan (auth."user").</t>
  </si>
  <si>
    <t xml:space="preserve">código: planes-mejoramiento.entity.ts:25</t>
  </si>
  <si>
    <t xml:space="preserve">C1327</t>
  </si>
  <si>
    <t xml:space="preserve">legal-management-service/src/entities/planes-mejoramiento.entity.ts:31: Keep as Date object for TypeORM</t>
  </si>
  <si>
    <t xml:space="preserve">Fecha de inicio del plan de mejoramiento.</t>
  </si>
  <si>
    <t xml:space="preserve">propuesta por regla + nombre + tabla</t>
  </si>
  <si>
    <t xml:space="preserve">C1328</t>
  </si>
  <si>
    <t xml:space="preserve">fecha_fin_estimada</t>
  </si>
  <si>
    <t xml:space="preserve">Mapeada en legal-management-service/src/entities/planes-mejoramiento.entity.ts:34 (PlanMejoramiento.fechaFinEstimada)</t>
  </si>
  <si>
    <t xml:space="preserve">Fecha de fin estimada.</t>
  </si>
  <si>
    <t xml:space="preserve">C1329</t>
  </si>
  <si>
    <t xml:space="preserve">fecha_cierre_real</t>
  </si>
  <si>
    <t xml:space="preserve">Mapeada en legal-management-service/src/entities/planes-mejoramiento.entity.ts:37 (PlanMejoramiento.fechaCierreReal)</t>
  </si>
  <si>
    <t xml:space="preserve">Fecha de cierre real.</t>
  </si>
  <si>
    <t xml:space="preserve">C1330</t>
  </si>
  <si>
    <t xml:space="preserve">avance_porcentaje</t>
  </si>
  <si>
    <t xml:space="preserve">Mapeada en legal-management-service/src/entities/planes-mejoramiento.entity.ts:40 (PlanMejoramiento.avancePorcentaje)</t>
  </si>
  <si>
    <t xml:space="preserve">Porcentaje de avance global del plan de mejoramiento, calculado como el promedio del avance de sus hallazgos. Por defecto, 0.</t>
  </si>
  <si>
    <t xml:space="preserve">nombre + tipo + documentación de planes_hallazgos</t>
  </si>
  <si>
    <t xml:space="preserve">¿El valor se actualiza automáticamente desde planes_hallazgos o desde planes_seguimientos?</t>
  </si>
  <si>
    <t xml:space="preserve">C1331</t>
  </si>
  <si>
    <t xml:space="preserve">presupuesto</t>
  </si>
  <si>
    <t xml:space="preserve">Mapeada en legal-management-service/src/entities/planes-mejoramiento.entity.ts:43 (PlanMejoramiento.presupuesto)</t>
  </si>
  <si>
    <t xml:space="preserve">Presupuesto asignado al plan de mejoramiento. Por defecto, 0.</t>
  </si>
  <si>
    <t xml:space="preserve">¿En qué moneda se registra el presupuesto (pesos colombianos)?</t>
  </si>
  <si>
    <t xml:space="preserve">C1332</t>
  </si>
  <si>
    <t xml:space="preserve">ABIERTO, CERRADO, EN_EJECUCION, VENCIDO</t>
  </si>
  <si>
    <t xml:space="preserve">idx_planes_estado</t>
  </si>
  <si>
    <t xml:space="preserve">legal-management-service/src/entities/planes-mejoramiento.entity.ts:46: 'ABIERTO', 'EN_EJECUCION', 'VENCIDO', 'CERRADO'</t>
  </si>
  <si>
    <t xml:space="preserve">Estado del plan de mejoramiento. Valores permitidos: ABIERTO, EN_EJECUCION, VENCIDO, CERRADO. Por defecto, ABIERTO.</t>
  </si>
  <si>
    <t xml:space="preserve">valores permitidos del CHECK + código: planes-mejoramiento.entity.ts:46</t>
  </si>
  <si>
    <t xml:space="preserve">C1333</t>
  </si>
  <si>
    <t xml:space="preserve">Mapeada en legal-management-service/src/entities/planes-mejoramiento.entity.ts:55 (PlanMejoramiento.fechaRecepcion)</t>
  </si>
  <si>
    <t xml:space="preserve">C1334</t>
  </si>
  <si>
    <t xml:space="preserve">Mapeada en legal-management-service/src/entities/planes-mejoramiento.entity.ts:58 (PlanMejoramiento.fechaRespuesta)</t>
  </si>
  <si>
    <t xml:space="preserve">C1335</t>
  </si>
  <si>
    <t xml:space="preserve">idx_planes_archived_at</t>
  </si>
  <si>
    <t xml:space="preserve">Mapeada en legal-management-service/src/entities/planes-mejoramiento.entity.ts:64 (PlanMejoramiento.archivedAt)</t>
  </si>
  <si>
    <t xml:space="preserve">Fecha y hora en que se archivó el plan.</t>
  </si>
  <si>
    <t xml:space="preserve">nombre + columnas vecinas (archived_by, archive_reason)</t>
  </si>
  <si>
    <t xml:space="preserve">C1336</t>
  </si>
  <si>
    <t xml:space="preserve">Mapeada en legal-management-service/src/entities/planes-mejoramiento.entity.ts:67 (PlanMejoramiento.archivedBy)</t>
  </si>
  <si>
    <t xml:space="preserve">Usuario que archivó el plan de mejoramiento.</t>
  </si>
  <si>
    <t xml:space="preserve">C1337</t>
  </si>
  <si>
    <t xml:space="preserve">Mapeada en legal-management-service/src/entities/planes-mejoramiento.entity.ts:70 (PlanMejoramiento.archiveReason)</t>
  </si>
  <si>
    <t xml:space="preserve">Motivo por el que se archivó el plan de mejoramiento.</t>
  </si>
  <si>
    <t xml:space="preserve">C1338</t>
  </si>
  <si>
    <t xml:space="preserve">planes_seguimientos</t>
  </si>
  <si>
    <t xml:space="preserve">descripcion_avance</t>
  </si>
  <si>
    <t xml:space="preserve">Mapeada en legal-management-service/src/entities/planes-mejoramiento.entity.ts:135 (PlanSeguimiento.descripcionAvance)</t>
  </si>
  <si>
    <t xml:space="preserve">Descripción del avance reportado en el seguimiento del plan.</t>
  </si>
  <si>
    <t xml:space="preserve">C1339</t>
  </si>
  <si>
    <t xml:space="preserve">porcentaje_reportado</t>
  </si>
  <si>
    <t xml:space="preserve">Mapeada en legal-management-service/src/entities/planes-mejoramiento.entity.ts:138 (PlanSeguimiento.porcentajeReportado)</t>
  </si>
  <si>
    <t xml:space="preserve">Porcentaje de avance reportado en el seguimiento.</t>
  </si>
  <si>
    <t xml:space="preserve">¿El porcentaje reportado actualiza el avance del plan?</t>
  </si>
  <si>
    <t xml:space="preserve">C1340</t>
  </si>
  <si>
    <t xml:space="preserve">fecha_reporte</t>
  </si>
  <si>
    <t xml:space="preserve">Mapeada en legal-management-service/src/entities/planes-mejoramiento.entity.ts:141 (PlanSeguimiento.fechaReporte)</t>
  </si>
  <si>
    <t xml:space="preserve">Fecha de reporte.</t>
  </si>
  <si>
    <t xml:space="preserve">C1341</t>
  </si>
  <si>
    <t xml:space="preserve">Mapeada en legal-management-service/src/entities/planes-mejoramiento.entity.ts:144 (PlanSeguimiento.usuarioId) | Validación: IsOptional, IsString</t>
  </si>
  <si>
    <t xml:space="preserve">Identificador del usuario que registró el seguimiento.</t>
  </si>
  <si>
    <t xml:space="preserve">C1342</t>
  </si>
  <si>
    <t xml:space="preserve">plantillas_documentos</t>
  </si>
  <si>
    <t xml:space="preserve">Mapeada en legal-management-service/src/entities/plantilla-documento.entity.ts:17 (PlantillaDocumento.nombre)</t>
  </si>
  <si>
    <t xml:space="preserve">Nombre del registro de plantillas_documentos.</t>
  </si>
  <si>
    <t xml:space="preserve">C1343</t>
  </si>
  <si>
    <t xml:space="preserve">idx_plantillas_documentos_categoria</t>
  </si>
  <si>
    <t xml:space="preserve">legal-management-service/src/entities/plantilla-documento.entity.ts:20: actas | evidencias | oficios | pruebas | comunicaciones | notificaciones | documentos-generales</t>
  </si>
  <si>
    <t xml:space="preserve">Categoría de la plantilla. Valores: actas, evidencias, oficios, pruebas, comunicaciones, notificaciones, documentos-generales.</t>
  </si>
  <si>
    <t xml:space="preserve">código: plantilla-documento.entity.ts:20</t>
  </si>
  <si>
    <t xml:space="preserve">C1344</t>
  </si>
  <si>
    <t xml:space="preserve">nombre_original</t>
  </si>
  <si>
    <t xml:space="preserve">Mapeada en legal-management-service/src/entities/plantilla-documento.entity.ts:23 (PlantillaDocumento.nombreOriginal)</t>
  </si>
  <si>
    <t xml:space="preserve">Nombre original del archivo de la plantilla cargada.</t>
  </si>
  <si>
    <t xml:space="preserve">nombre + columnas vecinas (mime_type, tamano)</t>
  </si>
  <si>
    <t xml:space="preserve">C1345</t>
  </si>
  <si>
    <t xml:space="preserve">Mapeada en legal-management-service/src/entities/plantilla-documento.entity.ts:26 (PlantillaDocumento.mimeType)</t>
  </si>
  <si>
    <t xml:space="preserve">C1346</t>
  </si>
  <si>
    <t xml:space="preserve">tamano</t>
  </si>
  <si>
    <t xml:space="preserve">Mapeada en legal-management-service/src/entities/plantilla-documento.entity.ts:29 (PlantillaDocumento.tamano)</t>
  </si>
  <si>
    <t xml:space="preserve">Tamaño del archivo de la plantilla.</t>
  </si>
  <si>
    <t xml:space="preserve">¿El tamaño está en bytes?</t>
  </si>
  <si>
    <t xml:space="preserve">C1347</t>
  </si>
  <si>
    <t xml:space="preserve">contenido_base64</t>
  </si>
  <si>
    <t xml:space="preserve">Mapeada en legal-management-service/src/entities/plantilla-documento.entity.ts:32 (PlantillaDocumento.contenidoBase64)</t>
  </si>
  <si>
    <t xml:space="preserve">Contenido del archivo de la plantilla codificado en Base64.</t>
  </si>
  <si>
    <t xml:space="preserve">C1348</t>
  </si>
  <si>
    <t xml:space="preserve">Mapeada en legal-management-service/src/entities/plantilla-documento.entity.ts:35 (PlantillaDocumento.subidoPor)</t>
  </si>
  <si>
    <t xml:space="preserve">C1349</t>
  </si>
  <si>
    <t xml:space="preserve">procesos_coactivos</t>
  </si>
  <si>
    <t xml:space="preserve">idx_procesos_coactivos_radicado, procesos_coactivos_radicado_key</t>
  </si>
  <si>
    <t xml:space="preserve">Mapeada en legal-management-service/src/entities/proceso-coactivo.entity.ts:26 (ProcesoCoactivo.radicado) | Validación: IsString, Length(23, 23, { message: 'El radicado debe tener 23 dígitos.' })</t>
  </si>
  <si>
    <t xml:space="preserve">Número de radicado único del proceso de cobro coactivo, de 23 dígitos.</t>
  </si>
  <si>
    <t xml:space="preserve">validación Length(23, 23) + restricción única</t>
  </si>
  <si>
    <t xml:space="preserve">C1350</t>
  </si>
  <si>
    <t xml:space="preserve">legal_management.estado_proceso_coactivo</t>
  </si>
  <si>
    <t xml:space="preserve">Enumerado</t>
  </si>
  <si>
    <t xml:space="preserve">PERSUASIVA, COACTIVA, MEDIDAS_CAUTELARES, EXCEPCIONES, LIQUIDACION</t>
  </si>
  <si>
    <t xml:space="preserve">idx_procesos_coactivos_estado</t>
  </si>
  <si>
    <t xml:space="preserve">Mapeada en legal-management-service/src/entities/proceso-coactivo.entity.ts:35 (ProcesoCoactivo.estado) | Enum: PERSUASIVA, COACTIVA, MEDIDAS_CAUTELARES, EXCEPCIONES, LIQUIDACION</t>
  </si>
  <si>
    <t xml:space="preserve">Estado del registro de procesos_coactivos.</t>
  </si>
  <si>
    <t xml:space="preserve">C1351</t>
  </si>
  <si>
    <t xml:space="preserve">Mapeada en legal-management-service/src/entities/proceso-coactivo.entity.ts:43 (ProcesoCoactivo.responsable)</t>
  </si>
  <si>
    <t xml:space="preserve">Nombre del responsable del proceso coactivo.</t>
  </si>
  <si>
    <t xml:space="preserve">¿Se guarda el nombre del funcionario o un identificador de usuario?</t>
  </si>
  <si>
    <t xml:space="preserve">C1352</t>
  </si>
  <si>
    <t xml:space="preserve">documentos_adjuntos</t>
  </si>
  <si>
    <t xml:space="preserve">Mapeada en legal-management-service/src/entities/proceso-coactivo.entity.ts:46 (ProcesoCoactivo.documentosAdjuntos)</t>
  </si>
  <si>
    <t xml:space="preserve">Cantidad de documentos adjuntos al proceso. Por defecto, 0.</t>
  </si>
  <si>
    <t xml:space="preserve">¿El conteo se actualiza con procesos_coactivos_adjuntos o se registra aparte?</t>
  </si>
  <si>
    <t xml:space="preserve">C1353</t>
  </si>
  <si>
    <t xml:space="preserve">notificaciones_enviadas</t>
  </si>
  <si>
    <t xml:space="preserve">Mapeada en legal-management-service/src/entities/proceso-coactivo.entity.ts:91 (ProcesoCoactivo.notificacionesEnviadas)</t>
  </si>
  <si>
    <t xml:space="preserve">Cantidad de notificaciones enviadas en el proceso. Por defecto, 0.</t>
  </si>
  <si>
    <t xml:space="preserve">¿Qué evento incrementa este contador?</t>
  </si>
  <si>
    <t xml:space="preserve">C1354</t>
  </si>
  <si>
    <t xml:space="preserve">Mapeada en legal-management-service/src/entities/proceso-coactivo.entity.ts:94 (ProcesoCoactivo.observaciones)</t>
  </si>
  <si>
    <t xml:space="preserve">C1355</t>
  </si>
  <si>
    <t xml:space="preserve">Mapeada en legal-management-service/src/entities/proceso-coactivo.entity.ts:97 (ProcesoCoactivo.ultimaActuacion)</t>
  </si>
  <si>
    <t xml:space="preserve">Fecha y hora de la última actuación registrada en el proceso.</t>
  </si>
  <si>
    <t xml:space="preserve">¿Se actualiza automáticamente al registrar una actuación?</t>
  </si>
  <si>
    <t xml:space="preserve">C1356</t>
  </si>
  <si>
    <t xml:space="preserve">valor_pagado</t>
  </si>
  <si>
    <t xml:space="preserve">Mapeada en legal-management-service/src/entities/proceso-coactivo.entity.ts:54 (ProcesoCoactivo.valorPagado)</t>
  </si>
  <si>
    <t xml:space="preserve">Valor total pagado por el deudor en el proceso. Por defecto, 0.</t>
  </si>
  <si>
    <t xml:space="preserve">¿Se calcula como la suma de pagos_coactivos.valor?</t>
  </si>
  <si>
    <t xml:space="preserve">C1357</t>
  </si>
  <si>
    <t xml:space="preserve">saldo_pendiente</t>
  </si>
  <si>
    <t xml:space="preserve">Mapeada en legal-management-service/src/entities/proceso-coactivo.entity.ts:62 (ProcesoCoactivo.saldoPendiente)</t>
  </si>
  <si>
    <t xml:space="preserve">Saldo pendiente de pago de la obligación. Por defecto, 0.</t>
  </si>
  <si>
    <t xml:space="preserve">¿El saldo incluye intereses y costas o solo capital?</t>
  </si>
  <si>
    <t xml:space="preserve">C1358</t>
  </si>
  <si>
    <t xml:space="preserve">Mapeada en legal-management-service/src/entities/proceso-coactivo.entity.ts:103 (ProcesoCoactivo.estadoArchivo)</t>
  </si>
  <si>
    <t xml:space="preserve">Estado de archivo del proceso. Por defecto, ACTIVO.</t>
  </si>
  <si>
    <t xml:space="preserve">nombre + tipo + defecto + columnas vecinas</t>
  </si>
  <si>
    <t xml:space="preserve">¿Qué valores toma además de ACTIVO (por ejemplo, ARCHIVADO)?</t>
  </si>
  <si>
    <t xml:space="preserve">C1359</t>
  </si>
  <si>
    <t xml:space="preserve">Mapeada en legal-management-service/src/entities/proceso-coactivo.entity.ts:106 (ProcesoCoactivo.fechaArchivo)</t>
  </si>
  <si>
    <t xml:space="preserve">C1360</t>
  </si>
  <si>
    <t xml:space="preserve">Mapeada en legal-management-service/src/entities/proceso-coactivo.entity.ts:109 (ProcesoCoactivo.usuarioArchivo)</t>
  </si>
  <si>
    <t xml:space="preserve">Usuario que archivó el proceso.</t>
  </si>
  <si>
    <t xml:space="preserve">C1361</t>
  </si>
  <si>
    <t xml:space="preserve">Mapeada en legal-management-service/src/entities/proceso-coactivo.entity.ts:112 (ProcesoCoactivo.motivoArchivo)</t>
  </si>
  <si>
    <t xml:space="preserve">C1362</t>
  </si>
  <si>
    <t xml:space="preserve">fecha_ejecutoria</t>
  </si>
  <si>
    <t xml:space="preserve">legal-management-service/src/entities/proceso-coactivo.entity.ts:71: Campos añadidos para Resolución 492 / Manual de Cartera</t>
  </si>
  <si>
    <t xml:space="preserve">Fecha de ejecutoria en el proceso de cobro coactivo; campo agregado para la Resolución 492 / Manual de Cartera.</t>
  </si>
  <si>
    <t xml:space="preserve">código: legal-management-service/src/entities/proceso-coactivo.entity.ts:71</t>
  </si>
  <si>
    <t xml:space="preserve">¿De qué acto es la fecha de ejecutoria (título ejecutivo, mandamiento de pago u otro)?</t>
  </si>
  <si>
    <t xml:space="preserve">C1363</t>
  </si>
  <si>
    <t xml:space="preserve">tipo_interes_aplicable</t>
  </si>
  <si>
    <t xml:space="preserve">Mapeada en legal-management-service/src/entities/proceso-coactivo.entity.ts:74 (ProcesoCoactivo.tipoInteresAplicable)</t>
  </si>
  <si>
    <t xml:space="preserve">Tipo de tasa de interés aplicable a la obligación. Por defecto, DIAN.</t>
  </si>
  <si>
    <t xml:space="preserve">nombre + tipo + defecto + tabla tasas_referencia</t>
  </si>
  <si>
    <t xml:space="preserve">¿Qué otros tipos de tasa se admiten además de DIAN?</t>
  </si>
  <si>
    <t xml:space="preserve">C1364</t>
  </si>
  <si>
    <t xml:space="preserve">valor_costas</t>
  </si>
  <si>
    <t xml:space="preserve">Mapeada en legal-management-service/src/entities/proceso-coactivo.entity.ts:83 (ProcesoCoactivo.valorCostas)</t>
  </si>
  <si>
    <t xml:space="preserve">Valor de las costas del proceso. Por defecto, 0.</t>
  </si>
  <si>
    <t xml:space="preserve">C1365</t>
  </si>
  <si>
    <t xml:space="preserve">procesos_coactivos_adjuntos</t>
  </si>
  <si>
    <t xml:space="preserve">Mapeada en legal-management-service/src/entities/proceso-coactivo-adjunto.entity.ts:16 (ProcesoCoactivoAdjunto.nombreOriginal)</t>
  </si>
  <si>
    <t xml:space="preserve">Nombre original del archivo adjunto, tal como se cargó.</t>
  </si>
  <si>
    <t xml:space="preserve">C1366</t>
  </si>
  <si>
    <t xml:space="preserve">Mapeada en legal-management-service/src/entities/proceso-coactivo-adjunto.entity.ts:19 (ProcesoCoactivoAdjunto.nombreArchivo)</t>
  </si>
  <si>
    <t xml:space="preserve">Nombre con el que se almacenó el archivo adjunto.</t>
  </si>
  <si>
    <t xml:space="preserve">¿Es el nombre generado por el sistema en el almacenamiento?</t>
  </si>
  <si>
    <t xml:space="preserve">C1367</t>
  </si>
  <si>
    <t xml:space="preserve">Mapeada en legal-management-service/src/entities/proceso-coactivo-adjunto.entity.ts:22 (ProcesoCoactivoAdjunto.mimeType)</t>
  </si>
  <si>
    <t xml:space="preserve">C1368</t>
  </si>
  <si>
    <t xml:space="preserve">Mapeada en legal-management-service/src/entities/proceso-coactivo-adjunto.entity.ts:25 (ProcesoCoactivoAdjunto.tamano)</t>
  </si>
  <si>
    <t xml:space="preserve">Tamaño del archivo adjunto.</t>
  </si>
  <si>
    <t xml:space="preserve">C1369</t>
  </si>
  <si>
    <t xml:space="preserve">Mapeada en legal-management-service/src/entities/proceso-coactivo-adjunto.entity.ts:28 (ProcesoCoactivoAdjunto.tipo)</t>
  </si>
  <si>
    <t xml:space="preserve">Tipo del registro de procesos_coactivos_adjuntos.</t>
  </si>
  <si>
    <t xml:space="preserve">C1370</t>
  </si>
  <si>
    <t xml:space="preserve">Mapeada en legal-management-service/src/entities/proceso-coactivo-adjunto.entity.ts:34 (ProcesoCoactivoAdjunto.archivoUrl)</t>
  </si>
  <si>
    <t xml:space="preserve">URL del archivo adjunto.</t>
  </si>
  <si>
    <t xml:space="preserve">C1371</t>
  </si>
  <si>
    <t xml:space="preserve">es_titulo_ejecutivo</t>
  </si>
  <si>
    <t xml:space="preserve">Mapeada en legal-management-service/src/entities/proceso-coactivo-adjunto.entity.ts:31 (ProcesoCoactivoAdjunto.esTituloEjecutivo)</t>
  </si>
  <si>
    <t xml:space="preserve">Indica si aplica: título ejecutivo.</t>
  </si>
  <si>
    <t xml:space="preserve">C1372</t>
  </si>
  <si>
    <t xml:space="preserve">radicado_externo</t>
  </si>
  <si>
    <t xml:space="preserve">Mapeada en legal-management-service/src/entities/requerimiento-oc.entity.ts:15 (RequerimientoOC.radicadoExterno)</t>
  </si>
  <si>
    <t xml:space="preserve">Número de radicado asignado por el organismo de control al requerimiento.</t>
  </si>
  <si>
    <t xml:space="preserve">C1373</t>
  </si>
  <si>
    <t xml:space="preserve">radicado_interno</t>
  </si>
  <si>
    <t xml:space="preserve">requerimientos_oc_radicado_interno_key</t>
  </si>
  <si>
    <t xml:space="preserve">Mapeada en legal-management-service/src/entities/requerimiento-oc.entity.ts:18 (RequerimientoOC.radicadoInterno)</t>
  </si>
  <si>
    <t xml:space="preserve">Número de radicado interno único asignado por la ESAP al requerimiento.</t>
  </si>
  <si>
    <t xml:space="preserve">¿El radicado interno lo genera el sistema y con qué formato?</t>
  </si>
  <si>
    <t xml:space="preserve">C1374</t>
  </si>
  <si>
    <t xml:space="preserve">organismo_id</t>
  </si>
  <si>
    <t xml:space="preserve">idx_req_oc_organismo</t>
  </si>
  <si>
    <t xml:space="preserve">Mapeada en legal-management-service/src/entities/requerimiento-oc.entity.ts:21 (RequerimientoOC.organismoId)</t>
  </si>
  <si>
    <t xml:space="preserve">Identificador del organismo de control que emite el requerimiento.</t>
  </si>
  <si>
    <t xml:space="preserve">nombre + tipo + índice</t>
  </si>
  <si>
    <t xml:space="preserve">¿Corresponde a organismos_control.id? No tiene FK declarada.</t>
  </si>
  <si>
    <t xml:space="preserve">C1375</t>
  </si>
  <si>
    <t xml:space="preserve">tipo_requerimiento</t>
  </si>
  <si>
    <t xml:space="preserve">legal-management-service/src/entities/requerimiento-oc.entity.ts:31: Relación eliminada para permitir IDs de organismos locales (UUIDs string) que no existen en la tabla cat_organismos_control (Integer ID). El frontend resolverá el nombre basándose en el organismoId almacenado. @ManyToOne(() =&gt; OrganismoControlOC, (org: OrganismoControlOC) =&gt; org.requerimientos, { ea</t>
  </si>
  <si>
    <t xml:space="preserve">Tipo de requerimiento del organismo de control.</t>
  </si>
  <si>
    <t xml:space="preserve">nombre + tipo; el comentario de requerimiento-oc.entity.ts:31 trata de la relación con el organismo</t>
  </si>
  <si>
    <t xml:space="preserve">¿Usa los mismos valores que requerimientos_oc.requerimientos (INFORMACION, AUDITORIA, HALLAZGO, AJUSTE)?</t>
  </si>
  <si>
    <t xml:space="preserve">C1376</t>
  </si>
  <si>
    <t xml:space="preserve">legal-management-service/src/entities/requerimiento-oc.entity.ts:34: Relación eliminada para permitir IDs de organismos locales (UUIDs string) que no existen en la tabla cat_organismos_control (Integer ID). El frontend resolverá el nombre basándose en el organismoId almacenado. @ManyToOne(() =&gt; OrganismoControlOC, (org: OrganismoControlOC) =&gt; org.requerimientos, { ea</t>
  </si>
  <si>
    <t xml:space="preserve">Asunto del requerimiento del organismo de control.</t>
  </si>
  <si>
    <t xml:space="preserve">nombre + tipo + columnas vecinas; el comentario de código requerimiento-oc.entity.ts:34 no define el dato</t>
  </si>
  <si>
    <t xml:space="preserve">C1377</t>
  </si>
  <si>
    <t xml:space="preserve">legal-management-service/src/entities/requerimiento-oc.entity.ts:37: Relación eliminada para permitir IDs de organismos locales (UUIDs string) que no existen en la tabla cat_organismos_control (Integer ID). El frontend resolverá el nombre basándose en el organismoId almacenado. @ManyToOne(() =&gt; OrganismoControlOC, (org: OrganismoControlOC) =&gt; org.requerimientos, { ea</t>
  </si>
  <si>
    <t xml:space="preserve">Descripción del requerimiento.</t>
  </si>
  <si>
    <t xml:space="preserve">nombre + tipo + columnas vecinas; el comentario de código requerimiento-oc.entity.ts:37 no define el dato</t>
  </si>
  <si>
    <t xml:space="preserve">C1378</t>
  </si>
  <si>
    <t xml:space="preserve">legal-management-service/src/entities/requerimiento-oc.entity.ts:40: Relación eliminada para permitir IDs de organismos locales (UUIDs string) que no existen en la tabla cat_organismos_control (Integer ID). El frontend resolverá el nombre basándose en el organismoId almacenado. @ManyToOne(() =&gt; OrganismoControlOC, (org: OrganismoControlOC) =&gt; org.requerimientos, { ea</t>
  </si>
  <si>
    <t xml:space="preserve">Fecha y hora de recepción del requerimiento. Por defecto, la fecha y hora del registro.</t>
  </si>
  <si>
    <t xml:space="preserve">nombre + tipo + columnas vecinas; el comentario de código requerimiento-oc.entity.ts:40 no define el dato</t>
  </si>
  <si>
    <t xml:space="preserve">C1379</t>
  </si>
  <si>
    <t xml:space="preserve">unidad_tiempo</t>
  </si>
  <si>
    <t xml:space="preserve">DIAS_CALENDARIO, DIAS_HABILES, HORAS</t>
  </si>
  <si>
    <t xml:space="preserve">legal-management-service/src/entities/requerimiento-oc.entity.ts:43: Relación eliminada para permitir IDs de organismos locales (UUIDs string) que no existen en la tabla cat_organismos_control (Integer ID). El frontend resolverá el nombre basándose en el organismoId almacenado. @ManyToOne(() =&gt; OrganismoControlOC, (org: OrganismoControlOC) =&gt; org.requerimientos, { ea</t>
  </si>
  <si>
    <t xml:space="preserve">Unidad en que se expresa el plazo otorgado. Valores permitidos: DIAS_CALENDARIO, DIAS_HABILES, HORAS. Por defecto, DIAS_HABILES.</t>
  </si>
  <si>
    <t xml:space="preserve">valores permitidos del CHECK; nombre + tipo + columnas vecinas; el comentario de código requerimiento-oc.entity.ts:43 no define el dato</t>
  </si>
  <si>
    <t xml:space="preserve">C1380</t>
  </si>
  <si>
    <t xml:space="preserve">plazo_otorgado</t>
  </si>
  <si>
    <t xml:space="preserve">legal-management-service/src/entities/requerimiento-oc.entity.ts:46: Relación eliminada para permitir IDs de organismos locales (UUIDs string) que no existen en la tabla cat_organismos_control (Integer ID). El frontend resolverá el nombre basándose en el organismoId almacenado. @ManyToOne(() =&gt; OrganismoControlOC, (org: OrganismoControlOC) =&gt; org.requerimientos, { ea</t>
  </si>
  <si>
    <t xml:space="preserve">Plazo otorgado por el organismo de control para responder, en la unidad de unidad_tiempo. Por defecto, 15.</t>
  </si>
  <si>
    <t xml:space="preserve">nombre + tipo + columnas vecinas; el comentario de código requerimiento-oc.entity.ts:46 no define el dato</t>
  </si>
  <si>
    <t xml:space="preserve">C1381</t>
  </si>
  <si>
    <t xml:space="preserve">idx_req_oc_vencimiento</t>
  </si>
  <si>
    <t xml:space="preserve">legal-management-service/src/entities/requerimiento-oc.entity.ts:49: Relación eliminada para permitir IDs de organismos locales (UUIDs string) que no existen en la tabla cat_organismos_control (Integer ID). El frontend resolverá el nombre basándose en el organismoId almacenado. @ManyToOne(() =&gt; OrganismoControlOC, (org: OrganismoControlOC) =&gt; org.requerimientos, { ea</t>
  </si>
  <si>
    <t xml:space="preserve">Fecha y hora de vencimiento del plazo de respuesta.</t>
  </si>
  <si>
    <t xml:space="preserve">nombre + tipo + columnas vecinas; el comentario de código requerimiento-oc.entity.ts:49 no define el dato</t>
  </si>
  <si>
    <t xml:space="preserve">¿Se calcula a partir de fecha_recepcion, plazo_otorgado y unidad_tiempo?</t>
  </si>
  <si>
    <t xml:space="preserve">C1382</t>
  </si>
  <si>
    <t xml:space="preserve">legal-management-service/src/entities/requerimiento-oc.entity.ts:52: Relación eliminada para permitir IDs de organismos locales (UUIDs string) que no existen en la tabla cat_organismos_control (Integer ID). El frontend resolverá el nombre basándose en el organismoId almacenado. @ManyToOne(() =&gt; OrganismoControlOC, (org: OrganismoControlOC) =&gt; org.requerimientos, { ea</t>
  </si>
  <si>
    <t xml:space="preserve">Nombre del funcionario responsable de atender el requerimiento.</t>
  </si>
  <si>
    <t xml:space="preserve">nombre + tipo + columnas vecinas; el comentario de código requerimiento-oc.entity.ts:52 no define el dato</t>
  </si>
  <si>
    <t xml:space="preserve">¿Es texto libre o se toma de un usuario del sistema?</t>
  </si>
  <si>
    <t xml:space="preserve">C1383</t>
  </si>
  <si>
    <t xml:space="preserve">legal-management-service/src/entities/requerimiento-oc.entity.ts:55: Relación eliminada para permitir IDs de organismos locales (UUIDs string) que no existen en la tabla cat_organismos_control (Integer ID). El frontend resolverá el nombre basándose en el organismoId almacenado. @ManyToOne(() =&gt; OrganismoControlOC, (org: OrganismoControlOC) =&gt; org.requerimientos, { ea</t>
  </si>
  <si>
    <t xml:space="preserve">Área responsable de atender el requerimiento.</t>
  </si>
  <si>
    <t xml:space="preserve">nombre + tipo + columnas vecinas; el comentario de código requerimiento-oc.entity.ts:55 no define el dato</t>
  </si>
  <si>
    <t xml:space="preserve">¿Es texto libre o proviene de un catálogo de dependencias?</t>
  </si>
  <si>
    <t xml:space="preserve">C1384</t>
  </si>
  <si>
    <t xml:space="preserve">idx_req_oc_abogado</t>
  </si>
  <si>
    <t xml:space="preserve">legal-management-service/src/entities/requerimiento-oc.entity.ts:58: Relación eliminada para permitir IDs de organismos locales (UUIDs string) que no existen en la tabla cat_organismos_control (Integer ID). El frontend resolverá el nombre basándose en el organismoId almacenado. @ManyToOne(() =&gt; OrganismoControlOC, (org: OrganismoControlOC) =&gt; org.requerimientos, { ea</t>
  </si>
  <si>
    <t xml:space="preserve">Identificador del abogado asignado al requerimiento.</t>
  </si>
  <si>
    <t xml:space="preserve">nombre + tipo + columnas vecinas; el comentario de código requerimiento-oc.entity.ts:58 no define el dato</t>
  </si>
  <si>
    <t xml:space="preserve">¿Referencia a la tabla de abogados de legal_management o a auth."user"?</t>
  </si>
  <si>
    <t xml:space="preserve">C1385</t>
  </si>
  <si>
    <t xml:space="preserve">CERRADO, ENVIADO, EN_ANALISIS, EN_RESPUESTA, RECIBIDO, VENCIDO</t>
  </si>
  <si>
    <t xml:space="preserve">idx_req_oc_estado</t>
  </si>
  <si>
    <t xml:space="preserve">legal-management-service/src/entities/requerimiento-oc.entity.ts:61: Relación eliminada para permitir IDs de organismos locales (UUIDs string) que no existen en la tabla cat_organismos_control (Integer ID). El frontend resolverá el nombre basándose en el organismoId almacenado. @ManyToOne(() =&gt; OrganismoControlOC, (org: OrganismoControlOC) =&gt; org.requerimientos, { ea</t>
  </si>
  <si>
    <t xml:space="preserve">Estado del requerimiento. Valores permitidos: RECIBIDO, EN_ANALISIS, EN_RESPUESTA, ENVIADO, CERRADO, VENCIDO. Por defecto, RECIBIDO.</t>
  </si>
  <si>
    <t xml:space="preserve">valores permitidos del CHECK; nombre + tipo + columnas vecinas; el comentario de código requerimiento-oc.entity.ts:61 no define el dato</t>
  </si>
  <si>
    <t xml:space="preserve">C1386</t>
  </si>
  <si>
    <t xml:space="preserve">ALTA, BAJA, CRITICA, NORMAL</t>
  </si>
  <si>
    <t xml:space="preserve">legal-management-service/src/entities/requerimiento-oc.entity.ts:64: Relación eliminada para permitir IDs de organismos locales (UUIDs string) que no existen en la tabla cat_organismos_control (Integer ID). El frontend resolverá el nombre basándose en el organismoId almacenado. @ManyToOne(() =&gt; OrganismoControlOC, (org: OrganismoControlOC) =&gt; org.requerimientos, { ea</t>
  </si>
  <si>
    <t xml:space="preserve">Prioridad del requerimiento. Valores permitidos: BAJA, NORMAL, ALTA, CRITICA. Por defecto, NORMAL.</t>
  </si>
  <si>
    <t xml:space="preserve">valores permitidos del CHECK; nombre + tipo + columnas vecinas; el comentario de código requerimiento-oc.entity.ts:64 no define el dato</t>
  </si>
  <si>
    <t xml:space="preserve">C1387</t>
  </si>
  <si>
    <t xml:space="preserve">archivo_adjunto_url</t>
  </si>
  <si>
    <t xml:space="preserve">legal-management-service/src/entities/requerimiento-oc.entity.ts:67: Relación eliminada para permitir IDs de organismos locales (UUIDs string) que no existen en la tabla cat_organismos_control (Integer ID). El frontend resolverá el nombre basándose en el organismoId almacenado. @ManyToOne(() =&gt; OrganismoControlOC, (org: OrganismoControlOC) =&gt; org.requerimientos, { ea</t>
  </si>
  <si>
    <t xml:space="preserve">URL del archivo adjunto del requerimiento recibido.</t>
  </si>
  <si>
    <t xml:space="preserve">nombre + tipo + columnas vecinas; el comentario de código requerimiento-oc.entity.ts:67 no define el dato</t>
  </si>
  <si>
    <t xml:space="preserve">C1388</t>
  </si>
  <si>
    <t xml:space="preserve">oficio_respuesta_url</t>
  </si>
  <si>
    <t xml:space="preserve">legal-management-service/src/entities/requerimiento-oc.entity.ts:70: Relación eliminada para permitir IDs de organismos locales (UUIDs string) que no existen en la tabla cat_organismos_control (Integer ID). El frontend resolverá el nombre basándose en el organismoId almacenado. @ManyToOne(() =&gt; OrganismoControlOC, (org: OrganismoControlOC) =&gt; org.requerimientos, { ea</t>
  </si>
  <si>
    <t xml:space="preserve">URL del oficio de respuesta al requerimiento.</t>
  </si>
  <si>
    <t xml:space="preserve">nombre + tipo + columnas vecinas; el comentario de código requerimiento-oc.entity.ts:70 no define el dato</t>
  </si>
  <si>
    <t xml:space="preserve">C1389</t>
  </si>
  <si>
    <t xml:space="preserve">acuse_recibo_url</t>
  </si>
  <si>
    <t xml:space="preserve">legal-management-service/src/entities/requerimiento-oc.entity.ts:73: Relación eliminada para permitir IDs de organismos locales (UUIDs string) que no existen en la tabla cat_organismos_control (Integer ID). El frontend resolverá el nombre basándose en el organismoId almacenado. @ManyToOne(() =&gt; OrganismoControlOC, (org: OrganismoControlOC) =&gt; org.requerimientos, { ea</t>
  </si>
  <si>
    <t xml:space="preserve">URL del acuse de recibo de la respuesta.</t>
  </si>
  <si>
    <t xml:space="preserve">nombre + tipo + columnas vecinas; el comentario de código requerimiento-oc.entity.ts:73 no define el dato</t>
  </si>
  <si>
    <t xml:space="preserve">¿Es el acuse de recibo del organismo de control sobre la respuesta enviada por la ESAP?</t>
  </si>
  <si>
    <t xml:space="preserve">C1390</t>
  </si>
  <si>
    <t xml:space="preserve">legal-management-service/src/entities/requerimiento-oc.entity.ts:76: Relación eliminada para permitir IDs de organismos locales (UUIDs string) que no existen en la tabla cat_organismos_control (Integer ID). El frontend resolverá el nombre basándose en el organismoId almacenado. @ManyToOne(() =&gt; OrganismoControlOC, (org: OrganismoControlOC) =&gt; org.requerimientos, { ea</t>
  </si>
  <si>
    <t xml:space="preserve">Fecha y hora de respuesta al requerimiento.</t>
  </si>
  <si>
    <t xml:space="preserve">nombre + tipo + columnas vecinas; el comentario de código requerimiento-oc.entity.ts:76 no define el dato</t>
  </si>
  <si>
    <t xml:space="preserve">C1391</t>
  </si>
  <si>
    <t xml:space="preserve">legal-management-service/src/entities/requerimiento-oc.entity.ts:79: Relación eliminada para permitir IDs de organismos locales (UUIDs string) que no existen en la tabla cat_organismos_control (Integer ID). El frontend resolverá el nombre basándose en el organismoId almacenado. @ManyToOne(() =&gt; OrganismoControlOC, (org: OrganismoControlOC) =&gt; org.requerimientos, { ea</t>
  </si>
  <si>
    <t xml:space="preserve">Observaciones sobre el requerimiento.</t>
  </si>
  <si>
    <t xml:space="preserve">nombre + tipo + columnas vecinas; el comentario de código requerimiento-oc.entity.ts:79 no define el dato</t>
  </si>
  <si>
    <t xml:space="preserve">C1392</t>
  </si>
  <si>
    <t xml:space="preserve">legal-management-service/src/entities/requerimiento-oc.entity.ts:98: Relación eliminada para permitir IDs de organismos locales (UUIDs string) que no existen en la tabla cat_organismos_control (Integer ID). El frontend resolverá el nombre basándose en el organismoId almacenado. @ManyToOne(() =&gt; OrganismoControlOC, (org: OrganismoControlOC) =&gt; org.requerimientos, { ea</t>
  </si>
  <si>
    <t xml:space="preserve">Fecha y hora en que se archivó el requerimiento.</t>
  </si>
  <si>
    <t xml:space="preserve">nombre + tipo + columnas vecinas; el comentario de código requerimiento-oc.entity.ts:98 no define el dato</t>
  </si>
  <si>
    <t xml:space="preserve">C1393</t>
  </si>
  <si>
    <t xml:space="preserve">legal-management-service/src/entities/requerimiento-oc.entity.ts:101: Relación eliminada para permitir IDs de organismos locales (UUIDs string) que no existen en la tabla cat_organismos_control (Integer ID). El frontend resolverá el nombre basándose en el organismoId almacenado. @ManyToOne(() =&gt; OrganismoControlOC, (org: OrganismoControlOC) =&gt; org.requerimientos, { ea</t>
  </si>
  <si>
    <t xml:space="preserve">Usuario que archivó el requerimiento.</t>
  </si>
  <si>
    <t xml:space="preserve">nombre + tipo + columnas vecinas; el comentario de código requerimiento-oc.entity.ts:101 no define el dato</t>
  </si>
  <si>
    <t xml:space="preserve">¿usuario_archivo guarda el identificador o el nombre del usuario?</t>
  </si>
  <si>
    <t xml:space="preserve">C1394</t>
  </si>
  <si>
    <t xml:space="preserve">legal-management-service/src/entities/requerimiento-oc.entity.ts:104: Relación eliminada para permitir IDs de organismos locales (UUIDs string) que no existen en la tabla cat_organismos_control (Integer ID). El frontend resolverá el nombre basándose en el organismoId almacenado. @ManyToOne(() =&gt; OrganismoControlOC, (org: OrganismoControlOC) =&gt; org.requerimientos, { ea</t>
  </si>
  <si>
    <t xml:space="preserve">Motivo por el que se archivó el requerimiento.</t>
  </si>
  <si>
    <t xml:space="preserve">nombre + tipo + columnas vecinas; el comentario de código requerimiento-oc.entity.ts:104 no define el dato</t>
  </si>
  <si>
    <t xml:space="preserve">C1395</t>
  </si>
  <si>
    <t xml:space="preserve">respuesta_borrador_oc</t>
  </si>
  <si>
    <t xml:space="preserve">destinatario_nombre</t>
  </si>
  <si>
    <t xml:space="preserve">Mapeada en legal-management-service/src/entities/respuesta-borrador-oc.entity.ts:16 (RespuestaBorradorOC.destinatarioNombre)</t>
  </si>
  <si>
    <t xml:space="preserve">Nombre del destinatario de la respuesta.</t>
  </si>
  <si>
    <t xml:space="preserve">C1396</t>
  </si>
  <si>
    <t xml:space="preserve">Mapeada en legal-management-service/src/entities/respuesta-borrador-oc.entity.ts:19 (RespuestaBorradorOC.destinatarioEmail)</t>
  </si>
  <si>
    <t xml:space="preserve">Correo electrónico del destinatario de la respuesta.</t>
  </si>
  <si>
    <t xml:space="preserve">C1397</t>
  </si>
  <si>
    <t xml:space="preserve">destinatario_cargo</t>
  </si>
  <si>
    <t xml:space="preserve">Mapeada en legal-management-service/src/entities/respuesta-borrador-oc.entity.ts:22 (RespuestaBorradorOC.destinatarioCargo)</t>
  </si>
  <si>
    <t xml:space="preserve">Cargo del destinatario de la respuesta.</t>
  </si>
  <si>
    <t xml:space="preserve">C1398</t>
  </si>
  <si>
    <t xml:space="preserve">Mapeada en legal-management-service/src/entities/respuesta-borrador-oc.entity.ts:25 (RespuestaBorradorOC.tipoRespuesta)</t>
  </si>
  <si>
    <t xml:space="preserve">Tipo de respuesta al requerimiento.</t>
  </si>
  <si>
    <t xml:space="preserve">¿Qué valores toma el tipo de respuesta?</t>
  </si>
  <si>
    <t xml:space="preserve">C1399</t>
  </si>
  <si>
    <t xml:space="preserve">Mapeada en legal-management-service/src/entities/respuesta-borrador-oc.entity.ts:28 (RespuestaBorradorOC.contenido) | Validación: IsNotEmpty, IsString</t>
  </si>
  <si>
    <t xml:space="preserve">Contenido del borrador de respuesta.</t>
  </si>
  <si>
    <t xml:space="preserve">C1400</t>
  </si>
  <si>
    <t xml:space="preserve">Mapeada en legal-management-service/src/entities/respuesta-borrador-oc.entity.ts:31 (RespuestaBorradorOC.documentosAdjuntos)</t>
  </si>
  <si>
    <t xml:space="preserve">Lista de documentos adjuntos a la respuesta, en formato JSON. Por defecto, lista vacía.</t>
  </si>
  <si>
    <t xml:space="preserve">¿Qué estructura tiene cada elemento de la lista (nombre, URL)?</t>
  </si>
  <si>
    <t xml:space="preserve">C1401</t>
  </si>
  <si>
    <t xml:space="preserve">riesgo_historial</t>
  </si>
  <si>
    <t xml:space="preserve">Mapeada en legal-management-service/src/entities/riesgo-historial.entity.ts:40 (RiesgoHistorial.descripcion)</t>
  </si>
  <si>
    <t xml:space="preserve">Descripción del registro de riesgo_historial.</t>
  </si>
  <si>
    <t xml:space="preserve">C1402</t>
  </si>
  <si>
    <t xml:space="preserve">Mapeada en legal-management-service/src/entities/riesgo-historial.entity.ts:52 (RiesgoHistorial.usuario)</t>
  </si>
  <si>
    <t xml:space="preserve">Nombre del usuario que generó el evento del riesgo. Por defecto, Sistema, cuando el cambio es automático.</t>
  </si>
  <si>
    <t xml:space="preserve">C1403</t>
  </si>
  <si>
    <t xml:space="preserve">riesgos</t>
  </si>
  <si>
    <t xml:space="preserve">idx_riesgos_codigo, riesgos_codigo_key</t>
  </si>
  <si>
    <t xml:space="preserve">Mapeada en legal-management-service/src/entities/riesgo.entity.ts:13 (Riesgo.codigo)</t>
  </si>
  <si>
    <t xml:space="preserve">Código del registro de riesgos. Único en la tabla.</t>
  </si>
  <si>
    <t xml:space="preserve">C1404</t>
  </si>
  <si>
    <t xml:space="preserve">Mapeada en legal-management-service/src/entities/riesgo.entity.ts:16 (Riesgo.nombre)</t>
  </si>
  <si>
    <t xml:space="preserve">Nombre del registro de riesgos.</t>
  </si>
  <si>
    <t xml:space="preserve">C1405</t>
  </si>
  <si>
    <t xml:space="preserve">Mapeada en legal-management-service/src/entities/riesgo.entity.ts:19 (Riesgo.descripcion)</t>
  </si>
  <si>
    <t xml:space="preserve">Descripción del registro de riesgos.</t>
  </si>
  <si>
    <t xml:space="preserve">C1406</t>
  </si>
  <si>
    <t xml:space="preserve">proceso</t>
  </si>
  <si>
    <t xml:space="preserve">idx_riesgos_proceso</t>
  </si>
  <si>
    <t xml:space="preserve">Mapeada en legal-management-service/src/entities/riesgo.entity.ts:22 (Riesgo.proceso)</t>
  </si>
  <si>
    <t xml:space="preserve">Proceso institucional al que pertenece el riesgo.</t>
  </si>
  <si>
    <t xml:space="preserve">¿El proceso se toma de un catálogo o es texto libre? ¿Qué relación tiene con proceso_id?</t>
  </si>
  <si>
    <t xml:space="preserve">C1407</t>
  </si>
  <si>
    <t xml:space="preserve">tipo_riesgo</t>
  </si>
  <si>
    <t xml:space="preserve">CORRUPCION, FISCAL, GESTION, SEGURIDAD_DIGITAL</t>
  </si>
  <si>
    <t xml:space="preserve">idx_riesgos_tipo</t>
  </si>
  <si>
    <t xml:space="preserve">Mapeada en legal-management-service/src/entities/riesgo.entity.ts:25 (Riesgo.tipoRiesgo)</t>
  </si>
  <si>
    <t xml:space="preserve">Tipo de riesgo. Valores permitidos: CORRUPCION, FISCAL, GESTION, SEGURIDAD_DIGITAL.</t>
  </si>
  <si>
    <t xml:space="preserve">C1408</t>
  </si>
  <si>
    <t xml:space="preserve">ANALIZADO, CERRADO, IDENTIFICADO, MATERIALIZADO, MONITOREO, TRATAMIENTO, VALORADO</t>
  </si>
  <si>
    <t xml:space="preserve">idx_riesgos_etapa</t>
  </si>
  <si>
    <t xml:space="preserve">Mapeada en legal-management-service/src/entities/riesgo.entity.ts:28 (Riesgo.etapa)</t>
  </si>
  <si>
    <t xml:space="preserve">Etapa del ciclo de gestión del riesgo. Valores permitidos: ANALIZADO, CERRADO, IDENTIFICADO, MATERIALIZADO, MONITOREO, TRATAMIENTO, VALORADO. Por defecto, IDENTIFICADO.</t>
  </si>
  <si>
    <t xml:space="preserve">C1409</t>
  </si>
  <si>
    <t xml:space="preserve">probabilidad_inherente</t>
  </si>
  <si>
    <t xml:space="preserve">legal-management-service/src/entities/riesgo.entity.ts:32: Valoración Inherente</t>
  </si>
  <si>
    <t xml:space="preserve">Probabilidad inherente del riesgo (valoración antes de controles). Valor por defecto: 3.</t>
  </si>
  <si>
    <t xml:space="preserve">código: legal-management-service/src/entities/riesgo.entity.ts:32</t>
  </si>
  <si>
    <t xml:space="preserve">¿Qué escala usa la probabilidad (por ejemplo, 1 a 5) y qué significa cada nivel?</t>
  </si>
  <si>
    <t xml:space="preserve">C1410</t>
  </si>
  <si>
    <t xml:space="preserve">impacto_inherente</t>
  </si>
  <si>
    <t xml:space="preserve">Mapeada en legal-management-service/src/entities/riesgo.entity.ts:35 (Riesgo.impactoInherente)</t>
  </si>
  <si>
    <t xml:space="preserve">Nivel de impacto del riesgo inherente. Por defecto, 3.</t>
  </si>
  <si>
    <t xml:space="preserve">¿La escala del impacto es de 1 a 5?</t>
  </si>
  <si>
    <t xml:space="preserve">C1411</t>
  </si>
  <si>
    <t xml:space="preserve">zona_inherente</t>
  </si>
  <si>
    <t xml:space="preserve">ALTO, BAJO, EXTREMO, MODERADO</t>
  </si>
  <si>
    <t xml:space="preserve">Mapeada en legal-management-service/src/entities/riesgo.entity.ts:38 (Riesgo.zonaInherente)</t>
  </si>
  <si>
    <t xml:space="preserve">Zona de riesgo inherente. Valores permitidos: ALTO, BAJO, EXTREMO, MODERADO. Por defecto, MODERADO.</t>
  </si>
  <si>
    <t xml:space="preserve">C1412</t>
  </si>
  <si>
    <t xml:space="preserve">probabilidad_residual</t>
  </si>
  <si>
    <t xml:space="preserve">legal-management-service/src/entities/riesgo.entity.ts:42: Valoración Residual</t>
  </si>
  <si>
    <t xml:space="preserve">Probabilidad residual del riesgo (valoración después de controles). Valor por defecto: 3.</t>
  </si>
  <si>
    <t xml:space="preserve">código: legal-management-service/src/entities/riesgo.entity.ts:42</t>
  </si>
  <si>
    <t xml:space="preserve">C1413</t>
  </si>
  <si>
    <t xml:space="preserve">impacto_residual</t>
  </si>
  <si>
    <t xml:space="preserve">Mapeada en legal-management-service/src/entities/riesgo.entity.ts:45 (Riesgo.impactoResidual)</t>
  </si>
  <si>
    <t xml:space="preserve">Nivel de impacto del riesgo residual, después de aplicar los controles. Por defecto, 3.</t>
  </si>
  <si>
    <t xml:space="preserve">C1414</t>
  </si>
  <si>
    <t xml:space="preserve">zona_residual</t>
  </si>
  <si>
    <t xml:space="preserve">idx_riesgos_zona</t>
  </si>
  <si>
    <t xml:space="preserve">Mapeada en legal-management-service/src/entities/riesgo.entity.ts:48 (Riesgo.zonaResidual)</t>
  </si>
  <si>
    <t xml:space="preserve">Zona de riesgo residual, después de aplicar los controles. Valores permitidos: ALTO, BAJO, EXTREMO, MODERADO. Por defecto, MODERADO.</t>
  </si>
  <si>
    <t xml:space="preserve">C1415</t>
  </si>
  <si>
    <t xml:space="preserve">causas</t>
  </si>
  <si>
    <t xml:space="preserve">legal-management-service/src/entities/riesgo.entity.ts:52: Análisis (JSON arrays)</t>
  </si>
  <si>
    <t xml:space="preserve">Causas del riesgo, como arreglo JSON.</t>
  </si>
  <si>
    <t xml:space="preserve">código: legal-management-service/src/entities/riesgo.entity.ts:52</t>
  </si>
  <si>
    <t xml:space="preserve">C1416</t>
  </si>
  <si>
    <t xml:space="preserve">consecuencias</t>
  </si>
  <si>
    <t xml:space="preserve">Mapeada en legal-management-service/src/entities/riesgo.entity.ts:55 (Riesgo.consecuencias)</t>
  </si>
  <si>
    <t xml:space="preserve">Lista de consecuencias del riesgo, en formato JSON. Por defecto, lista vacía.</t>
  </si>
  <si>
    <t xml:space="preserve">C1417</t>
  </si>
  <si>
    <t xml:space="preserve">controles_existentes</t>
  </si>
  <si>
    <t xml:space="preserve">legal-management-service/src/entities/riesgo.entity.ts:59: Controles y Plan de Tratamiento (JSON)</t>
  </si>
  <si>
    <t xml:space="preserve">Controles existentes del riesgo, como arreglo JSON.</t>
  </si>
  <si>
    <t xml:space="preserve">código: legal-management-service/src/entities/riesgo.entity.ts:59</t>
  </si>
  <si>
    <t xml:space="preserve">C1418</t>
  </si>
  <si>
    <t xml:space="preserve">plan_tratamiento</t>
  </si>
  <si>
    <t xml:space="preserve">Mapeada en legal-management-service/src/entities/riesgo.entity.ts:66 (Riesgo.planTratamiento)</t>
  </si>
  <si>
    <t xml:space="preserve">Acciones del plan de tratamiento del riesgo, en formato JSON. Por defecto, lista vacía.</t>
  </si>
  <si>
    <t xml:space="preserve">¿Qué estructura tiene cada acción del plan (descripción, responsable, fecha)?</t>
  </si>
  <si>
    <t xml:space="preserve">C1419</t>
  </si>
  <si>
    <t xml:space="preserve">legal-management-service/src/entities/riesgo.entity.ts:76: Responsable</t>
  </si>
  <si>
    <t xml:space="preserve">Nombre del responsable del riesgo.</t>
  </si>
  <si>
    <t xml:space="preserve">código: legal-management-service/src/entities/riesgo.entity.ts:76 + columna vecina responsable_id</t>
  </si>
  <si>
    <t xml:space="preserve">C1420</t>
  </si>
  <si>
    <t xml:space="preserve">Mapeada en legal-management-service/src/entities/riesgo.entity.ts:79 (Riesgo.responsableId)</t>
  </si>
  <si>
    <t xml:space="preserve">Identificador del usuario responsable del riesgo.</t>
  </si>
  <si>
    <t xml:space="preserve">C1421</t>
  </si>
  <si>
    <t xml:space="preserve">ACTIVO, ARCHIVADO, CERRADO, ELIMINADO</t>
  </si>
  <si>
    <t xml:space="preserve">idx_riesgos_estado</t>
  </si>
  <si>
    <t xml:space="preserve">legal-management-service/src/entities/riesgo.entity.ts:107: Estado</t>
  </si>
  <si>
    <t xml:space="preserve">Estado del riesgo. Valores permitidos: ACTIVO, ARCHIVADO, CERRADO, ELIMINADO; valor por defecto ACTIVO.</t>
  </si>
  <si>
    <t xml:space="preserve">valores permitidos del CHECK; código: riesgo.entity.ts:107</t>
  </si>
  <si>
    <t xml:space="preserve">C1422</t>
  </si>
  <si>
    <t xml:space="preserve">legal-management-service/src/entities/riesgo.entity.ts:111: Motivo del archivado</t>
  </si>
  <si>
    <t xml:space="preserve">Motivo del archivado del riesgo.</t>
  </si>
  <si>
    <t xml:space="preserve">código: legal-management-service/src/entities/riesgo.entity.ts:111</t>
  </si>
  <si>
    <t xml:space="preserve">C1423</t>
  </si>
  <si>
    <t xml:space="preserve">sequences</t>
  </si>
  <si>
    <t xml:space="preserve">current_value</t>
  </si>
  <si>
    <t xml:space="preserve">Mapeada en legal-management-service/src/entities/sequence.entity.ts:8 (Sequence.currentValue)</t>
  </si>
  <si>
    <t xml:space="preserve">Valor actual de la secuencia. Por defecto, 0.</t>
  </si>
  <si>
    <t xml:space="preserve">nombre + columnas de la tabla (name, updated_at)</t>
  </si>
  <si>
    <t xml:space="preserve">¿Qué consecutivos controla la tabla y current_value es el último número asignado o el siguiente?</t>
  </si>
  <si>
    <t xml:space="preserve">C1424</t>
  </si>
  <si>
    <t xml:space="preserve">solicitudes_insumos</t>
  </si>
  <si>
    <t xml:space="preserve">area_destino</t>
  </si>
  <si>
    <t xml:space="preserve">idx_insumos_area</t>
  </si>
  <si>
    <t xml:space="preserve">Mapeada en legal-management-service/src/entities/solicitud-insumo.entity.ts:18 (SolicitudInsumo.areaDestino)</t>
  </si>
  <si>
    <t xml:space="preserve">Área a la que se solicitan los insumos para responder el requerimiento.</t>
  </si>
  <si>
    <t xml:space="preserve">C1425</t>
  </si>
  <si>
    <t xml:space="preserve">funcionario_destino</t>
  </si>
  <si>
    <t xml:space="preserve">Mapeada en legal-management-service/src/entities/solicitud-insumo.entity.ts:21 (SolicitudInsumo.funcionarioDestino)</t>
  </si>
  <si>
    <t xml:space="preserve">Nombre del funcionario al que se dirige la solicitud de insumos.</t>
  </si>
  <si>
    <t xml:space="preserve">C1426</t>
  </si>
  <si>
    <t xml:space="preserve">email_destino</t>
  </si>
  <si>
    <t xml:space="preserve">Mapeada en legal-management-service/src/entities/solicitud-insumo.entity.ts:24 (SolicitudInsumo.emailDestino)</t>
  </si>
  <si>
    <t xml:space="preserve">Correo electrónico del funcionario al que se dirige la solicitud.</t>
  </si>
  <si>
    <t xml:space="preserve">C1427</t>
  </si>
  <si>
    <t xml:space="preserve">descripcion_solicitud</t>
  </si>
  <si>
    <t xml:space="preserve">Mapeada en legal-management-service/src/entities/solicitud-insumo.entity.ts:27 (SolicitudInsumo.descripcionSolicitud)</t>
  </si>
  <si>
    <t xml:space="preserve">Descripción de los insumos solicitados.</t>
  </si>
  <si>
    <t xml:space="preserve">C1428</t>
  </si>
  <si>
    <t xml:space="preserve">documentos_solicitados</t>
  </si>
  <si>
    <t xml:space="preserve">Mapeada en legal-management-service/src/entities/solicitud-insumo.entity.ts:30 (SolicitudInsumo.documentosSolicitados)</t>
  </si>
  <si>
    <t xml:space="preserve">Relación de documentos solicitados al área.</t>
  </si>
  <si>
    <t xml:space="preserve">¿Se registra como texto libre o como lista separada por algún carácter?</t>
  </si>
  <si>
    <t xml:space="preserve">C1429</t>
  </si>
  <si>
    <t xml:space="preserve">fecha_solicitud</t>
  </si>
  <si>
    <t xml:space="preserve">Mapeada en legal-management-service/src/entities/solicitud-insumo.entity.ts:33 (SolicitudInsumo.fechaSolicitud)</t>
  </si>
  <si>
    <t xml:space="preserve">Fecha de solicitud.</t>
  </si>
  <si>
    <t xml:space="preserve">C1430</t>
  </si>
  <si>
    <t xml:space="preserve">fecha_vencimiento_interna</t>
  </si>
  <si>
    <t xml:space="preserve">Mapeada en legal-management-service/src/entities/solicitud-insumo.entity.ts:36 (SolicitudInsumo.fechaVencimientoInterna)</t>
  </si>
  <si>
    <t xml:space="preserve">Fecha de vencimiento interna.</t>
  </si>
  <si>
    <t xml:space="preserve">C1431</t>
  </si>
  <si>
    <t xml:space="preserve">Mapeada en legal-management-service/src/entities/solicitud-insumo.entity.ts:39 (SolicitudInsumo.fechaRespuesta)</t>
  </si>
  <si>
    <t xml:space="preserve">C1432</t>
  </si>
  <si>
    <t xml:space="preserve">character varying(25)</t>
  </si>
  <si>
    <t xml:space="preserve">ENTREGADO, EN_PROCESO, PENDIENTE, RECHAZADO, VENCIDO</t>
  </si>
  <si>
    <t xml:space="preserve">idx_insumos_estado</t>
  </si>
  <si>
    <t xml:space="preserve">Mapeada en legal-management-service/src/entities/solicitud-insumo.entity.ts:42 (SolicitudInsumo.estado)</t>
  </si>
  <si>
    <t xml:space="preserve">Estado del registro de solicitudes_insumos.</t>
  </si>
  <si>
    <t xml:space="preserve">C1433</t>
  </si>
  <si>
    <t xml:space="preserve">documentos_entregados_url</t>
  </si>
  <si>
    <t xml:space="preserve">Mapeada en legal-management-service/src/entities/solicitud-insumo.entity.ts:45 (SolicitudInsumo.documentosEntregadosUrl)</t>
  </si>
  <si>
    <t xml:space="preserve">URL de los documentos entregados por el área.</t>
  </si>
  <si>
    <t xml:space="preserve">¿Admite varias URL en el mismo campo?</t>
  </si>
  <si>
    <t xml:space="preserve">C1434</t>
  </si>
  <si>
    <t xml:space="preserve">comentario_respuesta</t>
  </si>
  <si>
    <t xml:space="preserve">Mapeada en legal-management-service/src/entities/solicitud-insumo.entity.ts:48 (SolicitudInsumo.comentarioRespuesta)</t>
  </si>
  <si>
    <t xml:space="preserve">Comentario del área al responder la solicitud.</t>
  </si>
  <si>
    <t xml:space="preserve">C1435</t>
  </si>
  <si>
    <t xml:space="preserve">solicitado_por</t>
  </si>
  <si>
    <t xml:space="preserve">Mapeada en legal-management-service/src/entities/solicitud-insumo.entity.ts:51 (SolicitudInsumo.solicitadoPor)</t>
  </si>
  <si>
    <t xml:space="preserve">Usuario que realizó la solicitud.</t>
  </si>
  <si>
    <t xml:space="preserve">C1436</t>
  </si>
  <si>
    <t xml:space="preserve">respondido_por</t>
  </si>
  <si>
    <t xml:space="preserve">Mapeada en legal-management-service/src/entities/solicitud-insumo.entity.ts:54 (SolicitudInsumo.respondidoPor)</t>
  </si>
  <si>
    <t xml:space="preserve">Nombre del funcionario que respondió la solicitud.</t>
  </si>
  <si>
    <t xml:space="preserve">C1437</t>
  </si>
  <si>
    <t xml:space="preserve">system_configurations</t>
  </si>
  <si>
    <t xml:space="preserve">Mapeada en legal-management-service/src/entities/system-configuration.entity.ts:8 (SystemConfiguration.module)</t>
  </si>
  <si>
    <t xml:space="preserve">Módulo al que pertenece el parámetro de configuración.</t>
  </si>
  <si>
    <t xml:space="preserve">¿Qué módulos se usan como valor?</t>
  </si>
  <si>
    <t xml:space="preserve">C1438</t>
  </si>
  <si>
    <t xml:space="preserve">Mapeada en legal-management-service/src/entities/system-configuration.entity.ts:11 (SystemConfiguration.value)</t>
  </si>
  <si>
    <t xml:space="preserve">Valor del parámetro de configuración, en formato JSON.</t>
  </si>
  <si>
    <t xml:space="preserve">C1439</t>
  </si>
  <si>
    <t xml:space="preserve">Mapeada en legal-management-service/src/entities/system-configuration.entity.ts:14 (SystemConfiguration.description)</t>
  </si>
  <si>
    <t xml:space="preserve">Descripción del registro de system_configurations.</t>
  </si>
  <si>
    <t xml:space="preserve">C1440</t>
  </si>
  <si>
    <t xml:space="preserve">tareas_expediente</t>
  </si>
  <si>
    <t xml:space="preserve">db/migrations/old/054_create_tareas_notas_expediente.sql:16: Datos de la tarea</t>
  </si>
  <si>
    <t xml:space="preserve">Título de la tarea.</t>
  </si>
  <si>
    <t xml:space="preserve">código: db/migrations/old/054_create_tareas_notas_expediente.sql:16</t>
  </si>
  <si>
    <t xml:space="preserve">C1441</t>
  </si>
  <si>
    <t xml:space="preserve">Mapeada en legal-management-service/src/entities/tarea-expediente.entity.ts:19 (TareaExpediente.descripcion)</t>
  </si>
  <si>
    <t xml:space="preserve">Descripción del registro de tareas_expediente.</t>
  </si>
  <si>
    <t xml:space="preserve">C1442</t>
  </si>
  <si>
    <t xml:space="preserve">idx_tareas_vencimiento</t>
  </si>
  <si>
    <t xml:space="preserve">Mapeada en legal-management-service/src/entities/tarea-expediente.entity.ts:22 (TareaExpediente.fechaVencimiento)</t>
  </si>
  <si>
    <t xml:space="preserve">C1443</t>
  </si>
  <si>
    <t xml:space="preserve">idx_tareas_responsable</t>
  </si>
  <si>
    <t xml:space="preserve">db/migrations/old/054_create_tareas_notas_expediente.sql:23: Asignación</t>
  </si>
  <si>
    <t xml:space="preserve">Identificador del responsable asignado a la tarea.</t>
  </si>
  <si>
    <t xml:space="preserve">código: db/migrations/old/054_create_tareas_notas_expediente.sql:23</t>
  </si>
  <si>
    <t xml:space="preserve">C1444</t>
  </si>
  <si>
    <t xml:space="preserve">db/migrations/old/054_create_tareas_notas_expediente.sql:24: Backup if responsable is not a registered abogado</t>
  </si>
  <si>
    <t xml:space="preserve">Nombre del responsable de la tarea; se usa cuando el responsable no es un abogado registrado.</t>
  </si>
  <si>
    <t xml:space="preserve">código: db/migrations/old/054_create_tareas_notas_expediente.sql:24</t>
  </si>
  <si>
    <t xml:space="preserve">C1445</t>
  </si>
  <si>
    <t xml:space="preserve">fecha_completada</t>
  </si>
  <si>
    <t xml:space="preserve">Mapeada en legal-management-service/src/entities/tarea-expediente.entity.ts:40 (TareaExpediente.fechaCompletada)</t>
  </si>
  <si>
    <t xml:space="preserve">Fecha completada.</t>
  </si>
  <si>
    <t xml:space="preserve">C1446</t>
  </si>
  <si>
    <t xml:space="preserve">tasas_referencia</t>
  </si>
  <si>
    <t xml:space="preserve">Mapeada en legal-management-service/src/entities/tasa-referencia.entity.ts:13 (TasaReferencia.anio)</t>
  </si>
  <si>
    <t xml:space="preserve">C1447</t>
  </si>
  <si>
    <t xml:space="preserve">mes</t>
  </si>
  <si>
    <t xml:space="preserve">legal-management-service/src/entities/tasa-referencia.entity.ts:16: 1 to 12</t>
  </si>
  <si>
    <t xml:space="preserve">Mes de la tasa de referencia, de 1 a 12.</t>
  </si>
  <si>
    <t xml:space="preserve">código: tasa-referencia.entity.ts:16</t>
  </si>
  <si>
    <t xml:space="preserve">C1448</t>
  </si>
  <si>
    <t xml:space="preserve">valor_tasa</t>
  </si>
  <si>
    <t xml:space="preserve">Mapeada en legal-management-service/src/entities/tasa-referencia.entity.ts:19 (TasaReferencia.valorTasa)</t>
  </si>
  <si>
    <t xml:space="preserve">Valor de la tasa de referencia para el año y el mes.</t>
  </si>
  <si>
    <t xml:space="preserve">nombre + tipo + columnas vecinas (anio, mes, tipo_tasa)</t>
  </si>
  <si>
    <t xml:space="preserve">¿El valor se expresa en porcentaje y corresponde a una tasa mensual o anual?</t>
  </si>
  <si>
    <t xml:space="preserve">C1449</t>
  </si>
  <si>
    <t xml:space="preserve">tipo_tasa</t>
  </si>
  <si>
    <t xml:space="preserve">Mapeada en legal-management-service/src/entities/tasa-referencia.entity.ts:22 (TasaReferencia.tipoTasa)</t>
  </si>
  <si>
    <t xml:space="preserve">Tipo de tasa de referencia. Por defecto, DIAN.</t>
  </si>
  <si>
    <t xml:space="preserve">¿Qué otros tipos de tasa se registran además de DIAN?</t>
  </si>
  <si>
    <t xml:space="preserve">C1450</t>
  </si>
  <si>
    <t xml:space="preserve">terminos_alertas_enviadas</t>
  </si>
  <si>
    <t xml:space="preserve">Mapeada en legal-management-service/src/entities/alerta-termino-enviada.entity.ts:17 (AlertaTerminoEnviada.fechaEnvio)</t>
  </si>
  <si>
    <t xml:space="preserve">C1451</t>
  </si>
  <si>
    <t xml:space="preserve">terminos_procesales</t>
  </si>
  <si>
    <t xml:space="preserve">origen_modulo</t>
  </si>
  <si>
    <t xml:space="preserve">ASESORIA, DEFENSA, JUZGAMIENTO, MANUAL, ORGANOS_CONTROL, PROCESOS_COACTIVOS</t>
  </si>
  <si>
    <t xml:space="preserve">idx_terminos_origen</t>
  </si>
  <si>
    <t xml:space="preserve">legal-management-service/src/entities/termino-procesal.entity.ts:9: 'DEFENSA', 'JUZGAMIENTO', 'ASESORIA', 'MANUAL' | db/migrations/old/050_create_terminos_procesales.sql:11: Vinculación con el Origen</t>
  </si>
  <si>
    <t xml:space="preserve">Módulo de origen del término procesal. Valores permitidos: ASESORIA, DEFENSA, JUZGAMIENTO, MANUAL, ORGANOS_CONTROL, PROCESOS_COACTIVOS.</t>
  </si>
  <si>
    <t xml:space="preserve">valores permitidos del CHECK + código: termino-procesal.entity.ts:9</t>
  </si>
  <si>
    <t xml:space="preserve">C1452</t>
  </si>
  <si>
    <t xml:space="preserve">idx_terminos_referencia</t>
  </si>
  <si>
    <t xml:space="preserve">db/migrations/old/050_create_terminos_procesales.sql:12: ID del proceso/expediente en la tabla original (UUID para compatibilidad)</t>
  </si>
  <si>
    <t xml:space="preserve">Identificador del proceso o expediente en la tabla del módulo de origen.</t>
  </si>
  <si>
    <t xml:space="preserve">código: db/migrations/old/050_create_terminos_procesales.sql:12</t>
  </si>
  <si>
    <t xml:space="preserve">C1453</t>
  </si>
  <si>
    <t xml:space="preserve">db/migrations/old/050_create_terminos_procesales.sql:13: Para búsqueda rápida visual</t>
  </si>
  <si>
    <t xml:space="preserve">Número de radicado del proceso, para búsqueda rápida.</t>
  </si>
  <si>
    <t xml:space="preserve">código: db/migrations/old/050_create_terminos_procesales.sql:13</t>
  </si>
  <si>
    <t xml:space="preserve">C1454</t>
  </si>
  <si>
    <t xml:space="preserve">nombre_actuacion</t>
  </si>
  <si>
    <t xml:space="preserve">db/migrations/old/050_create_terminos_procesales.sql:16: Datos del Término Ej: "Contestación Demanda", "Fallo Disciplinario"</t>
  </si>
  <si>
    <t xml:space="preserve">Nombre de la actuación a la que corresponde el término (por ejemplo, «Contestación Demanda», «Fallo Disciplinario»).</t>
  </si>
  <si>
    <t xml:space="preserve">código: db/migrations/old/050_create_terminos_procesales.sql:16</t>
  </si>
  <si>
    <t xml:space="preserve">C1455</t>
  </si>
  <si>
    <t xml:space="preserve">fecha_base</t>
  </si>
  <si>
    <t xml:space="preserve">db/migrations/old/050_create_terminos_procesales.sql:17: Fecha de notificación o inicio del conteo</t>
  </si>
  <si>
    <t xml:space="preserve">Fecha de notificación o de inicio del conteo del término.</t>
  </si>
  <si>
    <t xml:space="preserve">código: db/migrations/old/050_create_terminos_procesales.sql:17</t>
  </si>
  <si>
    <t xml:space="preserve">C1456</t>
  </si>
  <si>
    <t xml:space="preserve">db/migrations/old/050_create_terminos_procesales.sql:18: Cantidad de días otorgados</t>
  </si>
  <si>
    <t xml:space="preserve">Cantidad de días otorgados para el término, en la unidad que indica tipo_dias.</t>
  </si>
  <si>
    <t xml:space="preserve">código: db/migrations/old/050_create_terminos_procesales.sql:18</t>
  </si>
  <si>
    <t xml:space="preserve">C1457</t>
  </si>
  <si>
    <t xml:space="preserve">tipo_dias</t>
  </si>
  <si>
    <t xml:space="preserve">CALENDARIO, HABILES, HORAS</t>
  </si>
  <si>
    <t xml:space="preserve">db/migrations/old/050_create_terminos_procesales.sql:19: 'HABILES' o 'CALENDARIO'</t>
  </si>
  <si>
    <t xml:space="preserve">Unidad del conteo del término. Valores permitidos: HABILES, CALENDARIO, HORAS; valor por defecto HABILES.</t>
  </si>
  <si>
    <t xml:space="preserve">valores permitidos del CHECK; código: db/migrations/old/050_create_terminos_procesales.sql:19</t>
  </si>
  <si>
    <t xml:space="preserve">C1458</t>
  </si>
  <si>
    <t xml:space="preserve">idx_terminos_vencimiento</t>
  </si>
  <si>
    <t xml:space="preserve">db/migrations/old/050_create_terminos_procesales.sql:22: Fechas Calculadas Calculada por el backend al insertar</t>
  </si>
  <si>
    <t xml:space="preserve">Fecha de vencimiento del término, calculada por el backend al insertar.</t>
  </si>
  <si>
    <t xml:space="preserve">código: db/migrations/old/050_create_terminos_procesales.sql:22</t>
  </si>
  <si>
    <t xml:space="preserve">C1459</t>
  </si>
  <si>
    <t xml:space="preserve">fecha_alerta_preventiva</t>
  </si>
  <si>
    <t xml:space="preserve">db/migrations/old/050_create_terminos_procesales.sql:23: (Vencimiento - 5 días)</t>
  </si>
  <si>
    <t xml:space="preserve">Fecha de la alerta preventiva: vencimiento menos 5 días.</t>
  </si>
  <si>
    <t xml:space="preserve">código: db/migrations/old/050_create_terminos_procesales.sql:23</t>
  </si>
  <si>
    <t xml:space="preserve">C1460</t>
  </si>
  <si>
    <t xml:space="preserve">fecha_alerta_critica</t>
  </si>
  <si>
    <t xml:space="preserve">db/migrations/old/050_create_terminos_procesales.sql:24: (Vencimiento - 2 días)</t>
  </si>
  <si>
    <t xml:space="preserve">Fecha de la alerta crítica: vencimiento menos 2 días.</t>
  </si>
  <si>
    <t xml:space="preserve">código: db/migrations/old/050_create_terminos_procesales.sql:24</t>
  </si>
  <si>
    <t xml:space="preserve">C1461</t>
  </si>
  <si>
    <t xml:space="preserve">CUMPLIDO, ELIMINADO, PENDIENTE, SUSPENDIDO, VENCIDO</t>
  </si>
  <si>
    <t xml:space="preserve">idx_terminos_estado</t>
  </si>
  <si>
    <t xml:space="preserve">db/migrations/old/050_create_terminos_procesales.sql:27: Gestión</t>
  </si>
  <si>
    <t xml:space="preserve">Estado del término. Valores permitidos: CUMPLIDO, ELIMINADO, PENDIENTE, SUSPENDIDO, VENCIDO; valor por defecto PENDIENTE.</t>
  </si>
  <si>
    <t xml:space="preserve">C1462</t>
  </si>
  <si>
    <t xml:space="preserve">ALTA, BAJA, MEDIA</t>
  </si>
  <si>
    <t xml:space="preserve">Mapeada en legal-management-service/src/entities/termino-procesal.entity.ts:65 (TerminoProcesal.prioridad)</t>
  </si>
  <si>
    <t xml:space="preserve">Prioridad del término procesal. Valores permitidos: ALTA, BAJA, MEDIA. Por defecto, MEDIA.</t>
  </si>
  <si>
    <t xml:space="preserve">C1463</t>
  </si>
  <si>
    <t xml:space="preserve">idx_terminos_responsable</t>
  </si>
  <si>
    <t xml:space="preserve">db/migrations/old/050_create_terminos_procesales.sql:29: Usuario asignado</t>
  </si>
  <si>
    <t xml:space="preserve">Identificador del usuario asignado como responsable del término.</t>
  </si>
  <si>
    <t xml:space="preserve">código: db/migrations/old/050_create_terminos_procesales.sql:29</t>
  </si>
  <si>
    <t xml:space="preserve">C1464</t>
  </si>
  <si>
    <t xml:space="preserve">db/migrations/old/050_create_terminos_procesales.sql:32: Auditoría</t>
  </si>
  <si>
    <t xml:space="preserve">Observaciones sobre el término.</t>
  </si>
  <si>
    <t xml:space="preserve">C1465</t>
  </si>
  <si>
    <t xml:space="preserve">closed_at</t>
  </si>
  <si>
    <t xml:space="preserve">Mapeada en legal-management-service/src/entities/termino-procesal.entity.ts:93 (TerminoProcesal.closedAt)</t>
  </si>
  <si>
    <t xml:space="preserve">Fecha y hora del cierre.</t>
  </si>
  <si>
    <t xml:space="preserve">C1466</t>
  </si>
  <si>
    <t xml:space="preserve">Mapeada en legal-management-service/src/entities/termino-procesal.entity.ts:72 (TerminoProcesal.responsableNombre)</t>
  </si>
  <si>
    <t xml:space="preserve">Nombre del responsable del término procesal.</t>
  </si>
  <si>
    <t xml:space="preserve">C1467</t>
  </si>
  <si>
    <t xml:space="preserve">Mapeada en legal-management-service/src/entities/termino-procesal.entity.ts:75 (TerminoProcesal.destinatario)</t>
  </si>
  <si>
    <t xml:space="preserve">Destinatario de la actuación sujeta al término.</t>
  </si>
  <si>
    <t xml:space="preserve">¿El destinatario es la persona o entidad a la que se dirige la actuación?</t>
  </si>
  <si>
    <t xml:space="preserve">C1468</t>
  </si>
  <si>
    <t xml:space="preserve">fundamento_normativo</t>
  </si>
  <si>
    <t xml:space="preserve">Mapeada en legal-management-service/src/entities/termino-procesal.entity.ts:81 (TerminoProcesal.fundamentoNormativo)</t>
  </si>
  <si>
    <t xml:space="preserve">Normas que sustentan el término procesal, en formato JSON.</t>
  </si>
  <si>
    <t xml:space="preserve">¿Qué estructura tiene el JSON (norma, artículo)?</t>
  </si>
  <si>
    <t xml:space="preserve">C1469</t>
  </si>
  <si>
    <t xml:space="preserve">ente_solicitante</t>
  </si>
  <si>
    <t xml:space="preserve">Mapeada en legal-management-service/src/entities/termino-procesal.entity.ts:78 (TerminoProcesal.enteSolicitante)</t>
  </si>
  <si>
    <t xml:space="preserve">Entidad que solicita la actuación sujeta al término.</t>
  </si>
  <si>
    <t xml:space="preserve">¿Corresponde a un organismo de control del catálogo o es texto libre?</t>
  </si>
  <si>
    <t xml:space="preserve">C1470</t>
  </si>
  <si>
    <t xml:space="preserve">horas_anticipacion_alerta_personalizada</t>
  </si>
  <si>
    <t xml:space="preserve">legal-management-service/src/entities/termino-procesal.entity.ts:44: Si está seteada, este término ignora las reglas globales de terminos_reglas_alerta y el scheduler usa únicamente este umbral (horas antes del vencimiento).</t>
  </si>
  <si>
    <t xml:space="preserve">Horas de anticipación al vencimiento para la alerta de este término; si tiene valor, el programador de alertas ignora las reglas globales de terminos_reglas_alerta y usa solo este umbral.</t>
  </si>
  <si>
    <t xml:space="preserve">código: legal-management-service/src/entities/termino-procesal.entity.ts:44</t>
  </si>
  <si>
    <t xml:space="preserve">C1471</t>
  </si>
  <si>
    <t xml:space="preserve">recordatorio_manual_horas_anticipacion</t>
  </si>
  <si>
    <t xml:space="preserve">legal-management-service/src/entities/termino-procesal.entity.ts:49: Recordatorio programado manualmente por el usuario (envío único); el scheduler lo limpia a null después de enviarlo.</t>
  </si>
  <si>
    <t xml:space="preserve">Horas de anticipación de un recordatorio programado manualmente por el usuario (envío único); el programador lo deja vacío después de enviarlo.</t>
  </si>
  <si>
    <t xml:space="preserve">código: legal-management-service/src/entities/termino-procesal.entity.ts:49</t>
  </si>
  <si>
    <t xml:space="preserve">C1472</t>
  </si>
  <si>
    <t xml:space="preserve">ultimo_recordatorio_recurrente_en</t>
  </si>
  <si>
    <t xml:space="preserve">idx_terminos_procesales_recordatorio_recurrente</t>
  </si>
  <si>
    <t xml:space="preserve">legal-management-service/src/entities/termino-procesal.entity.ts:54: Último recordatorio periódico enviado. El scheduler lo usa para espaciar los recordatorios y no reenviar en cada corrida. Se limpia al mover el vencimiento.</t>
  </si>
  <si>
    <t xml:space="preserve">Fecha y hora del último recordatorio periódico enviado; el programador la usa para espaciar los recordatorios y se limpia al mover el vencimiento.</t>
  </si>
  <si>
    <t xml:space="preserve">código: legal-management-service/src/entities/termino-procesal.entity.ts:54</t>
  </si>
  <si>
    <t xml:space="preserve">C1473</t>
  </si>
  <si>
    <t xml:space="preserve">alerta_vencimiento_enviada_en</t>
  </si>
  <si>
    <t xml:space="preserve">legal-management-service/src/entities/termino-procesal.entity.ts:58: Aviso puntual de "ya venció" (envío único), distinto de los recordatorios periódicos.</t>
  </si>
  <si>
    <t xml:space="preserve">Fecha y hora del aviso único de término vencido, distinto de los recordatorios periódicos.</t>
  </si>
  <si>
    <t xml:space="preserve">código: legal-management-service/src/entities/termino-procesal.entity.ts:58</t>
  </si>
  <si>
    <t xml:space="preserve">C1474</t>
  </si>
  <si>
    <t xml:space="preserve">terminos_reglas_alerta</t>
  </si>
  <si>
    <t xml:space="preserve">horas_anticipacion</t>
  </si>
  <si>
    <t xml:space="preserve">uq_terminos_reglas_alerta_horas</t>
  </si>
  <si>
    <t xml:space="preserve">Mapeada en legal-management-service/src/entities/regla-alerta-termino.entity.ts:8 (ReglaAlertaTermino.horasAnticipacion)</t>
  </si>
  <si>
    <t xml:space="preserve">Horas de anticipación al vencimiento con que se dispara la alerta. Valor único por regla.</t>
  </si>
  <si>
    <t xml:space="preserve">nombre + tipo + restricción única + columnas vecinas</t>
  </si>
  <si>
    <t xml:space="preserve">C1475</t>
  </si>
  <si>
    <t xml:space="preserve">idx_terminos_reglas_alerta_activa</t>
  </si>
  <si>
    <t xml:space="preserve">Mapeada en legal-management-service/src/entities/regla-alerta-termino.entity.ts:11 (ReglaAlertaTermino.activa)</t>
  </si>
  <si>
    <t xml:space="preserve">C1476</t>
  </si>
  <si>
    <t xml:space="preserve">enviar_email</t>
  </si>
  <si>
    <t xml:space="preserve">Mapeada en legal-management-service/src/entities/regla-alerta-termino.entity.ts:15 (ReglaAlertaTermino.enviarEmail)</t>
  </si>
  <si>
    <t xml:space="preserve">Indica si aplica: enviar email.</t>
  </si>
  <si>
    <t xml:space="preserve">C1477</t>
  </si>
  <si>
    <t xml:space="preserve">notificar_in_app</t>
  </si>
  <si>
    <t xml:space="preserve">Mapeada en legal-management-service/src/entities/regla-alerta-termino.entity.ts:18 (ReglaAlertaTermino.notificarInApp)</t>
  </si>
  <si>
    <t xml:space="preserve">Indica si aplica: notificar in app.</t>
  </si>
  <si>
    <t xml:space="preserve">C1478</t>
  </si>
  <si>
    <t xml:space="preserve">Mapeada en legal-management-service/src/entities/regla-alerta-termino.entity.ts:21 (ReglaAlertaTermino.descripcion)</t>
  </si>
  <si>
    <t xml:space="preserve">Descripción del registro de terminos_reglas_alerta.</t>
  </si>
  <si>
    <t xml:space="preserve">C1479</t>
  </si>
  <si>
    <t xml:space="preserve">Función control_interno.trigger_evento_actualizacion_accion; Función control_interno.trigger_evento_creacion_accion — control_interno.trigger_evento_actualizacion_accion: v_descripcion := 'Acción completada: ' || SUBSTRING(NEW.descripcion, 1, 100) || | control_interno.trigger_evento_creacion_accion: 'Nueva acción creada: ' || SUBSTRING(NEW.descripcion, 1, 100) ||</t>
  </si>
  <si>
    <t xml:space="preserve">Mapeada en internal-institutional-control-service/src/esap/planes-mejoramiento/entities/accion-correctiva.entity.ts:53 (AccionCorrectiva.descripcion) | Validación: IsNotEmpty, IsOptional, IsString</t>
  </si>
  <si>
    <t xml:space="preserve">Descripción del registro de accion_correctiva.</t>
  </si>
  <si>
    <t xml:space="preserve">C1480</t>
  </si>
  <si>
    <t xml:space="preserve">correctiva, mejora, preventiva</t>
  </si>
  <si>
    <t xml:space="preserve">Función control_interno.trigger_evento_actualizacion_accion — control_interno.trigger_evento_actualizacion_accion: -- Determinar el tipo de evento según lo que cambió</t>
  </si>
  <si>
    <t xml:space="preserve">Mapeada en internal-institutional-control-service/src/esap/planes-mejoramiento/entities/accion-correctiva.entity.ts:56 (AccionCorrectiva.tipo) | Validación: IsEnum(AccionCorrectivaTipo), IsEnum(TipoAuditoriaProgramada), IsEnum(TipoEventoTimeline), IsEnum(TipoTablero), IsEnum(['cumplimiento', 'eficiencia', 'eficacia', 'economia']), IsEnum(['plan-auditoria', 'plan-mejora', 'informe', 'documento'])</t>
  </si>
  <si>
    <t xml:space="preserve">Tipo del registro de accion_correctiva.</t>
  </si>
  <si>
    <t xml:space="preserve">C1481</t>
  </si>
  <si>
    <t xml:space="preserve">Función control_interno.trigger_evento_actualizacion_accion; Función control_interno.trigger_evento_creacion_accion — control_interno.trigger_evento_actualizacion_accion: NEW.responsable,  -- usar el campo responsable que es varchar | control_interno.trigger_evento_creacion_accion: NEW.responsable,  -- usar el campo responsable que es varchar</t>
  </si>
  <si>
    <t xml:space="preserve">Mapeada en internal-institutional-control-service/src/esap/planes-mejoramiento/entities/accion-correctiva.entity.ts:63 (AccionCorrectiva.responsable) | Validación: IsNotEmpty, IsOptional, IsString, Length(1, 255)</t>
  </si>
  <si>
    <t xml:space="preserve">Nombre del responsable de ejecutar la acción correctiva (texto libre de 1 a 255 caracteres).</t>
  </si>
  <si>
    <t xml:space="preserve">uso en las funciones trigger_evento_creacion_accion y trigger_evento_actualizacion_accion + validaciones ~</t>
  </si>
  <si>
    <t xml:space="preserve">C1482</t>
  </si>
  <si>
    <t xml:space="preserve">Mapeada en internal-institutional-control-service/src/esap/planes-mejoramiento/entities/accion-correctiva.entity.ts:66 (AccionCorrectiva.fechaInicio) | Validación: IsDateString, IsNotEmpty, IsOptional</t>
  </si>
  <si>
    <t xml:space="preserve">C1483</t>
  </si>
  <si>
    <t xml:space="preserve">Mapeada en internal-institutional-control-service/src/esap/planes-mejoramiento/entities/accion-correctiva.entity.ts:69 (AccionCorrectiva.fechaFin) | Validación: IsDateString, IsNotEmpty, IsOptional</t>
  </si>
  <si>
    <t xml:space="preserve">C1484</t>
  </si>
  <si>
    <t xml:space="preserve">recursos</t>
  </si>
  <si>
    <t xml:space="preserve">Mapeada en internal-institutional-control-service/src/esap/planes-mejoramiento/entities/accion-correctiva.entity.ts:72 (AccionCorrectiva.recursos) | Validación: IsOptional, IsString</t>
  </si>
  <si>
    <t xml:space="preserve">Recursos requeridos para ejecutar la acción correctiva.</t>
  </si>
  <si>
    <t xml:space="preserve">¿recursos describe recursos humanos, técnicos o presupuestales, en texto libre?</t>
  </si>
  <si>
    <t xml:space="preserve">C1485</t>
  </si>
  <si>
    <t xml:space="preserve">indicador</t>
  </si>
  <si>
    <t xml:space="preserve">Mapeada en internal-institutional-control-service/src/esap/planes-mejoramiento/entities/accion-correctiva.entity.ts:75 (AccionCorrectiva.indicador) | Validación: IsOptional, IsString</t>
  </si>
  <si>
    <t xml:space="preserve">nombre + columnas vecinas (meta_indicador) ~</t>
  </si>
  <si>
    <t xml:space="preserve">C1486</t>
  </si>
  <si>
    <t xml:space="preserve">Mapeada en internal-institutional-control-service/src/esap/planes-mejoramiento/entities/accion-correctiva.entity.ts:78 (AccionCorrectiva.metaIndicador) | Validación: IsOptional, IsString</t>
  </si>
  <si>
    <t xml:space="preserve">Meta esperada del indicador de la acción correctiva.</t>
  </si>
  <si>
    <t xml:space="preserve">nombre + columnas vecinas (indicador) ~</t>
  </si>
  <si>
    <t xml:space="preserve">C1487</t>
  </si>
  <si>
    <t xml:space="preserve">completada, en-progreso, implementada, programada, vencida</t>
  </si>
  <si>
    <t xml:space="preserve">Función control_interno.trigger_evento_actualizacion_accion; Función control_interno.trigger_evento_creacion_accion — control_interno.trigger_evento_actualizacion_accion: ELSIF OLD.estado IS DISTINCT FROM NEW.estado THEN | control_interno.trigger_evento_creacion_accion: 'estado', NEW.estado,</t>
  </si>
  <si>
    <t xml:space="preserve">idx_accion_correctiva_estado</t>
  </si>
  <si>
    <t xml:space="preserve">Mapeada en internal-institutional-control-service/src/esap/planes-mejoramiento/entities/accion-correctiva.entity.ts:81 (AccionCorrectiva.estado) | Validación: IsEnum(AccionCorrectivaEstado), IsEnum(EstadoEtapa), IsEnum(EstadoPlanIndividual), IsEnum(EstadoTarea), IsEnum(HallazgoEstado), IsEnum(PlanMejoramientoEstado)</t>
  </si>
  <si>
    <t xml:space="preserve">Estado del registro de accion_correctiva.</t>
  </si>
  <si>
    <t xml:space="preserve">C1488</t>
  </si>
  <si>
    <t xml:space="preserve">Función control_interno.trigger_evento_actualizacion_accion; Función control_interno.trigger_evento_creacion_accion — control_interno.trigger_evento_actualizacion_accion: IF OLD.porcentaje_avance IS DISTINCT FROM NEW.porcentaje_avance THEN | control_interno.trigger_evento_creacion_accion: 'progreso', NEW.porcentaje_avance</t>
  </si>
  <si>
    <t xml:space="preserve">Mapeada en internal-institutional-control-service/src/esap/planes-mejoramiento/entities/accion-correctiva.entity.ts:88 (AccionCorrectiva.porcentajeAvance) | Validación: IsInt, IsOptional, Max(100), Min(0)</t>
  </si>
  <si>
    <t xml:space="preserve">Porcentaje de avance de la acción correctiva, de 0 a 100; los cambios quedan registrados como evento de progreso.</t>
  </si>
  <si>
    <t xml:space="preserve">uso en la función trigger_evento_actualizacion_accion + validaciones Min(0), Max(100) ~</t>
  </si>
  <si>
    <t xml:space="preserve">C1489</t>
  </si>
  <si>
    <t xml:space="preserve">Mapeada en internal-institutional-control-service/src/esap/planes-mejoramiento/entities/accion-correctiva.entity.ts:91 (AccionCorrectiva.observaciones) | Validación: IsOptional, IsString</t>
  </si>
  <si>
    <t xml:space="preserve">C1490</t>
  </si>
  <si>
    <t xml:space="preserve">Mapeada en internal-institutional-control-service/src/esap/planes-mejoramiento/entities/accion-correctiva.entity.ts:94 (AccionCorrectiva.evidencias) | Validación: IsArray, IsOptional, IsString({ each: true })</t>
  </si>
  <si>
    <t xml:space="preserve">Lista de evidencias de la acción correctiva, en formato JSON (arreglo de textos).</t>
  </si>
  <si>
    <t xml:space="preserve">tipo jsonb + validaciones IsArray, IsString each</t>
  </si>
  <si>
    <t xml:space="preserve">¿Cada elemento de evidencias es una ruta, una URL o un identificador de documento?</t>
  </si>
  <si>
    <t xml:space="preserve">C1491</t>
  </si>
  <si>
    <t xml:space="preserve">cantidad_acciones_programadas</t>
  </si>
  <si>
    <t xml:space="preserve">internal-institutional-control-service/src/esap/planes-mejoramiento/entities/accion-correctiva.entity.ts:133: Cantidad de acciones programadas (meta). Ref: EM-FO-002</t>
  </si>
  <si>
    <t xml:space="preserve">Cantidad de acciones programadas como meta de la acción correctiva (EM-FO-002).</t>
  </si>
  <si>
    <t xml:space="preserve">código: internal-institutional-control-service/src/esap/planes-mejoramiento/entities/accion-correctiva.entity.ts:133</t>
  </si>
  <si>
    <t xml:space="preserve">C1492</t>
  </si>
  <si>
    <t xml:space="preserve">cantidad_acciones_implementadas</t>
  </si>
  <si>
    <t xml:space="preserve">internal-institutional-control-service/src/esap/planes-mejoramiento/entities/accion-correctiva.entity.ts:137: Cantidad de acciones implementadas. Ref: EM-FO-002</t>
  </si>
  <si>
    <t xml:space="preserve">Cantidad de acciones implementadas de la acción correctiva (EM-FO-002).</t>
  </si>
  <si>
    <t xml:space="preserve">código: internal-institutional-control-service/src/esap/planes-mejoramiento/entities/accion-correctiva.entity.ts:137</t>
  </si>
  <si>
    <t xml:space="preserve">C1493</t>
  </si>
  <si>
    <t xml:space="preserve">cumplimiento_emfo</t>
  </si>
  <si>
    <t xml:space="preserve">internal-institutional-control-service/src/esap/planes-mejoramiento/entities/accion-correctiva.entity.ts:141: Cumplimiento calculado: 2=Cumple, 1=Parcial, 0=No cumple. EM-FO-002</t>
  </si>
  <si>
    <t xml:space="preserve">Cumplimiento calculado de la acción. Valores: 2 = Cumple, 1 = Parcial, 0 = No cumple (EM-FO-002).</t>
  </si>
  <si>
    <t xml:space="preserve">código: internal-institutional-control-service/src/esap/planes-mejoramiento/entities/accion-correctiva.entity.ts:141</t>
  </si>
  <si>
    <t xml:space="preserve">C1494</t>
  </si>
  <si>
    <t xml:space="preserve">estado_accion_seguimiento</t>
  </si>
  <si>
    <t xml:space="preserve">internal-institutional-control-service/src/esap/planes-mejoramiento/entities/accion-correctiva.entity.ts:145: Estado de la acción: Abierta / Cerrada. EM-FO-002</t>
  </si>
  <si>
    <t xml:space="preserve">Estado de la acción en el seguimiento: abierta o cerrada; por defecto abierta (EM-FO-002).</t>
  </si>
  <si>
    <t xml:space="preserve">código: internal-institutional-control-service/src/esap/planes-mejoramiento/entities/accion-correctiva.entity.ts:145</t>
  </si>
  <si>
    <t xml:space="preserve">C1495</t>
  </si>
  <si>
    <t xml:space="preserve">responsable_seguimiento</t>
  </si>
  <si>
    <t xml:space="preserve">internal-institutional-control-service/src/esap/planes-mejoramiento/entities/accion-correctiva.entity.ts:154: Responsable del seguimiento (Jefe OCI o quien tenga las funciones)</t>
  </si>
  <si>
    <t xml:space="preserve">Responsable del seguimiento de la acción (jefe de la Oficina de Control Interno o quien tenga sus funciones).</t>
  </si>
  <si>
    <t xml:space="preserve">código: internal-institutional-control-service/src/esap/planes-mejoramiento/entities/accion-correctiva.entity.ts:154</t>
  </si>
  <si>
    <t xml:space="preserve">C1496</t>
  </si>
  <si>
    <t xml:space="preserve">observacion_cumplimiento</t>
  </si>
  <si>
    <t xml:space="preserve">internal-institutional-control-service/src/esap/planes-mejoramiento/entities/accion-correctiva.entity.ts:158: Observaciones de cumplimiento</t>
  </si>
  <si>
    <t xml:space="preserve">Observaciones sobre el cumplimiento de la acción.</t>
  </si>
  <si>
    <t xml:space="preserve">código: internal-institutional-control-service/src/esap/planes-mejoramiento/entities/accion-correctiva.entity.ts:158</t>
  </si>
  <si>
    <t xml:space="preserve">C1497</t>
  </si>
  <si>
    <t xml:space="preserve">evaluar_aplicacion_controles</t>
  </si>
  <si>
    <t xml:space="preserve">internal-institutional-control-service/src/esap/planes-mejoramiento/entities/accion-correctiva.entity.ts:166: Criterio 1: "Evaluar la aplicación de controles…" (SI/NO)</t>
  </si>
  <si>
    <t xml:space="preserve">Criterio 1 de efectividad: indica si se evaluó la aplicación de los controles (sí/no).</t>
  </si>
  <si>
    <t xml:space="preserve">código: internal-institutional-control-service/src/esap/planes-mejoramiento/entities/accion-correctiva.entity.ts:166</t>
  </si>
  <si>
    <t xml:space="preserve">C1498</t>
  </si>
  <si>
    <t xml:space="preserve">validar_situacion_no_repitio</t>
  </si>
  <si>
    <t xml:space="preserve">internal-institutional-control-service/src/esap/planes-mejoramiento/entities/accion-correctiva.entity.ts:170: Criterio 2: "Validar que la situación no se volvió a presentar" (SI/NO)</t>
  </si>
  <si>
    <t xml:space="preserve">Criterio 2 de efectividad: indica si se validó que la situación no se volvió a presentar (sí/no).</t>
  </si>
  <si>
    <t xml:space="preserve">código: internal-institutional-control-service/src/esap/planes-mejoramiento/entities/accion-correctiva.entity.ts:170</t>
  </si>
  <si>
    <t xml:space="preserve">C1499</t>
  </si>
  <si>
    <t xml:space="preserve">efectividad_emfo</t>
  </si>
  <si>
    <t xml:space="preserve">internal-institutional-control-service/src/esap/planes-mejoramiento/entities/accion-correctiva.entity.ts:174: Efectividad calculada: 2=Efectiva, 1=Parcial, 0=Inefectiva. EM-FO-002</t>
  </si>
  <si>
    <t xml:space="preserve">Efectividad calculada de la acción. Valores: 2 = Efectiva, 1 = Parcial, 0 = Inefectiva (EM-FO-002).</t>
  </si>
  <si>
    <t xml:space="preserve">código: internal-institutional-control-service/src/esap/planes-mejoramiento/entities/accion-correctiva.entity.ts:174</t>
  </si>
  <si>
    <t xml:space="preserve">C1500</t>
  </si>
  <si>
    <t xml:space="preserve">efectividad_verificada</t>
  </si>
  <si>
    <t xml:space="preserve">internal-institutional-control-service/src/esap/planes-mejoramiento/entities/accion-correctiva.entity.ts:178: ¿La efectividad ha sido verificada en la siguiente auditoría? EM-PT-002 act. 9</t>
  </si>
  <si>
    <t xml:space="preserve">Indica si la efectividad de la acción se verificó en la siguiente auditoría; por defecto falso (EM-PT-002, actividad 9).</t>
  </si>
  <si>
    <t xml:space="preserve">código: internal-institutional-control-service/src/esap/planes-mejoramiento/entities/accion-correctiva.entity.ts:178</t>
  </si>
  <si>
    <t xml:space="preserve">C1501</t>
  </si>
  <si>
    <t xml:space="preserve">observacion_efectividad</t>
  </si>
  <si>
    <t xml:space="preserve">internal-institutional-control-service/src/esap/planes-mejoramiento/entities/accion-correctiva.entity.ts:182: Observaciones de efectividad</t>
  </si>
  <si>
    <t xml:space="preserve">Observaciones sobre la efectividad de la acción.</t>
  </si>
  <si>
    <t xml:space="preserve">código: internal-institutional-control-service/src/esap/planes-mejoramiento/entities/accion-correctiva.entity.ts:182</t>
  </si>
  <si>
    <t xml:space="preserve">C1502</t>
  </si>
  <si>
    <t xml:space="preserve">accion_mejora</t>
  </si>
  <si>
    <t xml:space="preserve">C1503</t>
  </si>
  <si>
    <t xml:space="preserve">Descripción del registro de accion_mejora.</t>
  </si>
  <si>
    <t xml:space="preserve">C1504</t>
  </si>
  <si>
    <t xml:space="preserve">Tipo del registro de accion_mejora.</t>
  </si>
  <si>
    <t xml:space="preserve">C1505</t>
  </si>
  <si>
    <t xml:space="preserve">Nombre del responsable de ejecutar la acción de mejora.</t>
  </si>
  <si>
    <t xml:space="preserve">C1506</t>
  </si>
  <si>
    <t xml:space="preserve">C1507</t>
  </si>
  <si>
    <t xml:space="preserve">C1508</t>
  </si>
  <si>
    <t xml:space="preserve">completada, en_progreso, pendiente, vencida</t>
  </si>
  <si>
    <t xml:space="preserve">idx_accion_mejora_estado</t>
  </si>
  <si>
    <t xml:space="preserve">Estado del registro de accion_mejora.</t>
  </si>
  <si>
    <t xml:space="preserve">C1509</t>
  </si>
  <si>
    <t xml:space="preserve">avance</t>
  </si>
  <si>
    <t xml:space="preserve">Porcentaje de avance de la acción de mejora.</t>
  </si>
  <si>
    <t xml:space="preserve">¿avance se expresa en porcentaje de 0 a 100?</t>
  </si>
  <si>
    <t xml:space="preserve">C1510</t>
  </si>
  <si>
    <t xml:space="preserve">Evidencias de la acción de mejora, en formato JSON.</t>
  </si>
  <si>
    <t xml:space="preserve">¿Qué estructura tiene evidencias (arreglo de rutas, URL o identificadores de documento)?</t>
  </si>
  <si>
    <t xml:space="preserve">C1511</t>
  </si>
  <si>
    <t xml:space="preserve">C1512</t>
  </si>
  <si>
    <t xml:space="preserve">actividad_etapa_auditoria</t>
  </si>
  <si>
    <t xml:space="preserve">Nombre del registro de actividad_etapa_auditoria.</t>
  </si>
  <si>
    <t xml:space="preserve">C1513</t>
  </si>
  <si>
    <t xml:space="preserve">Descripción del registro de actividad_etapa_auditoria.</t>
  </si>
  <si>
    <t xml:space="preserve">C1514</t>
  </si>
  <si>
    <t xml:space="preserve">Tipo del registro de actividad_etapa_auditoria.</t>
  </si>
  <si>
    <t xml:space="preserve">C1515</t>
  </si>
  <si>
    <t xml:space="preserve">completada, en-progreso, pendiente</t>
  </si>
  <si>
    <t xml:space="preserve">Estado del registro de actividad_etapa_auditoria.</t>
  </si>
  <si>
    <t xml:space="preserve">C1516</t>
  </si>
  <si>
    <t xml:space="preserve">Nombre del responsable de la actividad dentro de la etapa de auditoría.</t>
  </si>
  <si>
    <t xml:space="preserve">¿responsable guarda el nombre, el correo o el identificador del usuario?</t>
  </si>
  <si>
    <t xml:space="preserve">C1517</t>
  </si>
  <si>
    <t xml:space="preserve">fecha_limite</t>
  </si>
  <si>
    <t xml:space="preserve">Fecha límite.</t>
  </si>
  <si>
    <t xml:space="preserve">C1518</t>
  </si>
  <si>
    <t xml:space="preserve">completada</t>
  </si>
  <si>
    <t xml:space="preserve">Indica si el registro está completada.</t>
  </si>
  <si>
    <t xml:space="preserve">C1519</t>
  </si>
  <si>
    <t xml:space="preserve">fecha_completacion</t>
  </si>
  <si>
    <t xml:space="preserve">Fecha de completación.</t>
  </si>
  <si>
    <t xml:space="preserve">C1520</t>
  </si>
  <si>
    <t xml:space="preserve">actividad_plan_anual_5</t>
  </si>
  <si>
    <t xml:space="preserve">plan_id</t>
  </si>
  <si>
    <t xml:space="preserve">Función control_interno.fn_actualizar_cumplimiento_auditorias_vigencia; Función control_interno.fn_configurar_actividad_auditorias_plan; Vista control_interno.v_estado_vinculacion_auditorias — control_interno.fn_actualizar_cumplimiento_auditorias_vigencia: INNER JOIN control_interno.plan_anual_5_roles p ON r.plan_id = p.id | control_interno.fn_configurar_actividad_auditorias_plan: WHERE r.plan_id = p_plan_id</t>
  </si>
  <si>
    <t xml:space="preserve">idx_actividad_plan_5</t>
  </si>
  <si>
    <t xml:space="preserve">Mapeada en internal-institutional-control-service/src/esap/plan-anual-5-roles/entities/actividad-plan-anual-5.entity.ts:29 (ActividadPlanAnual5.planId)</t>
  </si>
  <si>
    <t xml:space="preserve">Identificador del rol del plan anual al que pertenece la actividad (control_interno.plan_anual_5_roles).</t>
  </si>
  <si>
    <t xml:space="preserve">uso en las funciones fn_actualizar_cumplimiento_auditorias_vigencia y fn_configurar_actividad_auditorias_plan ~</t>
  </si>
  <si>
    <t xml:space="preserve">C1521</t>
  </si>
  <si>
    <t xml:space="preserve">Función control_interno.fn_configurar_actividad_auditorias_plan; Vista control_interno.v_estado_vinculacion_auditorias — control_interno.fn_configurar_actividad_auditorias_plan: LOWER(a.nombre) LIKE '%auditoría%'</t>
  </si>
  <si>
    <t xml:space="preserve">Mapeada en internal-institutional-control-service/src/esap/plan-anual-5-roles/entities/actividad-plan-anual-5.entity.ts:37 (ActividadPlanAnual5.nombre) | Validación: IsNotEmpty, IsNotEmpty({ message: 'El nombre del documento es obligatorio' }), IsOptional, IsString, Length(1, 500), MaxLength(120)</t>
  </si>
  <si>
    <t xml:space="preserve">Nombre del registro de actividad_plan_anual_5.</t>
  </si>
  <si>
    <t xml:space="preserve">C1522</t>
  </si>
  <si>
    <t xml:space="preserve">Mapeada en internal-institutional-control-service/src/esap/plan-anual-5-roles/entities/actividad-plan-anual-5.entity.ts:40 (ActividadPlanAnual5.descripcion) | Validación: IsNotEmpty, IsOptional, IsString</t>
  </si>
  <si>
    <t xml:space="preserve">Descripción del registro de actividad_plan_anual_5.</t>
  </si>
  <si>
    <t xml:space="preserve">C1523</t>
  </si>
  <si>
    <t xml:space="preserve">Mapeada en internal-institutional-control-service/src/esap/plan-anual-5-roles/entities/actividad-plan-anual-5.entity.ts:43 (ActividadPlanAnual5.responsable) | Validación: IsNotEmpty, IsOptional, IsString, Length(1, 255)</t>
  </si>
  <si>
    <t xml:space="preserve">Nombre del responsable de la actividad del plan anual (texto de 1 a 255 caracteres).</t>
  </si>
  <si>
    <t xml:space="preserve">nombre + validaciones ~</t>
  </si>
  <si>
    <t xml:space="preserve">C1524</t>
  </si>
  <si>
    <t xml:space="preserve">Vista control_interno.v_estado_vinculacion_auditorias</t>
  </si>
  <si>
    <t xml:space="preserve">Mapeada en internal-institutional-control-service/src/esap/plan-anual-5-roles/entities/actividad-plan-anual-5.entity.ts:46 (ActividadPlanAnual5.fecha_inicio) | Validación: IsDateString, IsNotEmpty, IsOptional</t>
  </si>
  <si>
    <t xml:space="preserve">C1525</t>
  </si>
  <si>
    <t xml:space="preserve">Mapeada en internal-institutional-control-service/src/esap/plan-anual-5-roles/entities/actividad-plan-anual-5.entity.ts:49 (ActividadPlanAnual5.fecha_fin) | Validación: IsDateString, IsNotEmpty, IsOptional</t>
  </si>
  <si>
    <t xml:space="preserve">C1526</t>
  </si>
  <si>
    <t xml:space="preserve">completada, en-progreso, pendiente, retrasada</t>
  </si>
  <si>
    <t xml:space="preserve">Función control_interno.fn_actualizar_cumplimiento_auditorias_vigencia — control_interno.fn_actualizar_cumplimiento_auditorias_vigencia: estado = CASE</t>
  </si>
  <si>
    <t xml:space="preserve">idx_actividad_estado_5</t>
  </si>
  <si>
    <t xml:space="preserve">Mapeada en internal-institutional-control-service/src/esap/plan-anual-5-roles/entities/actividad-plan-anual-5.entity.ts:52 (ActividadPlanAnual5.estado) | Validación: IsEnum(AccionCorrectivaEstado), IsEnum(EstadoEtapa), IsEnum(EstadoPlanIndividual), IsEnum(EstadoTarea), IsEnum(HallazgoEstado), IsEnum(PlanMejoramientoEstado)</t>
  </si>
  <si>
    <t xml:space="preserve">Estado del registro de actividad_plan_anual_5.</t>
  </si>
  <si>
    <t xml:space="preserve">C1527</t>
  </si>
  <si>
    <t xml:space="preserve">Función control_interno.fn_actualizar_cumplimiento_auditorias_vigencia; Vista control_interno.v_estado_vinculacion_auditorias — control_interno.fn_actualizar_cumplimiento_auditorias_vigencia: porcentaje_avance = v_cumplimiento.porcentaje_cumplimiento,</t>
  </si>
  <si>
    <t xml:space="preserve">Mapeada en internal-institutional-control-service/src/esap/plan-anual-5-roles/entities/actividad-plan-anual-5.entity.ts:60 (ActividadPlanAnual5.porcentaje_avance) | Validación: IsInt, IsOptional, Max(100), Min(0)</t>
  </si>
  <si>
    <t xml:space="preserve">Porcentaje de avance de la actividad, de 0 a 100; en actividades de auditoría lo actualiza el cálculo de cumplimiento de la vigencia.</t>
  </si>
  <si>
    <t xml:space="preserve">uso en la función fn_actualizar_cumplimiento_auditorias_vigencia + validaciones Min(0), Max(100) ~</t>
  </si>
  <si>
    <t xml:space="preserve">C1528</t>
  </si>
  <si>
    <t xml:space="preserve">Mapeada en internal-institutional-control-service/src/esap/plan-anual-5-roles/entities/actividad-plan-anual-5.entity.ts:63 (ActividadPlanAnual5.observaciones) | Validación: IsOptional, IsString</t>
  </si>
  <si>
    <t xml:space="preserve">C1529</t>
  </si>
  <si>
    <t xml:space="preserve">Mapeada en internal-institutional-control-service/src/esap/plan-anual-5-roles/entities/actividad-plan-anual-5.entity.ts:66 (ActividadPlanAnual5.prioridad) | Validación: IsEnum(PrioridadAuditoria), IsEnum(PrioridadAuditoriaProgramada), IsEnum(PrioridadNotificacion), IsEnum(PrioridadTarea), IsEnum(['Alta', 'Media', 'Baja']), IsInt</t>
  </si>
  <si>
    <t xml:space="preserve">Prioridad de la actividad. Valores permitidos: Alta, Media, Baja; por defecto Media.</t>
  </si>
  <si>
    <t xml:space="preserve">valores permitidos del CHECK + defecto ~</t>
  </si>
  <si>
    <t xml:space="preserve">C1530</t>
  </si>
  <si>
    <t xml:space="preserve">idx_actividad_plan_anual_5_activo</t>
  </si>
  <si>
    <t xml:space="preserve">internal-institutional-control-service/src/esap/plan-anual-5-roles/entities/actividad-plan-anual-5.entity.ts:201: ═══════════════════════════════════════════════════════════════════════════ NUEVOS CAMPOS - Migración 129 ═══════════════════════════════════════════════════════════════════════════ | Validación: IsBoolean, IsOptional</t>
  </si>
  <si>
    <t xml:space="preserve">Indica si la actividad del plan anual está activa. Por defecto verdadero.</t>
  </si>
  <si>
    <t xml:space="preserve">C1531</t>
  </si>
  <si>
    <t xml:space="preserve">total_auditorias_programadas</t>
  </si>
  <si>
    <t xml:space="preserve">Función control_interno.fn_actualizar_cumplimiento_auditorias_vigencia; Vista control_interno.v_estado_vinculacion_auditorias — control_interno.fn_actualizar_cumplimiento_auditorias_vigencia: total_auditorias_programadas = v_cumplimiento.total_programadas,</t>
  </si>
  <si>
    <t xml:space="preserve">internal-institutional-control-service/src/esap/plan-anual-5-roles/entities/actividad-plan-anual-5.entity.ts:114: ═══════════════════════════════════════════════════════════════════════════ NUEVOS CAMPOS - Migración 129 ═══════════════════════════════════════════════════════════════════════════</t>
  </si>
  <si>
    <t xml:space="preserve">Total de auditorías programadas asociadas a la actividad del plan anual; lo actualiza la función fn_actualizar_cumplimiento_auditorias_vigencia. Por defecto 0.</t>
  </si>
  <si>
    <t xml:space="preserve">uso en la función control_interno.fn_actualizar_cumplimiento_auditorias_vigencia</t>
  </si>
  <si>
    <t xml:space="preserve">C1532</t>
  </si>
  <si>
    <t xml:space="preserve">total_auditorias_finalizadas</t>
  </si>
  <si>
    <t xml:space="preserve">Función control_interno.fn_actualizar_cumplimiento_auditorias_vigencia; Vista control_interno.v_estado_vinculacion_auditorias — control_interno.fn_actualizar_cumplimiento_auditorias_vigencia: total_auditorias_finalizadas = v_cumplimiento.total_finalizadas,</t>
  </si>
  <si>
    <t xml:space="preserve">internal-institutional-control-service/src/esap/plan-anual-5-roles/entities/actividad-plan-anual-5.entity.ts:117: ═══════════════════════════════════════════════════════════════════════════ NUEVOS CAMPOS - Migración 129 ═══════════════════════════════════════════════════════════════════════════</t>
  </si>
  <si>
    <t xml:space="preserve">Total de auditorías finalizadas asociadas a la actividad del plan anual; lo actualiza la función fn_actualizar_cumplimiento_auditorias_vigencia. Por defecto 0.</t>
  </si>
  <si>
    <t xml:space="preserve">C1533</t>
  </si>
  <si>
    <t xml:space="preserve">actividad_proceso_auditoria</t>
  </si>
  <si>
    <t xml:space="preserve">fase</t>
  </si>
  <si>
    <t xml:space="preserve">Comunicación, Ejecución, Planeación, Seguimiento</t>
  </si>
  <si>
    <t xml:space="preserve">Función control_interno.actualizar_actividades_auditoria — control_interno.actualizar_actividades_auditoria: -- Obtener la fase actual de la auditoría</t>
  </si>
  <si>
    <t xml:space="preserve">idx_actividad_fase, uq_actividad_fase_orden</t>
  </si>
  <si>
    <t xml:space="preserve">Fase del proceso de auditoría a la que pertenece la actividad. Valores permitidos: Planeación, Comunicación, Ejecución, Seguimiento.</t>
  </si>
  <si>
    <t xml:space="preserve">valores permitidos del CHECK + uso en la función actualizar_actividades_auditoria ~</t>
  </si>
  <si>
    <t xml:space="preserve">C1534</t>
  </si>
  <si>
    <t xml:space="preserve">Nombre del registro de actividad_proceso_auditoria.</t>
  </si>
  <si>
    <t xml:space="preserve">C1535</t>
  </si>
  <si>
    <t xml:space="preserve">Descripción del registro de actividad_proceso_auditoria.</t>
  </si>
  <si>
    <t xml:space="preserve">C1536</t>
  </si>
  <si>
    <t xml:space="preserve">uq_actividad_fase_orden</t>
  </si>
  <si>
    <t xml:space="preserve">db/migrations/old/036_add_auditorias_kanban_completo.sql:733: Máximo 3 actividades por fase</t>
  </si>
  <si>
    <t xml:space="preserve">Posición de la actividad dentro de la fase del proceso de auditoría; máximo tres actividades por fase.</t>
  </si>
  <si>
    <t xml:space="preserve">código: db/migrations/old/036_add_auditorias_kanban_completo.sql:733</t>
  </si>
  <si>
    <t xml:space="preserve">C1537</t>
  </si>
  <si>
    <t xml:space="preserve">Función control_interno.actualizar_actividades_auditoria; Trigger trigger_actualizar_actividades — control_interno.actualizar_actividades_auditoria: SELECT COUNT(*), COUNT(*) FILTER (WHERE estado = 'completada')</t>
  </si>
  <si>
    <t xml:space="preserve">idx_actividad_estado</t>
  </si>
  <si>
    <t xml:space="preserve">Estado del registro de actividad_proceso_auditoria.</t>
  </si>
  <si>
    <t xml:space="preserve">C1538</t>
  </si>
  <si>
    <t xml:space="preserve">C1539</t>
  </si>
  <si>
    <t xml:space="preserve">C1540</t>
  </si>
  <si>
    <t xml:space="preserve">C1541</t>
  </si>
  <si>
    <t xml:space="preserve">actividad_rol</t>
  </si>
  <si>
    <t xml:space="preserve">Nombre del registro de actividad_rol.</t>
  </si>
  <si>
    <t xml:space="preserve">C1542</t>
  </si>
  <si>
    <t xml:space="preserve">Descripción del registro de actividad_rol.</t>
  </si>
  <si>
    <t xml:space="preserve">C1543</t>
  </si>
  <si>
    <t xml:space="preserve">C1544</t>
  </si>
  <si>
    <t xml:space="preserve">C1545</t>
  </si>
  <si>
    <t xml:space="preserve">adjunto_actividad_plan_anual_5</t>
  </si>
  <si>
    <t xml:space="preserve">db/migrations/129_add_campos_actividad_plan_anual_y_adjuntos.sql:56: Información del archivo | Validación: IsNotEmpty, IsNotEmpty({ message: 'El nombre del documento es obligatorio' }), IsOptional, IsString, Length(1, 500), MaxLength(120)</t>
  </si>
  <si>
    <t xml:space="preserve">Nombre del archivo adjunto (evidencia) de la actividad del Plan Anual de Auditoría.</t>
  </si>
  <si>
    <t xml:space="preserve">código: db/migrations/129_add_campos_actividad_plan_anual_y_adjuntos.sql:56</t>
  </si>
  <si>
    <t xml:space="preserve">C1546</t>
  </si>
  <si>
    <t xml:space="preserve">idx_adjunto_actividad_plan_anual_5_fecha</t>
  </si>
  <si>
    <t xml:space="preserve">db/migrations/129_add_campos_actividad_plan_anual_y_adjuntos.sql:61: Información de carga | Validación: IsNotEmpty({ message: 'La fecha de carga es obligatoria' }), IsString</t>
  </si>
  <si>
    <t xml:space="preserve">Fecha y hora en que se cargó el archivo; por defecto el momento de registro.</t>
  </si>
  <si>
    <t xml:space="preserve">código: db/migrations/129_add_campos_actividad_plan_anual_y_adjuntos.sql:61</t>
  </si>
  <si>
    <t xml:space="preserve">C1547</t>
  </si>
  <si>
    <t xml:space="preserve">db/migrations/129_add_campos_actividad_plan_anual_y_adjuntos.sql:62: Nombre del usuario que cargó | Validación: IsOptional, IsString</t>
  </si>
  <si>
    <t xml:space="preserve">Nombre del usuario que cargó el archivo.</t>
  </si>
  <si>
    <t xml:space="preserve">código: db/migrations/129_add_campos_actividad_plan_anual_y_adjuntos.sql:62</t>
  </si>
  <si>
    <t xml:space="preserve">C1548</t>
  </si>
  <si>
    <t xml:space="preserve">cargado_por_id</t>
  </si>
  <si>
    <t xml:space="preserve">db/migrations/129_add_campos_actividad_plan_anual_y_adjuntos.sql:63: ID del usuario (FK opcional a personas) | Validación: IsNumber, IsOptional</t>
  </si>
  <si>
    <t xml:space="preserve">Identificador del usuario que cargó el archivo; referencia opcional a la persona en auth.personas.</t>
  </si>
  <si>
    <t xml:space="preserve">código: db/migrations/129_add_campos_actividad_plan_anual_y_adjuntos.sql:63</t>
  </si>
  <si>
    <t xml:space="preserve">C1549</t>
  </si>
  <si>
    <t xml:space="preserve">hash_archivo</t>
  </si>
  <si>
    <t xml:space="preserve">db/migrations/129_add_campos_actividad_plan_anual_y_adjuntos.sql:70: Metadatos adicionales Hash SHA256 para verificar integridad (opcional) | Validación: IsOptional, IsString</t>
  </si>
  <si>
    <t xml:space="preserve">Hash SHA-256 del archivo para verificar su integridad (opcional).</t>
  </si>
  <si>
    <t xml:space="preserve">código: db/migrations/129_add_campos_actividad_plan_anual_y_adjuntos.sql:70</t>
  </si>
  <si>
    <t xml:space="preserve">C1550</t>
  </si>
  <si>
    <t xml:space="preserve">alerta_plan</t>
  </si>
  <si>
    <t xml:space="preserve">internal-institutional-control-service/src/esap/planes-mejoramiento/entities/alerta-plan.entity.ts:55: Tipo de alerta según EM-PT-002 act. 6 | Validación: IsEnum(AccionCorrectivaTipo), IsEnum(TipoAuditoriaProgramada), IsEnum(TipoEventoTimeline), IsEnum(TipoTablero), IsEnum(['cumplimiento', 'eficiencia', 'eficacia', 'economia']), IsEnum(['plan-auditoria', 'plan-mejora', 'informe', 'documento'])</t>
  </si>
  <si>
    <t xml:space="preserve">Tipo de alerta generada en el seguimiento del plan, según EM-PT-002 actividad 6.</t>
  </si>
  <si>
    <t xml:space="preserve">código: internal-institutional-control-service/src/esap/planes-mejoramiento/entities/alerta-plan.entity.ts:55</t>
  </si>
  <si>
    <t xml:space="preserve">¿Qué valores toma tipo en alerta_plan y qué condición genera cada uno?</t>
  </si>
  <si>
    <t xml:space="preserve">C1551</t>
  </si>
  <si>
    <t xml:space="preserve">internal-institutional-control-service/src/esap/planes-mejoramiento/entities/alerta-plan.entity.ts:59: Descripción legible de la alerta | Validación: IsNotEmpty, IsOptional, IsString</t>
  </si>
  <si>
    <t xml:space="preserve">Descripción legible de la alerta.</t>
  </si>
  <si>
    <t xml:space="preserve">código: internal-institutional-control-service/src/esap/planes-mejoramiento/entities/alerta-plan.entity.ts:59</t>
  </si>
  <si>
    <t xml:space="preserve">C1552</t>
  </si>
  <si>
    <t xml:space="preserve">generada_at</t>
  </si>
  <si>
    <t xml:space="preserve">Mapeada en internal-institutional-control-service/src/esap/planes-mejoramiento/entities/alerta-plan.entity.ts:62 (AlertaPlan.generadaAt)</t>
  </si>
  <si>
    <t xml:space="preserve">Fecha y hora de la generación.</t>
  </si>
  <si>
    <t xml:space="preserve">C1553</t>
  </si>
  <si>
    <t xml:space="preserve">atendida</t>
  </si>
  <si>
    <t xml:space="preserve">internal-institutional-control-service/src/esap/planes-mejoramiento/entities/alerta-plan.entity.ts:66: ¿Ha sido atendida/resuelta?</t>
  </si>
  <si>
    <t xml:space="preserve">Indica si la alerta fue atendida o resuelta; por defecto falso.</t>
  </si>
  <si>
    <t xml:space="preserve">código: internal-institutional-control-service/src/esap/planes-mejoramiento/entities/alerta-plan.entity.ts:66</t>
  </si>
  <si>
    <t xml:space="preserve">C1554</t>
  </si>
  <si>
    <t xml:space="preserve">atendida_at</t>
  </si>
  <si>
    <t xml:space="preserve">internal-institutional-control-service/src/esap/planes-mejoramiento/entities/alerta-plan.entity.ts:70: Fecha en que se atendió</t>
  </si>
  <si>
    <t xml:space="preserve">Fecha y hora en que se atendió la alerta.</t>
  </si>
  <si>
    <t xml:space="preserve">código: internal-institutional-control-service/src/esap/planes-mejoramiento/entities/alerta-plan.entity.ts:70</t>
  </si>
  <si>
    <t xml:space="preserve">C1555</t>
  </si>
  <si>
    <t xml:space="preserve">atendida_por_id</t>
  </si>
  <si>
    <t xml:space="preserve">internal-institutional-control-service/src/esap/planes-mejoramiento/entities/alerta-plan.entity.ts:74: ID del usuario que atendió la alerta</t>
  </si>
  <si>
    <t xml:space="preserve">Identificador del usuario que atendió la alerta.</t>
  </si>
  <si>
    <t xml:space="preserve">código: internal-institutional-control-service/src/esap/planes-mejoramiento/entities/alerta-plan.entity.ts:74</t>
  </si>
  <si>
    <t xml:space="preserve">C1556</t>
  </si>
  <si>
    <t xml:space="preserve">ampliacion_plazo</t>
  </si>
  <si>
    <t xml:space="preserve">fecha_fin_original</t>
  </si>
  <si>
    <t xml:space="preserve">Fecha de fin original.</t>
  </si>
  <si>
    <t xml:space="preserve">C1557</t>
  </si>
  <si>
    <t xml:space="preserve">fecha_fin_solicitada</t>
  </si>
  <si>
    <t xml:space="preserve">Fecha de fin solicitada.</t>
  </si>
  <si>
    <t xml:space="preserve">C1558</t>
  </si>
  <si>
    <t xml:space="preserve">idx_ampliacion_fecha_solicitud</t>
  </si>
  <si>
    <t xml:space="preserve">C1559</t>
  </si>
  <si>
    <t xml:space="preserve">C1560</t>
  </si>
  <si>
    <t xml:space="preserve">Justificación de la solicitud de ampliación de plazo de la auditoría.</t>
  </si>
  <si>
    <t xml:space="preserve">C1561</t>
  </si>
  <si>
    <t xml:space="preserve">motivo_rechazo</t>
  </si>
  <si>
    <t xml:space="preserve">Motivo del rechazo.</t>
  </si>
  <si>
    <t xml:space="preserve">C1562</t>
  </si>
  <si>
    <t xml:space="preserve">Comentarios adicionales sobre la solicitud de ampliación de plazo.</t>
  </si>
  <si>
    <t xml:space="preserve">¿comentarios los registra el solicitante o quien aprueba o rechaza?</t>
  </si>
  <si>
    <t xml:space="preserve">C1563</t>
  </si>
  <si>
    <t xml:space="preserve">C1564</t>
  </si>
  <si>
    <t xml:space="preserve">aprobado_rechazado_por</t>
  </si>
  <si>
    <t xml:space="preserve">Usuario que aprobó o rechazó la solicitud de ampliación de plazo.</t>
  </si>
  <si>
    <t xml:space="preserve">nombre + columnas vecinas (estado, fecha_respuesta)</t>
  </si>
  <si>
    <t xml:space="preserve">¿aprobado_rechazado_por guarda el nombre, el correo o el identificador del usuario?</t>
  </si>
  <si>
    <t xml:space="preserve">C1565</t>
  </si>
  <si>
    <t xml:space="preserve">aprobacion</t>
  </si>
  <si>
    <t xml:space="preserve">aprobacion_codigo_key</t>
  </si>
  <si>
    <t xml:space="preserve">Mapeada en internal-institutional-control-service/src/esap/aprobaciones/entities/aprobacion.entity.ts:34 (Aprobacion.codigo) | Validación: IsNotEmpty, IsOptional, IsString, Length(1, 50), MaxLength(80)</t>
  </si>
  <si>
    <t xml:space="preserve">Código del registro de aprobacion. Único en la tabla.</t>
  </si>
  <si>
    <t xml:space="preserve">C1566</t>
  </si>
  <si>
    <t xml:space="preserve">documento, informe, plan-auditoria, plan-mejora</t>
  </si>
  <si>
    <t xml:space="preserve">idx_aprobacion_tipo</t>
  </si>
  <si>
    <t xml:space="preserve">Mapeada en internal-institutional-control-service/src/esap/aprobaciones/entities/aprobacion.entity.ts:37 (Aprobacion.tipo) | Validación: IsEnum(AccionCorrectivaTipo), IsEnum(TipoAuditoriaProgramada), IsEnum(TipoEventoTimeline), IsEnum(TipoTablero), IsEnum(['cumplimiento', 'eficiencia', 'eficacia', 'economia']), IsEnum(['plan-auditoria', 'plan-mejora', 'informe', 'documento'])</t>
  </si>
  <si>
    <t xml:space="preserve">Tipo del registro de aprobacion.</t>
  </si>
  <si>
    <t xml:space="preserve">C1567</t>
  </si>
  <si>
    <t xml:space="preserve">Mapeada en internal-institutional-control-service/src/esap/aprobaciones/entities/aprobacion.entity.ts:45 (Aprobacion.titulo) | Validación: IsNotEmpty, IsOptional, IsString, MaxLength(255), MaxLength(500)</t>
  </si>
  <si>
    <t xml:space="preserve">Título de la solicitud de aprobación.</t>
  </si>
  <si>
    <t xml:space="preserve">nombre + tipo + validaciones ~</t>
  </si>
  <si>
    <t xml:space="preserve">C1568</t>
  </si>
  <si>
    <t xml:space="preserve">Mapeada en internal-institutional-control-service/src/esap/aprobaciones/entities/aprobacion.entity.ts:48 (Aprobacion.descripcion) | Validación: IsNotEmpty, IsOptional, IsString</t>
  </si>
  <si>
    <t xml:space="preserve">Descripción del registro de aprobacion.</t>
  </si>
  <si>
    <t xml:space="preserve">C1569</t>
  </si>
  <si>
    <t xml:space="preserve">solicitante</t>
  </si>
  <si>
    <t xml:space="preserve">Mapeada en internal-institutional-control-service/src/esap/aprobaciones/entities/aprobacion.entity.ts:51 (Aprobacion.solicitante) | Validación: IsNotEmpty, IsString</t>
  </si>
  <si>
    <t xml:space="preserve">Nombre del usuario que presenta la solicitud de aprobación.</t>
  </si>
  <si>
    <t xml:space="preserve">¿solicitante guarda el nombre, el correo o el identificador del usuario?</t>
  </si>
  <si>
    <t xml:space="preserve">C1570</t>
  </si>
  <si>
    <t xml:space="preserve">idx_aprobacion_fecha_solicitud</t>
  </si>
  <si>
    <t xml:space="preserve">Mapeada en internal-institutional-control-service/src/esap/aprobaciones/entities/aprobacion.entity.ts:54 (Aprobacion.fechaSolicitud) | Validación: IsDateString, IsOptional</t>
  </si>
  <si>
    <t xml:space="preserve">C1571</t>
  </si>
  <si>
    <t xml:space="preserve">idx_aprobacion_prioridad</t>
  </si>
  <si>
    <t xml:space="preserve">Mapeada en internal-institutional-control-service/src/esap/aprobaciones/entities/aprobacion.entity.ts:57 (Aprobacion.prioridad) | Validación: IsEnum(PrioridadAuditoria), IsEnum(PrioridadAuditoriaProgramada), IsEnum(PrioridadNotificacion), IsEnum(PrioridadTarea), IsEnum(['Alta', 'Media', 'Baja']), IsInt</t>
  </si>
  <si>
    <t xml:space="preserve">Prioridad de la solicitud de aprobación. Valores permitidos: Alta, Media, Baja; por defecto Media.</t>
  </si>
  <si>
    <t xml:space="preserve">C1572</t>
  </si>
  <si>
    <t xml:space="preserve">aprobado, en-revision, pendiente, rechazado</t>
  </si>
  <si>
    <t xml:space="preserve">Función control_interno.trigger_evento_actualizacion_plan — control_interno.trigger_evento_actualizacion_plan: -- Solo registrar si cambió el estado</t>
  </si>
  <si>
    <t xml:space="preserve">idx_aprobacion_estado</t>
  </si>
  <si>
    <t xml:space="preserve">Mapeada en internal-institutional-control-service/src/esap/aprobaciones/entities/aprobacion.entity.ts:65 (Aprobacion.estado) | Validación: IsEnum(AccionCorrectivaEstado), IsEnum(EstadoEtapa), IsEnum(EstadoPlanIndividual), IsEnum(EstadoTarea), IsEnum(HallazgoEstado), IsEnum(PlanMejoramientoEstado)</t>
  </si>
  <si>
    <t xml:space="preserve">Estado del registro de aprobacion.</t>
  </si>
  <si>
    <t xml:space="preserve">C1573</t>
  </si>
  <si>
    <t xml:space="preserve">Mapeada en internal-institutional-control-service/src/esap/aprobaciones/entities/aprobacion.entity.ts:73 (Aprobacion.territorial) | Validación: IsNotEmpty, IsOptional, IsString</t>
  </si>
  <si>
    <t xml:space="preserve">Dirección territorial asociada a la solicitud de aprobación.</t>
  </si>
  <si>
    <t xml:space="preserve">nombre + columnas vecinas (sede)</t>
  </si>
  <si>
    <t xml:space="preserve">¿territorial se toma de un catálogo de direcciones territoriales o es texto libre?</t>
  </si>
  <si>
    <t xml:space="preserve">C1574</t>
  </si>
  <si>
    <t xml:space="preserve">sede</t>
  </si>
  <si>
    <t xml:space="preserve">Mapeada en internal-institutional-control-service/src/esap/aprobaciones/entities/aprobacion.entity.ts:76 (Aprobacion.sede) | Validación: IsNotEmpty, IsOptional, IsString</t>
  </si>
  <si>
    <t xml:space="preserve">Sede asociada a la solicitud de aprobación.</t>
  </si>
  <si>
    <t xml:space="preserve">nombre + columnas vecinas (territorial)</t>
  </si>
  <si>
    <t xml:space="preserve">¿sede se toma de un catálogo de sedes o es texto libre?</t>
  </si>
  <si>
    <t xml:space="preserve">C1575</t>
  </si>
  <si>
    <t xml:space="preserve">relacionado</t>
  </si>
  <si>
    <t xml:space="preserve">Mapeada en internal-institutional-control-service/src/esap/aprobaciones/entities/aprobacion.entity.ts:79 (Aprobacion.relacionado) | Validación: IsOptional, IsString</t>
  </si>
  <si>
    <t xml:space="preserve">Referencia al elemento relacionado con la solicitud de aprobación (por ejemplo, el código de la auditoría o documento).</t>
  </si>
  <si>
    <t xml:space="preserve">¿Qué contiene relacionado: un código, un identificador o un texto descriptivo? ¿A qué entidades puede referirse?</t>
  </si>
  <si>
    <t xml:space="preserve">C1576</t>
  </si>
  <si>
    <t xml:space="preserve">documentos_count</t>
  </si>
  <si>
    <t xml:space="preserve">internal-institutional-control-service/src/esap/aprobaciones/entities/aprobacion.entity.ts:106: Contador de documentos (la relación está en documento_aprobacion)</t>
  </si>
  <si>
    <t xml:space="preserve">Cantidad de documentos asociados a la aprobación; la relación se guarda en documento_aprobacion. Por defecto 0.</t>
  </si>
  <si>
    <t xml:space="preserve">código: internal-institutional-control-service/src/esap/aprobaciones/entities/aprobacion.entity.ts:106</t>
  </si>
  <si>
    <t xml:space="preserve">C1577</t>
  </si>
  <si>
    <t xml:space="preserve">Función control_interno.trigger_evento_actualizacion_plan — control_interno.trigger_evento_actualizacion_plan: COALESCE(NEW.aprobado_por, NEW.responsable_implementacion),  -- usar aprobado_por si es aprobación, sino responsable_imp</t>
  </si>
  <si>
    <t xml:space="preserve">Mapeada en internal-institutional-control-service/src/esap/aprobaciones/entities/aprobacion.entity.ts:92 (Aprobacion.aprobadoPor) | Validación: IsOptional, IsString, Length(0, 255)</t>
  </si>
  <si>
    <t xml:space="preserve">C1578</t>
  </si>
  <si>
    <t xml:space="preserve">Mapeada en internal-institutional-control-service/src/esap/aprobaciones/entities/aprobacion.entity.ts:89 (Aprobacion.fechaAprobacion) | Validación: IsDateString, IsOptional</t>
  </si>
  <si>
    <t xml:space="preserve">C1579</t>
  </si>
  <si>
    <t xml:space="preserve">rechazado_por</t>
  </si>
  <si>
    <t xml:space="preserve">Mapeada en internal-institutional-control-service/src/esap/aprobaciones/entities/aprobacion.entity.ts:102 (Aprobacion.rechazadoPor)</t>
  </si>
  <si>
    <t xml:space="preserve">Usuario que realizó el rechazo.</t>
  </si>
  <si>
    <t xml:space="preserve">C1580</t>
  </si>
  <si>
    <t xml:space="preserve">fecha_rechazo</t>
  </si>
  <si>
    <t xml:space="preserve">Mapeada en internal-institutional-control-service/src/esap/aprobaciones/entities/aprobacion.entity.ts:99 (Aprobacion.fechaRechazo)</t>
  </si>
  <si>
    <t xml:space="preserve">Fecha de rechazo.</t>
  </si>
  <si>
    <t xml:space="preserve">C1581</t>
  </si>
  <si>
    <t xml:space="preserve">internal-institutional-control-service/src/esap/aprobaciones/entities/aprobacion.entity.ts:96: Campos para rechazo | Validación: IsNotEmpty, IsOptional, IsString</t>
  </si>
  <si>
    <t xml:space="preserve">Motivo del rechazo de la solicitud de aprobación.</t>
  </si>
  <si>
    <t xml:space="preserve">código: internal-institutional-control-service/src/esap/aprobaciones/entities/aprobacion.entity.ts:96</t>
  </si>
  <si>
    <t xml:space="preserve">C1582</t>
  </si>
  <si>
    <t xml:space="preserve">internal-institutional-control-service/src/esap/aprobaciones/entities/aprobacion.entity.ts:86: Campos para aprobación | Validación: IsOptional, IsString</t>
  </si>
  <si>
    <t xml:space="preserve">Observaciones registradas al aprobar la solicitud.</t>
  </si>
  <si>
    <t xml:space="preserve">código: internal-institutional-control-service/src/esap/aprobaciones/entities/aprobacion.entity.ts:86</t>
  </si>
  <si>
    <t xml:space="preserve">¿observaciones se diligencia solo al aprobar o también en otras decisiones sobre la solicitud?</t>
  </si>
  <si>
    <t xml:space="preserve">C1583</t>
  </si>
  <si>
    <t xml:space="preserve">area</t>
  </si>
  <si>
    <t xml:space="preserve">Mapeada en internal-institutional-control-service/src/esap/aprobaciones/entities/aprobacion.entity.ts:82 (Aprobacion.area) | Validación: IsNotEmpty, IsOptional, IsString, Length(1, 255), MaxLength(255)</t>
  </si>
  <si>
    <t xml:space="preserve">Área o dependencia que origina o atiende la solicitud de aprobación.</t>
  </si>
  <si>
    <t xml:space="preserve">nombre + tipo + validaciones</t>
  </si>
  <si>
    <t xml:space="preserve">¿area es el área del solicitante o el área responsable de aprobar?</t>
  </si>
  <si>
    <t xml:space="preserve">C1584</t>
  </si>
  <si>
    <t xml:space="preserve">auditor_perfil</t>
  </si>
  <si>
    <t xml:space="preserve">db/migrations/old/036_add_auditorias_kanban_completo.sql:957: Ej: "Auditor Líder", "Auditor Senior", "Auditor Junior" | Validación: IsNotEmpty, IsString</t>
  </si>
  <si>
    <t xml:space="preserve">Cargo del auditor (por ejemplo, Auditor Líder, Auditor Senior, Auditor Junior).</t>
  </si>
  <si>
    <t xml:space="preserve">código: db/migrations/old/036_add_auditorias_kanban_completo.sql:957</t>
  </si>
  <si>
    <t xml:space="preserve">C1585</t>
  </si>
  <si>
    <t xml:space="preserve">nivel_experiencia</t>
  </si>
  <si>
    <t xml:space="preserve">Intermedio, Jefe, Junior, Líder, Senior</t>
  </si>
  <si>
    <t xml:space="preserve">Mapeada en internal-institutional-control-service/src/esap/auditorias/entities/auditor-perfil.entity.ts:43 (AuditorPerfil.nivelExperiencia)</t>
  </si>
  <si>
    <t xml:space="preserve">Nivel de experiencia del auditor. Valores permitidos: Junior, Intermedio, Senior, Líder, Jefe.</t>
  </si>
  <si>
    <t xml:space="preserve">valores permitidos del CHECK ~</t>
  </si>
  <si>
    <t xml:space="preserve">C1586</t>
  </si>
  <si>
    <t xml:space="preserve">fecha_ultima_actividad</t>
  </si>
  <si>
    <t xml:space="preserve">Mapeada en internal-institutional-control-service/src/esap/auditorias/entities/auditor-perfil.entity.ts:59 (AuditorPerfil.fechaUltimaActividad)</t>
  </si>
  <si>
    <t xml:space="preserve">Fecha de última actividad.</t>
  </si>
  <si>
    <t xml:space="preserve">C1587</t>
  </si>
  <si>
    <t xml:space="preserve">Mapeada en internal-institutional-control-service/src/esap/auditorias/entities/auditor-perfil.entity.ts:62 (AuditorPerfil.observaciones) | Validación: IsOptional, IsString</t>
  </si>
  <si>
    <t xml:space="preserve">C1588</t>
  </si>
  <si>
    <t xml:space="preserve">idx_auditor_perfil_activo</t>
  </si>
  <si>
    <t xml:space="preserve">Mapeada en internal-institutional-control-service/src/esap/auditorias/entities/auditor-perfil.entity.ts:65 (AuditorPerfil.activo) | Validación: IsBoolean, IsOptional</t>
  </si>
  <si>
    <t xml:space="preserve">C1589</t>
  </si>
  <si>
    <t xml:space="preserve">auditoria</t>
  </si>
  <si>
    <t xml:space="preserve">Vista control_interno.v_auditorias_finalizadas; Vista control_interno.v_auditorias_kanban_completo</t>
  </si>
  <si>
    <t xml:space="preserve">auditoria_codigo_key, idx_auditoria_codigo</t>
  </si>
  <si>
    <t xml:space="preserve">internal-institutional-control-service/src/esap/auditorias/entities/auditoria.entity.ts:89: AUD-YYYY-### | Validación: IsNotEmpty, IsOptional, IsString, Length(1, 50), MaxLength(80)</t>
  </si>
  <si>
    <t xml:space="preserve">Código único de la auditoría, con formato AUD-YYYY-### (año y consecutivo).</t>
  </si>
  <si>
    <t xml:space="preserve">código: internal-institutional-control-service/src/esap/auditorias/entities/auditoria.entity.ts:89</t>
  </si>
  <si>
    <t xml:space="preserve">C1590</t>
  </si>
  <si>
    <t xml:space="preserve">Función control_interno.fn_configurar_actividad_auditorias_plan; Vista control_interno.v_auditor_disponibilidad; Vista control_interno.v_auditorias_finalizadas; Vista control_interno.v_auditorias_kanban_completo; Vista control_interno.v_estado_vinculacion_auditorias — control_interno.fn_configurar_actividad_auditorias_plan: LOWER(a.nombre) LIKE '%auditoría%'</t>
  </si>
  <si>
    <t xml:space="preserve">Mapeada en internal-institutional-control-service/src/esap/auditorias/entities/auditoria.entity.ts:92 (Auditoria.nombre) | Validación: IsNotEmpty, IsNotEmpty({ message: 'El nombre del documento es obligatorio' }), IsOptional, IsString, Length(1, 500), MaxLength(120)</t>
  </si>
  <si>
    <t xml:space="preserve">Nombre del registro de auditoria.</t>
  </si>
  <si>
    <t xml:space="preserve">C1591</t>
  </si>
  <si>
    <t xml:space="preserve">Función control_interno.actualizar_contadores_documentos_informes; Función control_interno.fn_calcular_cumplimiento_auditorias; Vista control_interno.v_auditorias_finalizadas; Vista control_interno.v_auditorias_kanban_completo; Vista control_interno.v_resumen_auditorias_por_año — control_interno.actualizar_contadores_documentos_informes: -- Determinar el ID de la auditoría y el tipo de documento | control_interno.fn_calcular_cumplimiento_auditorias: COALESCE(tipo, 'regular') AS tipo_grupo,</t>
  </si>
  <si>
    <t xml:space="preserve">idx_auditoria_tipo</t>
  </si>
  <si>
    <t xml:space="preserve">internal-institutional-control-service/src/esap/auditorias/entities/auditoria.entity.ts:98: Cambiado de TipoAuditoria a string para permitir tipos personalizados | Validación: IsEnum(AccionCorrectivaTipo), IsEnum(TipoAuditoriaProgramada), IsEnum(TipoEventoTimeline), IsEnum(TipoTablero), IsEnum(['cumplimiento', 'eficiencia', 'eficacia', 'economia']), IsEnum(['plan-auditoria', 'plan-mejora', 'informe', 'documento'])</t>
  </si>
  <si>
    <t xml:space="preserve">Tipo de auditoría; admite tipos personalizados además de los predefinidos.</t>
  </si>
  <si>
    <t xml:space="preserve">código: internal-institutional-control-service/src/esap/auditorias/entities/auditoria.entity.ts:98; uso en la función control_interno.fn_calcular_cumplimiento_auditorias</t>
  </si>
  <si>
    <t xml:space="preserve">¿Cuáles son los tipos predefinidos de auditoría y quién puede crear tipos personalizados?</t>
  </si>
  <si>
    <t xml:space="preserve">C1592</t>
  </si>
  <si>
    <t xml:space="preserve">idx_auditoria_territorial</t>
  </si>
  <si>
    <t xml:space="preserve">Mapeada en internal-institutional-control-service/src/esap/auditorias/entities/auditoria.entity.ts:113 (Auditoria.territorial) | Validación: IsNotEmpty, IsOptional, IsString</t>
  </si>
  <si>
    <t xml:space="preserve">Dirección territorial donde se realiza la auditoría.</t>
  </si>
  <si>
    <t xml:space="preserve">nombre + columnas vecinas (sede) + índice</t>
  </si>
  <si>
    <t xml:space="preserve">C1593</t>
  </si>
  <si>
    <t xml:space="preserve">progreso</t>
  </si>
  <si>
    <t xml:space="preserve">Vista control_interno.v_auditorias_finalizadas; Vista control_interno.v_auditorias_kanban_completo; Vista control_interno.v_auditorias_por_estado</t>
  </si>
  <si>
    <t xml:space="preserve">internal-institutional-control-service/src/esap/auditorias/entities/auditoria.entity.ts:155: ═══════════════════════════════════════════════════════════════════ CRONOGRAMA DE 3 ETAPAS: Planeación → Ejecución → Comunicación ═══════════════════════════════════════════════════════════════════ 0-100 | Validación: IsInt, IsOptional, Max(100), Min(0)</t>
  </si>
  <si>
    <t xml:space="preserve">Porcentaje de avance de la auditoría, de 0 a 100. Por defecto 0.</t>
  </si>
  <si>
    <t xml:space="preserve">código: internal-institutional-control-service/src/esap/auditorias/entities/auditoria.entity.ts:155</t>
  </si>
  <si>
    <t xml:space="preserve">C1594</t>
  </si>
  <si>
    <t xml:space="preserve">idx_auditoria_prioridad</t>
  </si>
  <si>
    <t xml:space="preserve">internal-institutional-control-service/src/esap/auditorias/entities/auditoria.entity.ts:158: ═══════════════════════════════════════════════════════════════════ CRONOGRAMA DE 3 ETAPAS: Planeación → Ejecución → Comunicación ═══════════════════════════════════════════════════════════════════ | Validación: IsEnum(PrioridadAuditoria), IsEnum(PrioridadAuditoriaProgramada), IsEnum(PrioridadNotificacion), IsEnum(PrioridadTarea), IsEnum(['Alta', 'Media', 'Baja']), IsInt</t>
  </si>
  <si>
    <t xml:space="preserve">Prioridad de la auditoría. Valores permitidos: Alta, Media, Baja; por defecto Media.</t>
  </si>
  <si>
    <t xml:space="preserve">C1595</t>
  </si>
  <si>
    <t xml:space="preserve">internal-institutional-control-service/src/esap/auditorias/entities/auditoria.entity.ts:166: ═══════════════════════════════════════════════════════════════════ CRONOGRAMA DE 3 ETAPAS: Planeación → Ejecución → Comunicación ═══════════════════════════════════════════════════════════════════ | Validación: IsInt, IsOptional, Min(0)</t>
  </si>
  <si>
    <t xml:space="preserve">Número de hallazgos registrados en la auditoría. Por defecto 0.</t>
  </si>
  <si>
    <t xml:space="preserve">¿El contador se actualiza automáticamente desde los hallazgos registrados o se diligencia manualmente?</t>
  </si>
  <si>
    <t xml:space="preserve">C1596</t>
  </si>
  <si>
    <t xml:space="preserve">semaforo</t>
  </si>
  <si>
    <t xml:space="preserve">amarillo, rojo, verde</t>
  </si>
  <si>
    <t xml:space="preserve">idx_auditoria_semaforo</t>
  </si>
  <si>
    <t xml:space="preserve">internal-institutional-control-service/src/esap/auditorias/entities/auditoria.entity.ts:176: ═══════════════════════════════════════════════════════════════════ CRONOGRAMA DE 3 ETAPAS: Planeación → Ejecución → Comunicación ═══════════════════════════════════════════════════════════════════ | Validación: IsEnum(SemaforoColor), IsOptional</t>
  </si>
  <si>
    <t xml:space="preserve">Color del semáforo de seguimiento de la auditoría. Valores permitidos: verde, amarillo, rojo; por defecto verde.</t>
  </si>
  <si>
    <t xml:space="preserve">¿Qué criterio asigna cada color del semáforo?</t>
  </si>
  <si>
    <t xml:space="preserve">C1597</t>
  </si>
  <si>
    <t xml:space="preserve">tipo_kanban</t>
  </si>
  <si>
    <t xml:space="preserve">especial, regular, territorial</t>
  </si>
  <si>
    <t xml:space="preserve">idx_auditoria_tipo_kanban</t>
  </si>
  <si>
    <t xml:space="preserve">internal-institutional-control-service/src/esap/auditorias/entities/auditoria.entity.ts:179: ═══════════════════════════════════════════════════════════════════ CRONOGRAMA DE 3 ETAPAS: Planeación → Ejecución → Comunicación ═══════════════════════════════════════════════════════════════════ | Validación: IsEnum(TipoKanban), IsOptional, IsString</t>
  </si>
  <si>
    <t xml:space="preserve">Tipo de auditoría en el tablero Kanban. Valores permitidos: regular, especial, territorial; por defecto regular.</t>
  </si>
  <si>
    <t xml:space="preserve">¿En qué se diferencia tipo_kanban de tipo y cuál se usa en los reportes?</t>
  </si>
  <si>
    <t xml:space="preserve">C1598</t>
  </si>
  <si>
    <t xml:space="preserve">prioridad_kanban</t>
  </si>
  <si>
    <t xml:space="preserve">alta, baja, crítica, media</t>
  </si>
  <si>
    <t xml:space="preserve">idx_auditoria_prioridad_kanban</t>
  </si>
  <si>
    <t xml:space="preserve">internal-institutional-control-service/src/esap/auditorias/entities/auditoria.entity.ts:182: ═══════════════════════════════════════════════════════════════════ CRONOGRAMA DE 3 ETAPAS: Planeación → Ejecución → Comunicación ═══════════════════════════════════════════════════════════════════ | Validación: IsEnum(PrioridadKanban), IsOptional</t>
  </si>
  <si>
    <t xml:space="preserve">Prioridad de la auditoría en el tablero Kanban. Valores permitidos: baja, media, alta, crítica; por defecto media.</t>
  </si>
  <si>
    <t xml:space="preserve">¿En qué se diferencia prioridad_kanban de prioridad (Alta, Media, Baja) y cuál se usa en la gestión?</t>
  </si>
  <si>
    <t xml:space="preserve">C1599</t>
  </si>
  <si>
    <t xml:space="preserve">area_objetivo</t>
  </si>
  <si>
    <t xml:space="preserve">internal-institutional-control-service/src/esap/auditorias/entities/auditoria.entity.ts:185: ═══════════════════════════════════════════════════════════════════ CRONOGRAMA DE 3 ETAPAS: Planeación → Ejecución → Comunicación ═══════════════════════════════════════════════════════════════════ | Validación: IsOptional, IsString</t>
  </si>
  <si>
    <t xml:space="preserve">Área objetivo de la auditoría.</t>
  </si>
  <si>
    <t xml:space="preserve">¿Es texto libre o corresponde a una dependencia del catálogo institucional?</t>
  </si>
  <si>
    <t xml:space="preserve">C1600</t>
  </si>
  <si>
    <t xml:space="preserve">permite_cambiar_objetivos</t>
  </si>
  <si>
    <t xml:space="preserve">internal-institutional-control-service/src/esap/auditorias/entities/auditoria.entity.ts:188: ═══════════════════════════════════════════════════════════════════ CRONOGRAMA DE 3 ETAPAS: Planeación → Ejecución → Comunicación ═══════════════════════════════════════════════════════════════════ | Validación: IsBoolean, IsOptional</t>
  </si>
  <si>
    <t xml:space="preserve">Indica si se permite cambiar los objetivos de la auditoría. Por defecto verdadero.</t>
  </si>
  <si>
    <t xml:space="preserve">¿En qué fase o por qué rol se bloquea el cambio de objetivos?</t>
  </si>
  <si>
    <t xml:space="preserve">C1601</t>
  </si>
  <si>
    <t xml:space="preserve">internal-institutional-control-service/src/esap/auditorias/entities/auditoria.entity.ts:256: ═══════════════════════════════════════════════════════════════════ CRONOGRAMA DE 3 ETAPAS: Planeación → Ejecución → Comunicación ═══════════════════════════════════════════════════════════════════ | db/migrations/old/047_add_alcance_auditoria.sql:21: Alcance de la auditoría. Define las áreas a evaluar, procesos incluidos, etc. | Validación: IsNotEmpty, IsOptional, IsString</t>
  </si>
  <si>
    <t xml:space="preserve">Alcance de la auditoría: áreas a evaluar y procesos incluidos.</t>
  </si>
  <si>
    <t xml:space="preserve">código: db/migrations/old/047_add_alcance_auditoria.sql:21</t>
  </si>
  <si>
    <t xml:space="preserve">C1602</t>
  </si>
  <si>
    <t xml:space="preserve">proceso_auditado</t>
  </si>
  <si>
    <t xml:space="preserve">internal-institutional-control-service/src/esap/auditorias/entities/auditoria.entity.ts:259: ═══════════════════════════════════════════════════════════════════ CRONOGRAMA DE 3 ETAPAS: Planeación → Ejecución → Comunicación ═══════════════════════════════════════════════════════════════════ | Validación: IsOptional, IsString</t>
  </si>
  <si>
    <t xml:space="preserve">Nombre del proceso auditado.</t>
  </si>
  <si>
    <t xml:space="preserve">¿Es texto libre o se toma del universo de procesos auditables (proceso_auditable)?</t>
  </si>
  <si>
    <t xml:space="preserve">C1603</t>
  </si>
  <si>
    <t xml:space="preserve">responsable_area_nombre</t>
  </si>
  <si>
    <t xml:space="preserve">internal-institutional-control-service/src/esap/auditorias/entities/auditoria.entity.ts:262: ═══════════════════════════════════════════════════════════════════ CRONOGRAMA DE 3 ETAPAS: Planeación → Ejecución → Comunicación ═══════════════════════════════════════════════════════════════════ | Validación: IsOptional, IsString</t>
  </si>
  <si>
    <t xml:space="preserve">Nombre del responsable del área auditada.</t>
  </si>
  <si>
    <t xml:space="preserve">C1604</t>
  </si>
  <si>
    <t xml:space="preserve">responsable_area_cargo</t>
  </si>
  <si>
    <t xml:space="preserve">internal-institutional-control-service/src/esap/auditorias/entities/auditoria.entity.ts:265: ═══════════════════════════════════════════════════════════════════ CRONOGRAMA DE 3 ETAPAS: Planeación → Ejecución → Comunicación ═══════════════════════════════════════════════════════════════════ | Validación: IsOptional, IsString</t>
  </si>
  <si>
    <t xml:space="preserve">Cargo del responsable del área auditada.</t>
  </si>
  <si>
    <t xml:space="preserve">C1605</t>
  </si>
  <si>
    <t xml:space="preserve">responsable_area_email</t>
  </si>
  <si>
    <t xml:space="preserve">internal-institutional-control-service/src/esap/auditorias/entities/auditoria.entity.ts:268: ═══════════════════════════════════════════════════════════════════ CRONOGRAMA DE 3 ETAPAS: Planeación → Ejecución → Comunicación ═══════════════════════════════════════════════════════════════════ | Validación: IsOptional, IsString</t>
  </si>
  <si>
    <t xml:space="preserve">Correo electrónico del responsable del área auditada.</t>
  </si>
  <si>
    <t xml:space="preserve">C1606</t>
  </si>
  <si>
    <t xml:space="preserve">fecha_reunion_apertura</t>
  </si>
  <si>
    <t xml:space="preserve">idx_auditoria_fecha_reunion</t>
  </si>
  <si>
    <t xml:space="preserve">internal-institutional-control-service/src/esap/auditorias/entities/auditoria.entity.ts:271: ═══════════════════════════════════════════════════════════════════ CRONOGRAMA DE 3 ETAPAS: Planeación → Ejecución → Comunicación ═══════════════════════════════════════════════════════════════════ | Validación: IsDateString, IsOptional</t>
  </si>
  <si>
    <t xml:space="preserve">Fecha y hora de la reunión de apertura de la auditoría.</t>
  </si>
  <si>
    <t xml:space="preserve">C1607</t>
  </si>
  <si>
    <t xml:space="preserve">metodologia</t>
  </si>
  <si>
    <t xml:space="preserve">Metodología aplicada en la auditoría.</t>
  </si>
  <si>
    <t xml:space="preserve">nombre + tipo ~</t>
  </si>
  <si>
    <t xml:space="preserve">C1608</t>
  </si>
  <si>
    <t xml:space="preserve">periodicidad</t>
  </si>
  <si>
    <t xml:space="preserve">anual, semestral, trimestral, unica</t>
  </si>
  <si>
    <t xml:space="preserve">Periodicidad de la auditoría. Valores permitidos: unica, trimestral, semestral, anual; por defecto unica.</t>
  </si>
  <si>
    <t xml:space="preserve">C1609</t>
  </si>
  <si>
    <t xml:space="preserve">presupuesto_estimado</t>
  </si>
  <si>
    <t xml:space="preserve">internal-institutional-control-service/src/esap/auditorias/entities/auditoria.entity.ts:253: ═══════════════════════════════════════════════════════════════════ CRONOGRAMA DE 3 ETAPAS: Planeación → Ejecución → Comunicación ═══════════════════════════════════════════════════════════════════ | Validación: IsNumber, IsOptional</t>
  </si>
  <si>
    <t xml:space="preserve">Presupuesto estimado de la auditoría.</t>
  </si>
  <si>
    <t xml:space="preserve">¿En qué moneda se registra y qué rubros incluye?</t>
  </si>
  <si>
    <t xml:space="preserve">C1610</t>
  </si>
  <si>
    <t xml:space="preserve">observaciones_adicionales</t>
  </si>
  <si>
    <t xml:space="preserve">internal-institutional-control-service/src/esap/auditorias/entities/auditoria.entity.ts:274: ═══════════════════════════════════════════════════════════════════ CRONOGRAMA DE 3 ETAPAS: Planeación → Ejecución → Comunicación ═══════════════════════════════════════════════════════════════════ | Validación: IsOptional, IsString</t>
  </si>
  <si>
    <t xml:space="preserve">Observaciones adicionales sobre la auditoría.</t>
  </si>
  <si>
    <t xml:space="preserve">C1611</t>
  </si>
  <si>
    <t xml:space="preserve">archivada</t>
  </si>
  <si>
    <t xml:space="preserve">Función control_interno.fn_calcular_cumplimiento_auditorias; Función control_interno.fn_vincular_auditorias_actividad; Trigger trg_actualizar_cumplimiento_auditorias; Vista control_interno.v_auditor_disponibilidad; Vista control_interno.v_auditorias_finalizadas; Vista control_interno.v_estado_vinculacion_auditorias; Vista control_interno.v_resumen_auditorias_por_año — control_interno.fn_calcular_cumplimiento_auditorias: AND archivada = false | control_interno.fn_vincular_auditorias_actividad: AND archivada = false</t>
  </si>
  <si>
    <t xml:space="preserve">idx_auditoria_archivada</t>
  </si>
  <si>
    <t xml:space="preserve">internal-institutional-control-service/src/esap/auditorias/entities/auditoria.entity.ts:301: ═══════════════════════════════════════════════════════════════════ CRONOGRAMA DE 3 ETAPAS: Planeación → Ejecución → Comunicación ═══════════════════════════════════════════════════════════════════ | Validación: IsBoolean, IsOptional</t>
  </si>
  <si>
    <t xml:space="preserve">Indica si la auditoría está archivada. Por defecto falso; las funciones de cumplimiento y de vinculación al plan anual excluyen las auditorías archivadas.</t>
  </si>
  <si>
    <t xml:space="preserve">uso en las funciones control_interno.fn_calcular_cumplimiento_auditorias y fn_vincular_auditorias_actividad</t>
  </si>
  <si>
    <t xml:space="preserve">C1612</t>
  </si>
  <si>
    <t xml:space="preserve">internal-institutional-control-service/src/esap/auditorias/entities/auditoria.entity.ts:304: ═══════════════════════════════════════════════════════════════════ CRONOGRAMA DE 3 ETAPAS: Planeación → Ejecución → Comunicación ═══════════════════════════════════════════════════════════════════ | Validación: IsDateString, IsOptional</t>
  </si>
  <si>
    <t xml:space="preserve">Fecha y hora en que se archivó la auditoría.</t>
  </si>
  <si>
    <t xml:space="preserve">nombre + tipo + columnas vecinas (archivada)</t>
  </si>
  <si>
    <t xml:space="preserve">C1613</t>
  </si>
  <si>
    <t xml:space="preserve">fecha_eliminacion</t>
  </si>
  <si>
    <t xml:space="preserve">internal-institutional-control-service/src/esap/auditorias/entities/auditoria.entity.ts:310: ═══════════════════════════════════════════════════════════════════ CRONOGRAMA DE 3 ETAPAS: Planeación → Ejecución → Comunicación ═══════════════════════════════════════════════════════════════════</t>
  </si>
  <si>
    <t xml:space="preserve">Fecha y hora en que se eliminó la auditoría.</t>
  </si>
  <si>
    <t xml:space="preserve">nombre + tipo + columnas vecinas (activa)</t>
  </si>
  <si>
    <t xml:space="preserve">¿Es un borrado lógico que acompaña al indicador activa?</t>
  </si>
  <si>
    <t xml:space="preserve">C1614</t>
  </si>
  <si>
    <t xml:space="preserve">riesgo_kanban</t>
  </si>
  <si>
    <t xml:space="preserve">Alto, Bajo, Medio</t>
  </si>
  <si>
    <t xml:space="preserve">idx_auditoria_riesgo_kanban</t>
  </si>
  <si>
    <t xml:space="preserve">internal-institutional-control-service/src/esap/auditorias/entities/auditoria.entity.ts:173: ═══════════════════════════════════════════════════════════════════ CRONOGRAMA DE 3 ETAPAS: Planeación → Ejecución → Comunicación ═══════════════════════════════════════════════════════════════════ | Validación: IsEnum(RiesgoKanban), IsOptional</t>
  </si>
  <si>
    <t xml:space="preserve">Nivel de riesgo de la auditoría en el tablero Kanban. Valores permitidos: Alto, Medio, Bajo.</t>
  </si>
  <si>
    <t xml:space="preserve">¿Cómo se determina el nivel de riesgo y qué relación tiene con calificacion_riesgo?</t>
  </si>
  <si>
    <t xml:space="preserve">C1615</t>
  </si>
  <si>
    <t xml:space="preserve">internal-institutional-control-service/src/esap/auditorias/entities/auditoria.entity.ts:194: ═══════════════════════════════════════════════════════════════════ CRONOGRAMA DE 3 ETAPAS: Planeación → Ejecución → Comunicación ═══════════════════════════════════════════════════════════════════ | Validación: IsOptional, IsString</t>
  </si>
  <si>
    <t xml:space="preserve">Descripción de la última actuación registrada en la auditoría.</t>
  </si>
  <si>
    <t xml:space="preserve">¿Se actualiza automáticamente desde el historial de la auditoría o se diligencia manualmente?</t>
  </si>
  <si>
    <t xml:space="preserve">C1616</t>
  </si>
  <si>
    <t xml:space="preserve">dias_restantes</t>
  </si>
  <si>
    <t xml:space="preserve">internal-institutional-control-service/src/esap/auditorias/entities/auditoria.entity.ts:198: ═══════════════════════════════════════════════════════════════════ CRONOGRAMA DE 3 ETAPAS: Planeación → Ejecución → Comunicación ═══════════════════════════════════════════════════════════════════ | Validación: IsInt, IsOptional</t>
  </si>
  <si>
    <t xml:space="preserve">Número de días restantes hasta la fecha de finalización de la auditoría. Por defecto 0.</t>
  </si>
  <si>
    <t xml:space="preserve">¿Se calcula contra fecha_fin y con qué periodicidad se actualiza?</t>
  </si>
  <si>
    <t xml:space="preserve">C1617</t>
  </si>
  <si>
    <t xml:space="preserve">porcentaje_tiempo</t>
  </si>
  <si>
    <t xml:space="preserve">internal-institutional-control-service/src/esap/auditorias/entities/auditoria.entity.ts:201: ═══════════════════════════════════════════════════════════════════ CRONOGRAMA DE 3 ETAPAS: Planeación → Ejecución → Comunicación ═══════════════════════════════════════════════════════════════════ | Validación: IsInt, IsOptional, Max(100), Min(0)</t>
  </si>
  <si>
    <t xml:space="preserve">Porcentaje del tiempo programado de la auditoría que ha transcurrido, de 0 a 100. Por defecto 0.</t>
  </si>
  <si>
    <t xml:space="preserve">nombre + tipo + validaciones Min(0), Max(100)</t>
  </si>
  <si>
    <t xml:space="preserve">¿Se calcula entre fecha_inicio y fecha_fin y quién lo actualiza?</t>
  </si>
  <si>
    <t xml:space="preserve">C1618</t>
  </si>
  <si>
    <t xml:space="preserve">total_documentos</t>
  </si>
  <si>
    <t xml:space="preserve">Función control_interno.actualizar_contadores_documentos_informes; Vista control_interno.v_auditorias_kanban_completo — control_interno.actualizar_contadores_documentos_informes: total_documentos = COALESCE(total_docs, 0),</t>
  </si>
  <si>
    <t xml:space="preserve">internal-institutional-control-service/src/esap/auditorias/entities/auditoria.entity.ts:204: ═══════════════════════════════════════════════════════════════════ CRONOGRAMA DE 3 ETAPAS: Planeación → Ejecución → Comunicación ═══════════════════════════════════════════════════════════════════ | Validación: IsInt, IsOptional, Min(0)</t>
  </si>
  <si>
    <t xml:space="preserve">Número de documentos asociados a la auditoría; lo actualiza la función actualizar_contadores_documentos_informes. Por defecto 0.</t>
  </si>
  <si>
    <t xml:space="preserve">uso en la función control_interno.actualizar_contadores_documentos_informes</t>
  </si>
  <si>
    <t xml:space="preserve">C1619</t>
  </si>
  <si>
    <t xml:space="preserve">total_informes</t>
  </si>
  <si>
    <t xml:space="preserve">Función control_interno.actualizar_contadores_documentos_informes; Vista control_interno.v_auditorias_kanban_completo — control_interno.actualizar_contadores_documentos_informes: total_informes = COALESCE(total_inf, 0),</t>
  </si>
  <si>
    <t xml:space="preserve">internal-institutional-control-service/src/esap/auditorias/entities/auditoria.entity.ts:207: ═══════════════════════════════════════════════════════════════════ CRONOGRAMA DE 3 ETAPAS: Planeación → Ejecución → Comunicación ═══════════════════════════════════════════════════════════════════ | Validación: IsInt, IsOptional, Min(0)</t>
  </si>
  <si>
    <t xml:space="preserve">Número de documentos de tipo informe asociados a la auditoría; lo actualiza la función actualizar_contadores_documentos_informes. Por defecto 0.</t>
  </si>
  <si>
    <t xml:space="preserve">C1620</t>
  </si>
  <si>
    <t xml:space="preserve">total_tareas</t>
  </si>
  <si>
    <t xml:space="preserve">internal-institutional-control-service/src/esap/auditorias/entities/auditoria.entity.ts:210: ═══════════════════════════════════════════════════════════════════ CRONOGRAMA DE 3 ETAPAS: Planeación → Ejecución → Comunicación ═══════════════════════════════════════════════════════════════════ | Validación: IsInt, IsOptional, Min(0)</t>
  </si>
  <si>
    <t xml:space="preserve">Número de tareas asociadas a la auditoría. Por defecto 0.</t>
  </si>
  <si>
    <t xml:space="preserve">¿Cuenta los registros de tareas_auditoria y quién actualiza el contador?</t>
  </si>
  <si>
    <t xml:space="preserve">C1621</t>
  </si>
  <si>
    <t xml:space="preserve">actividades_completas</t>
  </si>
  <si>
    <t xml:space="preserve">Función control_interno.actualizar_actividades_auditoria; Vista control_interno.v_auditorias_kanban_completo — control_interno.actualizar_actividades_auditoria: SET actividades_completas = (pendientes = 0),</t>
  </si>
  <si>
    <t xml:space="preserve">internal-institutional-control-service/src/esap/auditorias/entities/auditoria.entity.ts:213: ═══════════════════════════════════════════════════════════════════ CRONOGRAMA DE 3 ETAPAS: Planeación → Ejecución → Comunicación ═══════════════════════════════════════════════════════════════════ | Validación: IsBoolean, IsOptional</t>
  </si>
  <si>
    <t xml:space="preserve">Indica si todas las actividades de la auditoría están completas, es decir, si no hay actividades pendientes; lo actualiza la función actualizar_actividades_auditoria.</t>
  </si>
  <si>
    <t xml:space="preserve">uso en la función control_interno.actualizar_actividades_auditoria</t>
  </si>
  <si>
    <t xml:space="preserve">C1622</t>
  </si>
  <si>
    <t xml:space="preserve">actividades_pendientes</t>
  </si>
  <si>
    <t xml:space="preserve">Función control_interno.actualizar_actividades_auditoria; Vista control_interno.v_auditorias_kanban_completo — control_interno.actualizar_actividades_auditoria: actividades_pendientes = pendientes</t>
  </si>
  <si>
    <t xml:space="preserve">internal-institutional-control-service/src/esap/auditorias/entities/auditoria.entity.ts:216: ═══════════════════════════════════════════════════════════════════ CRONOGRAMA DE 3 ETAPAS: Planeación → Ejecución → Comunicación ═══════════════════════════════════════════════════════════════════ | Validación: IsInt, IsOptional, Min(0)</t>
  </si>
  <si>
    <t xml:space="preserve">Número de actividades pendientes de la auditoría; lo actualiza la función actualizar_actividades_auditoria. Por defecto 0.</t>
  </si>
  <si>
    <t xml:space="preserve">C1623</t>
  </si>
  <si>
    <t xml:space="preserve">periodo_inicio</t>
  </si>
  <si>
    <t xml:space="preserve">internal-institutional-control-service/src/esap/auditorias/entities/auditoria.entity.ts:247: ═══════════════════════════════════════════════════════════════════ CRONOGRAMA DE 3 ETAPAS: Planeación → Ejecución → Comunicación ═══════════════════════════════════════════════════════════════════ | Validación: IsDateString, IsOptional</t>
  </si>
  <si>
    <t xml:space="preserve">Fecha de inicio del periodo evaluado por la auditoría.</t>
  </si>
  <si>
    <t xml:space="preserve">nombre + tipo + columnas vecinas (periodo_fin)</t>
  </si>
  <si>
    <t xml:space="preserve">¿Es el inicio del periodo de gestión auditado o del periodo de ejecución de la auditoría?</t>
  </si>
  <si>
    <t xml:space="preserve">C1624</t>
  </si>
  <si>
    <t xml:space="preserve">periodo_fin</t>
  </si>
  <si>
    <t xml:space="preserve">internal-institutional-control-service/src/esap/auditorias/entities/auditoria.entity.ts:250: ═══════════════════════════════════════════════════════════════════ CRONOGRAMA DE 3 ETAPAS: Planeación → Ejecución → Comunicación ═══════════════════════════════════════════════════════════════════ | Validación: IsDateString, IsOptional</t>
  </si>
  <si>
    <t xml:space="preserve">Fecha de fin del periodo evaluado por la auditoría.</t>
  </si>
  <si>
    <t xml:space="preserve">nombre + tipo + columnas vecinas (periodo_inicio)</t>
  </si>
  <si>
    <t xml:space="preserve">¿Es el fin del periodo de gestión auditado o del periodo de ejecución de la auditoría?</t>
  </si>
  <si>
    <t xml:space="preserve">C1625</t>
  </si>
  <si>
    <t xml:space="preserve">auditoria_especial_info</t>
  </si>
  <si>
    <t xml:space="preserve">tipo_motivo</t>
  </si>
  <si>
    <t xml:space="preserve">denuncia, emergencia, ente_control, otro, revision_especifica, seguimiento_urgente, solicitud_ente_control</t>
  </si>
  <si>
    <t xml:space="preserve">idx_especial_tipo_motivo</t>
  </si>
  <si>
    <t xml:space="preserve">Mapeada en internal-institutional-control-service/src/esap/auditorias/entities/auditoria-especial-info.entity.ts:26 (AuditoriaEspecialInfo.tipoMotivo)</t>
  </si>
  <si>
    <t xml:space="preserve">Tipo de motivo de la auditoría especial. Valores permitidos: denuncia, emergencia, ente_control, solicitud_ente_control, revision_especifica, seguimiento_urgente, otro.</t>
  </si>
  <si>
    <t xml:space="preserve">C1626</t>
  </si>
  <si>
    <t xml:space="preserve">db/migrations/old/036_add_auditorias_kanban_completo.sql:703: Ej: "Contraloría General de la República" | Validación: IsNotEmpty, IsString</t>
  </si>
  <si>
    <t xml:space="preserve">Entidad o persona que solicita la auditoría especial (por ejemplo, Contraloría General de la República).</t>
  </si>
  <si>
    <t xml:space="preserve">código: db/migrations/old/036_add_auditorias_kanban_completo.sql:703</t>
  </si>
  <si>
    <t xml:space="preserve">C1627</t>
  </si>
  <si>
    <t xml:space="preserve">Mapeada en internal-institutional-control-service/src/esap/auditorias/entities/auditoria-especial-info.entity.ts:32 (AuditoriaEspecialInfo.justificacion) | Validación: IsNotEmpty, IsString, MinLength(20, { message: 'La justificación debe tener al menos 20 caracteres' }), MinLength(20, { message: 'La justificación del rechazo debe tener al menos 20 caracteres' })</t>
  </si>
  <si>
    <t xml:space="preserve">Justificación de la auditoría especial; mínimo 20 caracteres.</t>
  </si>
  <si>
    <t xml:space="preserve">nombre + validación MinLength(20) ~</t>
  </si>
  <si>
    <t xml:space="preserve">C1628</t>
  </si>
  <si>
    <t xml:space="preserve">idx_especial_fecha_solicitud</t>
  </si>
  <si>
    <t xml:space="preserve">C1629</t>
  </si>
  <si>
    <t xml:space="preserve">C1630</t>
  </si>
  <si>
    <t xml:space="preserve">C1631</t>
  </si>
  <si>
    <t xml:space="preserve">auditoria_gestion</t>
  </si>
  <si>
    <t xml:space="preserve">auditoria_gestion_codigo_key, idx_auditoria_gestion_codigo</t>
  </si>
  <si>
    <t xml:space="preserve">Código del registro de auditoria_gestion. Único en la tabla.</t>
  </si>
  <si>
    <t xml:space="preserve">C1632</t>
  </si>
  <si>
    <t xml:space="preserve">Nombre del registro de auditoria_gestion.</t>
  </si>
  <si>
    <t xml:space="preserve">C1633</t>
  </si>
  <si>
    <t xml:space="preserve">idx_auditoria_gestion_tipo</t>
  </si>
  <si>
    <t xml:space="preserve">Tipo del registro de auditoria_gestion.</t>
  </si>
  <si>
    <t xml:space="preserve">C1634</t>
  </si>
  <si>
    <t xml:space="preserve">completada, en-curso, planeacion, revision</t>
  </si>
  <si>
    <t xml:space="preserve">idx_auditoria_gestion_fase</t>
  </si>
  <si>
    <t xml:space="preserve">Fase de gestión de la auditoría. Valores permitidos: planeacion, en-curso, revision, completada; por defecto planeacion.</t>
  </si>
  <si>
    <t xml:space="preserve">C1635</t>
  </si>
  <si>
    <t xml:space="preserve">C1636</t>
  </si>
  <si>
    <t xml:space="preserve">Sede donde se realiza la auditoría.</t>
  </si>
  <si>
    <t xml:space="preserve">C1637</t>
  </si>
  <si>
    <t xml:space="preserve">Nombre del responsable de la auditoría.</t>
  </si>
  <si>
    <t xml:space="preserve">C1638</t>
  </si>
  <si>
    <t xml:space="preserve">C1639</t>
  </si>
  <si>
    <t xml:space="preserve">C1640</t>
  </si>
  <si>
    <t xml:space="preserve">Porcentaje de progreso de la auditoría.</t>
  </si>
  <si>
    <t xml:space="preserve">nombre + tipo + defecto 0</t>
  </si>
  <si>
    <t xml:space="preserve">¿progreso se expresa de 0 a 100?</t>
  </si>
  <si>
    <t xml:space="preserve">C1641</t>
  </si>
  <si>
    <t xml:space="preserve">C1642</t>
  </si>
  <si>
    <t xml:space="preserve">hallazgos_count</t>
  </si>
  <si>
    <t xml:space="preserve">Número de hallazgos registrados en la auditoría.</t>
  </si>
  <si>
    <t xml:space="preserve">¿hallazgos_count se actualiza automáticamente o a mano?</t>
  </si>
  <si>
    <t xml:space="preserve">C1643</t>
  </si>
  <si>
    <t xml:space="preserve">auditoria_programada</t>
  </si>
  <si>
    <t xml:space="preserve">auditoria_programada_codigo_key</t>
  </si>
  <si>
    <t xml:space="preserve">Mapeada en internal-institutional-control-service/src/esap/programa-anual/entities/auditoria-programada.entity.ts:49 (AuditoriaProgramada.codigo) | Validación: IsNotEmpty, IsOptional, IsString, Length(1, 50), MaxLength(80)</t>
  </si>
  <si>
    <t xml:space="preserve">Código del registro de auditoria_programada. Único en la tabla.</t>
  </si>
  <si>
    <t xml:space="preserve">C1644</t>
  </si>
  <si>
    <t xml:space="preserve">Mapeada en internal-institutional-control-service/src/esap/programa-anual/entities/auditoria-programada.entity.ts:52 (AuditoriaProgramada.nombre) | Validación: IsNotEmpty, IsNotEmpty({ message: 'El nombre del documento es obligatorio' }), IsOptional, IsString, Length(1, 500), MaxLength(120)</t>
  </si>
  <si>
    <t xml:space="preserve">Nombre del registro de auditoria_programada.</t>
  </si>
  <si>
    <t xml:space="preserve">C1645</t>
  </si>
  <si>
    <t xml:space="preserve">proceso_codigo</t>
  </si>
  <si>
    <t xml:space="preserve">Mapeada en internal-institutional-control-service/src/esap/programa-anual/entities/auditoria-programada.entity.ts:62 (AuditoriaProgramada.procesoCodigo) | Validación: IsNotEmpty, IsString</t>
  </si>
  <si>
    <t xml:space="preserve">Código del proceso que se audita, copiado del proceso de referencia.</t>
  </si>
  <si>
    <t xml:space="preserve">nombre + columnas vecinas (proceso_id, proceso_nombre)</t>
  </si>
  <si>
    <t xml:space="preserve">¿proceso_codigo se copia del proceso referido por proceso_id al programar la auditoría?</t>
  </si>
  <si>
    <t xml:space="preserve">C1646</t>
  </si>
  <si>
    <t xml:space="preserve">proceso_nombre</t>
  </si>
  <si>
    <t xml:space="preserve">Mapeada en internal-institutional-control-service/src/esap/programa-anual/entities/auditoria-programada.entity.ts:65 (AuditoriaProgramada.procesoNombre) | Validación: IsNotEmpty, IsString</t>
  </si>
  <si>
    <t xml:space="preserve">Nombre del proceso que se audita, copiado del proceso de referencia.</t>
  </si>
  <si>
    <t xml:space="preserve">nombre + columnas vecinas (proceso_id, proceso_codigo)</t>
  </si>
  <si>
    <t xml:space="preserve">¿proceso_nombre se copia del proceso referido por proceso_id?</t>
  </si>
  <si>
    <t xml:space="preserve">C1647</t>
  </si>
  <si>
    <t xml:space="preserve">cumplimiento, desempeno, financiera, gestion, tic</t>
  </si>
  <si>
    <t xml:space="preserve">idx_auditoria_programada_tipo</t>
  </si>
  <si>
    <t xml:space="preserve">Mapeada en internal-institutional-control-service/src/esap/programa-anual/entities/auditoria-programada.entity.ts:68 (AuditoriaProgramada.tipo) | Validación: IsEnum(AccionCorrectivaTipo), IsEnum(TipoAuditoriaProgramada), IsEnum(TipoEventoTimeline), IsEnum(TipoTablero), IsEnum(['cumplimiento', 'eficiencia', 'eficacia', 'economia']), IsEnum(['plan-auditoria', 'plan-mejora', 'informe', 'documento'])</t>
  </si>
  <si>
    <t xml:space="preserve">Tipo del registro de auditoria_programada.</t>
  </si>
  <si>
    <t xml:space="preserve">C1648</t>
  </si>
  <si>
    <t xml:space="preserve">Mapeada en internal-institutional-control-service/src/esap/programa-anual/entities/auditoria-programada.entity.ts:75 (AuditoriaProgramada.alcance) | Validación: IsNotEmpty, IsOptional, IsString</t>
  </si>
  <si>
    <t xml:space="preserve">Alcance de la auditoría programada.</t>
  </si>
  <si>
    <t xml:space="preserve">C1649</t>
  </si>
  <si>
    <t xml:space="preserve">proceso_auditar</t>
  </si>
  <si>
    <t xml:space="preserve">Mapeada en internal-institutional-control-service/src/esap/programa-anual/entities/auditoria-programada.entity.ts:78 (AuditoriaProgramada.procesoAuditar) | Validación: IsNotEmpty, IsOptional, IsString</t>
  </si>
  <si>
    <t xml:space="preserve">Proceso o tema que se va a auditar.</t>
  </si>
  <si>
    <t xml:space="preserve">nombre + columnas vecinas (proceso_nombre)</t>
  </si>
  <si>
    <t xml:space="preserve">¿En qué se diferencia proceso_auditar de proceso_nombre?</t>
  </si>
  <si>
    <t xml:space="preserve">C1650</t>
  </si>
  <si>
    <t xml:space="preserve">auditor_lider</t>
  </si>
  <si>
    <t xml:space="preserve">Mapeada en internal-institutional-control-service/src/esap/programa-anual/entities/auditoria-programada.entity.ts:81 (AuditoriaProgramada.auditorLider) | Validación: IsNotEmpty, IsString</t>
  </si>
  <si>
    <t xml:space="preserve">Nombre del auditor líder asignado a la auditoría programada.</t>
  </si>
  <si>
    <t xml:space="preserve">¿auditor_lider guarda el nombre, el correo o el identificador del auditor?</t>
  </si>
  <si>
    <t xml:space="preserve">C1651</t>
  </si>
  <si>
    <t xml:space="preserve">equipo_auditor</t>
  </si>
  <si>
    <t xml:space="preserve">Mapeada en internal-institutional-control-service/src/esap/programa-anual/entities/auditoria-programada.entity.ts:84 (AuditoriaProgramada.equipoAuditor) | Validación: IsObject, IsOptional</t>
  </si>
  <si>
    <t xml:space="preserve">Integrantes del equipo auditor, en formato JSON.</t>
  </si>
  <si>
    <t xml:space="preserve">nombre + tipo jsonb + validación IsObject</t>
  </si>
  <si>
    <t xml:space="preserve">¿Qué estructura tiene equipo_auditor (lista de nombres, identificadores o roles)?</t>
  </si>
  <si>
    <t xml:space="preserve">C1652</t>
  </si>
  <si>
    <t xml:space="preserve">fecha_inicio_planeada</t>
  </si>
  <si>
    <t xml:space="preserve">Mapeada en internal-institutional-control-service/src/esap/programa-anual/entities/auditoria-programada.entity.ts:92 (AuditoriaProgramada.fechaInicioPlaneada) | Validación: IsDateString</t>
  </si>
  <si>
    <t xml:space="preserve">Fecha de inicio planeada.</t>
  </si>
  <si>
    <t xml:space="preserve">C1653</t>
  </si>
  <si>
    <t xml:space="preserve">fecha_fin_planeada</t>
  </si>
  <si>
    <t xml:space="preserve">Mapeada en internal-institutional-control-service/src/esap/programa-anual/entities/auditoria-programada.entity.ts:95 (AuditoriaProgramada.fechaFinPlaneada) | Validación: IsDateString</t>
  </si>
  <si>
    <t xml:space="preserve">Fecha de fin planeada.</t>
  </si>
  <si>
    <t xml:space="preserve">C1654</t>
  </si>
  <si>
    <t xml:space="preserve">duracion_dias</t>
  </si>
  <si>
    <t xml:space="preserve">Mapeada en internal-institutional-control-service/src/esap/programa-anual/entities/auditoria-programada.entity.ts:98 (AuditoriaProgramada.duracionDias) | Validación: IsInt, Min(1)</t>
  </si>
  <si>
    <t xml:space="preserve">Duración planeada de la auditoría, en días (mínimo 1).</t>
  </si>
  <si>
    <t xml:space="preserve">nombre + validación Min(1)</t>
  </si>
  <si>
    <t xml:space="preserve">¿duracion_dias cuenta días calendario o hábiles?</t>
  </si>
  <si>
    <t xml:space="preserve">C1655</t>
  </si>
  <si>
    <t xml:space="preserve">alta, baja, media</t>
  </si>
  <si>
    <t xml:space="preserve">Mapeada en internal-institutional-control-service/src/esap/programa-anual/entities/auditoria-programada.entity.ts:101 (AuditoriaProgramada.prioridad) | Validación: IsEnum(PrioridadAuditoria), IsEnum(PrioridadAuditoriaProgramada), IsEnum(PrioridadNotificacion), IsEnum(PrioridadTarea), IsEnum(['Alta', 'Media', 'Baja']), IsInt</t>
  </si>
  <si>
    <t xml:space="preserve">Prioridad de la auditoría programada. Valores permitidos: alta, media, baja.</t>
  </si>
  <si>
    <t xml:space="preserve">C1656</t>
  </si>
  <si>
    <t xml:space="preserve">riesgo_inherente</t>
  </si>
  <si>
    <t xml:space="preserve">alto, bajo, medio</t>
  </si>
  <si>
    <t xml:space="preserve">Mapeada en internal-institutional-control-service/src/esap/programa-anual/entities/auditoria-programada.entity.ts:108 (AuditoriaProgramada.riesgoInherente) | Validación: IsEnum(NivelRiesgo), IsNumber, IsOptional</t>
  </si>
  <si>
    <t xml:space="preserve">Nivel de riesgo inherente del proceso auditado. Valores permitidos: alto, medio, bajo.</t>
  </si>
  <si>
    <t xml:space="preserve">C1657</t>
  </si>
  <si>
    <t xml:space="preserve">cancelada, completada, en_curso, planeada</t>
  </si>
  <si>
    <t xml:space="preserve">idx_auditoria_programada_estado</t>
  </si>
  <si>
    <t xml:space="preserve">Mapeada en internal-institutional-control-service/src/esap/programa-anual/entities/auditoria-programada.entity.ts:116 (AuditoriaProgramada.estado) | Validación: IsEnum(AccionCorrectivaEstado), IsEnum(EstadoEtapa), IsEnum(EstadoPlanIndividual), IsEnum(EstadoTarea), IsEnum(HallazgoEstado), IsEnum(PlanMejoramientoEstado)</t>
  </si>
  <si>
    <t xml:space="preserve">Estado del registro de auditoria_programada.</t>
  </si>
  <si>
    <t xml:space="preserve">C1658</t>
  </si>
  <si>
    <t xml:space="preserve">es_territorial</t>
  </si>
  <si>
    <t xml:space="preserve">Mapeada en internal-institutional-control-service/src/esap/programa-anual/entities/auditoria-programada.entity.ts:124 (AuditoriaProgramada.esTerritorial) | Validación: IsBoolean, IsOptional</t>
  </si>
  <si>
    <t xml:space="preserve">Indica si aplica: territorial.</t>
  </si>
  <si>
    <t xml:space="preserve">C1659</t>
  </si>
  <si>
    <t xml:space="preserve">Mapeada en internal-institutional-control-service/src/esap/programa-anual/entities/auditoria-programada.entity.ts:127 (AuditoriaProgramada.territorial) | Validación: IsNotEmpty, IsOptional, IsString</t>
  </si>
  <si>
    <t xml:space="preserve">Dirección territorial donde se realiza la auditoría, cuando es territorial.</t>
  </si>
  <si>
    <t xml:space="preserve">nombre + columnas vecinas (es_territorial)</t>
  </si>
  <si>
    <t xml:space="preserve">C1660</t>
  </si>
  <si>
    <t xml:space="preserve">es_especial</t>
  </si>
  <si>
    <t xml:space="preserve">Mapeada en internal-institutional-control-service/src/esap/programa-anual/entities/auditoria-programada.entity.ts:130 (AuditoriaProgramada.esEspecial) | Validación: IsBoolean, IsOptional</t>
  </si>
  <si>
    <t xml:space="preserve">Indica si aplica: especial.</t>
  </si>
  <si>
    <t xml:space="preserve">C1661</t>
  </si>
  <si>
    <t xml:space="preserve">solicitada_por</t>
  </si>
  <si>
    <t xml:space="preserve">Mapeada en internal-institutional-control-service/src/esap/programa-anual/entities/auditoria-programada.entity.ts:133 (AuditoriaProgramada.solicitadaPor) | Validación: IsOptional, IsString</t>
  </si>
  <si>
    <t xml:space="preserve">C1662</t>
  </si>
  <si>
    <t xml:space="preserve">motivo_especial</t>
  </si>
  <si>
    <t xml:space="preserve">Mapeada en internal-institutional-control-service/src/esap/programa-anual/entities/auditoria-programada.entity.ts:136 (AuditoriaProgramada.motivoEspecial) | Validación: IsOptional, IsString</t>
  </si>
  <si>
    <t xml:space="preserve">Motivo del especial.</t>
  </si>
  <si>
    <t xml:space="preserve">C1663</t>
  </si>
  <si>
    <t xml:space="preserve">etapas</t>
  </si>
  <si>
    <t xml:space="preserve">Mapeada en internal-institutional-control-service/src/esap/programa-anual/entities/auditoria-programada.entity.ts:139 (AuditoriaProgramada.etapas)</t>
  </si>
  <si>
    <t xml:space="preserve">Etapas planeadas de la auditoría, en formato JSON.</t>
  </si>
  <si>
    <t xml:space="preserve">¿Qué estructura tiene etapas (nombre, fechas, estado de cada etapa)?</t>
  </si>
  <si>
    <t xml:space="preserve">C1664</t>
  </si>
  <si>
    <t xml:space="preserve">ampliaciones</t>
  </si>
  <si>
    <t xml:space="preserve">Mapeada en internal-institutional-control-service/src/esap/programa-anual/entities/auditoria-programada.entity.ts:161 (AuditoriaProgramada.ampliaciones)</t>
  </si>
  <si>
    <t xml:space="preserve">Ampliaciones de plazo de la auditoría programada, en formato JSON.</t>
  </si>
  <si>
    <t xml:space="preserve">nombre + tipo jsonb + columnas vecinas (fecha_limite_original, fecha_limite_actual)</t>
  </si>
  <si>
    <t xml:space="preserve">¿Qué estructura tiene ampliaciones? ¿Se relaciona con control_interno.ampliacion_plazo?</t>
  </si>
  <si>
    <t xml:space="preserve">C1665</t>
  </si>
  <si>
    <t xml:space="preserve">fecha_limite_original</t>
  </si>
  <si>
    <t xml:space="preserve">Mapeada en internal-institutional-control-service/src/esap/programa-anual/entities/auditoria-programada.entity.ts:173 (AuditoriaProgramada.fechaLimiteOriginal) | Validación: IsDateString</t>
  </si>
  <si>
    <t xml:space="preserve">Fecha límite original.</t>
  </si>
  <si>
    <t xml:space="preserve">C1666</t>
  </si>
  <si>
    <t xml:space="preserve">fecha_limite_actual</t>
  </si>
  <si>
    <t xml:space="preserve">Mapeada en internal-institutional-control-service/src/esap/programa-anual/entities/auditoria-programada.entity.ts:176 (AuditoriaProgramada.fechaLimiteActual)</t>
  </si>
  <si>
    <t xml:space="preserve">Fecha límite actual.</t>
  </si>
  <si>
    <t xml:space="preserve">C1667</t>
  </si>
  <si>
    <t xml:space="preserve">auditoria_territorial_info</t>
  </si>
  <si>
    <t xml:space="preserve">db/migrations/old/036_add_auditorias_kanban_completo.sql:672: Ej: "Antioquia - Medellín" | Validación: IsNotEmpty, IsNotEmpty({ message: 'El nombre del documento es obligatorio' }), IsOptional, IsString, Length(1, 500), MaxLength(120)</t>
  </si>
  <si>
    <t xml:space="preserve">Nombre de la territorial auditada (por ejemplo, «Antioquia - Medellín»).</t>
  </si>
  <si>
    <t xml:space="preserve">código: db/migrations/old/036_add_auditorias_kanban_completo.sql:672</t>
  </si>
  <si>
    <t xml:space="preserve">C1668</t>
  </si>
  <si>
    <t xml:space="preserve">ciudad</t>
  </si>
  <si>
    <t xml:space="preserve">idx_territorial_ciudad</t>
  </si>
  <si>
    <t xml:space="preserve">Mapeada en internal-institutional-control-service/src/esap/auditorias/entities/auditoria-territorial-info.entity.ts:29 (AuditoriaTerritorialInfo.ciudad)</t>
  </si>
  <si>
    <t xml:space="preserve">Ciudad donde se realiza la auditoría territorial.</t>
  </si>
  <si>
    <t xml:space="preserve">C1669</t>
  </si>
  <si>
    <t xml:space="preserve">departamento</t>
  </si>
  <si>
    <t xml:space="preserve">idx_territorial_departamento</t>
  </si>
  <si>
    <t xml:space="preserve">Mapeada en internal-institutional-control-service/src/esap/auditorias/entities/auditoria-territorial-info.entity.ts:32 (AuditoriaTerritorialInfo.departamento)</t>
  </si>
  <si>
    <t xml:space="preserve">Departamento donde se realiza la auditoría territorial.</t>
  </si>
  <si>
    <t xml:space="preserve">C1670</t>
  </si>
  <si>
    <t xml:space="preserve">Dirección física del lugar de la auditoría territorial.</t>
  </si>
  <si>
    <t xml:space="preserve">C1671</t>
  </si>
  <si>
    <t xml:space="preserve">contacto_nombre</t>
  </si>
  <si>
    <t xml:space="preserve">Nombre de la persona de contacto en la sede territorial.</t>
  </si>
  <si>
    <t xml:space="preserve">nombre + descripción de la tabla (contacto) ~</t>
  </si>
  <si>
    <t xml:space="preserve">C1672</t>
  </si>
  <si>
    <t xml:space="preserve">contacto_email</t>
  </si>
  <si>
    <t xml:space="preserve">Correo electrónico de la persona de contacto en la sede territorial.</t>
  </si>
  <si>
    <t xml:space="preserve">nombre + descripción de la tabla ~</t>
  </si>
  <si>
    <t xml:space="preserve">C1673</t>
  </si>
  <si>
    <t xml:space="preserve">contacto_telefono</t>
  </si>
  <si>
    <t xml:space="preserve">Teléfono de la persona de contacto en la sede territorial.</t>
  </si>
  <si>
    <t xml:space="preserve">C1674</t>
  </si>
  <si>
    <t xml:space="preserve">C1675</t>
  </si>
  <si>
    <t xml:space="preserve">cache_esap</t>
  </si>
  <si>
    <t xml:space="preserve">clave</t>
  </si>
  <si>
    <t xml:space="preserve">cache_esap_clave_key, idx_cache_clave</t>
  </si>
  <si>
    <t xml:space="preserve">Clave única de la entrada de caché.</t>
  </si>
  <si>
    <t xml:space="preserve">nombre + restricción única + descripción de la tabla ~</t>
  </si>
  <si>
    <t xml:space="preserve">C1676</t>
  </si>
  <si>
    <t xml:space="preserve">Valor almacenado en caché para la clave, en formato JSON.</t>
  </si>
  <si>
    <t xml:space="preserve">nombre + tipo jsonb + descripción de la tabla ~</t>
  </si>
  <si>
    <t xml:space="preserve">C1677</t>
  </si>
  <si>
    <t xml:space="preserve">idx_cache_expiracion</t>
  </si>
  <si>
    <t xml:space="preserve">C1678</t>
  </si>
  <si>
    <t xml:space="preserve">cierre_plan</t>
  </si>
  <si>
    <t xml:space="preserve">cerrado</t>
  </si>
  <si>
    <t xml:space="preserve">internal-institutional-control-service/src/esap/planes-mejoramiento/entities/cierre-plan.entity.ts:31: ¿El plan está cerrado?</t>
  </si>
  <si>
    <t xml:space="preserve">Indica si el plan de mejoramiento está cerrado; por defecto falso.</t>
  </si>
  <si>
    <t xml:space="preserve">código: internal-institutional-control-service/src/esap/planes-mejoramiento/entities/cierre-plan.entity.ts:31</t>
  </si>
  <si>
    <t xml:space="preserve">C1679</t>
  </si>
  <si>
    <t xml:space="preserve">fecha_cierre</t>
  </si>
  <si>
    <t xml:space="preserve">internal-institutional-control-service/src/esap/planes-mejoramiento/entities/cierre-plan.entity.ts:35: Fecha de cierre</t>
  </si>
  <si>
    <t xml:space="preserve">Fecha y hora de cierre del plan de mejoramiento.</t>
  </si>
  <si>
    <t xml:space="preserve">código: internal-institutional-control-service/src/esap/planes-mejoramiento/entities/cierre-plan.entity.ts:35</t>
  </si>
  <si>
    <t xml:space="preserve">C1680</t>
  </si>
  <si>
    <t xml:space="preserve">cerrado_por_id</t>
  </si>
  <si>
    <t xml:space="preserve">internal-institutional-control-service/src/esap/planes-mejoramiento/entities/cierre-plan.entity.ts:39: ID del responsable que cerró el plan (Jefe OCI o delegado)</t>
  </si>
  <si>
    <t xml:space="preserve">Identificador del responsable que cerró el plan (jefe de la Oficina de Control Interno o delegado).</t>
  </si>
  <si>
    <t xml:space="preserve">código: internal-institutional-control-service/src/esap/planes-mejoramiento/entities/cierre-plan.entity.ts:39</t>
  </si>
  <si>
    <t xml:space="preserve">C1681</t>
  </si>
  <si>
    <t xml:space="preserve">cerrado_por_nombre</t>
  </si>
  <si>
    <t xml:space="preserve">internal-institutional-control-service/src/esap/planes-mejoramiento/entities/cierre-plan.entity.ts:43: Nombre del responsable que cerró (desnormalizado para trazabilidad)</t>
  </si>
  <si>
    <t xml:space="preserve">Nombre del responsable que cerró el plan, copiado para trazabilidad.</t>
  </si>
  <si>
    <t xml:space="preserve">código: internal-institutional-control-service/src/esap/planes-mejoramiento/entities/cierre-plan.entity.ts:43</t>
  </si>
  <si>
    <t xml:space="preserve">C1682</t>
  </si>
  <si>
    <t xml:space="preserve">observaciones_cierre</t>
  </si>
  <si>
    <t xml:space="preserve">internal-institutional-control-service/src/esap/planes-mejoramiento/entities/cierre-plan.entity.ts:47: Observaciones del cierre | Validación: IsOptional, IsString</t>
  </si>
  <si>
    <t xml:space="preserve">Observaciones del cierre del plan.</t>
  </si>
  <si>
    <t xml:space="preserve">código: internal-institutional-control-service/src/esap/planes-mejoramiento/entities/cierre-plan.entity.ts:47</t>
  </si>
  <si>
    <t xml:space="preserve">C1683</t>
  </si>
  <si>
    <t xml:space="preserve">internal-institutional-control-service/src/esap/planes-mejoramiento/entities/cierre-plan.entity.ts:51: ¿Efectividad verificada en la siguiente auditoría? (EM-PT-002 act. 9)</t>
  </si>
  <si>
    <t xml:space="preserve">Indica si la efectividad se verificó en la siguiente auditoría; por defecto falso (EM-PT-002, actividad 9).</t>
  </si>
  <si>
    <t xml:space="preserve">código: internal-institutional-control-service/src/esap/planes-mejoramiento/entities/cierre-plan.entity.ts:51</t>
  </si>
  <si>
    <t xml:space="preserve">C1684</t>
  </si>
  <si>
    <t xml:space="preserve">internal-institutional-control-service/src/esap/planes-mejoramiento/entities/cierre-plan.entity.ts:55: ¿Expediente archivado con índice electrónico? (EM-PT-002 act. 10)</t>
  </si>
  <si>
    <t xml:space="preserve">Indica si el expediente del plan se archivó con índice electrónico; por defecto falso (EM-PT-002, actividad 10).</t>
  </si>
  <si>
    <t xml:space="preserve">código: internal-institutional-control-service/src/esap/planes-mejoramiento/entities/cierre-plan.entity.ts:55</t>
  </si>
  <si>
    <t xml:space="preserve">C1685</t>
  </si>
  <si>
    <t xml:space="preserve">indice_electronico_ref</t>
  </si>
  <si>
    <t xml:space="preserve">internal-institutional-control-service/src/esap/planes-mejoramiento/entities/cierre-plan.entity.ts:59: Referencia al índice electrónico del expediente</t>
  </si>
  <si>
    <t xml:space="preserve">Referencia al índice electrónico del expediente del plan.</t>
  </si>
  <si>
    <t xml:space="preserve">código: internal-institutional-control-service/src/esap/planes-mejoramiento/entities/cierre-plan.entity.ts:59</t>
  </si>
  <si>
    <t xml:space="preserve">C1686</t>
  </si>
  <si>
    <t xml:space="preserve">internal-institutional-control-service/src/esap/planes-mejoramiento/entities/cierre-plan.entity.ts:63: Fecha de archivo | Validación: IsDateString, IsOptional</t>
  </si>
  <si>
    <t xml:space="preserve">Fecha y hora de archivo del expediente.</t>
  </si>
  <si>
    <t xml:space="preserve">código: internal-institutional-control-service/src/esap/planes-mejoramiento/entities/cierre-plan.entity.ts:63</t>
  </si>
  <si>
    <t xml:space="preserve">C1687</t>
  </si>
  <si>
    <t xml:space="preserve">condicion_disparo_notificacion</t>
  </si>
  <si>
    <t xml:space="preserve">condicion_disparo_notificacion_nombre_key</t>
  </si>
  <si>
    <t xml:space="preserve">Nombre del registro de condicion_disparo_notificacion.</t>
  </si>
  <si>
    <t xml:space="preserve">C1688</t>
  </si>
  <si>
    <t xml:space="preserve">Descripción del registro de condicion_disparo_notificacion.</t>
  </si>
  <si>
    <t xml:space="preserve">C1689</t>
  </si>
  <si>
    <t xml:space="preserve">C1690</t>
  </si>
  <si>
    <t xml:space="preserve">configuracion_esap</t>
  </si>
  <si>
    <t xml:space="preserve">configuracion_esap_clave_key, idx_config_esap_clave</t>
  </si>
  <si>
    <t xml:space="preserve">Clave única del parámetro de configuración.</t>
  </si>
  <si>
    <t xml:space="preserve">C1691</t>
  </si>
  <si>
    <t xml:space="preserve">Valor del parámetro de configuración.</t>
  </si>
  <si>
    <t xml:space="preserve">C1692</t>
  </si>
  <si>
    <t xml:space="preserve">Descripción del registro de configuracion_esap.</t>
  </si>
  <si>
    <t xml:space="preserve">C1693</t>
  </si>
  <si>
    <t xml:space="preserve">boolean, json, number, string</t>
  </si>
  <si>
    <t xml:space="preserve">Tipo del registro de configuracion_esap.</t>
  </si>
  <si>
    <t xml:space="preserve">C1694</t>
  </si>
  <si>
    <t xml:space="preserve">idx_config_esap_categoria</t>
  </si>
  <si>
    <t xml:space="preserve">Categoría con la que se agrupa el parámetro de configuración.</t>
  </si>
  <si>
    <t xml:space="preserve">¿Qué categorías se usan en configuracion_esap?</t>
  </si>
  <si>
    <t xml:space="preserve">C1695</t>
  </si>
  <si>
    <t xml:space="preserve">idx_config_esap_activo</t>
  </si>
  <si>
    <t xml:space="preserve">C1696</t>
  </si>
  <si>
    <t xml:space="preserve">configuracion_profesionales_ocig</t>
  </si>
  <si>
    <t xml:space="preserve">idx_config_prof_ocig_activo</t>
  </si>
  <si>
    <t xml:space="preserve">Mapeada en internal-institutional-control-service/src/esap/configuraciones/entities/configuracion-profesional-ocig.entity.ts:67 (ConfiguracionProfesionalOCIG.activo) | Validación: IsBoolean, IsOptional</t>
  </si>
  <si>
    <t xml:space="preserve">C1697</t>
  </si>
  <si>
    <t xml:space="preserve">db/migrations/134_create_configuracion_profesionales_ocig.sql:37: Metadata</t>
  </si>
  <si>
    <t xml:space="preserve">Fecha en que el profesional se asignó al equipo OCIG; por defecto la fecha actual.</t>
  </si>
  <si>
    <t xml:space="preserve">C1698</t>
  </si>
  <si>
    <t xml:space="preserve">Mapeada en internal-institutional-control-service/src/esap/configuraciones/entities/configuracion-profesional-ocig.entity.ts:83 (ConfiguracionProfesionalOCIG.observaciones) | Validación: IsOptional, IsString</t>
  </si>
  <si>
    <t xml:space="preserve">C1699</t>
  </si>
  <si>
    <t xml:space="preserve">criterio_auditoria</t>
  </si>
  <si>
    <t xml:space="preserve">criterio</t>
  </si>
  <si>
    <t xml:space="preserve">Mapeada en internal-institutional-control-service/src/esap/auditorias/entities/criterio-auditoria.entity.ts:29 (CriterioAuditoria.criterio)</t>
  </si>
  <si>
    <t xml:space="preserve">Texto del criterio de auditoría (norma, política o estándar aplicable).</t>
  </si>
  <si>
    <t xml:space="preserve">C1700</t>
  </si>
  <si>
    <t xml:space="preserve">Mapeada en internal-institutional-control-service/src/esap/auditorias/entities/criterio-auditoria.entity.ts:32 (CriterioAuditoria.orden) | Validación: IsInt, IsOptional, Min(1)</t>
  </si>
  <si>
    <t xml:space="preserve">C1701</t>
  </si>
  <si>
    <t xml:space="preserve">idx_criterio_auditoria_activo</t>
  </si>
  <si>
    <t xml:space="preserve">Mapeada en internal-institutional-control-service/src/esap/auditorias/entities/criterio-auditoria.entity.ts:35 (CriterioAuditoria.activo) | Validación: IsBoolean, IsOptional</t>
  </si>
  <si>
    <t xml:space="preserve">C1702</t>
  </si>
  <si>
    <t xml:space="preserve">cronograma_auditoria</t>
  </si>
  <si>
    <t xml:space="preserve">Código del registro de cronograma_auditoria.</t>
  </si>
  <si>
    <t xml:space="preserve">C1703</t>
  </si>
  <si>
    <t xml:space="preserve">Nombre del registro de cronograma_auditoria.</t>
  </si>
  <si>
    <t xml:space="preserve">C1704</t>
  </si>
  <si>
    <t xml:space="preserve">Proceso que se audita en la auditoría del cronograma.</t>
  </si>
  <si>
    <t xml:space="preserve">C1705</t>
  </si>
  <si>
    <t xml:space="preserve">Nivel de riesgo del proceso. Valores permitidos: Alto, Medio, Bajo.</t>
  </si>
  <si>
    <t xml:space="preserve">C1706</t>
  </si>
  <si>
    <t xml:space="preserve">trimestre</t>
  </si>
  <si>
    <t xml:space="preserve">idx_cronograma_trimestre</t>
  </si>
  <si>
    <t xml:space="preserve">Trimestre del año en que se programa la auditoría.</t>
  </si>
  <si>
    <t xml:space="preserve">¿Qué formato tiene trimestre (Q1, T1, 1)?</t>
  </si>
  <si>
    <t xml:space="preserve">C1707</t>
  </si>
  <si>
    <t xml:space="preserve">C1708</t>
  </si>
  <si>
    <t xml:space="preserve">C1709</t>
  </si>
  <si>
    <t xml:space="preserve">auditor_responsable</t>
  </si>
  <si>
    <t xml:space="preserve">Nombre del auditor responsable de la auditoría programada.</t>
  </si>
  <si>
    <t xml:space="preserve">¿auditor_responsable guarda el nombre, el correo o el identificador del auditor?</t>
  </si>
  <si>
    <t xml:space="preserve">C1710</t>
  </si>
  <si>
    <t xml:space="preserve">horas_estimadas</t>
  </si>
  <si>
    <t xml:space="preserve">Horas estimadas para ejecutar la auditoría.</t>
  </si>
  <si>
    <t xml:space="preserve">C1711</t>
  </si>
  <si>
    <t xml:space="preserve">cancelada, completada, en-ejecucion, en-revision, planificado</t>
  </si>
  <si>
    <t xml:space="preserve">idx_cronograma_estado</t>
  </si>
  <si>
    <t xml:space="preserve">Estado del registro de cronograma_auditoria.</t>
  </si>
  <si>
    <t xml:space="preserve">C1712</t>
  </si>
  <si>
    <t xml:space="preserve">C1713</t>
  </si>
  <si>
    <t xml:space="preserve">Dirección territorial de la auditoría, cuando es territorial.</t>
  </si>
  <si>
    <t xml:space="preserve">C1714</t>
  </si>
  <si>
    <t xml:space="preserve">C1715</t>
  </si>
  <si>
    <t xml:space="preserve">equipo</t>
  </si>
  <si>
    <t xml:space="preserve">¿Qué estructura tiene equipo?</t>
  </si>
  <si>
    <t xml:space="preserve">C1716</t>
  </si>
  <si>
    <t xml:space="preserve">etapas_cronograma</t>
  </si>
  <si>
    <t xml:space="preserve">Etapas del cronograma de la auditoría con sus fechas, en formato JSON.</t>
  </si>
  <si>
    <t xml:space="preserve">¿Qué estructura tiene etapas_cronograma?</t>
  </si>
  <si>
    <t xml:space="preserve">C1717</t>
  </si>
  <si>
    <t xml:space="preserve">cronograma_fase_auditoria</t>
  </si>
  <si>
    <t xml:space="preserve">idx_cronograma_fase, uq_cronograma_fase</t>
  </si>
  <si>
    <t xml:space="preserve">Fase de la auditoría a la que corresponde el cronograma. Valores permitidos: Planeación, Comunicación, Ejecución, Seguimiento.</t>
  </si>
  <si>
    <t xml:space="preserve">valores permitidos del CHECK + índice único ~</t>
  </si>
  <si>
    <t xml:space="preserve">C1718</t>
  </si>
  <si>
    <t xml:space="preserve">C1719</t>
  </si>
  <si>
    <t xml:space="preserve">C1720</t>
  </si>
  <si>
    <t xml:space="preserve">dias_estimados</t>
  </si>
  <si>
    <t xml:space="preserve">Duración estimada de la fase, en días.</t>
  </si>
  <si>
    <t xml:space="preserve">¿dias_estimados cuenta días calendario o hábiles?</t>
  </si>
  <si>
    <t xml:space="preserve">C1721</t>
  </si>
  <si>
    <t xml:space="preserve">C1722</t>
  </si>
  <si>
    <t xml:space="preserve">datos_automaticos_informe</t>
  </si>
  <si>
    <t xml:space="preserve">tipo_dato</t>
  </si>
  <si>
    <t xml:space="preserve">idx_datos_tipo</t>
  </si>
  <si>
    <t xml:space="preserve">internal-institutional-control-service/src/esap/informes-ley/entities/datos-automaticos-informe.entity.ts:27: 'auditorias', 'planes_mejoramiento', 'indicadores', 'hallazgos', etc. | db/migrations/old/080_create_informes_ley_plantillas_workflow.sql:94: 'auditorias', 'planes_mejoramiento', 'indicadores', etc.</t>
  </si>
  <si>
    <t xml:space="preserve">Tipo de dato poblado automáticamente desde el sistema para el informe, por ejemplo auditorias, planes_mejoramiento, indicadores o hallazgos (US-022).</t>
  </si>
  <si>
    <t xml:space="preserve">código: internal-institutional-control-service/src/esap/informes-ley/entities/datos-automaticos-informe.entity.ts:27</t>
  </si>
  <si>
    <t xml:space="preserve">C1723</t>
  </si>
  <si>
    <t xml:space="preserve">fecha_generacion</t>
  </si>
  <si>
    <t xml:space="preserve">Mapeada en internal-institutional-control-service/src/esap/informes-ley/entities/datos-automaticos-informe.entity.ts:33 (DatosAutomaticosInforme.fechaGeneracion) | Validación: IsDateString, IsOptional</t>
  </si>
  <si>
    <t xml:space="preserve">Fecha de generación.</t>
  </si>
  <si>
    <t xml:space="preserve">C1724</t>
  </si>
  <si>
    <t xml:space="preserve">fuente_datos</t>
  </si>
  <si>
    <t xml:space="preserve">internal-institutional-control-service/src/esap/informes-ley/entities/datos-automaticos-informe.entity.ts:36: 'sistema', 'api_externa', 'manual' | db/migrations/old/080_create_informes_ley_plantillas_workflow.sql:97: 'sistema', 'api_externa', 'manual'</t>
  </si>
  <si>
    <t xml:space="preserve">Fuente de los datos automáticos del informe, por ejemplo sistema, api_externa o manual.</t>
  </si>
  <si>
    <t xml:space="preserve">código: internal-institutional-control-service/src/esap/informes-ley/entities/datos-automaticos-informe.entity.ts:36</t>
  </si>
  <si>
    <t xml:space="preserve">C1725</t>
  </si>
  <si>
    <t xml:space="preserve">version_datos</t>
  </si>
  <si>
    <t xml:space="preserve">Mapeada en internal-institutional-control-service/src/esap/informes-ley/entities/datos-automaticos-informe.entity.ts:39 (DatosAutomaticosInforme.versionDatos)</t>
  </si>
  <si>
    <t xml:space="preserve">Versión del conjunto de datos automáticos del informe. Por defecto 1.0.</t>
  </si>
  <si>
    <t xml:space="preserve">¿Cuándo se incrementa la versión de los datos: en cada regeneración del informe?</t>
  </si>
  <si>
    <t xml:space="preserve">C1726</t>
  </si>
  <si>
    <t xml:space="preserve">documento</t>
  </si>
  <si>
    <t xml:space="preserve">Mapeada en internal-institutional-control-service/src/esap/documentos/entities/documento.entity.ts:62 (Documento.nombre) | Validación: IsNotEmpty, IsNotEmpty({ message: 'El nombre del documento es obligatorio' }), IsOptional, IsString, Length(1, 500), MaxLength(120)</t>
  </si>
  <si>
    <t xml:space="preserve">Nombre del registro de documento.</t>
  </si>
  <si>
    <t xml:space="preserve">C1727</t>
  </si>
  <si>
    <t xml:space="preserve">Mapeada en internal-institutional-control-service/src/esap/documentos/entities/documento.entity.ts:65 (Documento.descripcion) | Validación: IsNotEmpty, IsOptional, IsString</t>
  </si>
  <si>
    <t xml:space="preserve">Descripción del registro de documento.</t>
  </si>
  <si>
    <t xml:space="preserve">C1728</t>
  </si>
  <si>
    <t xml:space="preserve">Función control_interno.actualizar_contadores_documentos_informes; Trigger trigger_actualizar_contadores_documentos — control_interno.actualizar_contadores_documentos_informes: v_tipo_documento := OLD.tipo_documento;</t>
  </si>
  <si>
    <t xml:space="preserve">idx_documento_tipo</t>
  </si>
  <si>
    <t xml:space="preserve">Mapeada en internal-institutional-control-service/src/esap/documentos/entities/documento.entity.ts:68 (Documento.tipoDocumento) | Validación: IsEnum(TipoDocumento), IsEnum(TipoDocumentoEvidencia), IsNotEmpty, IsOptional</t>
  </si>
  <si>
    <t xml:space="preserve">Tipo de documento; los tipos informe_preliminar, informe_final e informe_ejecutivo se cuentan como informes de la auditoría.</t>
  </si>
  <si>
    <t xml:space="preserve">uso en la función actualizar_contadores_documentos_informes + validación IsEnum(TipoDocumento)</t>
  </si>
  <si>
    <t xml:space="preserve">¿Cuál es la lista completa de valores del enum TipoDocumento?</t>
  </si>
  <si>
    <t xml:space="preserve">C1729</t>
  </si>
  <si>
    <t xml:space="preserve">cierre, comunicacion, comunicacion_resultados, ejecucion, hallazgos, planeacion, planificacion, seguimiento</t>
  </si>
  <si>
    <t xml:space="preserve">idx_documento_etapa</t>
  </si>
  <si>
    <t xml:space="preserve">Mapeada en internal-institutional-control-service/src/esap/documentos/entities/documento.entity.ts:76 (Documento.etapa) | Validación: IsEnum(EtapaDocumento), IsOptional</t>
  </si>
  <si>
    <t xml:space="preserve">Etapa de la auditoría a la que pertenece el documento. Valores permitidos: planeacion, planificacion, comunicacion, ejecucion, hallazgos, comunicacion_resultados, seguimiento, cierre.</t>
  </si>
  <si>
    <t xml:space="preserve">C1730</t>
  </si>
  <si>
    <t xml:space="preserve">hallazgo_id</t>
  </si>
  <si>
    <t xml:space="preserve">Mapeada en internal-institutional-control-service/src/esap/documentos/entities/documento.entity.ts:98 (Documento.hallazgoId) | Validación: IsOptional, IsString, IsUUID</t>
  </si>
  <si>
    <t xml:space="preserve">Referencia al registro de control_interno.hallazgo (id); relación sin llave foránea declarada.</t>
  </si>
  <si>
    <t xml:space="preserve">C1731</t>
  </si>
  <si>
    <t xml:space="preserve">plan_mejoramiento_id</t>
  </si>
  <si>
    <t xml:space="preserve">Mapeada en internal-institutional-control-service/src/esap/documentos/entities/documento.entity.ts:105 (Documento.planMejoramientoId) | Validación: IsOptional, IsUUID</t>
  </si>
  <si>
    <t xml:space="preserve">Identificador del plan de mejoramiento al que se vincula el documento.</t>
  </si>
  <si>
    <t xml:space="preserve">nombre + validación IsUUID</t>
  </si>
  <si>
    <t xml:space="preserve">¿plan_mejoramiento_id referencia control_interno.plan_mejoramiento? No tiene FK declarada.</t>
  </si>
  <si>
    <t xml:space="preserve">C1732</t>
  </si>
  <si>
    <t xml:space="preserve">ruta_archivo</t>
  </si>
  <si>
    <t xml:space="preserve">Mapeada en internal-institutional-control-service/src/esap/documentos/entities/documento.entity.ts:131 (Documento.rutaArchivo) | Validación: IsOptional, IsString</t>
  </si>
  <si>
    <t xml:space="preserve">Ruta de almacenamiento del archivo del documento.</t>
  </si>
  <si>
    <t xml:space="preserve">C1733</t>
  </si>
  <si>
    <t xml:space="preserve">Mapeada en internal-institutional-control-service/src/esap/documentos/entities/documento.entity.ts:134 (Documento.nombreArchivo) | Validación: IsNotEmpty, IsOptional, IsString</t>
  </si>
  <si>
    <t xml:space="preserve">Nombre del archivo del documento.</t>
  </si>
  <si>
    <t xml:space="preserve">C1734</t>
  </si>
  <si>
    <t xml:space="preserve">Mapeada en internal-institutional-control-service/src/esap/documentos/entities/documento.entity.ts:137 (Documento.tipoMime) | Validación: IsNotEmpty, IsString</t>
  </si>
  <si>
    <t xml:space="preserve">Tipo MIME del archivo (por ejemplo, application/pdf).</t>
  </si>
  <si>
    <t xml:space="preserve">C1735</t>
  </si>
  <si>
    <t xml:space="preserve">tamanio_bytes</t>
  </si>
  <si>
    <t xml:space="preserve">Mapeada en internal-institutional-control-service/src/esap/documentos/entities/documento.entity.ts:140 (Documento.tamanioBytes) | Validación: IsNumber, Min(0)</t>
  </si>
  <si>
    <t xml:space="preserve">Tamaño del archivo, en bytes.</t>
  </si>
  <si>
    <t xml:space="preserve">nombre + tipo + validación Min(0) ~</t>
  </si>
  <si>
    <t xml:space="preserve">C1736</t>
  </si>
  <si>
    <t xml:space="preserve">Mapeada en internal-institutional-control-service/src/esap/documentos/entities/documento.entity.ts:143 (Documento.version) | Validación: IsOptional, IsString</t>
  </si>
  <si>
    <t xml:space="preserve">C1737</t>
  </si>
  <si>
    <t xml:space="preserve">Mapeada en internal-institutional-control-service/src/esap/documentos/entities/documento.entity.ts:153 (Documento.subidoPor) | Validación: IsNotEmpty, IsString</t>
  </si>
  <si>
    <t xml:space="preserve">C1738</t>
  </si>
  <si>
    <t xml:space="preserve">Mapeada en internal-institutional-control-service/src/esap/documentos/entities/documento.entity.ts:156 (Documento.hashArchivo) | Validación: IsOptional, IsString</t>
  </si>
  <si>
    <t xml:space="preserve">Hash del contenido del archivo, usado para verificar su integridad.</t>
  </si>
  <si>
    <t xml:space="preserve">¿Qué algoritmo se usa para hash_archivo (SHA-256, MD5)?</t>
  </si>
  <si>
    <t xml:space="preserve">C1739</t>
  </si>
  <si>
    <t xml:space="preserve">comprimido</t>
  </si>
  <si>
    <t xml:space="preserve">Mapeada en internal-institutional-control-service/src/esap/documentos/entities/documento.entity.ts:159 (Documento.comprimido)</t>
  </si>
  <si>
    <t xml:space="preserve">Indica si el registro está comprimido.</t>
  </si>
  <si>
    <t xml:space="preserve">C1740</t>
  </si>
  <si>
    <t xml:space="preserve">ruta_servidor_g</t>
  </si>
  <si>
    <t xml:space="preserve">Mapeada en internal-institutional-control-service/src/esap/documentos/entities/documento.entity.ts:162 (Documento.rutaServidorG)</t>
  </si>
  <si>
    <t xml:space="preserve">Ruta del archivo en el servidor G, donde se sincroniza el documento.</t>
  </si>
  <si>
    <t xml:space="preserve">nombre + columnas vecinas (sincronizado_servidor_g, fecha_sincronizacion)</t>
  </si>
  <si>
    <t xml:space="preserve">¿Qué es el servidor G y cuándo se sincroniza el documento?</t>
  </si>
  <si>
    <t xml:space="preserve">C1741</t>
  </si>
  <si>
    <t xml:space="preserve">sincronizado_servidor_g</t>
  </si>
  <si>
    <t xml:space="preserve">Mapeada en internal-institutional-control-service/src/esap/documentos/entities/documento.entity.ts:165 (Documento.sincronizadoServidorG)</t>
  </si>
  <si>
    <t xml:space="preserve">Indica si aplica: sincronizado servidor g.</t>
  </si>
  <si>
    <t xml:space="preserve">C1742</t>
  </si>
  <si>
    <t xml:space="preserve">fecha_sincronizacion</t>
  </si>
  <si>
    <t xml:space="preserve">Mapeada en internal-institutional-control-service/src/esap/documentos/entities/documento.entity.ts:168 (Documento.fechaSincronizacion)</t>
  </si>
  <si>
    <t xml:space="preserve">Fecha de sincronización.</t>
  </si>
  <si>
    <t xml:space="preserve">C1743</t>
  </si>
  <si>
    <t xml:space="preserve">tipo_reporte</t>
  </si>
  <si>
    <t xml:space="preserve">acta-apertura, acta-cierre, informe-auditoria, matriz-hallazgos, otro, plan-anual, plan-mejora, reporte-cumplimiento, reporte-ejecutivo, reporte-gravedad, reporte-territorial</t>
  </si>
  <si>
    <t xml:space="preserve">Tipo de reporte cuando el documento es un reporte generado. Valores permitidos: acta-apertura, acta-cierre, informe-auditoria, matriz-hallazgos, plan-anual, plan-mejora, reporte-cumplimiento, reporte-ejecutivo, reporte-gravedad, reporte-territorial, otro.</t>
  </si>
  <si>
    <t xml:space="preserve">C1744</t>
  </si>
  <si>
    <t xml:space="preserve">visible_auditoria_id</t>
  </si>
  <si>
    <t xml:space="preserve">idx_documento_visible_auditoria_id</t>
  </si>
  <si>
    <t xml:space="preserve">internal-institutional-control-service/src/esap/documentos/entities/documento.entity.ts:117: Plantilla: visible solo para esta auditoría. NULL = visible para todas | Validación: IsOptional, IsUUID</t>
  </si>
  <si>
    <t xml:space="preserve">Identificador de la auditoría para la que es visible el documento plantilla; nulo indica que es visible para todas.</t>
  </si>
  <si>
    <t xml:space="preserve">código: internal-institutional-control-service/src/esap/documentos/entities/documento.entity.ts:117</t>
  </si>
  <si>
    <t xml:space="preserve">C1745</t>
  </si>
  <si>
    <t xml:space="preserve">documento_aprobacion</t>
  </si>
  <si>
    <t xml:space="preserve">Nombre del archivo adjunto a la solicitud de aprobación.</t>
  </si>
  <si>
    <t xml:space="preserve">nombre + tipo + columnas vecinas (aprobacion_id) ~</t>
  </si>
  <si>
    <t xml:space="preserve">C1746</t>
  </si>
  <si>
    <t xml:space="preserve">Ruta de almacenamiento del archivo adjunto.</t>
  </si>
  <si>
    <t xml:space="preserve">C1747</t>
  </si>
  <si>
    <t xml:space="preserve">Tipo MIME del archivo adjunto.</t>
  </si>
  <si>
    <t xml:space="preserve">C1748</t>
  </si>
  <si>
    <t xml:space="preserve">Tamaño del archivo adjunto, en bytes.</t>
  </si>
  <si>
    <t xml:space="preserve">C1749</t>
  </si>
  <si>
    <t xml:space="preserve">documento_plan_mejoramiento</t>
  </si>
  <si>
    <t xml:space="preserve">Mapeada en internal-institutional-control-service/src/esap/planes-mejoramiento/entities/documento-plan.entity.ts:36 (DocumentoPlanMejoramiento.nombre) | Validación: IsNotEmpty, IsNotEmpty({ message: 'El nombre del documento es obligatorio' }), IsOptional, IsString, Length(1, 500), MaxLength(120)</t>
  </si>
  <si>
    <t xml:space="preserve">Nombre del registro de documento_plan_mejoramiento.</t>
  </si>
  <si>
    <t xml:space="preserve">C1750</t>
  </si>
  <si>
    <t xml:space="preserve">Mapeada en internal-institutional-control-service/src/esap/planes-mejoramiento/entities/documento-plan.entity.ts:39 (DocumentoPlanMejoramiento.descripcion) | Validación: IsNotEmpty, IsOptional, IsString</t>
  </si>
  <si>
    <t xml:space="preserve">Descripción del registro de documento_plan_mejoramiento.</t>
  </si>
  <si>
    <t xml:space="preserve">C1751</t>
  </si>
  <si>
    <t xml:space="preserve">Mapeada en internal-institutional-control-service/src/esap/planes-mejoramiento/entities/documento-plan.entity.ts:42 (DocumentoPlanMejoramiento.tipoDocumento) | Validación: IsEnum(TipoDocumento), IsEnum(TipoDocumentoEvidencia), IsNotEmpty, IsOptional</t>
  </si>
  <si>
    <t xml:space="preserve">Tipo de documento del plan de mejoramiento, según el enum TipoDocumento o TipoDocumentoEvidencia.</t>
  </si>
  <si>
    <t xml:space="preserve">nombre + validaciones IsEnum</t>
  </si>
  <si>
    <t xml:space="preserve">¿Qué valores admite tipo_documento en esta tabla?</t>
  </si>
  <si>
    <t xml:space="preserve">C1752</t>
  </si>
  <si>
    <t xml:space="preserve">Mapeada en internal-institutional-control-service/src/esap/planes-mejoramiento/entities/documento-plan.entity.ts:45 (DocumentoPlanMejoramiento.rutaArchivo) | Validación: IsOptional, IsString</t>
  </si>
  <si>
    <t xml:space="preserve">Ruta de almacenamiento del archivo.</t>
  </si>
  <si>
    <t xml:space="preserve">C1753</t>
  </si>
  <si>
    <t xml:space="preserve">nombre_archivo_original</t>
  </si>
  <si>
    <t xml:space="preserve">Mapeada en internal-institutional-control-service/src/esap/planes-mejoramiento/entities/documento-plan.entity.ts:48 (DocumentoPlanMejoramiento.nombreArchivoOriginal)</t>
  </si>
  <si>
    <t xml:space="preserve">Nombre original del archivo al momento de subirlo.</t>
  </si>
  <si>
    <t xml:space="preserve">C1754</t>
  </si>
  <si>
    <t xml:space="preserve">Mapeada en internal-institutional-control-service/src/esap/planes-mejoramiento/entities/documento-plan.entity.ts:51 (DocumentoPlanMejoramiento.tipoMime) | Validación: IsNotEmpty, IsString</t>
  </si>
  <si>
    <t xml:space="preserve">C1755</t>
  </si>
  <si>
    <t xml:space="preserve">Mapeada en internal-institutional-control-service/src/esap/planes-mejoramiento/entities/documento-plan.entity.ts:54 (DocumentoPlanMejoramiento.tamanioBytes) | Validación: IsNumber, Min(0)</t>
  </si>
  <si>
    <t xml:space="preserve">C1756</t>
  </si>
  <si>
    <t xml:space="preserve">Mapeada en internal-institutional-control-service/src/esap/planes-mejoramiento/entities/documento-plan.entity.ts:57 (DocumentoPlanMejoramiento.subidoPor) | Validación: IsNotEmpty, IsString</t>
  </si>
  <si>
    <t xml:space="preserve">C1757</t>
  </si>
  <si>
    <t xml:space="preserve">subido_por_id</t>
  </si>
  <si>
    <t xml:space="preserve">Mapeada en internal-institutional-control-service/src/esap/planes-mejoramiento/entities/documento-plan.entity.ts:60 (DocumentoPlanMejoramiento.subidoPorId)</t>
  </si>
  <si>
    <t xml:space="preserve">Identificador del usuario que subió el documento.</t>
  </si>
  <si>
    <t xml:space="preserve">nombre + columnas vecinas (subido_por)</t>
  </si>
  <si>
    <t xml:space="preserve">¿subido_por_id referencia auth."user"? No tiene FK declarada.</t>
  </si>
  <si>
    <t xml:space="preserve">C1758</t>
  </si>
  <si>
    <t xml:space="preserve">Mapeada en internal-institutional-control-service/src/esap/planes-mejoramiento/entities/documento-plan.entity.ts:63 (DocumentoPlanMejoramiento.fechaSubida)</t>
  </si>
  <si>
    <t xml:space="preserve">Fecha de la carga.</t>
  </si>
  <si>
    <t xml:space="preserve">C1759</t>
  </si>
  <si>
    <t xml:space="preserve">estado_validacion</t>
  </si>
  <si>
    <t xml:space="preserve">internal-institutional-control-service/src/esap/planes-mejoramiento/entities/documento-plan.entity.ts:67: Campos para validación de evidencia por el auditor | Validación: IsEnum(EstadoValidacion)</t>
  </si>
  <si>
    <t xml:space="preserve">Estado de la validación de la evidencia por el auditor; por defecto PENDIENTE_REVISION.</t>
  </si>
  <si>
    <t xml:space="preserve">código: internal-institutional-control-service/src/esap/planes-mejoramiento/entities/documento-plan.entity.ts:67</t>
  </si>
  <si>
    <t xml:space="preserve">¿Qué valores tiene el enum EstadoValidacion usado en documento_plan_mejoramiento?</t>
  </si>
  <si>
    <t xml:space="preserve">C1760</t>
  </si>
  <si>
    <t xml:space="preserve">comentarios_auditor</t>
  </si>
  <si>
    <t xml:space="preserve">Mapeada en internal-institutional-control-service/src/esap/planes-mejoramiento/entities/documento-plan.entity.ts:70 (DocumentoPlanMejoramiento.comentariosAuditor)</t>
  </si>
  <si>
    <t xml:space="preserve">Comentarios del auditor al validar el documento.</t>
  </si>
  <si>
    <t xml:space="preserve">nombre + columnas vecinas (estado_validacion, validado_por) ~</t>
  </si>
  <si>
    <t xml:space="preserve">C1761</t>
  </si>
  <si>
    <t xml:space="preserve">Mapeada en internal-institutional-control-service/src/esap/planes-mejoramiento/entities/documento-plan.entity.ts:73 (DocumentoPlanMejoramiento.fechaValidacion)</t>
  </si>
  <si>
    <t xml:space="preserve">C1762</t>
  </si>
  <si>
    <t xml:space="preserve">Mapeada en internal-institutional-control-service/src/esap/planes-mejoramiento/entities/documento-plan.entity.ts:76 (DocumentoPlanMejoramiento.validadoPor)</t>
  </si>
  <si>
    <t xml:space="preserve">C1763</t>
  </si>
  <si>
    <t xml:space="preserve">solicita_nueva_evidencia</t>
  </si>
  <si>
    <t xml:space="preserve">Mapeada en internal-institutional-control-service/src/esap/planes-mejoramiento/entities/documento-plan.entity.ts:79 (DocumentoPlanMejoramiento.solicitaNuevaEvidencia)</t>
  </si>
  <si>
    <t xml:space="preserve">Indica si aplica: solicita nueva evidencia.</t>
  </si>
  <si>
    <t xml:space="preserve">C1764</t>
  </si>
  <si>
    <t xml:space="preserve">entrega_informe_ley</t>
  </si>
  <si>
    <t xml:space="preserve">internal-institutional-control-service/src/esap/informes-ley/entities/entrega-informe-ley.entity.ts:29: "2025-01", "2025-Q1", "2025-S1", "2025" | internal-institutional-control-service/schema-esap.sql:315: "2025-01", "2025-Q1", "2025-S1", "2025" | Validación: IsNotEmpty, IsOptional, IsString, Length(1, 50)</t>
  </si>
  <si>
    <t xml:space="preserve">Periodo que reporta la entrega del informe de ley, en formato mes (2025-01), trimestre (2025-Q1), semestre (2025-S1) o año (2025).</t>
  </si>
  <si>
    <t xml:space="preserve">código: internal-institutional-control-service/src/esap/informes-ley/entities/entrega-informe-ley.entity.ts:29</t>
  </si>
  <si>
    <t xml:space="preserve">C1765</t>
  </si>
  <si>
    <t xml:space="preserve">idx_entrega_vencimiento</t>
  </si>
  <si>
    <t xml:space="preserve">Mapeada en internal-institutional-control-service/src/esap/informes-ley/entities/entrega-informe-ley.entity.ts:32 (EntregaInformeLey.fechaVencimiento) | Validación: IsDateString, IsNotEmpty, IsOptional</t>
  </si>
  <si>
    <t xml:space="preserve">C1766</t>
  </si>
  <si>
    <t xml:space="preserve">fecha_entrega</t>
  </si>
  <si>
    <t xml:space="preserve">Mapeada en internal-institutional-control-service/src/esap/informes-ley/entities/entrega-informe-ley.entity.ts:35 (EntregaInformeLey.fechaEntrega) | Validación: IsDateString, IsOptional</t>
  </si>
  <si>
    <t xml:space="preserve">Fecha de entrega.</t>
  </si>
  <si>
    <t xml:space="preserve">C1767</t>
  </si>
  <si>
    <t xml:space="preserve">en-proceso, entregado, pendiente, rechazado, vencido</t>
  </si>
  <si>
    <t xml:space="preserve">idx_entrega_estado</t>
  </si>
  <si>
    <t xml:space="preserve">Mapeada en internal-institutional-control-service/src/esap/informes-ley/entities/entrega-informe-ley.entity.ts:38 (EntregaInformeLey.estado) | Validación: IsEnum(AccionCorrectivaEstado), IsEnum(EstadoEtapa), IsEnum(EstadoPlanIndividual), IsEnum(EstadoTarea), IsEnum(HallazgoEstado), IsEnum(PlanMejoramientoEstado)</t>
  </si>
  <si>
    <t xml:space="preserve">Estado del registro de entrega_informe_ley.</t>
  </si>
  <si>
    <t xml:space="preserve">C1768</t>
  </si>
  <si>
    <t xml:space="preserve">internal-institutional-control-service/src/esap/informes-ley/entities/entrega-informe-ley.entity.ts:46: Archivo | Validación: IsOptional, IsString, Length(0, 255)</t>
  </si>
  <si>
    <t xml:space="preserve">Nombre del archivo del informe entregado.</t>
  </si>
  <si>
    <t xml:space="preserve">código: internal-institutional-control-service/src/esap/informes-ley/entities/entrega-informe-ley.entity.ts:46</t>
  </si>
  <si>
    <t xml:space="preserve">C1769</t>
  </si>
  <si>
    <t xml:space="preserve">Mapeada en internal-institutional-control-service/src/esap/informes-ley/entities/entrega-informe-ley.entity.ts:49 (EntregaInformeLey.archivoUrl) | Validación: IsOptional, IsString, Length(0, 500)</t>
  </si>
  <si>
    <t xml:space="preserve">URL del archivo entregado del informe de ley.</t>
  </si>
  <si>
    <t xml:space="preserve">nombre + tipo + columnas vecinas (archivo_nombre) ~</t>
  </si>
  <si>
    <t xml:space="preserve">C1770</t>
  </si>
  <si>
    <t xml:space="preserve">Mapeada en internal-institutional-control-service/src/esap/informes-ley/entities/entrega-informe-ley.entity.ts:52 (EntregaInformeLey.archivoTamano) | Validación: IsNumber, IsOptional</t>
  </si>
  <si>
    <t xml:space="preserve">Tamaño del archivo entregado.</t>
  </si>
  <si>
    <t xml:space="preserve">nombre + tipo bigint</t>
  </si>
  <si>
    <t xml:space="preserve">¿archivo_tamano está en bytes?</t>
  </si>
  <si>
    <t xml:space="preserve">C1771</t>
  </si>
  <si>
    <t xml:space="preserve">elaborado_por</t>
  </si>
  <si>
    <t xml:space="preserve">internal-institutional-control-service/src/esap/informes-ley/entities/entrega-informe-ley.entity.ts:56: Proceso | Validación: IsOptional, IsString, Length(0, 255)</t>
  </si>
  <si>
    <t xml:space="preserve">Persona que elaboró el informe.</t>
  </si>
  <si>
    <t xml:space="preserve">¿elaborado_por guarda el nombre o el identificador del usuario?</t>
  </si>
  <si>
    <t xml:space="preserve">C1772</t>
  </si>
  <si>
    <t xml:space="preserve">fecha_elaboracion</t>
  </si>
  <si>
    <t xml:space="preserve">Mapeada en internal-institutional-control-service/src/esap/informes-ley/entities/entrega-informe-ley.entity.ts:59 (EntregaInformeLey.fechaElaboracion) | Validación: IsDateString, IsOptional</t>
  </si>
  <si>
    <t xml:space="preserve">Fecha de elaboración.</t>
  </si>
  <si>
    <t xml:space="preserve">C1773</t>
  </si>
  <si>
    <t xml:space="preserve">Mapeada en internal-institutional-control-service/src/esap/informes-ley/entities/entrega-informe-ley.entity.ts:62 (EntregaInformeLey.aprobadoPor) | Validación: IsOptional, IsString, Length(0, 255)</t>
  </si>
  <si>
    <t xml:space="preserve">C1774</t>
  </si>
  <si>
    <t xml:space="preserve">Mapeada en internal-institutional-control-service/src/esap/informes-ley/entities/entrega-informe-ley.entity.ts:65 (EntregaInformeLey.fechaAprobacion) | Validación: IsDateString, IsOptional</t>
  </si>
  <si>
    <t xml:space="preserve">C1775</t>
  </si>
  <si>
    <t xml:space="preserve">enviado_por</t>
  </si>
  <si>
    <t xml:space="preserve">Mapeada en internal-institutional-control-service/src/esap/informes-ley/entities/entrega-informe-ley.entity.ts:68 (EntregaInformeLey.enviadoPor) | Validación: IsOptional, IsString, Length(0, 255)</t>
  </si>
  <si>
    <t xml:space="preserve">Usuario que realizó el envío.</t>
  </si>
  <si>
    <t xml:space="preserve">C1776</t>
  </si>
  <si>
    <t xml:space="preserve">internal-institutional-control-service/src/esap/informes-ley/entities/entrega-informe-ley.entity.ts:79: Observaciones | Validación: IsOptional, IsString</t>
  </si>
  <si>
    <t xml:space="preserve">Observaciones sobre la entrega del informe.</t>
  </si>
  <si>
    <t xml:space="preserve">código: internal-institutional-control-service/src/esap/informes-ley/entities/entrega-informe-ley.entity.ts:79</t>
  </si>
  <si>
    <t xml:space="preserve">C1777</t>
  </si>
  <si>
    <t xml:space="preserve">Mapeada en internal-institutional-control-service/src/esap/informes-ley/entities/entrega-informe-ley.entity.ts:82 (EntregaInformeLey.motivoRechazo) | Validación: IsNotEmpty, IsOptional, IsString</t>
  </si>
  <si>
    <t xml:space="preserve">C1778</t>
  </si>
  <si>
    <t xml:space="preserve">internal-institutional-control-service/src/esap/informes-ley/entities/entrega-informe-ley.entity.ts:72: Radicado | Validación: IsOptional, IsString, Length(0, 255)</t>
  </si>
  <si>
    <t xml:space="preserve">Número de radicado de la entrega del informe.</t>
  </si>
  <si>
    <t xml:space="preserve">código: internal-institutional-control-service/src/esap/informes-ley/entities/entrega-informe-ley.entity.ts:72</t>
  </si>
  <si>
    <t xml:space="preserve">C1779</t>
  </si>
  <si>
    <t xml:space="preserve">Mapeada en internal-institutional-control-service/src/esap/informes-ley/entities/entrega-informe-ley.entity.ts:75 (EntregaInformeLey.fechaRadicacion) | Validación: IsDateString, IsOptional</t>
  </si>
  <si>
    <t xml:space="preserve">C1780</t>
  </si>
  <si>
    <t xml:space="preserve">idx_entrega_generacion</t>
  </si>
  <si>
    <t xml:space="preserve">Mapeada en internal-institutional-control-service/src/esap/informes-ley/entities/entrega-informe-ley.entity.ts:98 (EntregaInformeLey.fechaGeneracion) | Validación: IsDateString, IsOptional</t>
  </si>
  <si>
    <t xml:space="preserve">C1781</t>
  </si>
  <si>
    <t xml:space="preserve">generado_por</t>
  </si>
  <si>
    <t xml:space="preserve">Mapeada en internal-institutional-control-service/src/esap/informes-ley/entities/entrega-informe-ley.entity.ts:101 (EntregaInformeLey.generadoPor)</t>
  </si>
  <si>
    <t xml:space="preserve">Usuario que realizó la generación.</t>
  </si>
  <si>
    <t xml:space="preserve">C1782</t>
  </si>
  <si>
    <t xml:space="preserve">formato_archivo</t>
  </si>
  <si>
    <t xml:space="preserve">Excel, PDF, Word</t>
  </si>
  <si>
    <t xml:space="preserve">Mapeada en internal-institutional-control-service/src/esap/informes-ley/entities/entrega-informe-ley.entity.ts:104 (EntregaInformeLey.formatoArchivo)</t>
  </si>
  <si>
    <t xml:space="preserve">Formato del archivo generado. Valores permitidos: PDF, Word, Excel.</t>
  </si>
  <si>
    <t xml:space="preserve">C1783</t>
  </si>
  <si>
    <t xml:space="preserve">plantilla_usada</t>
  </si>
  <si>
    <t xml:space="preserve">Mapeada en internal-institutional-control-service/src/esap/informes-ley/entities/entrega-informe-ley.entity.ts:107 (EntregaInformeLey.plantillaUsada)</t>
  </si>
  <si>
    <t xml:space="preserve">Plantilla usada para generar el informe.</t>
  </si>
  <si>
    <t xml:space="preserve">nombre + columnas vecinas (version_plantilla, fecha_generacion)</t>
  </si>
  <si>
    <t xml:space="preserve">¿plantilla_usada guarda el nombre o la ruta de la plantilla?</t>
  </si>
  <si>
    <t xml:space="preserve">C1784</t>
  </si>
  <si>
    <t xml:space="preserve">version_plantilla</t>
  </si>
  <si>
    <t xml:space="preserve">Mapeada en internal-institutional-control-service/src/esap/informes-ley/entities/entrega-informe-ley.entity.ts:110 (EntregaInformeLey.versionPlantilla)</t>
  </si>
  <si>
    <t xml:space="preserve">Versión de la plantilla usada para generar el informe.</t>
  </si>
  <si>
    <t xml:space="preserve">nombre + columnas vecinas (plantilla_usada) ~</t>
  </si>
  <si>
    <t xml:space="preserve">C1785</t>
  </si>
  <si>
    <t xml:space="preserve">idx_equipo_auditor_activo</t>
  </si>
  <si>
    <t xml:space="preserve">Mapeada en internal-institutional-control-service/src/esap/auditorias/entities/equipo-auditor.entity.ts:34 (EquipoAuditor.activo) | Validación: IsBoolean, IsOptional</t>
  </si>
  <si>
    <t xml:space="preserve">C1786</t>
  </si>
  <si>
    <t xml:space="preserve">Mapeada en internal-institutional-control-service/src/esap/auditorias/entities/equipo-auditor.entity.ts:37 (EquipoAuditor.fechaAsignacion)</t>
  </si>
  <si>
    <t xml:space="preserve">C1787</t>
  </si>
  <si>
    <t xml:space="preserve">fecha_retiro</t>
  </si>
  <si>
    <t xml:space="preserve">Mapeada en internal-institutional-control-service/src/esap/auditorias/entities/equipo-auditor.entity.ts:40 (EquipoAuditor.fechaRetiro)</t>
  </si>
  <si>
    <t xml:space="preserve">Fecha de retiro.</t>
  </si>
  <si>
    <t xml:space="preserve">C1788</t>
  </si>
  <si>
    <t xml:space="preserve">Mapeada en internal-institutional-control-service/src/esap/auditorias/entities/equipo-auditor.entity.ts:43 (EquipoAuditor.observaciones) | Validación: IsOptional, IsString</t>
  </si>
  <si>
    <t xml:space="preserve">C1789</t>
  </si>
  <si>
    <t xml:space="preserve">especialidades_ocig</t>
  </si>
  <si>
    <t xml:space="preserve">especialidades_ocig_nombre_key</t>
  </si>
  <si>
    <t xml:space="preserve">Nombre del registro de especialidades_ocig.</t>
  </si>
  <si>
    <t xml:space="preserve">C1790</t>
  </si>
  <si>
    <t xml:space="preserve">Descripción del registro de especialidades_ocig.</t>
  </si>
  <si>
    <t xml:space="preserve">C1791</t>
  </si>
  <si>
    <t xml:space="preserve">C1792</t>
  </si>
  <si>
    <t xml:space="preserve">C1793</t>
  </si>
  <si>
    <t xml:space="preserve">etapa_auditoria</t>
  </si>
  <si>
    <t xml:space="preserve">comunicacion, ejecucion, planeacion</t>
  </si>
  <si>
    <t xml:space="preserve">Etapa de ejecución de la auditoría. Valores permitidos: planeacion, comunicacion, ejecucion.</t>
  </si>
  <si>
    <t xml:space="preserve">C1794</t>
  </si>
  <si>
    <t xml:space="preserve">completada, en_progreso, pendiente</t>
  </si>
  <si>
    <t xml:space="preserve">idx_etapa_auditoria_estado</t>
  </si>
  <si>
    <t xml:space="preserve">Estado del registro de etapa_auditoria.</t>
  </si>
  <si>
    <t xml:space="preserve">C1795</t>
  </si>
  <si>
    <t xml:space="preserve">C1796</t>
  </si>
  <si>
    <t xml:space="preserve">C1797</t>
  </si>
  <si>
    <t xml:space="preserve">C1798</t>
  </si>
  <si>
    <t xml:space="preserve">datos</t>
  </si>
  <si>
    <t xml:space="preserve">Datos registrados para la etapa de la auditoría, en formato JSON.</t>
  </si>
  <si>
    <t xml:space="preserve">¿Qué estructura tiene datos en cada etapa?</t>
  </si>
  <si>
    <t xml:space="preserve">C1799</t>
  </si>
  <si>
    <t xml:space="preserve">Porcentaje de avance de la etapa de la auditoría.</t>
  </si>
  <si>
    <t xml:space="preserve">¿porcentaje_avance se expresa de 0 a 100 y quién lo actualiza?</t>
  </si>
  <si>
    <t xml:space="preserve">C1800</t>
  </si>
  <si>
    <t xml:space="preserve">etapa_kanban</t>
  </si>
  <si>
    <t xml:space="preserve">Mapeada en internal-institutional-control-service/src/esap/tableros-kanban/entities/etapa-kanban.entity.ts:38 (EtapaKanban.nombre) | Validación: IsNotEmpty, IsNotEmpty({ message: 'El nombre del documento es obligatorio' }), IsOptional, IsString, Length(1, 500), MaxLength(120)</t>
  </si>
  <si>
    <t xml:space="preserve">Nombre del registro de etapa_kanban.</t>
  </si>
  <si>
    <t xml:space="preserve">C1801</t>
  </si>
  <si>
    <t xml:space="preserve">Mapeada en internal-institutional-control-service/src/esap/tableros-kanban/entities/etapa-kanban.entity.ts:41 (EtapaKanban.descripcion) | Validación: IsNotEmpty, IsOptional, IsString</t>
  </si>
  <si>
    <t xml:space="preserve">Descripción del registro de etapa_kanban.</t>
  </si>
  <si>
    <t xml:space="preserve">C1802</t>
  </si>
  <si>
    <t xml:space="preserve">idx_etapa_kanban_tablero_orden</t>
  </si>
  <si>
    <t xml:space="preserve">Mapeada en internal-institutional-control-service/src/esap/tableros-kanban/entities/etapa-kanban.entity.ts:44 (EtapaKanban.orden) | Validación: IsInt, IsOptional, Min(1)</t>
  </si>
  <si>
    <t xml:space="preserve">C1803</t>
  </si>
  <si>
    <t xml:space="preserve">character varying(7)</t>
  </si>
  <si>
    <t xml:space="preserve">internal-institutional-control-service/src/esap/tableros-kanban/entities/etapa-kanban.entity.ts:47: Hex color | db/migrations/old/089_create_tableros_kanban.sql:32: Hex color | Validación: IsOptional, IsString, MaxLength(120)</t>
  </si>
  <si>
    <t xml:space="preserve">Color de la etapa en el tablero Kanban, en formato hexadecimal.</t>
  </si>
  <si>
    <t xml:space="preserve">código: internal-institutional-control-service/src/esap/tableros-kanban/entities/etapa-kanban.entity.ts:47</t>
  </si>
  <si>
    <t xml:space="preserve">C1804</t>
  </si>
  <si>
    <t xml:space="preserve">visible</t>
  </si>
  <si>
    <t xml:space="preserve">Mapeada en internal-institutional-control-service/src/esap/tableros-kanban/entities/etapa-kanban.entity.ts:56 (EtapaKanban.visible) | Validación: IsBoolean, IsOptional</t>
  </si>
  <si>
    <t xml:space="preserve">Indica si aplica: visible.</t>
  </si>
  <si>
    <t xml:space="preserve">C1805</t>
  </si>
  <si>
    <t xml:space="preserve">notificar_vencimiento</t>
  </si>
  <si>
    <t xml:space="preserve">Mapeada en internal-institutional-control-service/src/esap/tableros-kanban/entities/etapa-kanban.entity.ts:59 (EtapaKanban.notificarVencimiento) | Validación: IsBoolean, IsOptional</t>
  </si>
  <si>
    <t xml:space="preserve">Indica si aplica: notificar vencimiento.</t>
  </si>
  <si>
    <t xml:space="preserve">C1806</t>
  </si>
  <si>
    <t xml:space="preserve">dias_anticipacion_alerta</t>
  </si>
  <si>
    <t xml:space="preserve">Mapeada en internal-institutional-control-service/src/esap/tableros-kanban/entities/etapa-kanban.entity.ts:62 (EtapaKanban.diasAnticipacionAlerta) | Validación: IsInt, IsOptional, Max(90), Min(0), Min(1)</t>
  </si>
  <si>
    <t xml:space="preserve">Días de anticipación con que se alerta el vencimiento de la etapa, de 0 a 90; 0 por defecto.</t>
  </si>
  <si>
    <t xml:space="preserve">nombre + validaciones Min(0), Max(90) + columnas vecinas (notificar_vencimiento)</t>
  </si>
  <si>
    <t xml:space="preserve">¿El mínimo es 0 o 1? Las validaciones declaran Min(0) y Min(1).</t>
  </si>
  <si>
    <t xml:space="preserve">C1807</t>
  </si>
  <si>
    <t xml:space="preserve">permitir_retroceso</t>
  </si>
  <si>
    <t xml:space="preserve">Mapeada en internal-institutional-control-service/src/esap/tableros-kanban/entities/etapa-kanban.entity.ts:73 (EtapaKanban.permitirRetroceso) | Validación: IsBoolean, IsOptional</t>
  </si>
  <si>
    <t xml:space="preserve">Indica si aplica: permitir retroceso.</t>
  </si>
  <si>
    <t xml:space="preserve">C1808</t>
  </si>
  <si>
    <t xml:space="preserve">idx_etapa_kanban_deleted_at</t>
  </si>
  <si>
    <t xml:space="preserve">Mapeada en internal-institutional-control-service/src/esap/tableros-kanban/entities/etapa-kanban.entity.ts:82 (EtapaKanban.deletedAt)</t>
  </si>
  <si>
    <t xml:space="preserve">C1809</t>
  </si>
  <si>
    <t xml:space="preserve">evaluacion_proceso</t>
  </si>
  <si>
    <t xml:space="preserve">dependencia_responsable</t>
  </si>
  <si>
    <t xml:space="preserve">internal-institutional-control-service/src/esap/universo-auditorias/entities/evaluacion-proceso.entity.ts:68: ═══════════════════════════════════════════════════════════════════════ RELACIÓN CON PROCESO MAESTRO ═══════════════════════════════════════════════════════════════════════ | Validación: IsNotEmpty, IsOptional, IsString</t>
  </si>
  <si>
    <t xml:space="preserve">Dependencia responsable del proceso evaluado.</t>
  </si>
  <si>
    <t xml:space="preserve">C1810</t>
  </si>
  <si>
    <t xml:space="preserve">riesgos_extremos</t>
  </si>
  <si>
    <t xml:space="preserve">internal-institutional-control-service/src/esap/universo-auditorias/entities/evaluacion-proceso.entity.ts:75: ═══════════════════════════════════════════════════════════════════════ RELACIÓN CON PROCESO MAESTRO ═══════════════════════════════════════════════════════════════════════ | db/migrations/175_create_evaluacion_proceso.sql:22: Sección 1: Número de riesgos inherentes (D, E, F, G, H) | Validación: IsNumber, IsOptional, Min(0)</t>
  </si>
  <si>
    <t xml:space="preserve">Número de riesgos inherentes de nivel extremo del proceso (sección 1 de la evaluación). Por defecto 0.</t>
  </si>
  <si>
    <t xml:space="preserve">código: db/migrations/175_create_evaluacion_proceso.sql:22</t>
  </si>
  <si>
    <t xml:space="preserve">C1811</t>
  </si>
  <si>
    <t xml:space="preserve">riesgos_altos</t>
  </si>
  <si>
    <t xml:space="preserve">internal-institutional-control-service/src/esap/universo-auditorias/entities/evaluacion-proceso.entity.ts:78: ═══════════════════════════════════════════════════════════════════════ RELACIÓN CON PROCESO MAESTRO ═══════════════════════════════════════════════════════════════════════ | Validación: IsNumber, IsOptional, Min(0)</t>
  </si>
  <si>
    <t xml:space="preserve">Número de riesgos de nivel alto del proceso. Por defecto 0.</t>
  </si>
  <si>
    <t xml:space="preserve">¿Son riesgos inherentes o residuales?</t>
  </si>
  <si>
    <t xml:space="preserve">C1812</t>
  </si>
  <si>
    <t xml:space="preserve">riesgos_moderados</t>
  </si>
  <si>
    <t xml:space="preserve">internal-institutional-control-service/src/esap/universo-auditorias/entities/evaluacion-proceso.entity.ts:81: ═══════════════════════════════════════════════════════════════════════ RELACIÓN CON PROCESO MAESTRO ═══════════════════════════════════════════════════════════════════════ | Validación: IsNumber, IsOptional, Min(0)</t>
  </si>
  <si>
    <t xml:space="preserve">Número de riesgos de nivel moderado del proceso. Por defecto 0.</t>
  </si>
  <si>
    <t xml:space="preserve">C1813</t>
  </si>
  <si>
    <t xml:space="preserve">riesgos_bajos</t>
  </si>
  <si>
    <t xml:space="preserve">internal-institutional-control-service/src/esap/universo-auditorias/entities/evaluacion-proceso.entity.ts:84: ═══════════════════════════════════════════════════════════════════════ RELACIÓN CON PROCESO MAESTRO ═══════════════════════════════════════════════════════════════════════ | Validación: IsNumber, IsOptional, Min(0)</t>
  </si>
  <si>
    <t xml:space="preserve">Número de riesgos de nivel bajo del proceso. Por defecto 0.</t>
  </si>
  <si>
    <t xml:space="preserve">C1814</t>
  </si>
  <si>
    <t xml:space="preserve">total_riesgos</t>
  </si>
  <si>
    <t xml:space="preserve">internal-institutional-control-service/src/esap/universo-auditorias/entities/evaluacion-proceso.entity.ts:87: ═══════════════════════════════════════════════════════════════════════ RELACIÓN CON PROCESO MAESTRO ═══════════════════════════════════════════════════════════════════════ | Validación: IsNumber, IsOptional, Min(0)</t>
  </si>
  <si>
    <t xml:space="preserve">Número total de riesgos del proceso. Por defecto 0.</t>
  </si>
  <si>
    <t xml:space="preserve">¿Es la suma de riesgos extremos, altos, moderados y bajos, y se calcula automáticamente?</t>
  </si>
  <si>
    <t xml:space="preserve">C1815</t>
  </si>
  <si>
    <t xml:space="preserve">requerimiento_comite</t>
  </si>
  <si>
    <t xml:space="preserve">internal-institutional-control-service/src/esap/universo-auditorias/entities/evaluacion-proceso.entity.ts:94: ═══════════════════════════════════════════════════════════════════════ RELACIÓN CON PROCESO MAESTRO ═══════════════════════════════════════════════════════════════════════ | db/migrations/175_create_evaluacion_proceso.sql:29: Sección 2: Requerimientos especiales (J, K) | Validación: IsBoolean, IsOptional</t>
  </si>
  <si>
    <t xml:space="preserve">Indica si existe un requerimiento del comité para auditar el proceso (sección 2 de la evaluación, requerimientos especiales). Por defecto falso.</t>
  </si>
  <si>
    <t xml:space="preserve">código: db/migrations/175_create_evaluacion_proceso.sql:29</t>
  </si>
  <si>
    <t xml:space="preserve">¿A qué comité se refiere: el Comité Institucional de Coordinación de Control Interno?</t>
  </si>
  <si>
    <t xml:space="preserve">C1816</t>
  </si>
  <si>
    <t xml:space="preserve">requerimiento_entes_reg</t>
  </si>
  <si>
    <t xml:space="preserve">internal-institutional-control-service/src/esap/universo-auditorias/entities/evaluacion-proceso.entity.ts:97: ═══════════════════════════════════════════════════════════════════════ RELACIÓN CON PROCESO MAESTRO ═══════════════════════════════════════════════════════════════════════ | Validación: IsBoolean, IsOptional</t>
  </si>
  <si>
    <t xml:space="preserve">Indica si existe un requerimiento de entes reguladores o de control para auditar el proceso. Por defecto falso.</t>
  </si>
  <si>
    <t xml:space="preserve">¿Qué entes se consideran y se registra cuál hizo el requerimiento?</t>
  </si>
  <si>
    <t xml:space="preserve">C1817</t>
  </si>
  <si>
    <t xml:space="preserve">fecha_ultima_auditoria</t>
  </si>
  <si>
    <t xml:space="preserve">internal-institutional-control-service/src/esap/universo-auditorias/entities/evaluacion-proceso.entity.ts:104: ═══════════════════════════════════════════════════════════════════════ RELACIÓN CON PROCESO MAESTRO ═══════════════════════════════════════════════════════════════════════ | db/migrations/175_create_evaluacion_proceso.sql:33: Sección 3: Información de auditoría anterior (L, N) | Validación: IsDateString, IsOptional</t>
  </si>
  <si>
    <t xml:space="preserve">Fecha de la última auditoría realizada al proceso (sección 3 de la evaluación).</t>
  </si>
  <si>
    <t xml:space="preserve">código: db/migrations/175_create_evaluacion_proceso.sql:33</t>
  </si>
  <si>
    <t xml:space="preserve">C1818</t>
  </si>
  <si>
    <t xml:space="preserve">resultado_ultima_auditoria</t>
  </si>
  <si>
    <t xml:space="preserve">internal-institutional-control-service/src/esap/universo-auditorias/entities/evaluacion-proceso.entity.ts:107: ═══════════════════════════════════════════════════════════════════════ RELACIÓN CON PROCESO MAESTRO ═══════════════════════════════════════════════════════════════════════ | Validación: IsOptional, IsString</t>
  </si>
  <si>
    <t xml:space="preserve">Resultado de la última auditoría realizada al proceso.</t>
  </si>
  <si>
    <t xml:space="preserve">¿Qué valores admite el resultado y es texto libre?</t>
  </si>
  <si>
    <t xml:space="preserve">C1819</t>
  </si>
  <si>
    <t xml:space="preserve">criticidad</t>
  </si>
  <si>
    <t xml:space="preserve">internal-institutional-control-service/src/esap/universo-auditorias/entities/evaluacion-proceso.entity.ts:114: ═══════════════════════════════════════════════════════════════════════ RELACIÓN CON PROCESO MAESTRO ═══════════════════════════════════════════════════════════════════════ | db/migrations/175_create_evaluacion_proceso.sql:37: Score de riesgo C+E-M (modelo simplificado 0-15) | Validación: IsNumber, IsOptional, Max(5), Min(0)</t>
  </si>
  <si>
    <t xml:space="preserve">Calificación de criticidad del proceso, de 0 a 5; componente C del puntaje de riesgo C+E-M. Por defecto 0.</t>
  </si>
  <si>
    <t xml:space="preserve">código: db/migrations/175_create_evaluacion_proceso.sql:37</t>
  </si>
  <si>
    <t xml:space="preserve">C1820</t>
  </si>
  <si>
    <t xml:space="preserve">exposicion</t>
  </si>
  <si>
    <t xml:space="preserve">internal-institutional-control-service/src/esap/universo-auditorias/entities/evaluacion-proceso.entity.ts:117: ═══════════════════════════════════════════════════════════════════════ RELACIÓN CON PROCESO MAESTRO ═══════════════════════════════════════════════════════════════════════ | Validación: IsNumber, IsOptional, Max(5), Min(0)</t>
  </si>
  <si>
    <t xml:space="preserve">Calificación de exposición del proceso, de 0 a 5. Por defecto 0.</t>
  </si>
  <si>
    <t xml:space="preserve">nombre + tipo + validaciones Min(0), Max(5)</t>
  </si>
  <si>
    <t xml:space="preserve">¿La exposición es el componente E del puntaje de riesgo (C+E-M)?</t>
  </si>
  <si>
    <t xml:space="preserve">C1821</t>
  </si>
  <si>
    <t xml:space="preserve">mitigantes</t>
  </si>
  <si>
    <t xml:space="preserve">internal-institutional-control-service/src/esap/universo-auditorias/entities/evaluacion-proceso.entity.ts:120: ═══════════════════════════════════════════════════════════════════════ RELACIÓN CON PROCESO MAESTRO ═══════════════════════════════════════════════════════════════════════ | Validación: IsNumber, IsOptional, Max(5), Min(0)</t>
  </si>
  <si>
    <t xml:space="preserve">Calificación de los mitigantes del proceso, de 0 a 5. Por defecto 0.</t>
  </si>
  <si>
    <t xml:space="preserve">¿Los mitigantes son el componente M que se resta en el puntaje de riesgo (C+E-M)?</t>
  </si>
  <si>
    <t xml:space="preserve">C1822</t>
  </si>
  <si>
    <t xml:space="preserve">score_riesgo</t>
  </si>
  <si>
    <t xml:space="preserve">internal-institutional-control-service/src/esap/universo-auditorias/entities/evaluacion-proceso.entity.ts:123: ═══════════════════════════════════════════════════════════════════════ RELACIÓN CON PROCESO MAESTRO ═══════════════════════════════════════════════════════════════════════ | Validación: IsNumber, IsOptional, Max(15), Min(0)</t>
  </si>
  <si>
    <t xml:space="preserve">Puntaje de riesgo del proceso, de 0 a 15. Por defecto 0.</t>
  </si>
  <si>
    <t xml:space="preserve">nombre + tipo + validaciones Min(0), Max(15)</t>
  </si>
  <si>
    <t xml:space="preserve">¿Se calcula como criticidad + exposición - mitigantes?</t>
  </si>
  <si>
    <t xml:space="preserve">C1823</t>
  </si>
  <si>
    <t xml:space="preserve">internal-institutional-control-service/src/esap/universo-auditorias/entities/evaluacion-proceso.entity.ts:163: ═══════════════════════════════════════════════════════════════════════ RELACIÓN CON PROCESO MAESTRO ═══════════════════════════════════════════════════════════════════════ | Validación: IsNumber, IsOptional</t>
  </si>
  <si>
    <t xml:space="preserve">Número de días transcurridos desde la última auditoría del proceso.</t>
  </si>
  <si>
    <t xml:space="preserve">¿Se cuentan desde fecha_ultima_auditoria hasta fecha_corte?</t>
  </si>
  <si>
    <t xml:space="preserve">C1824</t>
  </si>
  <si>
    <t xml:space="preserve">plan_rotacion</t>
  </si>
  <si>
    <t xml:space="preserve">internal-institutional-control-service/src/esap/universo-auditorias/entities/evaluacion-proceso.entity.ts:166: ═══════════════════════════════════════════════════════════════════════ RELACIÓN CON PROCESO MAESTRO ═══════════════════════════════════════════════════════════════════════ | Validación: IsOptional, IsString</t>
  </si>
  <si>
    <t xml:space="preserve">Plan de rotación de auditoría asignado al proceso.</t>
  </si>
  <si>
    <t xml:space="preserve">¿Qué valores admite plan_rotacion y cómo se relaciona con dias_rotacion y ciclo_rotacion_dafp?</t>
  </si>
  <si>
    <t xml:space="preserve">C1825</t>
  </si>
  <si>
    <t xml:space="preserve">dias_rotacion</t>
  </si>
  <si>
    <t xml:space="preserve">internal-institutional-control-service/src/esap/universo-auditorias/entities/evaluacion-proceso.entity.ts:169: ═══════════════════════════════════════════════════════════════════════ RELACIÓN CON PROCESO MAESTRO ═══════════════════════════════════════════════════════════════════════ | Validación: IsNumber, IsOptional</t>
  </si>
  <si>
    <t xml:space="preserve">Número de días del ciclo de rotación de auditoría del proceso. Por defecto 360.</t>
  </si>
  <si>
    <t xml:space="preserve">¿Es el intervalo máximo entre auditorías del proceso según el plan de rotación?</t>
  </si>
  <si>
    <t xml:space="preserve">C1826</t>
  </si>
  <si>
    <t xml:space="preserve">decision_rotacion</t>
  </si>
  <si>
    <t xml:space="preserve">internal-institutional-control-service/src/esap/universo-auditorias/entities/evaluacion-proceso.entity.ts:172: ═══════════════════════════════════════════════════════════════════════ RELACIÓN CON PROCESO MAESTRO ═══════════════════════════════════════════════════════════════════════ | Validación: IsOptional, IsString</t>
  </si>
  <si>
    <t xml:space="preserve">Decisión de rotación de auditoría para el proceso.</t>
  </si>
  <si>
    <t xml:space="preserve">¿Qué valores admite decision_rotacion y en qué se diferencia de decision_final?</t>
  </si>
  <si>
    <t xml:space="preserve">C1827</t>
  </si>
  <si>
    <t xml:space="preserve">motivo_decision</t>
  </si>
  <si>
    <t xml:space="preserve">internal-institutional-control-service/src/esap/universo-auditorias/entities/evaluacion-proceso.entity.ts:182: ═══════════════════════════════════════════════════════════════════════ RELACIÓN CON PROCESO MAESTRO ═══════════════════════════════════════════════════════════════════════ | Validación: IsOptional, IsString</t>
  </si>
  <si>
    <t xml:space="preserve">Motivo de la decisión tomada sobre la auditoría del proceso.</t>
  </si>
  <si>
    <t xml:space="preserve">¿Justifica decision_final, decision_rotacion o ambas?</t>
  </si>
  <si>
    <t xml:space="preserve">C1828</t>
  </si>
  <si>
    <t xml:space="preserve">prioridad_regla</t>
  </si>
  <si>
    <t xml:space="preserve">internal-institutional-control-service/src/esap/universo-auditorias/entities/evaluacion-proceso.entity.ts:185: ═══════════════════════════════════════════════════════════════════════ RELACIÓN CON PROCESO MAESTRO ═══════════════════════════════════════════════════════════════════════ 1-5, qué regla DAFP aplicó | Validación: IsNumber, IsOptional, Max(5), Min(1)</t>
  </si>
  <si>
    <t xml:space="preserve">Número de la regla DAFP aplicada en la evaluación del proceso, de 1 a 5.</t>
  </si>
  <si>
    <t xml:space="preserve">código: internal-institutional-control-service/src/esap/universo-auditorias/entities/evaluacion-proceso.entity.ts:185</t>
  </si>
  <si>
    <t xml:space="preserve">C1829</t>
  </si>
  <si>
    <t xml:space="preserve">idx_evaluacion_proceso_activo</t>
  </si>
  <si>
    <t xml:space="preserve">internal-institutional-control-service/src/esap/universo-auditorias/entities/evaluacion-proceso.entity.ts:206: ═══════════════════════════════════════════════════════════════════════ RELACIÓN CON PROCESO MAESTRO ═══════════════════════════════════════════════════════════════════════ | Validación: IsBoolean, IsOptional</t>
  </si>
  <si>
    <t xml:space="preserve">Indica si la evaluación del proceso está activa. Por defecto verdadero.</t>
  </si>
  <si>
    <t xml:space="preserve">C1830</t>
  </si>
  <si>
    <t xml:space="preserve">evidencia_accion</t>
  </si>
  <si>
    <t xml:space="preserve">archivo_ref</t>
  </si>
  <si>
    <t xml:space="preserve">internal-institutional-control-service/src/esap/planes-mejoramiento/entities/evidencia-accion.entity.ts:45: Referencia al archivo en el repositorio documental (URL o path relativo)</t>
  </si>
  <si>
    <t xml:space="preserve">Referencia al archivo de la evidencia en el repositorio documental (URL o ruta relativa).</t>
  </si>
  <si>
    <t xml:space="preserve">código: internal-institutional-control-service/src/esap/planes-mejoramiento/entities/evidencia-accion.entity.ts:45</t>
  </si>
  <si>
    <t xml:space="preserve">C1831</t>
  </si>
  <si>
    <t xml:space="preserve">internal-institutional-control-service/src/esap/planes-mejoramiento/entities/evidencia-accion.entity.ts:49: Nombre original del archivo subido | Validación: IsOptional, IsString, Length(0, 255)</t>
  </si>
  <si>
    <t xml:space="preserve">código: internal-institutional-control-service/src/esap/planes-mejoramiento/entities/evidencia-accion.entity.ts:49</t>
  </si>
  <si>
    <t xml:space="preserve">C1832</t>
  </si>
  <si>
    <t xml:space="preserve">archivo_tipo</t>
  </si>
  <si>
    <t xml:space="preserve">internal-institutional-control-service/src/esap/planes-mejoramiento/entities/evidencia-accion.entity.ts:53: MIME type del archivo</t>
  </si>
  <si>
    <t xml:space="preserve">código: internal-institutional-control-service/src/esap/planes-mejoramiento/entities/evidencia-accion.entity.ts:53</t>
  </si>
  <si>
    <t xml:space="preserve">C1833</t>
  </si>
  <si>
    <t xml:space="preserve">archivo_tamanio</t>
  </si>
  <si>
    <t xml:space="preserve">internal-institutional-control-service/src/esap/planes-mejoramiento/entities/evidencia-accion.entity.ts:57: Tamaño en bytes</t>
  </si>
  <si>
    <t xml:space="preserve">código: internal-institutional-control-service/src/esap/planes-mejoramiento/entities/evidencia-accion.entity.ts:57</t>
  </si>
  <si>
    <t xml:space="preserve">C1834</t>
  </si>
  <si>
    <t xml:space="preserve">internal-institutional-control-service/src/esap/planes-mejoramiento/entities/evidencia-accion.entity.ts:61: Descripción libre de la evidencia | Validación: IsNotEmpty, IsOptional, IsString</t>
  </si>
  <si>
    <t xml:space="preserve">Descripción libre de la evidencia.</t>
  </si>
  <si>
    <t xml:space="preserve">código: internal-institutional-control-service/src/esap/planes-mejoramiento/entities/evidencia-accion.entity.ts:61</t>
  </si>
  <si>
    <t xml:space="preserve">C1835</t>
  </si>
  <si>
    <t xml:space="preserve">cargada_por_id</t>
  </si>
  <si>
    <t xml:space="preserve">internal-institutional-control-service/src/esap/planes-mejoramiento/entities/evidencia-accion.entity.ts:65: ID del usuario del área auditada que cargó la evidencia</t>
  </si>
  <si>
    <t xml:space="preserve">Identificador del usuario del área auditada que cargó la evidencia.</t>
  </si>
  <si>
    <t xml:space="preserve">código: internal-institutional-control-service/src/esap/planes-mejoramiento/entities/evidencia-accion.entity.ts:65</t>
  </si>
  <si>
    <t xml:space="preserve">C1836</t>
  </si>
  <si>
    <t xml:space="preserve">cargada_por_nombre</t>
  </si>
  <si>
    <t xml:space="preserve">internal-institutional-control-service/src/esap/planes-mejoramiento/entities/evidencia-accion.entity.ts:69: Nombre del usuario que cargó (desnormalizado para trazabilidad)</t>
  </si>
  <si>
    <t xml:space="preserve">Nombre del usuario que cargó la evidencia, copiado para trazabilidad.</t>
  </si>
  <si>
    <t xml:space="preserve">código: internal-institutional-control-service/src/esap/planes-mejoramiento/entities/evidencia-accion.entity.ts:69</t>
  </si>
  <si>
    <t xml:space="preserve">C1837</t>
  </si>
  <si>
    <t xml:space="preserve">cargada_at</t>
  </si>
  <si>
    <t xml:space="preserve">Mapeada en internal-institutional-control-service/src/esap/planes-mejoramiento/entities/evidencia-accion.entity.ts:72 (EvidenciaAccion.cargadaAt)</t>
  </si>
  <si>
    <t xml:space="preserve">C1838</t>
  </si>
  <si>
    <t xml:space="preserve">internal-institutional-control-service/src/esap/planes-mejoramiento/entities/evidencia-accion.entity.ts:76: Estado de validación por parte del auditor OCI (RF-SG-02) | Validación: IsEnum(EstadoValidacion)</t>
  </si>
  <si>
    <t xml:space="preserve">Estado de la validación de la evidencia por el auditor de la Oficina de Control Interno; por defecto pendiente (RF-SG-02).</t>
  </si>
  <si>
    <t xml:space="preserve">código: internal-institutional-control-service/src/esap/planes-mejoramiento/entities/evidencia-accion.entity.ts:76</t>
  </si>
  <si>
    <t xml:space="preserve">C1839</t>
  </si>
  <si>
    <t xml:space="preserve">internal-institutional-control-service/src/esap/planes-mejoramiento/entities/evidencia-accion.entity.ts:85: Comentarios del auditor al calificar la evidencia | Validación: IsNotEmpty, IsOptional, IsString, MinLength(10, { message: 'Los comentarios deben tener al menos 10 caracteres' })</t>
  </si>
  <si>
    <t xml:space="preserve">Comentarios del auditor al calificar la evidencia; mínimo 10 caracteres.</t>
  </si>
  <si>
    <t xml:space="preserve">código: internal-institutional-control-service/src/esap/planes-mejoramiento/entities/evidencia-accion.entity.ts:85</t>
  </si>
  <si>
    <t xml:space="preserve">C1840</t>
  </si>
  <si>
    <t xml:space="preserve">internal-institutional-control-service/src/esap/planes-mejoramiento/entities/evidencia-accion.entity.ts:89: ¿El auditor solicita nueva evidencia o aclaraciones? (RF-SG-03)</t>
  </si>
  <si>
    <t xml:space="preserve">Indica si el auditor solicita nueva evidencia o aclaraciones; por defecto falso (RF-SG-03).</t>
  </si>
  <si>
    <t xml:space="preserve">código: internal-institutional-control-service/src/esap/planes-mejoramiento/entities/evidencia-accion.entity.ts:89</t>
  </si>
  <si>
    <t xml:space="preserve">C1841</t>
  </si>
  <si>
    <t xml:space="preserve">calificada_por_id</t>
  </si>
  <si>
    <t xml:space="preserve">internal-institutional-control-service/src/esap/planes-mejoramiento/entities/evidencia-accion.entity.ts:93: ID del auditor que calificó</t>
  </si>
  <si>
    <t xml:space="preserve">Identificador del auditor que calificó la evidencia.</t>
  </si>
  <si>
    <t xml:space="preserve">código: internal-institutional-control-service/src/esap/planes-mejoramiento/entities/evidencia-accion.entity.ts:93</t>
  </si>
  <si>
    <t xml:space="preserve">C1842</t>
  </si>
  <si>
    <t xml:space="preserve">calificada_por_nombre</t>
  </si>
  <si>
    <t xml:space="preserve">internal-institutional-control-service/src/esap/planes-mejoramiento/entities/evidencia-accion.entity.ts:97: Nombre del auditor que calificó (desnormalizado para trazabilidad)</t>
  </si>
  <si>
    <t xml:space="preserve">Nombre del auditor que calificó la evidencia, copiado para trazabilidad.</t>
  </si>
  <si>
    <t xml:space="preserve">código: internal-institutional-control-service/src/esap/planes-mejoramiento/entities/evidencia-accion.entity.ts:97</t>
  </si>
  <si>
    <t xml:space="preserve">C1843</t>
  </si>
  <si>
    <t xml:space="preserve">calificada_at</t>
  </si>
  <si>
    <t xml:space="preserve">internal-institutional-control-service/src/esap/planes-mejoramiento/entities/evidencia-accion.entity.ts:101: Fecha/hora de calificación</t>
  </si>
  <si>
    <t xml:space="preserve">Fecha y hora de la calificación de la evidencia.</t>
  </si>
  <si>
    <t xml:space="preserve">código: internal-institutional-control-service/src/esap/planes-mejoramiento/entities/evidencia-accion.entity.ts:101</t>
  </si>
  <si>
    <t xml:space="preserve">C1844</t>
  </si>
  <si>
    <t xml:space="preserve">evidencia_documento</t>
  </si>
  <si>
    <t xml:space="preserve">internal-institutional-control-service/src/esap/evidencias/entities/evidencia-documento.entity.ts:50: Metadatos | db/migrations/old/076_create_evidencias_documentos.sql:49: Metadatos del documento | Validación: IsNotEmpty, IsNotEmpty({ message: 'El nombre del documento es obligatorio' }), IsOptional, IsString, Length(1, 500), MaxLength(120)</t>
  </si>
  <si>
    <t xml:space="preserve">Nombre del documento de evidencia.</t>
  </si>
  <si>
    <t xml:space="preserve">código: db/migrations/old/076_create_evidencias_documentos.sql:49</t>
  </si>
  <si>
    <t xml:space="preserve">C1845</t>
  </si>
  <si>
    <t xml:space="preserve">Mapeada en internal-institutional-control-service/src/esap/evidencias/entities/evidencia-documento.entity.ts:53 (EvidenciaDocumento.descripcion) | Validación: IsNotEmpty, IsOptional, IsString</t>
  </si>
  <si>
    <t xml:space="preserve">Descripción del registro de evidencia_documento.</t>
  </si>
  <si>
    <t xml:space="preserve">C1846</t>
  </si>
  <si>
    <t xml:space="preserve">control_interno.tipo_documento_evidencia</t>
  </si>
  <si>
    <t xml:space="preserve">evidencia_hallazgo, evidencia_accion, evidencia_plan, documento_plan, certificado, acta, informe, otro</t>
  </si>
  <si>
    <t xml:space="preserve">idx_evidencia_tipo</t>
  </si>
  <si>
    <t xml:space="preserve">Mapeada en internal-institutional-control-service/src/esap/evidencias/entities/evidencia-documento.entity.ts:56 (EvidenciaDocumento.tipoDocumento) | Validación: IsEnum(TipoDocumento), IsEnum(TipoDocumentoEvidencia), IsNotEmpty, IsOptional</t>
  </si>
  <si>
    <t xml:space="preserve">Tipo de documento de evidencia. Valores permitidos: evidencia_hallazgo, evidencia_accion, evidencia_plan, documento_plan, certificado, acta, informe, otro.</t>
  </si>
  <si>
    <t xml:space="preserve">valores permitidos del enum tipo_documento_evidencia ~</t>
  </si>
  <si>
    <t xml:space="preserve">C1847</t>
  </si>
  <si>
    <t xml:space="preserve">internal-institutional-control-service/src/esap/evidencias/entities/evidencia-documento.entity.ts:93: Archivo físico | db/migrations/old/076_create_evidencias_documentos.sql:60: Archivo físico | Validación: IsOptional, IsString</t>
  </si>
  <si>
    <t xml:space="preserve">Ruta del archivo físico de la evidencia.</t>
  </si>
  <si>
    <t xml:space="preserve">código: db/migrations/old/076_create_evidencias_documentos.sql:60</t>
  </si>
  <si>
    <t xml:space="preserve">C1848</t>
  </si>
  <si>
    <t xml:space="preserve">Mapeada en internal-institutional-control-service/src/esap/evidencias/entities/evidencia-documento.entity.ts:96 (EvidenciaDocumento.nombreArchivoOriginal)</t>
  </si>
  <si>
    <t xml:space="preserve">C1849</t>
  </si>
  <si>
    <t xml:space="preserve">Mapeada en internal-institutional-control-service/src/esap/evidencias/entities/evidencia-documento.entity.ts:99 (EvidenciaDocumento.tipoMime) | Validación: IsNotEmpty, IsString</t>
  </si>
  <si>
    <t xml:space="preserve">C1850</t>
  </si>
  <si>
    <t xml:space="preserve">Mapeada en internal-institutional-control-service/src/esap/evidencias/entities/evidencia-documento.entity.ts:102 (EvidenciaDocumento.tamanioBytes) | Validación: IsNumber, Min(0)</t>
  </si>
  <si>
    <t xml:space="preserve">C1851</t>
  </si>
  <si>
    <t xml:space="preserve">internal-institutional-control-service/src/esap/evidencias/entities/evidencia-documento.entity.ts:109: Versionado | db/migrations/old/076_create_evidencias_documentos.sql:67: Versionado | Validación: IsOptional, IsString</t>
  </si>
  <si>
    <t xml:space="preserve">Número de versión del documento; por defecto 1.</t>
  </si>
  <si>
    <t xml:space="preserve">código: db/migrations/old/076_create_evidencias_documentos.sql:67</t>
  </si>
  <si>
    <t xml:space="preserve">C1852</t>
  </si>
  <si>
    <t xml:space="preserve">es_version_actual</t>
  </si>
  <si>
    <t xml:space="preserve">Mapeada en internal-institutional-control-service/src/esap/evidencias/entities/evidencia-documento.entity.ts:119 (EvidenciaDocumento.esVersionActual)</t>
  </si>
  <si>
    <t xml:space="preserve">Indica si aplica: versión actual.</t>
  </si>
  <si>
    <t xml:space="preserve">C1853</t>
  </si>
  <si>
    <t xml:space="preserve">Mapeada en internal-institutional-control-service/src/esap/evidencias/entities/evidencia-documento.entity.ts:131 (EvidenciaDocumento.validadoPor)</t>
  </si>
  <si>
    <t xml:space="preserve">C1854</t>
  </si>
  <si>
    <t xml:space="preserve">Mapeada en internal-institutional-control-service/src/esap/evidencias/entities/evidencia-documento.entity.ts:134 (EvidenciaDocumento.fechaValidacion)</t>
  </si>
  <si>
    <t xml:space="preserve">C1855</t>
  </si>
  <si>
    <t xml:space="preserve">observaciones_validacion</t>
  </si>
  <si>
    <t xml:space="preserve">Mapeada en internal-institutional-control-service/src/esap/evidencias/entities/evidencia-documento.entity.ts:137 (EvidenciaDocumento.observacionesValidacion) | Validación: IsOptional, IsString</t>
  </si>
  <si>
    <t xml:space="preserve">Observaciones registradas al validar la evidencia.</t>
  </si>
  <si>
    <t xml:space="preserve">C1856</t>
  </si>
  <si>
    <t xml:space="preserve">internal-institutional-control-service/src/esap/evidencias/entities/evidencia-documento.entity.ts:141: Metadatos | db/migrations/old/076_create_evidencias_documentos.sql:78: Metadatos adicionales | Validación: IsNotEmpty, IsString</t>
  </si>
  <si>
    <t xml:space="preserve">Nombre del usuario que cargó el documento.</t>
  </si>
  <si>
    <t xml:space="preserve">nombre + tipo + columnas vecinas (subido_por_id guarda el identificador)</t>
  </si>
  <si>
    <t xml:space="preserve">C1857</t>
  </si>
  <si>
    <t xml:space="preserve">idx_evidencia_subido_por</t>
  </si>
  <si>
    <t xml:space="preserve">db/migrations/old/076_create_evidencias_documentos.sql:79: FK a auth.personas (opcional)</t>
  </si>
  <si>
    <t xml:space="preserve">Identificador de la persona que cargó el documento; referencia opcional a auth.personas.</t>
  </si>
  <si>
    <t xml:space="preserve">código: db/migrations/old/076_create_evidencias_documentos.sql:79</t>
  </si>
  <si>
    <t xml:space="preserve">C1858</t>
  </si>
  <si>
    <t xml:space="preserve">idx_evidencia_fecha_subida</t>
  </si>
  <si>
    <t xml:space="preserve">Mapeada en internal-institutional-control-service/src/esap/evidencias/entities/evidencia-documento.entity.ts:147 (EvidenciaDocumento.fechaSubida)</t>
  </si>
  <si>
    <t xml:space="preserve">C1859</t>
  </si>
  <si>
    <t xml:space="preserve">internal-institutional-control-service/src/esap/evidencias/entities/evidencia-documento.entity.ts:151: Sincronización | db/migrations/old/076_create_evidencias_documentos.sql:83: Sincronización con servidor G:</t>
  </si>
  <si>
    <t xml:space="preserve">Ruta del documento en el servidor G: con el que se sincroniza.</t>
  </si>
  <si>
    <t xml:space="preserve">código: db/migrations/old/076_create_evidencias_documentos.sql:83</t>
  </si>
  <si>
    <t xml:space="preserve">C1860</t>
  </si>
  <si>
    <t xml:space="preserve">Mapeada en internal-institutional-control-service/src/esap/evidencias/entities/evidencia-documento.entity.ts:154 (EvidenciaDocumento.sincronizadoServidorG)</t>
  </si>
  <si>
    <t xml:space="preserve">C1861</t>
  </si>
  <si>
    <t xml:space="preserve">Mapeada en internal-institutional-control-service/src/esap/evidencias/entities/evidencia-documento.entity.ts:157 (EvidenciaDocumento.fechaSincronizacion)</t>
  </si>
  <si>
    <t xml:space="preserve">C1862</t>
  </si>
  <si>
    <t xml:space="preserve">hallazgo</t>
  </si>
  <si>
    <t xml:space="preserve">hallazgo_codigo_key</t>
  </si>
  <si>
    <t xml:space="preserve">Mapeada en internal-institutional-control-service/src/esap/hallazgos/entities/hallazgo.entity.ts:37 (Hallazgo.codigo) | Validación: IsNotEmpty, IsOptional, IsString, Length(1, 50), MaxLength(80)</t>
  </si>
  <si>
    <t xml:space="preserve">Código del registro de hallazgo. Único en la tabla.</t>
  </si>
  <si>
    <t xml:space="preserve">C1863</t>
  </si>
  <si>
    <t xml:space="preserve">borrador, controversia, critico, grave, leve, moderado</t>
  </si>
  <si>
    <t xml:space="preserve">idx_hallazgo_categoria</t>
  </si>
  <si>
    <t xml:space="preserve">Mapeada en internal-institutional-control-service/src/esap/hallazgos/entities/hallazgo.entity.ts:43 (Hallazgo.categoria) | Validación: IsEnum(CategoriaNota), IsEnum(HallazgoCategoria), IsEnum(['financiero', 'administrativo', 'contractual', 'talento-humano', 'transparencia', 'control']), IsNotEmpty, IsOptional, IsString</t>
  </si>
  <si>
    <t xml:space="preserve">Categoría del hallazgo. Valores permitidos: borrador, controversia, leve, moderado, grave, critico.</t>
  </si>
  <si>
    <t xml:space="preserve">Las validaciones del código admiten también financiero, administrativo, contractual, talento-humano, transparencia y control; ¿cuál es la lista vigente para categoria?</t>
  </si>
  <si>
    <t xml:space="preserve">C1864</t>
  </si>
  <si>
    <t xml:space="preserve">idx_hallazgo_estado</t>
  </si>
  <si>
    <t xml:space="preserve">Mapeada en internal-institutional-control-service/src/esap/hallazgos/entities/hallazgo.entity.ts:46 (Hallazgo.estado) | Validación: IsEnum(AccionCorrectivaEstado), IsEnum(EstadoEtapa), IsEnum(EstadoPlanIndividual), IsEnum(EstadoTarea), IsEnum(HallazgoEstado), IsEnum(PlanMejoramientoEstado)</t>
  </si>
  <si>
    <t xml:space="preserve">Estado del registro de hallazgo.</t>
  </si>
  <si>
    <t xml:space="preserve">C1865</t>
  </si>
  <si>
    <t xml:space="preserve">Mapeada en internal-institutional-control-service/src/esap/hallazgos/entities/hallazgo.entity.ts:49 (Hallazgo.area) | Validación: IsNotEmpty, IsOptional, IsString, Length(1, 255), MaxLength(255)</t>
  </si>
  <si>
    <t xml:space="preserve">Área o dependencia en la que se identificó el hallazgo.</t>
  </si>
  <si>
    <t xml:space="preserve">C1866</t>
  </si>
  <si>
    <t xml:space="preserve">Mapeada en internal-institutional-control-service/src/esap/hallazgos/entities/hallazgo.entity.ts:52 (Hallazgo.auditoria) | Validación: IsNotEmpty, IsOptional, IsString, MaxLength(255)</t>
  </si>
  <si>
    <t xml:space="preserve">Nombre o código de la auditoría en la que se identificó el hallazgo.</t>
  </si>
  <si>
    <t xml:space="preserve">nombre + columnas vecinas (auditoria_id)</t>
  </si>
  <si>
    <t xml:space="preserve">¿auditoria guarda el nombre o el código de la auditoría?</t>
  </si>
  <si>
    <t xml:space="preserve">C1867</t>
  </si>
  <si>
    <t xml:space="preserve">Mapeada en internal-institutional-control-service/src/esap/hallazgos/entities/hallazgo.entity.ts:62 (Hallazgo.descripcion) | Validación: IsNotEmpty, IsOptional, IsString</t>
  </si>
  <si>
    <t xml:space="preserve">Descripción del registro de hallazgo.</t>
  </si>
  <si>
    <t xml:space="preserve">C1868</t>
  </si>
  <si>
    <t xml:space="preserve">criterio_incumplido</t>
  </si>
  <si>
    <t xml:space="preserve">Mapeada en internal-institutional-control-service/src/esap/hallazgos/entities/hallazgo.entity.ts:65 (Hallazgo.criterioIncumplido) | Validación: IsNotEmpty, IsOptional, IsString</t>
  </si>
  <si>
    <t xml:space="preserve">Criterio (norma, política o estándar) que se incumple en el hallazgo.</t>
  </si>
  <si>
    <t xml:space="preserve">C1869</t>
  </si>
  <si>
    <t xml:space="preserve">normativa_relacionada</t>
  </si>
  <si>
    <t xml:space="preserve">Mapeada en internal-institutional-control-service/src/esap/hallazgos/entities/hallazgo.entity.ts:74 (Hallazgo.normativaRelacionada) | Validación: IsArray, IsOptional</t>
  </si>
  <si>
    <t xml:space="preserve">Normas relacionadas con el hallazgo, en formato JSON (arreglo).</t>
  </si>
  <si>
    <t xml:space="preserve">nombre + validación IsArray ~</t>
  </si>
  <si>
    <t xml:space="preserve">C1870</t>
  </si>
  <si>
    <t xml:space="preserve">Mapeada en internal-institutional-control-service/src/esap/hallazgos/entities/hallazgo.entity.ts:81 (Hallazgo.evidencias) | Validación: IsArray, IsOptional, IsString({ each: true })</t>
  </si>
  <si>
    <t xml:space="preserve">Evidencias del hallazgo, en formato JSON (arreglo de textos).</t>
  </si>
  <si>
    <t xml:space="preserve">nombre + validaciones IsArray, IsString each</t>
  </si>
  <si>
    <t xml:space="preserve">¿Cada elemento de evidencias es una ruta, una URL o una descripción?</t>
  </si>
  <si>
    <t xml:space="preserve">C1871</t>
  </si>
  <si>
    <t xml:space="preserve">Mapeada en internal-institutional-control-service/src/esap/hallazgos/entities/hallazgo.entity.ts:92 (Hallazgo.recomendaciones) | Validación: IsArray, IsOptional</t>
  </si>
  <si>
    <t xml:space="preserve">Recomendaciones del auditor sobre el hallazgo, en formato JSON (arreglo).</t>
  </si>
  <si>
    <t xml:space="preserve">C1872</t>
  </si>
  <si>
    <t xml:space="preserve">fecha_deteccion</t>
  </si>
  <si>
    <t xml:space="preserve">Mapeada en internal-institutional-control-service/src/esap/hallazgos/entities/hallazgo.entity.ts:98 (Hallazgo.fechaDeteccion) | Validación: IsDateString, IsOptional</t>
  </si>
  <si>
    <t xml:space="preserve">Fecha de detección.</t>
  </si>
  <si>
    <t xml:space="preserve">C1873</t>
  </si>
  <si>
    <t xml:space="preserve">Mapeada en internal-institutional-control-service/src/esap/hallazgos/entities/hallazgo.entity.ts:101 (Hallazgo.fechaNotificacion) | Validación: IsDateString, IsOptional</t>
  </si>
  <si>
    <t xml:space="preserve">C1874</t>
  </si>
  <si>
    <t xml:space="preserve">Mapeada en internal-institutional-control-service/src/esap/hallazgos/entities/hallazgo.entity.ts:104 (Hallazgo.responsable) | Validación: IsNotEmpty, IsOptional, IsString, Length(1, 255)</t>
  </si>
  <si>
    <t xml:space="preserve">Nombre del responsable de atender el hallazgo.</t>
  </si>
  <si>
    <t xml:space="preserve">C1875</t>
  </si>
  <si>
    <t xml:space="preserve">fecha_limite_correccion</t>
  </si>
  <si>
    <t xml:space="preserve">Mapeada en internal-institutional-control-service/src/esap/hallazgos/entities/hallazgo.entity.ts:107 (Hallazgo.fechaLimiteCorreccion) | Validación: IsDateString, IsOptional</t>
  </si>
  <si>
    <t xml:space="preserve">Fecha límite corrección.</t>
  </si>
  <si>
    <t xml:space="preserve">C1876</t>
  </si>
  <si>
    <t xml:space="preserve">observaciones_controversia</t>
  </si>
  <si>
    <t xml:space="preserve">Mapeada en internal-institutional-control-service/src/esap/hallazgos/entities/hallazgo.entity.ts:110 (Hallazgo.observacionesControversia) | Validación: IsOptional, IsString</t>
  </si>
  <si>
    <t xml:space="preserve">Observaciones sobre la controversia presentada frente al hallazgo.</t>
  </si>
  <si>
    <t xml:space="preserve">nombre + columnas vecinas (argumentos_controversia, controversia_turno) ~</t>
  </si>
  <si>
    <t xml:space="preserve">C1877</t>
  </si>
  <si>
    <t xml:space="preserve">Mapeada en internal-institutional-control-service/src/esap/hallazgos/entities/hallazgo.entity.ts:40 (Hallazgo.titulo) | Validación: IsNotEmpty, IsOptional, IsString, MaxLength(255), MaxLength(500)</t>
  </si>
  <si>
    <t xml:space="preserve">C1878</t>
  </si>
  <si>
    <t xml:space="preserve">gravedad</t>
  </si>
  <si>
    <t xml:space="preserve">Alta, Baja, Crítica, Media</t>
  </si>
  <si>
    <t xml:space="preserve">idx_hallazgo_gravedad</t>
  </si>
  <si>
    <t xml:space="preserve">Gravedad del hallazgo. Valores permitidos: Baja, Media, Alta, Crítica.</t>
  </si>
  <si>
    <t xml:space="preserve">C1879</t>
  </si>
  <si>
    <t xml:space="preserve">C1880</t>
  </si>
  <si>
    <t xml:space="preserve">progreso_cumplimiento</t>
  </si>
  <si>
    <t xml:space="preserve">Porcentaje de cumplimiento de las acciones asociadas al hallazgo.</t>
  </si>
  <si>
    <t xml:space="preserve">¿progreso_cumplimiento se expresa de 0 a 100 y cómo se calcula?</t>
  </si>
  <si>
    <t xml:space="preserve">C1881</t>
  </si>
  <si>
    <t xml:space="preserve">controversia_turno</t>
  </si>
  <si>
    <t xml:space="preserve">internal-institutional-control-service/src/esap/hallazgos/entities/hallazgo.entity.ts:126: Turno de respuesta de la controversia: auditor | auditado</t>
  </si>
  <si>
    <t xml:space="preserve">Turno de respuesta en la controversia del hallazgo. Valores previstos: auditor, auditado.</t>
  </si>
  <si>
    <t xml:space="preserve">código: internal-institutional-control-service/src/esap/hallazgos/entities/hallazgo.entity.ts:126</t>
  </si>
  <si>
    <t xml:space="preserve">C1882</t>
  </si>
  <si>
    <t xml:space="preserve">historial_auditoria</t>
  </si>
  <si>
    <t xml:space="preserve">actualizacion, ampliacion_plazo, aprobacion, archivo, asignacion, cambio_estado, creacion, documento, eliminacion, finalizacion, hallazgo, nota</t>
  </si>
  <si>
    <t xml:space="preserve">Función control_interno.fn_registrar_cambio_estado_auditoria — control_interno.fn_registrar_cambio_estado_auditoria: tipo_evento,</t>
  </si>
  <si>
    <t xml:space="preserve">idx_historial_tipo</t>
  </si>
  <si>
    <t xml:space="preserve">Mapeada en internal-institutional-control-service/src/esap/auditorias/entities/historial-auditoria.entity.ts:43 (HistorialAuditoria.tipoEvento)</t>
  </si>
  <si>
    <t xml:space="preserve">Tipo de evento registrado en el historial de la auditoría. Valores permitidos: creacion, actualizacion, cambio_estado, asignacion, aprobacion, ampliacion_plazo, documento, hallazgo, nota, archivo, finalizacion, eliminacion.</t>
  </si>
  <si>
    <t xml:space="preserve">valores permitidos del CHECK + uso en la función fn_registrar_cambio_estado_auditoria ~</t>
  </si>
  <si>
    <t xml:space="preserve">C1883</t>
  </si>
  <si>
    <t xml:space="preserve">Función control_interno.fn_registrar_cambio_estado_auditoria — control_interno.fn_registrar_cambio_estado_auditoria: fecha,</t>
  </si>
  <si>
    <t xml:space="preserve">idx_historial_fecha</t>
  </si>
  <si>
    <t xml:space="preserve">Mapeada en internal-institutional-control-service/src/esap/auditorias/entities/historial-auditoria.entity.ts:51 (HistorialAuditoria.fecha) | Validación: IsDateString, IsString</t>
  </si>
  <si>
    <t xml:space="preserve">Fecha del evento.</t>
  </si>
  <si>
    <t xml:space="preserve">nombre + tipo + uso en la función fn_registrar_cambio_estado_auditoria ~</t>
  </si>
  <si>
    <t xml:space="preserve">C1884</t>
  </si>
  <si>
    <t xml:space="preserve">hora</t>
  </si>
  <si>
    <t xml:space="preserve">time without time zone</t>
  </si>
  <si>
    <t xml:space="preserve">Función control_interno.fn_registrar_cambio_estado_auditoria — control_interno.fn_registrar_cambio_estado_auditoria: hora,</t>
  </si>
  <si>
    <t xml:space="preserve">Mapeada en internal-institutional-control-service/src/esap/auditorias/entities/historial-auditoria.entity.ts:54 (HistorialAuditoria.hora) | Validación: IsString</t>
  </si>
  <si>
    <t xml:space="preserve">Hora del evento.</t>
  </si>
  <si>
    <t xml:space="preserve">C1885</t>
  </si>
  <si>
    <t xml:space="preserve">Función control_interno.fn_registrar_cambio_estado_auditoria — control_interno.fn_registrar_cambio_estado_auditoria: accion,</t>
  </si>
  <si>
    <t xml:space="preserve">Mapeada en internal-institutional-control-service/src/esap/auditorias/entities/historial-auditoria.entity.ts:66 (HistorialAuditoria.accion)</t>
  </si>
  <si>
    <t xml:space="preserve">Acción registrada en el historial de la auditoría; la función fn_registrar_cambio_estado_auditoria la registra en los cambios de estado.</t>
  </si>
  <si>
    <t xml:space="preserve">uso en la función control_interno.fn_registrar_cambio_estado_auditoria</t>
  </si>
  <si>
    <t xml:space="preserve">¿Qué valores toma la acción: texto libre o una lista cerrada?</t>
  </si>
  <si>
    <t xml:space="preserve">C1886</t>
  </si>
  <si>
    <t xml:space="preserve">Función control_interno.fn_registrar_cambio_estado_auditoria — control_interno.fn_registrar_cambio_estado_auditoria: descripcion,</t>
  </si>
  <si>
    <t xml:space="preserve">Mapeada en internal-institutional-control-service/src/esap/auditorias/entities/historial-auditoria.entity.ts:69 (HistorialAuditoria.descripcion) | Validación: IsNotEmpty, IsOptional, IsString</t>
  </si>
  <si>
    <t xml:space="preserve">Descripción del registro de historial_auditoria.</t>
  </si>
  <si>
    <t xml:space="preserve">C1887</t>
  </si>
  <si>
    <t xml:space="preserve">Mapeada en internal-institutional-control-service/src/esap/auditorias/entities/historial-auditoria.entity.ts:72 (HistorialAuditoria.observaciones) | Validación: IsOptional, IsString</t>
  </si>
  <si>
    <t xml:space="preserve">C1888</t>
  </si>
  <si>
    <t xml:space="preserve">documento_adjunto</t>
  </si>
  <si>
    <t xml:space="preserve">Mapeada en internal-institutional-control-service/src/esap/auditorias/entities/historial-auditoria.entity.ts:75 (HistorialAuditoria.documentoAdjunto)</t>
  </si>
  <si>
    <t xml:space="preserve">Ruta o nombre del documento adjunto al evento.</t>
  </si>
  <si>
    <t xml:space="preserve">¿documento_adjunto guarda una ruta, una URL o un identificador de documento?</t>
  </si>
  <si>
    <t xml:space="preserve">C1889</t>
  </si>
  <si>
    <t xml:space="preserve">character varying(45)</t>
  </si>
  <si>
    <t xml:space="preserve">Mapeada en internal-institutional-control-service/src/esap/auditorias/entities/historial-auditoria.entity.ts:78 (HistorialAuditoria.ipAddress)</t>
  </si>
  <si>
    <t xml:space="preserve">Dirección IP desde la que se originó el evento.</t>
  </si>
  <si>
    <t xml:space="preserve">nombre + tipo + columnas vecinas (user_agent) ~</t>
  </si>
  <si>
    <t xml:space="preserve">C1890</t>
  </si>
  <si>
    <t xml:space="preserve">Mapeada en internal-institutional-control-service/src/esap/auditorias/entities/historial-auditoria.entity.ts:81 (HistorialAuditoria.userAgent)</t>
  </si>
  <si>
    <t xml:space="preserve">C1891</t>
  </si>
  <si>
    <t xml:space="preserve">Función control_interno.fn_registrar_cambio_estado_auditoria — control_interno.fn_registrar_cambio_estado_auditoria: -- Manejar NULL: si estado_anterior es NULL, mostrar "Planeación" (estado inicial por defecto)</t>
  </si>
  <si>
    <t xml:space="preserve">Mapeada en internal-institutional-control-service/src/esap/auditorias/entities/historial-auditoria.entity.ts:94 (HistorialAuditoria.estadoAnterior)</t>
  </si>
  <si>
    <t xml:space="preserve">Estado de la auditoría antes del cambio; si es nulo se muestra Planeación, el estado inicial.</t>
  </si>
  <si>
    <t xml:space="preserve">uso en la función fn_registrar_cambio_estado_auditoria ~</t>
  </si>
  <si>
    <t xml:space="preserve">C1892</t>
  </si>
  <si>
    <t xml:space="preserve">Función control_interno.fn_registrar_cambio_estado_auditoria — control_interno.fn_registrar_cambio_estado_auditoria: estado_nuevo,</t>
  </si>
  <si>
    <t xml:space="preserve">Mapeada en internal-institutional-control-service/src/esap/auditorias/entities/historial-auditoria.entity.ts:97 (HistorialAuditoria.estadoNuevo)</t>
  </si>
  <si>
    <t xml:space="preserve">Estado de la auditoría después del cambio.</t>
  </si>
  <si>
    <t xml:space="preserve">C1893</t>
  </si>
  <si>
    <t xml:space="preserve">Función control_interno.fn_registrar_cambio_estado_auditoria — control_interno.fn_registrar_cambio_estado_auditoria: usuario_id,</t>
  </si>
  <si>
    <t xml:space="preserve">internal-institutional-control-service/src/esap/auditorias/entities/historial-auditoria.entity.ts:57: FK a auth.user.id_user (UUID) - puede ser null | db/migrations/old/036_add_auditorias_kanban_completo.sql:635: FK a auth.personas | db/migrations/old/072_setup_auditoria_complete.sql:661: ID del usuario que realizó la acción (FK a auth.personas.id_tercero) | db/init/005_control_interno_ddl_20260129_215540.sql:1936: ID del usuario que realizó la acción (FK a auth.personas.id_tercero) | Validación: IsNotEmpty, IsOptional, IsString, IsUUID</t>
  </si>
  <si>
    <t xml:space="preserve">Identificador del usuario que realizó la acción; puede ser nulo.</t>
  </si>
  <si>
    <t xml:space="preserve">código: internal-institutional-control-service/src/esap/auditorias/entities/historial-auditoria.entity.ts:57; db/migrations/old/072_setup_auditoria_complete.sql:661</t>
  </si>
  <si>
    <t xml:space="preserve">¿El identificador corresponde a auth."user".id_user o a auth.personas? Los comentarios del código citan ambas tablas.</t>
  </si>
  <si>
    <t xml:space="preserve">C1894</t>
  </si>
  <si>
    <t xml:space="preserve">historial_generacion_informe</t>
  </si>
  <si>
    <t xml:space="preserve">idx_historial_accion</t>
  </si>
  <si>
    <t xml:space="preserve">internal-institutional-control-service/src/esap/informes-ley/entities/historial-generacion-informe.entity.ts:27: 'generado', 'actualizado', 'enviado_aprobacion', 'aprobado', 'rechazado' | db/migrations/old/080_create_informes_ley_plantillas_workflow.sql:118: 'generado', 'actualizado', 'enviado_aprobacion', 'aprobado', 'rechazado'</t>
  </si>
  <si>
    <t xml:space="preserve">Acción registrada en el historial de generación y aprobación del informe. Valores esperados: generado, actualizado, enviado_aprobacion, aprobado, rechazado.</t>
  </si>
  <si>
    <t xml:space="preserve">código: internal-institutional-control-service/src/esap/informes-ley/entities/historial-generacion-informe.entity.ts:27</t>
  </si>
  <si>
    <t xml:space="preserve">C1895</t>
  </si>
  <si>
    <t xml:space="preserve">Mapeada en internal-institutional-control-service/src/esap/informes-ley/entities/historial-generacion-informe.entity.ts:30 (HistorialGeneracionInforme.usuarioId) | Validación: IsNotEmpty, IsOptional, IsString, IsUUID</t>
  </si>
  <si>
    <t xml:space="preserve">Identificador (UUID) del usuario que realizó la acción sobre el informe.</t>
  </si>
  <si>
    <t xml:space="preserve">nombre + tipo + validación IsUUID</t>
  </si>
  <si>
    <t xml:space="preserve">¿El UUID corresponde a auth."user".id_user o a auth.personas?</t>
  </si>
  <si>
    <t xml:space="preserve">C1896</t>
  </si>
  <si>
    <t xml:space="preserve">Mapeada en internal-institutional-control-service/src/esap/informes-ley/entities/historial-generacion-informe.entity.ts:33 (HistorialGeneracionInforme.usuarioNombre) | Validación: IsOptional, IsString</t>
  </si>
  <si>
    <t xml:space="preserve">Nombre del usuario que realizó la acción sobre el informe.</t>
  </si>
  <si>
    <t xml:space="preserve">nombre + columnas vecinas (usuario_id) ~</t>
  </si>
  <si>
    <t xml:space="preserve">C1897</t>
  </si>
  <si>
    <t xml:space="preserve">Mapeada en internal-institutional-control-service/src/esap/informes-ley/entities/historial-generacion-informe.entity.ts:36 (HistorialGeneracionInforme.observaciones) | Validación: IsOptional, IsString</t>
  </si>
  <si>
    <t xml:space="preserve">C1898</t>
  </si>
  <si>
    <t xml:space="preserve">datos_anteriores</t>
  </si>
  <si>
    <t xml:space="preserve">Mapeada en internal-institutional-control-service/src/esap/informes-ley/entities/historial-generacion-informe.entity.ts:39 (HistorialGeneracionInforme.datosAnteriores)</t>
  </si>
  <si>
    <t xml:space="preserve">Datos del informe antes de la acción, en formato JSON.</t>
  </si>
  <si>
    <t xml:space="preserve">nombre + tipo jsonb + columnas vecinas (datos_nuevos) ~</t>
  </si>
  <si>
    <t xml:space="preserve">C1899</t>
  </si>
  <si>
    <t xml:space="preserve">datos_nuevos</t>
  </si>
  <si>
    <t xml:space="preserve">Mapeada en internal-institutional-control-service/src/esap/informes-ley/entities/historial-generacion-informe.entity.ts:42 (HistorialGeneracionInforme.datosNuevos)</t>
  </si>
  <si>
    <t xml:space="preserve">Datos del informe después de la acción, en formato JSON.</t>
  </si>
  <si>
    <t xml:space="preserve">nombre + tipo jsonb + columnas vecinas ~</t>
  </si>
  <si>
    <t xml:space="preserve">C1900</t>
  </si>
  <si>
    <t xml:space="preserve">ip_origen</t>
  </si>
  <si>
    <t xml:space="preserve">Mapeada en internal-institutional-control-service/src/esap/informes-ley/entities/historial-generacion-informe.entity.ts:45 (HistorialGeneracionInforme.ipOrigen)</t>
  </si>
  <si>
    <t xml:space="preserve">C1901</t>
  </si>
  <si>
    <t xml:space="preserve">Mapeada en internal-institutional-control-service/src/esap/informes-ley/entities/historial-generacion-informe.entity.ts:48 (HistorialGeneracionInforme.userAgent)</t>
  </si>
  <si>
    <t xml:space="preserve">C1902</t>
  </si>
  <si>
    <t xml:space="preserve">historial_plan_anual</t>
  </si>
  <si>
    <t xml:space="preserve">Función control_interno.fn_registrar_cambio_estado_plan_anual — control_interno.fn_registrar_cambio_estado_plan_anual: fecha,</t>
  </si>
  <si>
    <t xml:space="preserve">idx_historial_plan_anual_fecha</t>
  </si>
  <si>
    <t xml:space="preserve">Mapeada en internal-institutional-control-service/src/esap/plan-anual-5-roles/entities/historial-plan-anual.entity.ts:46 (HistorialPlanAnual.fecha) | Validación: IsDateString, IsString</t>
  </si>
  <si>
    <t xml:space="preserve">Fecha del evento registrado en el historial del plan anual.</t>
  </si>
  <si>
    <t xml:space="preserve">nombre + tipo + uso en la función fn_registrar_cambio_estado_plan_anual ~</t>
  </si>
  <si>
    <t xml:space="preserve">C1903</t>
  </si>
  <si>
    <t xml:space="preserve">Función control_interno.fn_registrar_cambio_estado_plan_anual — control_interno.fn_registrar_cambio_estado_plan_anual: hora,</t>
  </si>
  <si>
    <t xml:space="preserve">Mapeada en internal-institutional-control-service/src/esap/plan-anual-5-roles/entities/historial-plan-anual.entity.ts:49 (HistorialPlanAnual.hora) | Validación: IsString</t>
  </si>
  <si>
    <t xml:space="preserve">Hora del evento registrado en el historial del plan anual.</t>
  </si>
  <si>
    <t xml:space="preserve">C1904</t>
  </si>
  <si>
    <t xml:space="preserve">Función control_interno.fn_registrar_cambio_estado_plan_anual — control_interno.fn_registrar_cambio_estado_plan_anual: accion,</t>
  </si>
  <si>
    <t xml:space="preserve">Mapeada en internal-institutional-control-service/src/esap/plan-anual-5-roles/entities/historial-plan-anual.entity.ts:55 (HistorialPlanAnual.accion)</t>
  </si>
  <si>
    <t xml:space="preserve">Acción registrada en el historial del Plan Anual 5 Roles; la función fn_registrar_cambio_estado_plan_anual la registra en los cambios de estado.</t>
  </si>
  <si>
    <t xml:space="preserve">uso en la función control_interno.fn_registrar_cambio_estado_plan_anual</t>
  </si>
  <si>
    <t xml:space="preserve">C1905</t>
  </si>
  <si>
    <t xml:space="preserve">Función control_interno.fn_registrar_cambio_estado_plan_anual — control_interno.fn_registrar_cambio_estado_plan_anual: descripcion,</t>
  </si>
  <si>
    <t xml:space="preserve">Mapeada en internal-institutional-control-service/src/esap/plan-anual-5-roles/entities/historial-plan-anual.entity.ts:58 (HistorialPlanAnual.descripcion) | Validación: IsNotEmpty, IsOptional, IsString</t>
  </si>
  <si>
    <t xml:space="preserve">Descripción del registro de historial_plan_anual.</t>
  </si>
  <si>
    <t xml:space="preserve">C1906</t>
  </si>
  <si>
    <t xml:space="preserve">Mapeada en internal-institutional-control-service/src/esap/plan-anual-5-roles/entities/historial-plan-anual.entity.ts:61 (HistorialPlanAnual.observaciones) | Validación: IsOptional, IsString</t>
  </si>
  <si>
    <t xml:space="preserve">C1907</t>
  </si>
  <si>
    <t xml:space="preserve">Función control_interno.fn_registrar_cambio_estado_plan_anual — control_interno.fn_registrar_cambio_estado_plan_anual: estado_anterior,</t>
  </si>
  <si>
    <t xml:space="preserve">Mapeada en internal-institutional-control-service/src/esap/plan-anual-5-roles/entities/historial-plan-anual.entity.ts:80 (HistorialPlanAnual.estadoAnterior)</t>
  </si>
  <si>
    <t xml:space="preserve">Estado del plan anual antes del cambio.</t>
  </si>
  <si>
    <t xml:space="preserve">uso en la función fn_registrar_cambio_estado_plan_anual ~</t>
  </si>
  <si>
    <t xml:space="preserve">C1908</t>
  </si>
  <si>
    <t xml:space="preserve">Función control_interno.fn_registrar_cambio_estado_plan_anual — control_interno.fn_registrar_cambio_estado_plan_anual: estado_nuevo,</t>
  </si>
  <si>
    <t xml:space="preserve">Mapeada en internal-institutional-control-service/src/esap/plan-anual-5-roles/entities/historial-plan-anual.entity.ts:83 (HistorialPlanAnual.estadoNuevo)</t>
  </si>
  <si>
    <t xml:space="preserve">Estado del plan anual después del cambio.</t>
  </si>
  <si>
    <t xml:space="preserve">C1909</t>
  </si>
  <si>
    <t xml:space="preserve">informe_ley</t>
  </si>
  <si>
    <t xml:space="preserve">idx_informe_ley_codigo, informe_ley_codigo_key</t>
  </si>
  <si>
    <t xml:space="preserve">internal-institutional-control-service/src/esap/informes-ley/entities/informe-ley.entity.ts:21: INF-CHIP, INF-SECOP, etc. | Validación: IsNotEmpty, IsOptional, IsString, Length(1, 50), MaxLength(80)</t>
  </si>
  <si>
    <t xml:space="preserve">Código único del informe de ley, por ejemplo INF-CHIP o INF-SECOP.</t>
  </si>
  <si>
    <t xml:space="preserve">código: internal-institutional-control-service/src/esap/informes-ley/entities/informe-ley.entity.ts:21</t>
  </si>
  <si>
    <t xml:space="preserve">C1910</t>
  </si>
  <si>
    <t xml:space="preserve">Mapeada en internal-institutional-control-service/src/esap/informes-ley/entities/informe-ley.entity.ts:27 (InformeLey.nombre) | Validación: IsNotEmpty, IsNotEmpty({ message: 'El nombre del documento es obligatorio' }), IsOptional, IsString, Length(1, 500), MaxLength(120)</t>
  </si>
  <si>
    <t xml:space="preserve">Nombre del registro de informe_ley.</t>
  </si>
  <si>
    <t xml:space="preserve">C1911</t>
  </si>
  <si>
    <t xml:space="preserve">Mapeada en internal-institutional-control-service/src/esap/informes-ley/entities/informe-ley.entity.ts:30 (InformeLey.descripcion) | Validación: IsNotEmpty, IsOptional, IsString</t>
  </si>
  <si>
    <t xml:space="preserve">Descripción del registro de informe_ley.</t>
  </si>
  <si>
    <t xml:space="preserve">C1912</t>
  </si>
  <si>
    <t xml:space="preserve">interno, ley, normativo</t>
  </si>
  <si>
    <t xml:space="preserve">Mapeada en internal-institutional-control-service/src/esap/informes-ley/entities/informe-ley.entity.ts:50 (InformeLey.tipo) | Validación: IsEnum(AccionCorrectivaTipo), IsEnum(TipoAuditoriaProgramada), IsEnum(TipoEventoTimeline), IsEnum(TipoTablero), IsEnum(['cumplimiento', 'eficiencia', 'eficacia', 'economia']), IsEnum(['plan-auditoria', 'plan-mejora', 'informe', 'documento'])</t>
  </si>
  <si>
    <t xml:space="preserve">Tipo del registro de informe_ley.</t>
  </si>
  <si>
    <t xml:space="preserve">C1913</t>
  </si>
  <si>
    <t xml:space="preserve">anual, mensual, semestral, trimestral</t>
  </si>
  <si>
    <t xml:space="preserve">Mapeada en internal-institutional-control-service/src/esap/informes-ley/entities/informe-ley.entity.ts:43 (InformeLey.periodicidad) | Validación: IsEnum(['mensual', 'bimestral', 'trimestral', 'cuatrimestral', 'semestral', 'anual']), IsNotEmpty, IsOptional</t>
  </si>
  <si>
    <t xml:space="preserve">Periodicidad de presentación del informe de ley. Valores permitidos: mensual, trimestral, semestral, anual.</t>
  </si>
  <si>
    <t xml:space="preserve">Las validaciones del código admiten también bimestral y cuatrimestral; ¿se deben agregar al CHECK?</t>
  </si>
  <si>
    <t xml:space="preserve">C1914</t>
  </si>
  <si>
    <t xml:space="preserve">idx_informe_ley_vencimiento</t>
  </si>
  <si>
    <t xml:space="preserve">internal-institutional-control-service/src/esap/informes-ley/entities/informe-ley.entity.ts:86: Campos adicionales del schema original (opcionales) | Validación: IsDateString, IsNotEmpty, IsOptional</t>
  </si>
  <si>
    <t xml:space="preserve">Fecha de vencimiento del informe de ley.</t>
  </si>
  <si>
    <t xml:space="preserve">C1915</t>
  </si>
  <si>
    <t xml:space="preserve">aprobado, en_proceso, en_revision, pendiente, presentado, vencido</t>
  </si>
  <si>
    <t xml:space="preserve">idx_informe_ley_estado</t>
  </si>
  <si>
    <t xml:space="preserve">Mapeada en internal-institutional-control-service/src/esap/informes-ley/entities/informe-ley.entity.ts:89 (InformeLey.estado) | Validación: IsEnum(AccionCorrectivaEstado), IsEnum(EstadoEtapa), IsEnum(EstadoPlanIndividual), IsEnum(EstadoTarea), IsEnum(HallazgoEstado), IsEnum(PlanMejoramientoEstado)</t>
  </si>
  <si>
    <t xml:space="preserve">Estado del registro de informe_ley.</t>
  </si>
  <si>
    <t xml:space="preserve">C1916</t>
  </si>
  <si>
    <t xml:space="preserve">Mapeada en internal-institutional-control-service/src/esap/informes-ley/entities/informe-ley.entity.ts:92 (InformeLey.diasRestantes) | Validación: IsInt, IsOptional</t>
  </si>
  <si>
    <t xml:space="preserve">Días que faltan para el vencimiento del informe.</t>
  </si>
  <si>
    <t xml:space="preserve">nombre + columnas vecinas (fecha_vencimiento)</t>
  </si>
  <si>
    <t xml:space="preserve">¿dias_restantes se calcula automáticamente o se diligencia?</t>
  </si>
  <si>
    <t xml:space="preserve">C1917</t>
  </si>
  <si>
    <t xml:space="preserve">alerta</t>
  </si>
  <si>
    <t xml:space="preserve">amarillo, naranja, rojo, verde</t>
  </si>
  <si>
    <t xml:space="preserve">Mapeada en internal-institutional-control-service/src/esap/informes-ley/entities/informe-ley.entity.ts:95 (InformeLey.alerta)</t>
  </si>
  <si>
    <t xml:space="preserve">Color de alerta según la cercanía del vencimiento. Valores permitidos: verde, amarillo, naranja, rojo.</t>
  </si>
  <si>
    <t xml:space="preserve">¿Con qué umbrales de días se asigna cada color de alerta?</t>
  </si>
  <si>
    <t xml:space="preserve">C1918</t>
  </si>
  <si>
    <t xml:space="preserve">Mapeada en internal-institutional-control-service/src/esap/informes-ley/entities/informe-ley.entity.ts:62 (InformeLey.area) | Validación: IsNotEmpty, IsOptional, IsString, Length(1, 255), MaxLength(255)</t>
  </si>
  <si>
    <t xml:space="preserve">Área a la que corresponde el informe de ley.</t>
  </si>
  <si>
    <t xml:space="preserve">nombre + columnas vecinas (area_responsable)</t>
  </si>
  <si>
    <t xml:space="preserve">¿En qué se diferencia area de area_responsable?</t>
  </si>
  <si>
    <t xml:space="preserve">C1919</t>
  </si>
  <si>
    <t xml:space="preserve">Mapeada en internal-institutional-control-service/src/esap/informes-ley/entities/informe-ley.entity.ts:59 (InformeLey.responsable) | Validación: IsNotEmpty, IsOptional, IsString, Length(1, 255)</t>
  </si>
  <si>
    <t xml:space="preserve">Nombre del responsable de elaborar el informe de ley.</t>
  </si>
  <si>
    <t xml:space="preserve">C1920</t>
  </si>
  <si>
    <t xml:space="preserve">normativa</t>
  </si>
  <si>
    <t xml:space="preserve">Mapeada en internal-institutional-control-service/src/esap/informes-ley/entities/informe-ley.entity.ts:33 (InformeLey.normativa) | Validación: IsNotEmpty, IsOptional, IsString</t>
  </si>
  <si>
    <t xml:space="preserve">Norma que establece la obligación de presentar el informe.</t>
  </si>
  <si>
    <t xml:space="preserve">C1921</t>
  </si>
  <si>
    <t xml:space="preserve">acciones_sugeridas</t>
  </si>
  <si>
    <t xml:space="preserve">Mapeada en internal-institutional-control-service/src/esap/informes-ley/entities/informe-ley.entity.ts:98 (InformeLey.accionesSugeridas)</t>
  </si>
  <si>
    <t xml:space="preserve">Acciones sugeridas para preparar el informe, en formato JSON.</t>
  </si>
  <si>
    <t xml:space="preserve">¿Qué contiene acciones_sugeridas y quién lo diligencia?</t>
  </si>
  <si>
    <t xml:space="preserve">C1922</t>
  </si>
  <si>
    <t xml:space="preserve">Mapeada en internal-institutional-control-service/src/esap/informes-ley/entities/informe-ley.entity.ts:101 (InformeLey.historial)</t>
  </si>
  <si>
    <t xml:space="preserve">Historial de presentaciones o cambios del informe, en formato JSON.</t>
  </si>
  <si>
    <t xml:space="preserve">¿Qué estructura tiene historial? ¿Duplica control_interno.entrega_informe_ley?</t>
  </si>
  <si>
    <t xml:space="preserve">C1923</t>
  </si>
  <si>
    <t xml:space="preserve">proximo_recordatorio</t>
  </si>
  <si>
    <t xml:space="preserve">Mapeada en internal-institutional-control-service/src/esap/informes-ley/entities/informe-ley.entity.ts:104 (InformeLey.proximoRecordatorio)</t>
  </si>
  <si>
    <t xml:space="preserve">Fecha y hora del próximo recordatorio programado del informe.</t>
  </si>
  <si>
    <t xml:space="preserve">nombre + tipo + columnas vecinas (recordatorios_enviados) ~</t>
  </si>
  <si>
    <t xml:space="preserve">C1924</t>
  </si>
  <si>
    <t xml:space="preserve">recordatorios_enviados</t>
  </si>
  <si>
    <t xml:space="preserve">Mapeada en internal-institutional-control-service/src/esap/informes-ley/entities/informe-ley.entity.ts:107 (InformeLey.recordatoriosEnviados)</t>
  </si>
  <si>
    <t xml:space="preserve">Número de recordatorios enviados del informe.</t>
  </si>
  <si>
    <t xml:space="preserve">C1925</t>
  </si>
  <si>
    <t xml:space="preserve">formato_template</t>
  </si>
  <si>
    <t xml:space="preserve">Mapeada en internal-institutional-control-service/src/esap/informes-ley/entities/informe-ley.entity.ts:110 (InformeLey.formatoTemplate)</t>
  </si>
  <si>
    <t xml:space="preserve">Formato o plantilla asociada al informe de ley.</t>
  </si>
  <si>
    <t xml:space="preserve">nombre + columnas vecinas (url_plantilla, tiene_plantilla)</t>
  </si>
  <si>
    <t xml:space="preserve">¿En qué se diferencia formato_template de url_plantilla?</t>
  </si>
  <si>
    <t xml:space="preserve">C1926</t>
  </si>
  <si>
    <t xml:space="preserve">datos_integrados</t>
  </si>
  <si>
    <t xml:space="preserve">Mapeada en internal-institutional-control-service/src/esap/informes-ley/entities/informe-ley.entity.ts:113 (InformeLey.datosIntegrados)</t>
  </si>
  <si>
    <t xml:space="preserve">Datos integrados de otros módulos para generar el informe, en formato JSON.</t>
  </si>
  <si>
    <t xml:space="preserve">¿Qué datos se integran en datos_integrados y desde qué fuentes?</t>
  </si>
  <si>
    <t xml:space="preserve">C1927</t>
  </si>
  <si>
    <t xml:space="preserve">codigo_corto</t>
  </si>
  <si>
    <t xml:space="preserve">informe_ley_codigo_corto_key</t>
  </si>
  <si>
    <t xml:space="preserve">Mapeada en internal-institutional-control-service/src/esap/informes-ley/entities/informe-ley.entity.ts:24 (InformeLey.codigoCorto)</t>
  </si>
  <si>
    <t xml:space="preserve">Código corto del informe de ley. Único en la tabla.</t>
  </si>
  <si>
    <t xml:space="preserve">¿Qué formato tiene el código corto y para qué se usa frente a codigo?</t>
  </si>
  <si>
    <t xml:space="preserve">C1928</t>
  </si>
  <si>
    <t xml:space="preserve">administrativo, contractual, control, financiero, talento-humano, transparencia</t>
  </si>
  <si>
    <t xml:space="preserve">Mapeada en internal-institutional-control-service/src/esap/informes-ley/entities/informe-ley.entity.ts:36 (InformeLey.categoria) | Validación: IsEnum(CategoriaNota), IsEnum(HallazgoCategoria), IsEnum(['financiero', 'administrativo', 'contractual', 'talento-humano', 'transparencia', 'control']), IsNotEmpty, IsOptional, IsString</t>
  </si>
  <si>
    <t xml:space="preserve">Categoría del informe de ley. Valores permitidos: financiero, administrativo, contractual, talento-humano, transparencia, control.</t>
  </si>
  <si>
    <t xml:space="preserve">C1929</t>
  </si>
  <si>
    <t xml:space="preserve">dia_presentacion</t>
  </si>
  <si>
    <t xml:space="preserve">internal-institutional-control-service/src/esap/informes-ley/entities/informe-ley.entity.ts:53: Día del mes/periodo para presentar | Validación: IsInt, IsNotEmpty, IsOptional, Max(31), Min(1)</t>
  </si>
  <si>
    <t xml:space="preserve">Día del mes o del periodo en que se presenta el informe, de 1 a 31.</t>
  </si>
  <si>
    <t xml:space="preserve">código: internal-institutional-control-service/src/esap/informes-ley/entities/informe-ley.entity.ts:53</t>
  </si>
  <si>
    <t xml:space="preserve">C1930</t>
  </si>
  <si>
    <t xml:space="preserve">entidad_destino</t>
  </si>
  <si>
    <t xml:space="preserve">Mapeada en internal-institutional-control-service/src/esap/informes-ley/entities/informe-ley.entity.ts:56 (InformeLey.entidadDestino) | Validación: IsOptional, IsString, Length(1, 500)</t>
  </si>
  <si>
    <t xml:space="preserve">Entidad a la que se presenta el informe de ley.</t>
  </si>
  <si>
    <t xml:space="preserve">C1931</t>
  </si>
  <si>
    <t xml:space="preserve">Mapeada en internal-institutional-control-service/src/esap/informes-ley/entities/informe-ley.entity.ts:65 (InformeLey.areaResponsable) | Validación: IsNotEmpty, IsOptional, IsString, Length(1, 255), MaxLength(255)</t>
  </si>
  <si>
    <t xml:space="preserve">Área responsable de elaborar y presentar el informe.</t>
  </si>
  <si>
    <t xml:space="preserve">nombre + columnas vecinas (area)</t>
  </si>
  <si>
    <t xml:space="preserve">¿En qué se diferencia area_responsable de area?</t>
  </si>
  <si>
    <t xml:space="preserve">C1932</t>
  </si>
  <si>
    <t xml:space="preserve">tiene_plantilla</t>
  </si>
  <si>
    <t xml:space="preserve">internal-institutional-control-service/src/esap/informes-ley/entities/informe-ley.entity.ts:69: Plantilla | Validación: IsBoolean, IsOptional</t>
  </si>
  <si>
    <t xml:space="preserve">Indica si el informe tiene plantilla; por defecto falso.</t>
  </si>
  <si>
    <t xml:space="preserve">código: internal-institutional-control-service/src/esap/informes-ley/entities/informe-ley.entity.ts:69</t>
  </si>
  <si>
    <t xml:space="preserve">C1933</t>
  </si>
  <si>
    <t xml:space="preserve">url_plantilla</t>
  </si>
  <si>
    <t xml:space="preserve">Mapeada en internal-institutional-control-service/src/esap/informes-ley/entities/informe-ley.entity.ts:72 (InformeLey.urlPlantilla) | Validación: IsOptional, IsString, Length(0, 500)</t>
  </si>
  <si>
    <t xml:space="preserve">URL de la plantilla del informe.</t>
  </si>
  <si>
    <t xml:space="preserve">nombre + columnas vecinas (tiene_plantilla) ~</t>
  </si>
  <si>
    <t xml:space="preserve">C1934</t>
  </si>
  <si>
    <t xml:space="preserve">requiere_aprobacion</t>
  </si>
  <si>
    <t xml:space="preserve">internal-institutional-control-service/src/esap/informes-ley/entities/informe-ley.entity.ts:76: Configuración | Validación: IsBoolean, IsOptional</t>
  </si>
  <si>
    <t xml:space="preserve">Indica si el informe requiere aprobación; por defecto verdadero.</t>
  </si>
  <si>
    <t xml:space="preserve">C1935</t>
  </si>
  <si>
    <t xml:space="preserve">Mapeada en internal-institutional-control-service/src/esap/informes-ley/entities/informe-ley.entity.ts:79 (InformeLey.diasAnticipacionAlerta) | Validación: IsInt, IsOptional, Max(90), Min(0), Min(1)</t>
  </si>
  <si>
    <t xml:space="preserve">Días de anticipación con que se alerta el vencimiento del informe; 7 por defecto.</t>
  </si>
  <si>
    <t xml:space="preserve">nombre + defecto 7 + validación Max(90)</t>
  </si>
  <si>
    <t xml:space="preserve">C1936</t>
  </si>
  <si>
    <t xml:space="preserve">Mapeada en internal-institutional-control-service/src/esap/informes-ley/entities/informe-ley.entity.ts:82 (InformeLey.activo) | Validación: IsBoolean, IsOptional</t>
  </si>
  <si>
    <t xml:space="preserve">C1937</t>
  </si>
  <si>
    <t xml:space="preserve">integraciones_esap</t>
  </si>
  <si>
    <t xml:space="preserve">Nombre del registro de integraciones_esap.</t>
  </si>
  <si>
    <t xml:space="preserve">C1938</t>
  </si>
  <si>
    <t xml:space="preserve">api, email, otro, sftp, webhook</t>
  </si>
  <si>
    <t xml:space="preserve">idx_integraciones_tipo</t>
  </si>
  <si>
    <t xml:space="preserve">Tipo del registro de integraciones_esap.</t>
  </si>
  <si>
    <t xml:space="preserve">C1939</t>
  </si>
  <si>
    <t xml:space="preserve">configuracion</t>
  </si>
  <si>
    <t xml:space="preserve">Parámetros de configuración de la integración externa (conexión, credenciales o ajustes), en formato JSON.</t>
  </si>
  <si>
    <t xml:space="preserve">¿Qué estructura tiene el JSON de configuración y si guarda credenciales o secretos?</t>
  </si>
  <si>
    <t xml:space="preserve">C1940</t>
  </si>
  <si>
    <t xml:space="preserve">idx_integraciones_activa</t>
  </si>
  <si>
    <t xml:space="preserve">C1941</t>
  </si>
  <si>
    <t xml:space="preserve">ultima_sincronizacion</t>
  </si>
  <si>
    <t xml:space="preserve">Fecha y hora de la última sincronización ejecutada con la integración externa.</t>
  </si>
  <si>
    <t xml:space="preserve">C1942</t>
  </si>
  <si>
    <t xml:space="preserve">lista_aplicada</t>
  </si>
  <si>
    <t xml:space="preserve">lista_chequeo_id</t>
  </si>
  <si>
    <t xml:space="preserve">Identificador de la lista de chequeo aplicada (control_interno.lista_chequeo).</t>
  </si>
  <si>
    <t xml:space="preserve">¿Se puede declarar la FK hacia control_interno.lista_chequeo(id)?</t>
  </si>
  <si>
    <t xml:space="preserve">C1943</t>
  </si>
  <si>
    <t xml:space="preserve">lista_chequeo_codigo</t>
  </si>
  <si>
    <t xml:space="preserve">Código de la lista de chequeo aplicada, copiado al momento de la aplicación.</t>
  </si>
  <si>
    <t xml:space="preserve">¿Es una copia del código de lista_chequeo al aplicar o se actualiza si cambia la lista?</t>
  </si>
  <si>
    <t xml:space="preserve">C1944</t>
  </si>
  <si>
    <t xml:space="preserve">lista_chequeo_nombre</t>
  </si>
  <si>
    <t xml:space="preserve">Nombre de la lista de chequeo aplicada, copiado al momento de la aplicación.</t>
  </si>
  <si>
    <t xml:space="preserve">¿Es una copia del nombre de lista_chequeo al aplicar o se actualiza si cambia la lista?</t>
  </si>
  <si>
    <t xml:space="preserve">C1945</t>
  </si>
  <si>
    <t xml:space="preserve">auditoria_id</t>
  </si>
  <si>
    <t xml:space="preserve">idx_lista_aplicada_auditoria</t>
  </si>
  <si>
    <t xml:space="preserve">Identificador de la auditoría en la que se aplicó la lista de chequeo.</t>
  </si>
  <si>
    <t xml:space="preserve">¿A qué tabla de auditorías apunta este identificador (texto) y por qué no es uuid con FK?</t>
  </si>
  <si>
    <t xml:space="preserve">C1946</t>
  </si>
  <si>
    <t xml:space="preserve">fecha_aplicacion</t>
  </si>
  <si>
    <t xml:space="preserve">idx_lista_aplicada_fecha</t>
  </si>
  <si>
    <t xml:space="preserve">Fecha de aplicación.</t>
  </si>
  <si>
    <t xml:space="preserve">C1947</t>
  </si>
  <si>
    <t xml:space="preserve">aplicado_por</t>
  </si>
  <si>
    <t xml:space="preserve">Usuario que aplicó la lista de chequeo.</t>
  </si>
  <si>
    <t xml:space="preserve">¿Guarda el identificador, el nombre o el correo del usuario?</t>
  </si>
  <si>
    <t xml:space="preserve">C1948</t>
  </si>
  <si>
    <t xml:space="preserve">respuestas</t>
  </si>
  <si>
    <t xml:space="preserve">Respuestas registradas a cada ítem de la lista de chequeo, en formato JSON.</t>
  </si>
  <si>
    <t xml:space="preserve">¿Qué estructura tiene cada respuesta (ítem, valor, observación, evidencia)?</t>
  </si>
  <si>
    <t xml:space="preserve">C1949</t>
  </si>
  <si>
    <t xml:space="preserve">Resultado consolidado de la aplicación de la lista de chequeo (cumplimiento, no cumplimientos, hallazgos), en formato JSON.</t>
  </si>
  <si>
    <t xml:space="preserve">¿Qué campos componen el JSON de resultado?</t>
  </si>
  <si>
    <t xml:space="preserve">C1950</t>
  </si>
  <si>
    <t xml:space="preserve">lista_chequeo</t>
  </si>
  <si>
    <t xml:space="preserve">idx_lista_chequeo_auditoria_id</t>
  </si>
  <si>
    <t xml:space="preserve">internal-institutional-control-service/src/esap/listas-chequeo/entities/lista-chequeo.entity.ts:138: ═══════════════════════════════════════════════════════════════════════════ CAMPOS OBLIGATORIOS EN BD EXISTENTE ═══════════════════════════════════════════════════════════════════════════ | Validación: IsNotEmpty, IsOptional, IsString, IsUUID</t>
  </si>
  <si>
    <t xml:space="preserve">Identificador (UUID) de la auditoría a la que se aplica la lista de chequeo.</t>
  </si>
  <si>
    <t xml:space="preserve">¿Referencia control_interno.auditoria.id? No tiene FK declarada.</t>
  </si>
  <si>
    <t xml:space="preserve">C1951</t>
  </si>
  <si>
    <t xml:space="preserve">nombre_auditoria</t>
  </si>
  <si>
    <t xml:space="preserve">internal-institutional-control-service/src/esap/listas-chequeo/entities/lista-chequeo.entity.ts:141: ═══════════════════════════════════════════════════════════════════════════ CAMPOS OBLIGATORIOS EN BD EXISTENTE ═══════════════════════════════════════════════════════════════════════════ | Validación: IsOptional, IsString</t>
  </si>
  <si>
    <t xml:space="preserve">Nombre de la auditoría a la que se aplica la lista de chequeo.</t>
  </si>
  <si>
    <t xml:space="preserve">nombre + tipo + columnas vecinas (auditoria_id)</t>
  </si>
  <si>
    <t xml:space="preserve">¿Se copia de auditoria.nombre al aplicar la lista o se diligencia manualmente?</t>
  </si>
  <si>
    <t xml:space="preserve">C1952</t>
  </si>
  <si>
    <t xml:space="preserve">internal-institutional-control-service/src/esap/listas-chequeo/entities/lista-chequeo.entity.ts:144: ═══════════════════════════════════════════════════════════════════════════ CAMPOS OBLIGATORIOS EN BD EXISTENTE ═══════════════════════════════════════════════════════════════════════════ | Validación: IsOptional, IsString</t>
  </si>
  <si>
    <t xml:space="preserve">Nombre del auditor responsable de aplicar la lista de chequeo.</t>
  </si>
  <si>
    <t xml:space="preserve">¿Guarda el nombre o un identificador del auditor?</t>
  </si>
  <si>
    <t xml:space="preserve">C1953</t>
  </si>
  <si>
    <t xml:space="preserve">internal-institutional-control-service/src/esap/listas-chequeo/entities/lista-chequeo.entity.ts:147: ═══════════════════════════════════════════════════════════════════════════ CAMPOS OBLIGATORIOS EN BD EXISTENTE ═══════════════════════════════════════════════════════════════════════════</t>
  </si>
  <si>
    <t xml:space="preserve">Fecha en que se aplicó la lista de chequeo.</t>
  </si>
  <si>
    <t xml:space="preserve">¿En qué se diferencia de fecha_diligenciamiento?</t>
  </si>
  <si>
    <t xml:space="preserve">C1954</t>
  </si>
  <si>
    <t xml:space="preserve">fecha_diligenciamiento</t>
  </si>
  <si>
    <t xml:space="preserve">internal-institutional-control-service/src/esap/listas-chequeo/entities/lista-chequeo.entity.ts:150: ═══════════════════════════════════════════════════════════════════════════ CAMPOS OBLIGATORIOS EN BD EXISTENTE ═══════════════════════════════════════════════════════════════════════════</t>
  </si>
  <si>
    <t xml:space="preserve">Fecha en que se diligenció la lista de chequeo.</t>
  </si>
  <si>
    <t xml:space="preserve">¿En qué se diferencia de fecha_aplicacion?</t>
  </si>
  <si>
    <t xml:space="preserve">C1955</t>
  </si>
  <si>
    <t xml:space="preserve">items_completados</t>
  </si>
  <si>
    <t xml:space="preserve">internal-institutional-control-service/src/esap/listas-chequeo/entities/lista-chequeo.entity.ts:153: ═══════════════════════════════════════════════════════════════════════════ CAMPOS OBLIGATORIOS EN BD EXISTENTE ═══════════════════════════════════════════════════════════════════════════</t>
  </si>
  <si>
    <t xml:space="preserve">Número de ítems diligenciados de la lista de chequeo. Por defecto 0.</t>
  </si>
  <si>
    <t xml:space="preserve">C1956</t>
  </si>
  <si>
    <t xml:space="preserve">cumplimiento</t>
  </si>
  <si>
    <t xml:space="preserve">internal-institutional-control-service/src/esap/listas-chequeo/entities/lista-chequeo.entity.ts:156: ═══════════════════════════════════════════════════════════════════════════ CAMPOS OBLIGATORIOS EN BD EXISTENTE ═══════════════════════════════════════════════════════════════════════════</t>
  </si>
  <si>
    <t xml:space="preserve">Cumplimiento obtenido en la lista de chequeo. Por defecto 0.</t>
  </si>
  <si>
    <t xml:space="preserve">¿Es un porcentaje (0 a 100) o el número de ítems que cumplen?</t>
  </si>
  <si>
    <t xml:space="preserve">C1957</t>
  </si>
  <si>
    <t xml:space="preserve">no_cumplimientos</t>
  </si>
  <si>
    <t xml:space="preserve">internal-institutional-control-service/src/esap/listas-chequeo/entities/lista-chequeo.entity.ts:159: ═══════════════════════════════════════════════════════════════════════════ CAMPOS OBLIGATORIOS EN BD EXISTENTE ═══════════════════════════════════════════════════════════════════════════</t>
  </si>
  <si>
    <t xml:space="preserve">Número de ítems evaluados como no cumplidos. Por defecto 0.</t>
  </si>
  <si>
    <t xml:space="preserve">C1958</t>
  </si>
  <si>
    <t xml:space="preserve">no_aplica</t>
  </si>
  <si>
    <t xml:space="preserve">internal-institutional-control-service/src/esap/listas-chequeo/entities/lista-chequeo.entity.ts:162: ═══════════════════════════════════════════════════════════════════════════ CAMPOS OBLIGATORIOS EN BD EXISTENTE ═══════════════════════════════════════════════════════════════════════════</t>
  </si>
  <si>
    <t xml:space="preserve">Número de ítems marcados como no aplica. Por defecto 0.</t>
  </si>
  <si>
    <t xml:space="preserve">C1959</t>
  </si>
  <si>
    <t xml:space="preserve">hallazgos_generados</t>
  </si>
  <si>
    <t xml:space="preserve">internal-institutional-control-service/src/esap/listas-chequeo/entities/lista-chequeo.entity.ts:165: ═══════════════════════════════════════════════════════════════════════════ CAMPOS OBLIGATORIOS EN BD EXISTENTE ═══════════════════════════════════════════════════════════════════════════</t>
  </si>
  <si>
    <t xml:space="preserve">Número de hallazgos generados a partir de la lista de chequeo. Por defecto 0.</t>
  </si>
  <si>
    <t xml:space="preserve">C1960</t>
  </si>
  <si>
    <t xml:space="preserve">internal-institutional-control-service/src/esap/listas-chequeo/entities/lista-chequeo.entity.ts:64: ═══════════════════════════════════════════════════════════════════════════ CAMPOS OBLIGATORIOS EN BD EXISTENTE ═══════════════════════════════════════════════════════════════════════════ | Validación: IsOptional, IsString</t>
  </si>
  <si>
    <t xml:space="preserve">Versión de la lista de chequeo. Valor por defecto: 1.0.</t>
  </si>
  <si>
    <t xml:space="preserve">nombre + tipo + defecto; código: lista-chequeo.entity.ts:64 (solo encabezado de sección)</t>
  </si>
  <si>
    <t xml:space="preserve">¿La versión se incrementa automáticamente al modificar los ítems o la fija el usuario?</t>
  </si>
  <si>
    <t xml:space="preserve">C1961</t>
  </si>
  <si>
    <t xml:space="preserve">internal-institutional-control-service/src/esap/listas-chequeo/entities/lista-chequeo.entity.ts:67: ═══════════════════════════════════════════════════════════════════════════ CAMPOS OBLIGATORIOS EN BD EXISTENTE ═══════════════════════════════════════════════════════════════════════════ | Validación: IsEnum(AccionCorrectivaEstado), IsEnum(EstadoEtapa), IsEnum(EstadoPlanIndividual), IsEnum(EstadoTarea), IsEnum(HallazgoEstado), IsEnum(PlanMejoramientoEstado)</t>
  </si>
  <si>
    <t xml:space="preserve">Estado de la lista de chequeo. Por defecto activa.</t>
  </si>
  <si>
    <t xml:space="preserve">¿Qué valores admite el estado de la lista de chequeo? Las validaciones citan enumerados de otras entidades.</t>
  </si>
  <si>
    <t xml:space="preserve">C1962</t>
  </si>
  <si>
    <t xml:space="preserve">aplicable_para</t>
  </si>
  <si>
    <t xml:space="preserve">internal-institutional-control-service/src/esap/listas-chequeo/entities/lista-chequeo.entity.ts:70: ═══════════════════════════════════════════════════════════════════════════ CAMPOS OBLIGATORIOS EN BD EXISTENTE ═══════════════════════════════════════════════════════════════════════════ | Validación: IsArray, IsOptional</t>
  </si>
  <si>
    <t xml:space="preserve">Tipos de auditoría para los que aplica la lista de chequeo, como arreglo JSON. Por defecto ["gestion", "cumplimiento"].</t>
  </si>
  <si>
    <t xml:space="preserve">¿Qué valores admite además de gestion y cumplimiento?</t>
  </si>
  <si>
    <t xml:space="preserve">C1963</t>
  </si>
  <si>
    <t xml:space="preserve">items_json</t>
  </si>
  <si>
    <t xml:space="preserve">internal-institutional-control-service/src/esap/listas-chequeo/entities/lista-chequeo.entity.ts:77: ═══════════════════════════════════════════════════════════════════════════ CAMPOS OBLIGATORIOS EN BD EXISTENTE ═══════════════════════════════════════════════════════════════════════════</t>
  </si>
  <si>
    <t xml:space="preserve">Ítems de la lista de chequeo en formato JSON.</t>
  </si>
  <si>
    <t xml:space="preserve">¿Qué estructura tiene cada ítem (pregunta, criterio, resultado, evidencia)?</t>
  </si>
  <si>
    <t xml:space="preserve">C1964</t>
  </si>
  <si>
    <t xml:space="preserve">internal-institutional-control-service/src/esap/listas-chequeo/entities/lista-chequeo.entity.ts:84: ═══════════════════════════════════════════════════════════════════════════ CAMPOS OBLIGATORIOS EN BD EXISTENTE ═══════════════════════════════════════════════════════════════════════════</t>
  </si>
  <si>
    <t xml:space="preserve">Proceso institucional al que corresponde la lista de chequeo.</t>
  </si>
  <si>
    <t xml:space="preserve">nombre + tipo + columnas vecinas (subproceso)</t>
  </si>
  <si>
    <t xml:space="preserve">¿Es texto libre o corresponde al mapa de procesos de la ESAP?</t>
  </si>
  <si>
    <t xml:space="preserve">C1965</t>
  </si>
  <si>
    <t xml:space="preserve">subproceso</t>
  </si>
  <si>
    <t xml:space="preserve">internal-institutional-control-service/src/esap/listas-chequeo/entities/lista-chequeo.entity.ts:87: ═══════════════════════════════════════════════════════════════════════════ CAMPOS OBLIGATORIOS EN BD EXISTENTE ═══════════════════════════════════════════════════════════════════════════</t>
  </si>
  <si>
    <t xml:space="preserve">Subproceso institucional al que corresponde la lista de chequeo.</t>
  </si>
  <si>
    <t xml:space="preserve">nombre + tipo + columnas vecinas (proceso)</t>
  </si>
  <si>
    <t xml:space="preserve">C1966</t>
  </si>
  <si>
    <t xml:space="preserve">categoria_esap</t>
  </si>
  <si>
    <t xml:space="preserve">internal-institutional-control-service/src/esap/listas-chequeo/entities/lista-chequeo.entity.ts:90: ═══════════════════════════════════════════════════════════════════════════ CAMPOS OBLIGATORIOS EN BD EXISTENTE ═══════════════════════════════════════════════════════════════════════════</t>
  </si>
  <si>
    <t xml:space="preserve">Categoría de la lista de chequeo según la clasificación de la ESAP.</t>
  </si>
  <si>
    <t xml:space="preserve">nombre + tipo + columnas vecinas (categoria)</t>
  </si>
  <si>
    <t xml:space="preserve">¿Qué valores admite categoria_esap y en qué se diferencia de categoria?</t>
  </si>
  <si>
    <t xml:space="preserve">C1967</t>
  </si>
  <si>
    <t xml:space="preserve">normativa_aplicable</t>
  </si>
  <si>
    <t xml:space="preserve">internal-institutional-control-service/src/esap/listas-chequeo/entities/lista-chequeo.entity.ts:93: ═══════════════════════════════════════════════════════════════════════════ CAMPOS OBLIGATORIOS EN BD EXISTENTE ═══════════════════════════════════════════════════════════════════════════ | Validación: IsArray, IsOptional</t>
  </si>
  <si>
    <t xml:space="preserve">Normativa aplicable a la lista de chequeo.</t>
  </si>
  <si>
    <t xml:space="preserve">nombre + tipo + validación IsArray</t>
  </si>
  <si>
    <t xml:space="preserve">¿Se guarda como texto libre o como lista de normas?</t>
  </si>
  <si>
    <t xml:space="preserve">C1968</t>
  </si>
  <si>
    <t xml:space="preserve">objetivo</t>
  </si>
  <si>
    <t xml:space="preserve">internal-institutional-control-service/src/esap/listas-chequeo/entities/lista-chequeo.entity.ts:96: ═══════════════════════════════════════════════════════════════════════════ CAMPOS OBLIGATORIOS EN BD EXISTENTE ═══════════════════════════════════════════════════════════════════════════ | Validación: IsNotEmpty, IsOptional, IsString</t>
  </si>
  <si>
    <t xml:space="preserve">Objetivo de la lista de chequeo.</t>
  </si>
  <si>
    <t xml:space="preserve">C1969</t>
  </si>
  <si>
    <t xml:space="preserve">version_base</t>
  </si>
  <si>
    <t xml:space="preserve">internal-institutional-control-service/src/esap/listas-chequeo/entities/lista-chequeo.entity.ts:99: ═══════════════════════════════════════════════════════════════════════════ CAMPOS OBLIGATORIOS EN BD EXISTENTE ═══════════════════════════════════════════════════════════════════════════</t>
  </si>
  <si>
    <t xml:space="preserve">Versión de la plantilla base de la que se generó la lista de chequeo.</t>
  </si>
  <si>
    <t xml:space="preserve">nombre + tipo + columnas vecinas (version)</t>
  </si>
  <si>
    <t xml:space="preserve">¿Qué indica version_base y en qué se diferencia de version?</t>
  </si>
  <si>
    <t xml:space="preserve">C1970</t>
  </si>
  <si>
    <t xml:space="preserve">permite_no_aplica</t>
  </si>
  <si>
    <t xml:space="preserve">internal-institutional-control-service/src/esap/listas-chequeo/entities/lista-chequeo.entity.ts:102: ═══════════════════════════════════════════════════════════════════════════ CAMPOS OBLIGATORIOS EN BD EXISTENTE ═══════════════════════════════════════════════════════════════════════════</t>
  </si>
  <si>
    <t xml:space="preserve">Indica si la lista de chequeo admite la respuesta no aplica en sus ítems. Por defecto verdadero.</t>
  </si>
  <si>
    <t xml:space="preserve">nombre + tipo + columnas vecinas (no_aplica)</t>
  </si>
  <si>
    <t xml:space="preserve">C1971</t>
  </si>
  <si>
    <t xml:space="preserve">requiere_evidencias</t>
  </si>
  <si>
    <t xml:space="preserve">internal-institutional-control-service/src/esap/listas-chequeo/entities/lista-chequeo.entity.ts:105: ═══════════════════════════════════════════════════════════════════════════ CAMPOS OBLIGATORIOS EN BD EXISTENTE ═══════════════════════════════════════════════════════════════════════════</t>
  </si>
  <si>
    <t xml:space="preserve">Indica si la lista de chequeo exige adjuntar evidencias. Por defecto verdadero.</t>
  </si>
  <si>
    <t xml:space="preserve">¿La exigencia de evidencias es por ítem o para la lista completa?</t>
  </si>
  <si>
    <t xml:space="preserve">C1972</t>
  </si>
  <si>
    <t xml:space="preserve">genera_hallazgos_automaticos</t>
  </si>
  <si>
    <t xml:space="preserve">internal-institutional-control-service/src/esap/listas-chequeo/entities/lista-chequeo.entity.ts:108: ═══════════════════════════════════════════════════════════════════════════ CAMPOS OBLIGATORIOS EN BD EXISTENTE ═══════════════════════════════════════════════════════════════════════════</t>
  </si>
  <si>
    <t xml:space="preserve">Indica si la lista de chequeo genera hallazgos de forma automática. Por defecto verdadero.</t>
  </si>
  <si>
    <t xml:space="preserve">nombre + tipo + columnas vecinas (hallazgos_generados)</t>
  </si>
  <si>
    <t xml:space="preserve">¿Se genera un hallazgo por cada ítem no cumplido?</t>
  </si>
  <si>
    <t xml:space="preserve">C1973</t>
  </si>
  <si>
    <t xml:space="preserve">fase_planeacion</t>
  </si>
  <si>
    <t xml:space="preserve">internal-institutional-control-service/src/esap/listas-chequeo/entities/lista-chequeo.entity.ts:172: ═══════════════════════════════════════════════════════════════════════════ CAMPOS OBLIGATORIOS EN BD EXISTENTE ═══════════════════════════════════════════════════════════════════════════ | Validación: IsBoolean, IsOptional</t>
  </si>
  <si>
    <t xml:space="preserve">Indica si la lista de chequeo se aplica en la fase de planeación de la auditoría. Por defecto falso.</t>
  </si>
  <si>
    <t xml:space="preserve">nombre + tipo + columnas vecinas (fases)</t>
  </si>
  <si>
    <t xml:space="preserve">C1974</t>
  </si>
  <si>
    <t xml:space="preserve">fase_ejecucion</t>
  </si>
  <si>
    <t xml:space="preserve">internal-institutional-control-service/src/esap/listas-chequeo/entities/lista-chequeo.entity.ts:175: ═══════════════════════════════════════════════════════════════════════════ CAMPOS OBLIGATORIOS EN BD EXISTENTE ═══════════════════════════════════════════════════════════════════════════ | Validación: IsBoolean, IsOptional</t>
  </si>
  <si>
    <t xml:space="preserve">Indica si la lista de chequeo se aplica en la fase de ejecución de la auditoría. Por defecto falso.</t>
  </si>
  <si>
    <t xml:space="preserve">C1975</t>
  </si>
  <si>
    <t xml:space="preserve">fase_comunicacion</t>
  </si>
  <si>
    <t xml:space="preserve">internal-institutional-control-service/src/esap/listas-chequeo/entities/lista-chequeo.entity.ts:178: ═══════════════════════════════════════════════════════════════════════════ CAMPOS OBLIGATORIOS EN BD EXISTENTE ═══════════════════════════════════════════════════════════════════════════ | Validación: IsBoolean, IsOptional</t>
  </si>
  <si>
    <t xml:space="preserve">Indica si la lista de chequeo se aplica en la fase de comunicación de la auditoría. Por defecto falso.</t>
  </si>
  <si>
    <t xml:space="preserve">C1976</t>
  </si>
  <si>
    <t xml:space="preserve">fase_seguimiento</t>
  </si>
  <si>
    <t xml:space="preserve">internal-institutional-control-service/src/esap/listas-chequeo/entities/lista-chequeo.entity.ts:181: ═══════════════════════════════════════════════════════════════════════════ CAMPOS OBLIGATORIOS EN BD EXISTENTE ═══════════════════════════════════════════════════════════════════════════ | Validación: IsBoolean, IsOptional</t>
  </si>
  <si>
    <t xml:space="preserve">Indica si la lista de chequeo se aplica en la fase de seguimiento de la auditoría. Por defecto falso.</t>
  </si>
  <si>
    <t xml:space="preserve">C1977</t>
  </si>
  <si>
    <t xml:space="preserve">logs_auditoria_esap</t>
  </si>
  <si>
    <t xml:space="preserve">idx_logs_accion</t>
  </si>
  <si>
    <t xml:space="preserve">Acción realizada por el usuario que se registra en el log.</t>
  </si>
  <si>
    <t xml:space="preserve">¿Qué valores toma la acción (crear, actualizar, eliminar, login…)?</t>
  </si>
  <si>
    <t xml:space="preserve">C1978</t>
  </si>
  <si>
    <t xml:space="preserve">entidad</t>
  </si>
  <si>
    <t xml:space="preserve">idx_logs_entidad</t>
  </si>
  <si>
    <t xml:space="preserve">Nombre de la entidad o tabla afectada por la acción.</t>
  </si>
  <si>
    <t xml:space="preserve">C1979</t>
  </si>
  <si>
    <t xml:space="preserve">C1980</t>
  </si>
  <si>
    <t xml:space="preserve">Detalles adicionales de la acción (por ejemplo, valores modificados), en formato JSON.</t>
  </si>
  <si>
    <t xml:space="preserve">¿Qué estructura tiene el JSON de detalles?</t>
  </si>
  <si>
    <t xml:space="preserve">C1981</t>
  </si>
  <si>
    <t xml:space="preserve">Dirección IP desde la que se realizó la acción (IPv4 o IPv6).</t>
  </si>
  <si>
    <t xml:space="preserve">nombre + tipo (longitud 45)</t>
  </si>
  <si>
    <t xml:space="preserve">C1982</t>
  </si>
  <si>
    <t xml:space="preserve">C1983</t>
  </si>
  <si>
    <t xml:space="preserve">normatividad</t>
  </si>
  <si>
    <t xml:space="preserve">db/migrations/old/036_add_auditorias_kanban_completo.sql:882: Ej: "Decreto 648 de 2017", "Manual de Contratación"</t>
  </si>
  <si>
    <t xml:space="preserve">Nombre de la norma o documento aplicable a la auditoría (por ejemplo, «Decreto 648 de 2017», «Manual de Contratación»).</t>
  </si>
  <si>
    <t xml:space="preserve">código: db/migrations/old/036_add_auditorias_kanban_completo.sql:882</t>
  </si>
  <si>
    <t xml:space="preserve">C1984</t>
  </si>
  <si>
    <t xml:space="preserve">db/migrations/old/036_add_auditorias_kanban_completo.sql:883: 'decreto', 'ley', 'manual', 'politica', 'otro'</t>
  </si>
  <si>
    <t xml:space="preserve">Tipo de norma. Valores esperados: decreto, ley, manual, politica, otro.</t>
  </si>
  <si>
    <t xml:space="preserve">código: db/migrations/old/036_add_auditorias_kanban_completo.sql:883</t>
  </si>
  <si>
    <t xml:space="preserve">C1985</t>
  </si>
  <si>
    <t xml:space="preserve">idx_normatividad_activo</t>
  </si>
  <si>
    <t xml:space="preserve">C1986</t>
  </si>
  <si>
    <t xml:space="preserve">nota_auditoria</t>
  </si>
  <si>
    <t xml:space="preserve">Mapeada en internal-institutional-control-service/src/esap/auditorias/entities/nota-auditoria.entity.ts:39 (NotaAuditoria.contenido) | Validación: IsNotEmpty, IsOptional, IsString</t>
  </si>
  <si>
    <t xml:space="preserve">Texto de la nota u observación de la auditoría.</t>
  </si>
  <si>
    <t xml:space="preserve">C1987</t>
  </si>
  <si>
    <t xml:space="preserve">idx_nota_fecha, idx_nota_fecha_hora</t>
  </si>
  <si>
    <t xml:space="preserve">Mapeada en internal-institutional-control-service/src/esap/auditorias/entities/nota-auditoria.entity.ts:52 (NotaAuditoria.fecha) | Validación: IsDateString, IsString</t>
  </si>
  <si>
    <t xml:space="preserve">Fecha de registro de la nota de auditoría.</t>
  </si>
  <si>
    <t xml:space="preserve">nombre + tipo + columnas vecinas (hora)</t>
  </si>
  <si>
    <t xml:space="preserve">C1988</t>
  </si>
  <si>
    <t xml:space="preserve">idx_nota_fecha_hora</t>
  </si>
  <si>
    <t xml:space="preserve">Mapeada en internal-institutional-control-service/src/esap/auditorias/entities/nota-auditoria.entity.ts:55 (NotaAuditoria.hora) | Validación: IsString</t>
  </si>
  <si>
    <t xml:space="preserve">Hora en que se registró la nota.</t>
  </si>
  <si>
    <t xml:space="preserve">nombre + tipo + columna vecina fecha</t>
  </si>
  <si>
    <t xml:space="preserve">C1989</t>
  </si>
  <si>
    <t xml:space="preserve">editada</t>
  </si>
  <si>
    <t xml:space="preserve">Mapeada en internal-institutional-control-service/src/esap/auditorias/entities/nota-auditoria.entity.ts:61 (NotaAuditoria.editada)</t>
  </si>
  <si>
    <t xml:space="preserve">Indica si el registro está editada.</t>
  </si>
  <si>
    <t xml:space="preserve">C1990</t>
  </si>
  <si>
    <t xml:space="preserve">fecha_edicion</t>
  </si>
  <si>
    <t xml:space="preserve">Mapeada en internal-institutional-control-service/src/esap/auditorias/entities/nota-auditoria.entity.ts:64 (NotaAuditoria.fechaEdicion)</t>
  </si>
  <si>
    <t xml:space="preserve">Fecha de edición.</t>
  </si>
  <si>
    <t xml:space="preserve">C1991</t>
  </si>
  <si>
    <t xml:space="preserve">Mapeada en internal-institutional-control-service/src/esap/auditorias/entities/nota-auditoria.entity.ts:70 (NotaAuditoria.activo) | Validación: IsBoolean, IsOptional</t>
  </si>
  <si>
    <t xml:space="preserve">C1992</t>
  </si>
  <si>
    <t xml:space="preserve">notificacion</t>
  </si>
  <si>
    <t xml:space="preserve">idx_notificacion_usuario</t>
  </si>
  <si>
    <t xml:space="preserve">Mapeada en internal-institutional-control-service/src/esap/notificaciones/entities/notificacion.entity.ts:76 (Notificacion.usuarioId) | Validación: IsNotEmpty, IsOptional, IsString, IsUUID</t>
  </si>
  <si>
    <t xml:space="preserve">Identificador del usuario destinatario de la notificación.</t>
  </si>
  <si>
    <t xml:space="preserve">nombre + tipo + validaciones del DTO</t>
  </si>
  <si>
    <t xml:space="preserve">¿Es el id de auth."user" o de otra tabla de usuarios? ¿Por qué se guarda como texto y no uuid?</t>
  </si>
  <si>
    <t xml:space="preserve">C1993</t>
  </si>
  <si>
    <t xml:space="preserve">tipo_notificacion</t>
  </si>
  <si>
    <t xml:space="preserve">EVT-APR-001, EVT-APR-002, EVT-AUD-001, EVT-AUD-002, EVT-AUD-003, EVT-AUD-004, EVT-AUD-CREATED, EVT-AUD-DEADLINE, EVT-DOC-001, EVT-KANBAN-001, EVT-KANBAN-002, EVT-KANBAN-003, EVT-KANBAN-004, EVT-KANBAN-MOV, EVT-PA-001 …</t>
  </si>
  <si>
    <t xml:space="preserve">idx_notificacion_tipo</t>
  </si>
  <si>
    <t xml:space="preserve">Mapeada en internal-institutional-control-service/src/esap/notificaciones/entities/notificacion.entity.ts:79 (Notificacion.tipoNotificacion) | Validación: IsEnum(TipoNotificacion), IsNotEmpty</t>
  </si>
  <si>
    <t xml:space="preserve">Código del evento que origina la notificación. Valores permitidos: EVT-APR-001, EVT-APR-002, EVT-AUD-001, EVT-AUD-002, EVT-AUD-003, EVT-AUD-004, EVT-AUD-CREATED, EVT-AUD-DEADLINE, EVT-DOC-001, EVT-KANBAN-001, EVT-KANBAN-002, EVT-KANBAN-003, EVT-KANBAN-004, EVT-KANBAN-MOV, EVT-PA-001, EVT-PM-001, EVT-PM-002, EVT-PM-003, EVT-SYS-001, EVT-SYS-002.</t>
  </si>
  <si>
    <t xml:space="preserve">¿Qué evento representa cada código (por ejemplo, EVT-AUD-001)?</t>
  </si>
  <si>
    <t xml:space="preserve">C1994</t>
  </si>
  <si>
    <t xml:space="preserve">Mapeada en internal-institutional-control-service/src/esap/notificaciones/entities/notificacion.entity.ts:87 (Notificacion.titulo) | Validación: IsNotEmpty, IsOptional, IsString, MaxLength(255), MaxLength(500)</t>
  </si>
  <si>
    <t xml:space="preserve">Título de la notificación.</t>
  </si>
  <si>
    <t xml:space="preserve">C1995</t>
  </si>
  <si>
    <t xml:space="preserve">Mapeada en internal-institutional-control-service/src/esap/notificaciones/entities/notificacion.entity.ts:90 (Notificacion.mensaje) | Validación: IsNotEmpty, IsString</t>
  </si>
  <si>
    <t xml:space="preserve">Texto del mensaje de la notificación.</t>
  </si>
  <si>
    <t xml:space="preserve">C1996</t>
  </si>
  <si>
    <t xml:space="preserve">archivada, enviada, leida, pendiente</t>
  </si>
  <si>
    <t xml:space="preserve">idx_notificacion_estado</t>
  </si>
  <si>
    <t xml:space="preserve">Mapeada en internal-institutional-control-service/src/esap/notificaciones/entities/notificacion.entity.ts:93 (Notificacion.estado) | Validación: IsEnum(AccionCorrectivaEstado), IsEnum(EstadoEtapa), IsEnum(EstadoPlanIndividual), IsEnum(EstadoTarea), IsEnum(HallazgoEstado), IsEnum(PlanMejoramientoEstado)</t>
  </si>
  <si>
    <t xml:space="preserve">Estado del registro de notificacion.</t>
  </si>
  <si>
    <t xml:space="preserve">C1997</t>
  </si>
  <si>
    <t xml:space="preserve">canal</t>
  </si>
  <si>
    <t xml:space="preserve">ambos, email, sistema</t>
  </si>
  <si>
    <t xml:space="preserve">Mapeada en internal-institutional-control-service/src/esap/notificaciones/entities/notificacion.entity.ts:100 (Notificacion.canal) | Validación: IsEnum(CanalNotificacion), IsOptional</t>
  </si>
  <si>
    <t xml:space="preserve">Canal por el que se envía la notificación. Valores permitidos: sistema, email, ambos.</t>
  </si>
  <si>
    <t xml:space="preserve">C1998</t>
  </si>
  <si>
    <t xml:space="preserve">leida</t>
  </si>
  <si>
    <t xml:space="preserve">Mapeada en internal-institutional-control-service/src/esap/notificaciones/entities/notificacion.entity.ts:107 (Notificacion.leida)</t>
  </si>
  <si>
    <t xml:space="preserve">Indica si el registro está leida.</t>
  </si>
  <si>
    <t xml:space="preserve">C1999</t>
  </si>
  <si>
    <t xml:space="preserve">fecha_lectura</t>
  </si>
  <si>
    <t xml:space="preserve">Mapeada en internal-institutional-control-service/src/esap/notificaciones/entities/notificacion.entity.ts:110 (Notificacion.fechaLectura)</t>
  </si>
  <si>
    <t xml:space="preserve">Fecha de lectura.</t>
  </si>
  <si>
    <t xml:space="preserve">C2000</t>
  </si>
  <si>
    <t xml:space="preserve">enviada_email</t>
  </si>
  <si>
    <t xml:space="preserve">Mapeada en internal-institutional-control-service/src/esap/notificaciones/entities/notificacion.entity.ts:113 (Notificacion.enviadaEmail)</t>
  </si>
  <si>
    <t xml:space="preserve">Indica si aplica: enviada email.</t>
  </si>
  <si>
    <t xml:space="preserve">C2001</t>
  </si>
  <si>
    <t xml:space="preserve">fecha_envio_email</t>
  </si>
  <si>
    <t xml:space="preserve">Mapeada en internal-institutional-control-service/src/esap/notificaciones/entities/notificacion.entity.ts:116 (Notificacion.fechaEnvioEmail)</t>
  </si>
  <si>
    <t xml:space="preserve">Fecha de envio email.</t>
  </si>
  <si>
    <t xml:space="preserve">C2002</t>
  </si>
  <si>
    <t xml:space="preserve">Mapeada en internal-institutional-control-service/src/esap/notificaciones/entities/notificacion.entity.ts:119 (Notificacion.metadata) | Validación: IsObject, IsOptional</t>
  </si>
  <si>
    <t xml:space="preserve">C2003</t>
  </si>
  <si>
    <t xml:space="preserve">accion_url</t>
  </si>
  <si>
    <t xml:space="preserve">Mapeada en internal-institutional-control-service/src/esap/notificaciones/entities/notificacion.entity.ts:130 (Notificacion.accionUrl) | Validación: IsOptional, IsString</t>
  </si>
  <si>
    <t xml:space="preserve">URL a la que dirige la notificación para realizar la acción asociada.</t>
  </si>
  <si>
    <t xml:space="preserve">C2004</t>
  </si>
  <si>
    <t xml:space="preserve">alta, baja, critica, normal</t>
  </si>
  <si>
    <t xml:space="preserve">Mapeada en internal-institutional-control-service/src/esap/notificaciones/entities/notificacion.entity.ts:133 (Notificacion.prioridad) | Validación: IsEnum(PrioridadAuditoria), IsEnum(PrioridadAuditoriaProgramada), IsEnum(PrioridadNotificacion), IsEnum(PrioridadTarea), IsEnum(['Alta', 'Media', 'Baja']), IsInt</t>
  </si>
  <si>
    <t xml:space="preserve">Prioridad de la notificación. Valores permitidos: baja, normal, alta, critica.</t>
  </si>
  <si>
    <t xml:space="preserve">C2005</t>
  </si>
  <si>
    <t xml:space="preserve">objetivo_auditoria</t>
  </si>
  <si>
    <t xml:space="preserve">Mapeada en internal-institutional-control-service/src/esap/auditorias/entities/objetivo-auditoria.entity.ts:26 (ObjetivoAuditoria.descripcion) | Validación: IsNotEmpty, IsOptional, IsString</t>
  </si>
  <si>
    <t xml:space="preserve">Descripción del registro de objetivo_auditoria.</t>
  </si>
  <si>
    <t xml:space="preserve">C2006</t>
  </si>
  <si>
    <t xml:space="preserve">Mapeada en internal-institutional-control-service/src/esap/auditorias/entities/objetivo-auditoria.entity.ts:29 (ObjetivoAuditoria.orden) | Validación: IsInt, IsOptional, Min(1)</t>
  </si>
  <si>
    <t xml:space="preserve">C2007</t>
  </si>
  <si>
    <t xml:space="preserve">idx_objetivo_auditoria_activo</t>
  </si>
  <si>
    <t xml:space="preserve">Mapeada en internal-institutional-control-service/src/esap/auditorias/entities/objetivo-auditoria.entity.ts:32 (ObjetivoAuditoria.activo) | Validación: IsBoolean, IsOptional</t>
  </si>
  <si>
    <t xml:space="preserve">C2008</t>
  </si>
  <si>
    <t xml:space="preserve">parametro_sistema</t>
  </si>
  <si>
    <t xml:space="preserve">idx_parametro_clave, parametro_sistema_clave_key</t>
  </si>
  <si>
    <t xml:space="preserve">Clave única que identifica el parámetro de configuración.</t>
  </si>
  <si>
    <t xml:space="preserve">C2009</t>
  </si>
  <si>
    <t xml:space="preserve">Valor del parámetro de configuración, almacenado como texto.</t>
  </si>
  <si>
    <t xml:space="preserve">C2010</t>
  </si>
  <si>
    <t xml:space="preserve">Descripción del registro de parametro_sistema.</t>
  </si>
  <si>
    <t xml:space="preserve">C2011</t>
  </si>
  <si>
    <t xml:space="preserve">Tipo del registro de parametro_sistema.</t>
  </si>
  <si>
    <t xml:space="preserve">C2012</t>
  </si>
  <si>
    <t xml:space="preserve">idx_parametro_categoria</t>
  </si>
  <si>
    <t xml:space="preserve">Categoría que agrupa los parámetros de configuración.</t>
  </si>
  <si>
    <t xml:space="preserve">¿Qué categorías existen?</t>
  </si>
  <si>
    <t xml:space="preserve">C2013</t>
  </si>
  <si>
    <t xml:space="preserve">editable</t>
  </si>
  <si>
    <t xml:space="preserve">Indica si aplica: editable.</t>
  </si>
  <si>
    <t xml:space="preserve">C2014</t>
  </si>
  <si>
    <t xml:space="preserve">paso_workflow_informe</t>
  </si>
  <si>
    <t xml:space="preserve">numero_paso</t>
  </si>
  <si>
    <t xml:space="preserve">idx_paso_numero</t>
  </si>
  <si>
    <t xml:space="preserve">Mapeada en internal-institutional-control-service/src/esap/informes-ley/entities/paso-workflow-informe.entity.ts:26 (PasoWorkflowInforme.numeroPaso)</t>
  </si>
  <si>
    <t xml:space="preserve">Número del paso dentro del workflow de aprobación del informe.</t>
  </si>
  <si>
    <t xml:space="preserve">C2015</t>
  </si>
  <si>
    <t xml:space="preserve">internal-institutional-control-service/src/esap/informes-ley/entities/paso-workflow-informe.entity.ts:29: 'elaboracion', 'revision', 'aprobacion', 'publicacion' | Validación: IsNotEmpty, IsNotEmpty({ message: 'El nombre del documento es obligatorio' }), IsOptional, IsString, Length(1, 500), MaxLength(120)</t>
  </si>
  <si>
    <t xml:space="preserve">Nombre interno del paso del workflow de aprobación del informe, por ejemplo elaboracion, revision, aprobacion o publicacion.</t>
  </si>
  <si>
    <t xml:space="preserve">código: internal-institutional-control-service/src/esap/informes-ley/entities/paso-workflow-informe.entity.ts:29</t>
  </si>
  <si>
    <t xml:space="preserve">C2016</t>
  </si>
  <si>
    <t xml:space="preserve">nombre_display</t>
  </si>
  <si>
    <t xml:space="preserve">internal-institutional-control-service/src/esap/informes-ley/entities/paso-workflow-informe.entity.ts:32: 'Elaboración', 'Revisión Técnica', etc.</t>
  </si>
  <si>
    <t xml:space="preserve">Nombre del paso para mostrar en pantalla, por ejemplo Elaboración o Revisión Técnica.</t>
  </si>
  <si>
    <t xml:space="preserve">código: internal-institutional-control-service/src/esap/informes-ley/entities/paso-workflow-informe.entity.ts:32</t>
  </si>
  <si>
    <t xml:space="preserve">C2017</t>
  </si>
  <si>
    <t xml:space="preserve">Mapeada en internal-institutional-control-service/src/esap/informes-ley/entities/paso-workflow-informe.entity.ts:35 (PasoWorkflowInforme.descripcion) | Validación: IsNotEmpty, IsOptional, IsString</t>
  </si>
  <si>
    <t xml:space="preserve">Descripción del registro de paso_workflow_informe.</t>
  </si>
  <si>
    <t xml:space="preserve">C2018</t>
  </si>
  <si>
    <t xml:space="preserve">Mapeada en internal-institutional-control-service/src/esap/informes-ley/entities/paso-workflow-informe.entity.ts:38 (PasoWorkflowInforme.responsable) | Validación: IsNotEmpty, IsOptional, IsString, Length(1, 255)</t>
  </si>
  <si>
    <t xml:space="preserve">Persona responsable de ejecutar el paso del workflow.</t>
  </si>
  <si>
    <t xml:space="preserve">¿Guarda el nombre, el correo o el identificador del responsable?</t>
  </si>
  <si>
    <t xml:space="preserve">C2019</t>
  </si>
  <si>
    <t xml:space="preserve">rol_responsable</t>
  </si>
  <si>
    <t xml:space="preserve">Mapeada en internal-institutional-control-service/src/esap/informes-ley/entities/paso-workflow-informe.entity.ts:41 (PasoWorkflowInforme.rolResponsable)</t>
  </si>
  <si>
    <t xml:space="preserve">Rol que debe ejecutar el paso del workflow.</t>
  </si>
  <si>
    <t xml:space="preserve">¿Qué roles se usan y de qué catálogo provienen?</t>
  </si>
  <si>
    <t xml:space="preserve">C2020</t>
  </si>
  <si>
    <t xml:space="preserve">completado, en-proceso, pendiente, rechazado</t>
  </si>
  <si>
    <t xml:space="preserve">Mapeada en internal-institutional-control-service/src/esap/informes-ley/entities/paso-workflow-informe.entity.ts:44 (PasoWorkflowInforme.estado) | Validación: IsEnum(AccionCorrectivaEstado), IsEnum(EstadoEtapa), IsEnum(EstadoPlanIndividual), IsEnum(EstadoTarea), IsEnum(HallazgoEstado), IsEnum(PlanMejoramientoEstado)</t>
  </si>
  <si>
    <t xml:space="preserve">Estado del registro de paso_workflow_informe.</t>
  </si>
  <si>
    <t xml:space="preserve">C2021</t>
  </si>
  <si>
    <t xml:space="preserve">Mapeada en internal-institutional-control-service/src/esap/informes-ley/entities/paso-workflow-informe.entity.ts:51 (PasoWorkflowInforme.fechaInicio) | Validación: IsDateString, IsNotEmpty, IsOptional</t>
  </si>
  <si>
    <t xml:space="preserve">C2022</t>
  </si>
  <si>
    <t xml:space="preserve">Mapeada en internal-institutional-control-service/src/esap/informes-ley/entities/paso-workflow-informe.entity.ts:54 (PasoWorkflowInforme.fechaFin) | Validación: IsDateString, IsNotEmpty, IsOptional</t>
  </si>
  <si>
    <t xml:space="preserve">C2023</t>
  </si>
  <si>
    <t xml:space="preserve">Mapeada en internal-institutional-control-service/src/esap/informes-ley/entities/paso-workflow-informe.entity.ts:57 (PasoWorkflowInforme.observaciones) | Validación: IsOptional, IsString</t>
  </si>
  <si>
    <t xml:space="preserve">C2024</t>
  </si>
  <si>
    <t xml:space="preserve">aprobar, elaborar, publicar, revisar</t>
  </si>
  <si>
    <t xml:space="preserve">Mapeada en internal-institutional-control-service/src/esap/informes-ley/entities/paso-workflow-informe.entity.ts:60 (PasoWorkflowInforme.accion)</t>
  </si>
  <si>
    <t xml:space="preserve">Acción que corresponde al paso del workflow. Valores permitidos: elaborar, revisar, aprobar, publicar.</t>
  </si>
  <si>
    <t xml:space="preserve">C2025</t>
  </si>
  <si>
    <t xml:space="preserve">es_obligatorio</t>
  </si>
  <si>
    <t xml:space="preserve">Mapeada en internal-institutional-control-service/src/esap/informes-ley/entities/paso-workflow-informe.entity.ts:67 (PasoWorkflowInforme.esObligatorio)</t>
  </si>
  <si>
    <t xml:space="preserve">C2026</t>
  </si>
  <si>
    <t xml:space="preserve">Mapeada en internal-institutional-control-service/src/esap/informes-ley/entities/paso-workflow-informe.entity.ts:70 (PasoWorkflowInforme.orden) | Validación: IsInt, IsOptional, Min(1)</t>
  </si>
  <si>
    <t xml:space="preserve">C2027</t>
  </si>
  <si>
    <t xml:space="preserve">plan_anual</t>
  </si>
  <si>
    <t xml:space="preserve">año</t>
  </si>
  <si>
    <t xml:space="preserve">idx_plan_anual_año</t>
  </si>
  <si>
    <t xml:space="preserve">Mapeada en internal-institutional-control-service/src/esap/programa-anual/entities/programa-anual.entity.ts:19 (ProgramaAnual.año) | Validación: IsInt, IsOptional, Max(2100), Min(2020)</t>
  </si>
  <si>
    <t xml:space="preserve">Año (vigencia) del plan anual de auditoría, entre 2020 y 2100.</t>
  </si>
  <si>
    <t xml:space="preserve">nombre + validaciones Min(2020), Max(2100)</t>
  </si>
  <si>
    <t xml:space="preserve">C2028</t>
  </si>
  <si>
    <t xml:space="preserve">Mapeada en internal-institutional-control-service/src/esap/programa-anual/entities/programa-anual.entity.ts:22 (ProgramaAnual.nombre) | Validación: IsNotEmpty, IsNotEmpty({ message: 'El nombre del documento es obligatorio' }), IsOptional, IsString, Length(1, 500), MaxLength(120)</t>
  </si>
  <si>
    <t xml:space="preserve">Nombre del registro de plan_anual.</t>
  </si>
  <si>
    <t xml:space="preserve">C2029</t>
  </si>
  <si>
    <t xml:space="preserve">aprobado, borrador, cerrado, en-ejecucion</t>
  </si>
  <si>
    <t xml:space="preserve">idx_plan_anual_estado</t>
  </si>
  <si>
    <t xml:space="preserve">Mapeada en internal-institutional-control-service/src/esap/programa-anual/entities/programa-anual.entity.ts:25 (ProgramaAnual.estado) | Validación: IsEnum(AccionCorrectivaEstado), IsEnum(EstadoEtapa), IsEnum(EstadoPlanIndividual), IsEnum(EstadoTarea), IsEnum(HallazgoEstado), IsEnum(PlanMejoramientoEstado)</t>
  </si>
  <si>
    <t xml:space="preserve">Estado del registro de plan_anual.</t>
  </si>
  <si>
    <t xml:space="preserve">C2030</t>
  </si>
  <si>
    <t xml:space="preserve">Mapeada en internal-institutional-control-service/src/esap/programa-anual/entities/programa-anual.entity.ts:35 (ProgramaAnual.fechaAprobacion) | Validación: IsDateString, IsOptional</t>
  </si>
  <si>
    <t xml:space="preserve">C2031</t>
  </si>
  <si>
    <t xml:space="preserve">Mapeada en internal-institutional-control-service/src/esap/programa-anual/entities/programa-anual.entity.ts:41 (ProgramaAnual.version) | Validación: IsOptional, IsString</t>
  </si>
  <si>
    <t xml:space="preserve">C2032</t>
  </si>
  <si>
    <t xml:space="preserve">total_actividades</t>
  </si>
  <si>
    <t xml:space="preserve">Mapeada en internal-institutional-control-service/src/esap/programa-anual/entities/programa-anual.entity.ts:44 (ProgramaAnual.totalActividades)</t>
  </si>
  <si>
    <t xml:space="preserve">Cantidad total de actividades del plan anual.</t>
  </si>
  <si>
    <t xml:space="preserve">C2033</t>
  </si>
  <si>
    <t xml:space="preserve">actividades_completadas</t>
  </si>
  <si>
    <t xml:space="preserve">Mapeada en internal-institutional-control-service/src/esap/programa-anual/entities/programa-anual.entity.ts:47 (ProgramaAnual.actividadesCompletadas)</t>
  </si>
  <si>
    <t xml:space="preserve">Cantidad de actividades del plan anual completadas.</t>
  </si>
  <si>
    <t xml:space="preserve">C2034</t>
  </si>
  <si>
    <t xml:space="preserve">porcentaje_cumplimiento</t>
  </si>
  <si>
    <t xml:space="preserve">Mapeada en internal-institutional-control-service/src/esap/programa-anual/entities/programa-anual.entity.ts:50 (ProgramaAnual.porcentajeCumplimiento) | Validación: IsInt, IsOptional, Max(100), Min(0)</t>
  </si>
  <si>
    <t xml:space="preserve">Porcentaje de cumplimiento del plan anual, entre 0 y 100.</t>
  </si>
  <si>
    <t xml:space="preserve">nombre + validaciones Min(0), Max(100)</t>
  </si>
  <si>
    <t xml:space="preserve">C2035</t>
  </si>
  <si>
    <t xml:space="preserve">enfoques</t>
  </si>
  <si>
    <t xml:space="preserve">Mapeada en internal-institutional-control-service/src/esap/programa-anual/entities/programa-anual.entity.ts:53 (ProgramaAnual.enfoques)</t>
  </si>
  <si>
    <t xml:space="preserve">Enfoques de auditoría definidos para el plan anual, en formato JSON.</t>
  </si>
  <si>
    <t xml:space="preserve">¿Qué representan los enfoques y qué estructura tiene el JSON?</t>
  </si>
  <si>
    <t xml:space="preserve">C2036</t>
  </si>
  <si>
    <t xml:space="preserve">plan_anual_5_roles</t>
  </si>
  <si>
    <t xml:space="preserve">ano</t>
  </si>
  <si>
    <t xml:space="preserve">Función control_interno.fn_actualizar_cumplimiento_auditorias_vigencia; Función control_interno.fn_configurar_todos_planes_auditorias; Vista control_interno.v_estado_vinculacion_auditorias — control_interno.fn_actualizar_cumplimiento_auditorias_vigencia: AND p.ano = p_año | control_interno.fn_configurar_todos_planes_auditorias: SELECT id, ano</t>
  </si>
  <si>
    <t xml:space="preserve">idx_plan_anual_5_roles_ano, unique_plan_anual_ano</t>
  </si>
  <si>
    <t xml:space="preserve">Mapeada en internal-institutional-control-service/src/esap/plan-anual-5-roles/entities/plan-anual-5-roles.entity.ts:19 (PlanAnual5Roles.año) | Validación: IsInt, IsOptional, Max(2100), Min(2020)</t>
  </si>
  <si>
    <t xml:space="preserve">Año (vigencia) del plan anual de auditoría; es único por plan, entre 2020 y 2100.</t>
  </si>
  <si>
    <t xml:space="preserve">restricción única + validaciones + uso en fn_actualizar_cumplimiento_auditorias_vigencia</t>
  </si>
  <si>
    <t xml:space="preserve">C2037</t>
  </si>
  <si>
    <t xml:space="preserve">Mapeada en internal-institutional-control-service/src/esap/plan-anual-5-roles/entities/plan-anual-5-roles.entity.ts:32 (PlanAnual5Roles.responsable) | Validación: IsNotEmpty, IsOptional, IsString, Length(1, 255)</t>
  </si>
  <si>
    <t xml:space="preserve">Persona responsable del plan anual.</t>
  </si>
  <si>
    <t xml:space="preserve">¿Guarda el nombre del responsable? ¿Coincide con responsable_id?</t>
  </si>
  <si>
    <t xml:space="preserve">C2038</t>
  </si>
  <si>
    <t xml:space="preserve">porcentaje_cumplimiento_general</t>
  </si>
  <si>
    <t xml:space="preserve">Mapeada en internal-institutional-control-service/src/esap/plan-anual-5-roles/entities/plan-anual-5-roles.entity.ts:47 (PlanAnual5Roles.porcentaje_cumplimiento_general)</t>
  </si>
  <si>
    <t xml:space="preserve">Porcentaje de cumplimiento general del plan anual.</t>
  </si>
  <si>
    <t xml:space="preserve">¿Se calcula a partir del cumplimiento de los roles (rol_plan_anual_5) o se registra manualmente?</t>
  </si>
  <si>
    <t xml:space="preserve">C2039</t>
  </si>
  <si>
    <t xml:space="preserve">Mapeada en internal-institutional-control-service/src/esap/plan-anual-5-roles/entities/plan-anual-5-roles.entity.ts:50 (PlanAnual5Roles.total_actividades)</t>
  </si>
  <si>
    <t xml:space="preserve">C2040</t>
  </si>
  <si>
    <t xml:space="preserve">Mapeada en internal-institutional-control-service/src/esap/plan-anual-5-roles/entities/plan-anual-5-roles.entity.ts:53 (PlanAnual5Roles.actividades_completadas)</t>
  </si>
  <si>
    <t xml:space="preserve">C2041</t>
  </si>
  <si>
    <t xml:space="preserve">actividades_en_progreso</t>
  </si>
  <si>
    <t xml:space="preserve">Mapeada en internal-institutional-control-service/src/esap/plan-anual-5-roles/entities/plan-anual-5-roles.entity.ts:56 (PlanAnual5Roles.actividades_en_progreso)</t>
  </si>
  <si>
    <t xml:space="preserve">Cantidad de actividades del plan anual en progreso.</t>
  </si>
  <si>
    <t xml:space="preserve">C2042</t>
  </si>
  <si>
    <t xml:space="preserve">equipo_aprobacion</t>
  </si>
  <si>
    <t xml:space="preserve">Mapeada en internal-institutional-control-service/src/esap/plan-anual-5-roles/entities/plan-anual-5-roles.entity.ts:62 (PlanAnual5Roles.equipo_aprobacion) | Validación: IsArray, IsOptional</t>
  </si>
  <si>
    <t xml:space="preserve">Integrantes del equipo que aprueba el plan anual, como arreglo JSON.</t>
  </si>
  <si>
    <t xml:space="preserve">nombre + defecto + validación IsArray</t>
  </si>
  <si>
    <t xml:space="preserve">¿Qué datos se guardan de cada integrante (id, nombre, rol, estado de firma)?</t>
  </si>
  <si>
    <t xml:space="preserve">C2043</t>
  </si>
  <si>
    <t xml:space="preserve">orden_aprobacion</t>
  </si>
  <si>
    <t xml:space="preserve">Mapeada en internal-institutional-control-service/src/esap/plan-anual-5-roles/entities/plan-anual-5-roles.entity.ts:65 (PlanAnual5Roles.orden_aprobacion) | Validación: IsOptional, IsString</t>
  </si>
  <si>
    <t xml:space="preserve">Orden en que el equipo aprueba el plan anual. Valor por defecto: secuencial.</t>
  </si>
  <si>
    <t xml:space="preserve">¿Qué otros valores admite además de secuencial (por ejemplo, paralelo)?</t>
  </si>
  <si>
    <t xml:space="preserve">C2044</t>
  </si>
  <si>
    <t xml:space="preserve">firma_activacion</t>
  </si>
  <si>
    <t xml:space="preserve">Mapeada en internal-institutional-control-service/src/esap/plan-anual-5-roles/entities/plan-anual-5-roles.entity.ts:68 (PlanAnual5Roles.firma_activacion)</t>
  </si>
  <si>
    <t xml:space="preserve">Datos de la firma con la que se activa el plan anual, en formato JSON.</t>
  </si>
  <si>
    <t xml:space="preserve">¿Qué contiene el JSON (firmante, fecha, imagen de firma)?</t>
  </si>
  <si>
    <t xml:space="preserve">C2045</t>
  </si>
  <si>
    <t xml:space="preserve">plan_anual_wizard_borrador</t>
  </si>
  <si>
    <t xml:space="preserve">idx_plan_anual_wizard_borrador_usuario_id, plan_anual_wizard_borrador_usuario_id_key</t>
  </si>
  <si>
    <t xml:space="preserve">Mapeada en internal-institutional-control-service/src/esap/plan-anual-5-roles/entities/plan-anual-wizard-borrador.entity.ts:15 (PlanAnualWizardBorrador.usuarioId) | Validación: IsNotEmpty, IsOptional, IsString, IsUUID</t>
  </si>
  <si>
    <t xml:space="preserve">Identificador del usuario dueño del borrador; cada usuario tiene un solo borrador.</t>
  </si>
  <si>
    <t xml:space="preserve">C2046</t>
  </si>
  <si>
    <t xml:space="preserve">payload</t>
  </si>
  <si>
    <t xml:space="preserve">Mapeada en internal-institutional-control-service/src/esap/plan-anual-5-roles/entities/plan-anual-wizard-borrador.entity.ts:19 (PlanAnualWizardBorrador.payload)</t>
  </si>
  <si>
    <t xml:space="preserve">Datos parciales del asistente de creación del plan anual guardados como borrador, en formato JSON.</t>
  </si>
  <si>
    <t xml:space="preserve">nombre + tabla</t>
  </si>
  <si>
    <t xml:space="preserve">¿Qué estructura tiene el payload del asistente?</t>
  </si>
  <si>
    <t xml:space="preserve">C2047</t>
  </si>
  <si>
    <t xml:space="preserve">plan_individual</t>
  </si>
  <si>
    <t xml:space="preserve">plan_individual_codigo_key</t>
  </si>
  <si>
    <t xml:space="preserve">Mapeada en internal-institutional-control-service/src/esap/plan-individual/entities/plan-individual.entity.ts:27 (PlanIndividual.codigo) | Validación: IsNotEmpty, IsOptional, IsString, Length(1, 50), MaxLength(80)</t>
  </si>
  <si>
    <t xml:space="preserve">Código del registro de plan_individual. Único en la tabla.</t>
  </si>
  <si>
    <t xml:space="preserve">C2048</t>
  </si>
  <si>
    <t xml:space="preserve">auditoria_codigo</t>
  </si>
  <si>
    <t xml:space="preserve">Mapeada en internal-institutional-control-service/src/esap/plan-individual/entities/plan-individual.entity.ts:37 (PlanIndividual.auditoriaCodigo)</t>
  </si>
  <si>
    <t xml:space="preserve">Código de la auditoría a la que corresponde el plan individual.</t>
  </si>
  <si>
    <t xml:space="preserve">¿Es una copia del código de la auditoría referenciada por auditoria_id?</t>
  </si>
  <si>
    <t xml:space="preserve">C2049</t>
  </si>
  <si>
    <t xml:space="preserve">Mapeada en internal-institutional-control-service/src/esap/plan-individual/entities/plan-individual.entity.ts:40 (PlanIndividual.nombre) | Validación: IsNotEmpty, IsNotEmpty({ message: 'El nombre del documento es obligatorio' }), IsOptional, IsString, Length(1, 500), MaxLength(120)</t>
  </si>
  <si>
    <t xml:space="preserve">Nombre del registro de plan_individual.</t>
  </si>
  <si>
    <t xml:space="preserve">C2050</t>
  </si>
  <si>
    <t xml:space="preserve">Mapeada en internal-institutional-control-service/src/esap/plan-individual/entities/plan-individual.entity.ts:43 (PlanIndividual.alcance) | Validación: IsNotEmpty, IsOptional, IsString</t>
  </si>
  <si>
    <t xml:space="preserve">Alcance de la auditoría descrito en el plan individual.</t>
  </si>
  <si>
    <t xml:space="preserve">C2051</t>
  </si>
  <si>
    <t xml:space="preserve">Mapeada en internal-institutional-control-service/src/esap/plan-individual/entities/plan-individual.entity.ts:46 (PlanIndividual.objetivo) | Validación: IsNotEmpty, IsOptional, IsString</t>
  </si>
  <si>
    <t xml:space="preserve">Objetivo de la auditoría descrito en el plan individual.</t>
  </si>
  <si>
    <t xml:space="preserve">C2052</t>
  </si>
  <si>
    <t xml:space="preserve">Mapeada en internal-institutional-control-service/src/esap/plan-individual/entities/plan-individual.entity.ts:49 (PlanIndividual.procesoAuditar) | Validación: IsNotEmpty, IsOptional, IsString</t>
  </si>
  <si>
    <t xml:space="preserve">Proceso de la entidad que se audita.</t>
  </si>
  <si>
    <t xml:space="preserve">¿Se toma del catálogo control_interno.proceso_auditable?</t>
  </si>
  <si>
    <t xml:space="preserve">C2053</t>
  </si>
  <si>
    <t xml:space="preserve">Mapeada en internal-institutional-control-service/src/esap/plan-individual/entities/plan-individual.entity.ts:52 (PlanIndividual.riesgos) | Validación: IsArray, IsOptional</t>
  </si>
  <si>
    <t xml:space="preserve">Riesgos identificados para la auditoría, como arreglo JSON.</t>
  </si>
  <si>
    <t xml:space="preserve">¿Qué datos se guardan de cada riesgo?</t>
  </si>
  <si>
    <t xml:space="preserve">C2054</t>
  </si>
  <si>
    <t xml:space="preserve">criterios_auditoria</t>
  </si>
  <si>
    <t xml:space="preserve">Mapeada en internal-institutional-control-service/src/esap/plan-individual/entities/plan-individual.entity.ts:61 (PlanIndividual.criteriosAuditoria) | Validación: IsArray, IsOptional, IsString({ each: true })</t>
  </si>
  <si>
    <t xml:space="preserve">Criterios de auditoría aplicables, como arreglo JSON de textos.</t>
  </si>
  <si>
    <t xml:space="preserve">C2055</t>
  </si>
  <si>
    <t xml:space="preserve">Mapeada en internal-institutional-control-service/src/esap/plan-individual/entities/plan-individual.entity.ts:69 (PlanIndividual.normativaAplicable) | Validación: IsArray, IsOptional</t>
  </si>
  <si>
    <t xml:space="preserve">Normas aplicables a la auditoría, como arreglo JSON.</t>
  </si>
  <si>
    <t xml:space="preserve">¿Cada elemento es un texto o un objeto con norma y artículo?</t>
  </si>
  <si>
    <t xml:space="preserve">C2056</t>
  </si>
  <si>
    <t xml:space="preserve">Mapeada en internal-institutional-control-service/src/esap/plan-individual/entities/plan-individual.entity.ts:77 (PlanIndividual.equipoAuditor) | Validación: IsObject, IsOptional</t>
  </si>
  <si>
    <t xml:space="preserve">Equipo auditor asignado a la auditoría, como objeto JSON.</t>
  </si>
  <si>
    <t xml:space="preserve">¿Qué estructura tiene el objeto (líder, auditores, expertos)?</t>
  </si>
  <si>
    <t xml:space="preserve">C2057</t>
  </si>
  <si>
    <t xml:space="preserve">Mapeada en internal-institutional-control-service/src/esap/plan-individual/entities/plan-individual.entity.ts:98 (PlanIndividual.documentos) | Validación: IsArray, IsOptional</t>
  </si>
  <si>
    <t xml:space="preserve">Documentos asociados al plan individual, como arreglo JSON.</t>
  </si>
  <si>
    <t xml:space="preserve">¿Cada documento guarda nombre, ruta o identificador de la biblioteca?</t>
  </si>
  <si>
    <t xml:space="preserve">C2058</t>
  </si>
  <si>
    <t xml:space="preserve">aceptado, borrador, enviado</t>
  </si>
  <si>
    <t xml:space="preserve">idx_plan_individual_estado</t>
  </si>
  <si>
    <t xml:space="preserve">Mapeada en internal-institutional-control-service/src/esap/plan-individual/entities/plan-individual.entity.ts:107 (PlanIndividual.estado) | Validación: IsEnum(AccionCorrectivaEstado), IsEnum(EstadoEtapa), IsEnum(EstadoPlanIndividual), IsEnum(EstadoTarea), IsEnum(HallazgoEstado), IsEnum(PlanMejoramientoEstado)</t>
  </si>
  <si>
    <t xml:space="preserve">Estado del registro de plan_individual.</t>
  </si>
  <si>
    <t xml:space="preserve">C2059</t>
  </si>
  <si>
    <t xml:space="preserve">Mapeada en internal-institutional-control-service/src/esap/plan-individual/entities/plan-individual.entity.ts:118 (PlanIndividual.fechaEnvio)</t>
  </si>
  <si>
    <t xml:space="preserve">C2060</t>
  </si>
  <si>
    <t xml:space="preserve">Mapeada en internal-institutional-control-service/src/esap/plan-individual/entities/plan-individual.entity.ts:121 (PlanIndividual.enviadoPor) | Validación: IsOptional, IsString, Length(0, 255)</t>
  </si>
  <si>
    <t xml:space="preserve">C2061</t>
  </si>
  <si>
    <t xml:space="preserve">plan_mejoramiento</t>
  </si>
  <si>
    <t xml:space="preserve">plan_mejoramiento_codigo_key</t>
  </si>
  <si>
    <t xml:space="preserve">Mapeada en internal-institutional-control-service/src/esap/planes-mejoramiento/entities/plan-mejoramiento.entity.ts:31 (PlanMejoramiento.codigo) | Validación: IsNotEmpty, IsOptional, IsString, Length(1, 50), MaxLength(80)</t>
  </si>
  <si>
    <t xml:space="preserve">Código del registro de plan_mejoramiento. Único en la tabla.</t>
  </si>
  <si>
    <t xml:space="preserve">C2062</t>
  </si>
  <si>
    <t xml:space="preserve">hallazgo_codigo</t>
  </si>
  <si>
    <t xml:space="preserve">Código del hallazgo que origina el plan de mejoramiento.</t>
  </si>
  <si>
    <t xml:space="preserve">¿Es una copia del código del hallazgo referenciado por hallazgo_id?</t>
  </si>
  <si>
    <t xml:space="preserve">C2063</t>
  </si>
  <si>
    <t xml:space="preserve">Mapeada en internal-institutional-control-service/src/esap/planes-mejoramiento/entities/plan-mejoramiento.entity.ts:34 (PlanMejoramiento.titulo) | Validación: IsNotEmpty, IsOptional, IsString, MaxLength(255), MaxLength(500)</t>
  </si>
  <si>
    <t xml:space="preserve">C2064</t>
  </si>
  <si>
    <t xml:space="preserve">Mapeada en internal-institutional-control-service/src/esap/planes-mejoramiento/entities/plan-mejoramiento.entity.ts:37 (PlanMejoramiento.descripcion) | Validación: IsNotEmpty, IsOptional, IsString</t>
  </si>
  <si>
    <t xml:space="preserve">Descripción del registro de plan_mejoramiento.</t>
  </si>
  <si>
    <t xml:space="preserve">C2065</t>
  </si>
  <si>
    <t xml:space="preserve">objetivos</t>
  </si>
  <si>
    <t xml:space="preserve">Mapeada en internal-institutional-control-service/src/esap/planes-mejoramiento/entities/plan-mejoramiento.entity.ts:40 (PlanMejoramiento.objetivos) | Validación: IsArray, IsOptional, IsString({ each: true })</t>
  </si>
  <si>
    <t xml:space="preserve">Objetivos del plan de mejoramiento, como arreglo JSON de textos.</t>
  </si>
  <si>
    <t xml:space="preserve">C2066</t>
  </si>
  <si>
    <t xml:space="preserve">Función control_interno.trigger_evento_creacion_plan — control_interno.trigger_evento_creacion_plan: 'area_responsable', NEW.area_responsable</t>
  </si>
  <si>
    <t xml:space="preserve">Mapeada en internal-institutional-control-service/src/esap/planes-mejoramiento/entities/plan-mejoramiento.entity.ts:57 (PlanMejoramiento.areaResponsable) | Validación: IsNotEmpty, IsOptional, IsString, Length(1, 255), MaxLength(255)</t>
  </si>
  <si>
    <t xml:space="preserve">Área responsable de implementar el plan de mejoramiento.</t>
  </si>
  <si>
    <t xml:space="preserve">nombre + uso en trigger_evento_creacion_plan</t>
  </si>
  <si>
    <t xml:space="preserve">C2067</t>
  </si>
  <si>
    <t xml:space="preserve">responsable_implementacion</t>
  </si>
  <si>
    <t xml:space="preserve">Función control_interno.trigger_evento_actualizacion_plan; Función control_interno.trigger_evento_creacion_plan — control_interno.trigger_evento_actualizacion_plan: COALESCE(NEW.aprobado_por, NEW.responsable_implementacion),  -- usar aprobado_por si es aprobación, sino responsable_imp | control_interno.trigger_evento_creacion_plan: NEW.responsable_implementacion,  -- usar responsable_implementacion</t>
  </si>
  <si>
    <t xml:space="preserve">Mapeada en internal-institutional-control-service/src/esap/planes-mejoramiento/entities/plan-mejoramiento.entity.ts:60 (PlanMejoramiento.responsableImplementacion) | Validación: IsNotEmpty, IsOptional, IsString, MaxLength(255)</t>
  </si>
  <si>
    <t xml:space="preserve">Persona responsable de implementar el plan de mejoramiento; se registra como actor del evento de creación.</t>
  </si>
  <si>
    <t xml:space="preserve">uso en trigger_evento_creacion_plan y trigger_evento_actualizacion_plan</t>
  </si>
  <si>
    <t xml:space="preserve">C2068</t>
  </si>
  <si>
    <t xml:space="preserve">aprobado, borrador, completado, en_ejecucion, rechazado, revision, vencido</t>
  </si>
  <si>
    <t xml:space="preserve">Función control_interno.trigger_evento_actualizacion_plan; Función control_interno.trigger_evento_creacion_plan — control_interno.trigger_evento_actualizacion_plan: -- Solo registrar si cambió el estado | control_interno.trigger_evento_creacion_plan: 'estado_inicial', NEW.estado,</t>
  </si>
  <si>
    <t xml:space="preserve">idx_plan_mejoramiento_estado</t>
  </si>
  <si>
    <t xml:space="preserve">Mapeada en internal-institutional-control-service/src/esap/planes-mejoramiento/entities/plan-mejoramiento.entity.ts:66 (PlanMejoramiento.estado) | Validación: IsEnum(AccionCorrectivaEstado), IsEnum(EstadoEtapa), IsEnum(EstadoPlanIndividual), IsEnum(EstadoTarea), IsEnum(HallazgoEstado), IsEnum(PlanMejoramientoEstado)</t>
  </si>
  <si>
    <t xml:space="preserve">Estado del registro de plan_mejoramiento.</t>
  </si>
  <si>
    <t xml:space="preserve">C2069</t>
  </si>
  <si>
    <t xml:space="preserve">Mapeada en internal-institutional-control-service/src/esap/planes-mejoramiento/entities/plan-mejoramiento.entity.ts:73 (PlanMejoramiento.fechaAprobacion) | Validación: IsDateString, IsOptional</t>
  </si>
  <si>
    <t xml:space="preserve">C2070</t>
  </si>
  <si>
    <t xml:space="preserve">fecha_inicio_ejecucion</t>
  </si>
  <si>
    <t xml:space="preserve">Fecha de inicio ejecución.</t>
  </si>
  <si>
    <t xml:space="preserve">C2071</t>
  </si>
  <si>
    <t xml:space="preserve">Función control_interno.trigger_evento_creacion_plan — control_interno.trigger_evento_creacion_plan: 'fecha_limite', NEW.fecha_limite,</t>
  </si>
  <si>
    <t xml:space="preserve">Mapeada en internal-institutional-control-service/src/esap/planes-mejoramiento/entities/plan-mejoramiento.entity.ts:63 (PlanMejoramiento.fechaLimite) | Validación: IsDateString, IsOptional</t>
  </si>
  <si>
    <t xml:space="preserve">C2072</t>
  </si>
  <si>
    <t xml:space="preserve">Fecha de cierre.</t>
  </si>
  <si>
    <t xml:space="preserve">C2073</t>
  </si>
  <si>
    <t xml:space="preserve">Recursos requeridos para ejecutar el plan de mejoramiento, en formato JSON.</t>
  </si>
  <si>
    <t xml:space="preserve">¿Qué estructura tiene el JSON de recursos?</t>
  </si>
  <si>
    <t xml:space="preserve">C2074</t>
  </si>
  <si>
    <t xml:space="preserve">indicadores</t>
  </si>
  <si>
    <t xml:space="preserve">Indicadores para medir el avance o la efectividad del plan de mejoramiento, en formato JSON.</t>
  </si>
  <si>
    <t xml:space="preserve">¿Qué datos se guardan de cada indicador (nombre, fórmula, meta)?</t>
  </si>
  <si>
    <t xml:space="preserve">C2075</t>
  </si>
  <si>
    <t xml:space="preserve">avance_global</t>
  </si>
  <si>
    <t xml:space="preserve">Porcentaje de avance global del plan de mejoramiento.</t>
  </si>
  <si>
    <t xml:space="preserve">¿Es un porcentaje de 0 a 100? ¿Se calcula a partir de los seguimientos?</t>
  </si>
  <si>
    <t xml:space="preserve">C2076</t>
  </si>
  <si>
    <t xml:space="preserve">Mapeada en internal-institutional-control-service/src/esap/planes-mejoramiento/entities/plan-mejoramiento.entity.ts:76 (PlanMejoramiento.aprobadoPor) | Validación: IsOptional, IsString, Length(0, 255)</t>
  </si>
  <si>
    <t xml:space="preserve">C2077</t>
  </si>
  <si>
    <t xml:space="preserve">C2078</t>
  </si>
  <si>
    <t xml:space="preserve">observaciones_aprobacion</t>
  </si>
  <si>
    <t xml:space="preserve">Mapeada en internal-institutional-control-service/src/esap/planes-mejoramiento/entities/plan-mejoramiento.entity.ts:79 (PlanMejoramiento.observacionesAprobacion) | Validación: IsOptional, IsString</t>
  </si>
  <si>
    <t xml:space="preserve">Observaciones registradas al aprobar el plan de mejoramiento.</t>
  </si>
  <si>
    <t xml:space="preserve">C2079</t>
  </si>
  <si>
    <t xml:space="preserve">Mapeada en internal-institutional-control-service/src/esap/planes-mejoramiento/entities/plan-mejoramiento.entity.ts:82 (PlanMejoramiento.motivoRechazo) | Validación: IsNotEmpty, IsOptional, IsString</t>
  </si>
  <si>
    <t xml:space="preserve">C2080</t>
  </si>
  <si>
    <t xml:space="preserve">seguimientos</t>
  </si>
  <si>
    <t xml:space="preserve">Seguimientos realizados al plan de mejoramiento, en formato JSON.</t>
  </si>
  <si>
    <t xml:space="preserve">¿Duplica la información de seguimiento_plan_mejoramiento o es la fuente principal?</t>
  </si>
  <si>
    <t xml:space="preserve">C2081</t>
  </si>
  <si>
    <t xml:space="preserve">codigo_auditoria</t>
  </si>
  <si>
    <t xml:space="preserve">Código de la auditoría de la que proviene el plan de mejoramiento.</t>
  </si>
  <si>
    <t xml:space="preserve">C2082</t>
  </si>
  <si>
    <t xml:space="preserve">porcentaje_efectividad</t>
  </si>
  <si>
    <t xml:space="preserve">Porcentaje de efectividad del plan de mejoramiento.</t>
  </si>
  <si>
    <t xml:space="preserve">¿Cómo se calcula la efectividad y en qué escala?</t>
  </si>
  <si>
    <t xml:space="preserve">C2083</t>
  </si>
  <si>
    <t xml:space="preserve">seguimientos_realizados</t>
  </si>
  <si>
    <t xml:space="preserve">Cantidad de seguimientos realizados al plan de mejoramiento.</t>
  </si>
  <si>
    <t xml:space="preserve">C2084</t>
  </si>
  <si>
    <t xml:space="preserve">seguimientos_totales</t>
  </si>
  <si>
    <t xml:space="preserve">Cantidad total de seguimientos programados para el plan de mejoramiento. Valor por defecto: 4.</t>
  </si>
  <si>
    <t xml:space="preserve">nombre + defecto + seguimientos trimestrales</t>
  </si>
  <si>
    <t xml:space="preserve">C2085</t>
  </si>
  <si>
    <t xml:space="preserve">proximo_seguimiento</t>
  </si>
  <si>
    <t xml:space="preserve">Fecha programada para el próximo seguimiento del plan de mejoramiento.</t>
  </si>
  <si>
    <t xml:space="preserve">C2086</t>
  </si>
  <si>
    <t xml:space="preserve">plantilla_email</t>
  </si>
  <si>
    <t xml:space="preserve">idx_plantilla_codigo, plantilla_email_codigo_key</t>
  </si>
  <si>
    <t xml:space="preserve">Código del registro de plantilla_email. Único en la tabla.</t>
  </si>
  <si>
    <t xml:space="preserve">C2087</t>
  </si>
  <si>
    <t xml:space="preserve">Nombre del registro de plantilla_email.</t>
  </si>
  <si>
    <t xml:space="preserve">C2088</t>
  </si>
  <si>
    <t xml:space="preserve">Asunto del correo electrónico de la plantilla.</t>
  </si>
  <si>
    <t xml:space="preserve">C2089</t>
  </si>
  <si>
    <t xml:space="preserve">Cuerpo del correo electrónico de la plantilla.</t>
  </si>
  <si>
    <t xml:space="preserve">¿El cuerpo está en HTML o texto plano?</t>
  </si>
  <si>
    <t xml:space="preserve">C2090</t>
  </si>
  <si>
    <t xml:space="preserve">variables_disponibles</t>
  </si>
  <si>
    <t xml:space="preserve">Variables que se pueden usar en el asunto y el cuerpo de la plantilla, en formato JSON.</t>
  </si>
  <si>
    <t xml:space="preserve">¿Con qué sintaxis se insertan las variables en la plantilla?</t>
  </si>
  <si>
    <t xml:space="preserve">C2091</t>
  </si>
  <si>
    <t xml:space="preserve">idx_plantilla_activa</t>
  </si>
  <si>
    <t xml:space="preserve">C2092</t>
  </si>
  <si>
    <t xml:space="preserve">plantilla_informe_ley</t>
  </si>
  <si>
    <t xml:space="preserve">plantilla_informe_ley_codigo_key</t>
  </si>
  <si>
    <t xml:space="preserve">Mapeada en internal-institutional-control-service/src/esap/informes-ley/entities/plantilla-informe-ley.entity.ts:17 (PlantillaInformeLey.codigo) | Validación: IsNotEmpty, IsOptional, IsString, Length(1, 50), MaxLength(80)</t>
  </si>
  <si>
    <t xml:space="preserve">Código del registro de plantilla_informe_ley. Único en la tabla.</t>
  </si>
  <si>
    <t xml:space="preserve">C2093</t>
  </si>
  <si>
    <t xml:space="preserve">Mapeada en internal-institutional-control-service/src/esap/informes-ley/entities/plantilla-informe-ley.entity.ts:20 (PlantillaInformeLey.nombre) | Validación: IsNotEmpty, IsNotEmpty({ message: 'El nombre del documento es obligatorio' }), IsOptional, IsString, Length(1, 500), MaxLength(120)</t>
  </si>
  <si>
    <t xml:space="preserve">Nombre del registro de plantilla_informe_ley.</t>
  </si>
  <si>
    <t xml:space="preserve">C2094</t>
  </si>
  <si>
    <t xml:space="preserve">Mapeada en internal-institutional-control-service/src/esap/informes-ley/entities/plantilla-informe-ley.entity.ts:23 (PlantillaInformeLey.descripcion) | Validación: IsNotEmpty, IsOptional, IsString</t>
  </si>
  <si>
    <t xml:space="preserve">Descripción del registro de plantilla_informe_ley.</t>
  </si>
  <si>
    <t xml:space="preserve">C2095</t>
  </si>
  <si>
    <t xml:space="preserve">tipo_formato</t>
  </si>
  <si>
    <t xml:space="preserve">Excel, HTML, PDF, Word</t>
  </si>
  <si>
    <t xml:space="preserve">Mapeada en internal-institutional-control-service/src/esap/informes-ley/entities/plantilla-informe-ley.entity.ts:26 (PlantillaInformeLey.tipoFormato)</t>
  </si>
  <si>
    <t xml:space="preserve">Formato del archivo de la plantilla del informe de ley. Valores permitidos: Word, Excel, PDF, HTML.</t>
  </si>
  <si>
    <t xml:space="preserve">C2096</t>
  </si>
  <si>
    <t xml:space="preserve">ruta_plantilla</t>
  </si>
  <si>
    <t xml:space="preserve">Mapeada en internal-institutional-control-service/src/esap/informes-ley/entities/plantilla-informe-ley.entity.ts:34 (PlantillaInformeLey.rutaPlantilla)</t>
  </si>
  <si>
    <t xml:space="preserve">Ruta del archivo de la plantilla del informe de ley.</t>
  </si>
  <si>
    <t xml:space="preserve">¿Es una ruta local, de almacenamiento en la nube o una URL?</t>
  </si>
  <si>
    <t xml:space="preserve">C2097</t>
  </si>
  <si>
    <t xml:space="preserve">Mapeada en internal-institutional-control-service/src/esap/informes-ley/entities/plantilla-informe-ley.entity.ts:43 (PlantillaInformeLey.activa) | Validación: IsBoolean, IsOptional</t>
  </si>
  <si>
    <t xml:space="preserve">C2098</t>
  </si>
  <si>
    <t xml:space="preserve">Mapeada en internal-institutional-control-service/src/esap/informes-ley/entities/plantilla-informe-ley.entity.ts:46 (PlantillaInformeLey.version) | Validación: IsOptional, IsString</t>
  </si>
  <si>
    <t xml:space="preserve">C2099</t>
  </si>
  <si>
    <t xml:space="preserve">plantilla_reporte</t>
  </si>
  <si>
    <t xml:space="preserve">plantilla_reporte_codigo_key</t>
  </si>
  <si>
    <t xml:space="preserve">Código del registro de plantilla_reporte. Único en la tabla.</t>
  </si>
  <si>
    <t xml:space="preserve">C2100</t>
  </si>
  <si>
    <t xml:space="preserve">Nombre del registro de plantilla_reporte.</t>
  </si>
  <si>
    <t xml:space="preserve">C2101</t>
  </si>
  <si>
    <t xml:space="preserve">idx_plantilla_tipo</t>
  </si>
  <si>
    <t xml:space="preserve">Tipo del registro de plantilla_reporte.</t>
  </si>
  <si>
    <t xml:space="preserve">C2102</t>
  </si>
  <si>
    <t xml:space="preserve">Descripción del registro de plantilla_reporte.</t>
  </si>
  <si>
    <t xml:space="preserve">C2103</t>
  </si>
  <si>
    <t xml:space="preserve">formato</t>
  </si>
  <si>
    <t xml:space="preserve">Excel, PDF, PowerPoint, Word</t>
  </si>
  <si>
    <t xml:space="preserve">Formato del reporte generado. Valores permitidos: PDF, Excel, Word, PowerPoint.</t>
  </si>
  <si>
    <t xml:space="preserve">C2104</t>
  </si>
  <si>
    <t xml:space="preserve">ruta_template</t>
  </si>
  <si>
    <t xml:space="preserve">Ruta del archivo de la plantilla del reporte.</t>
  </si>
  <si>
    <t xml:space="preserve">C2105</t>
  </si>
  <si>
    <t xml:space="preserve">Variables que se pueden usar en la plantilla del reporte, en formato JSON.</t>
  </si>
  <si>
    <t xml:space="preserve">¿Qué estructura tiene el JSON de variables?</t>
  </si>
  <si>
    <t xml:space="preserve">C2106</t>
  </si>
  <si>
    <t xml:space="preserve">C2107</t>
  </si>
  <si>
    <t xml:space="preserve">plantillas_documentos_esap</t>
  </si>
  <si>
    <t xml:space="preserve">idx_plantillas_codigo, plantillas_documentos_esap_codigo_key</t>
  </si>
  <si>
    <t xml:space="preserve">Código del registro de plantillas_documentos_esap. Único en la tabla.</t>
  </si>
  <si>
    <t xml:space="preserve">C2108</t>
  </si>
  <si>
    <t xml:space="preserve">Nombre del registro de plantillas_documentos_esap.</t>
  </si>
  <si>
    <t xml:space="preserve">C2109</t>
  </si>
  <si>
    <t xml:space="preserve">Descripción del registro de plantillas_documentos_esap.</t>
  </si>
  <si>
    <t xml:space="preserve">C2110</t>
  </si>
  <si>
    <t xml:space="preserve">idx_plantillas_tipo</t>
  </si>
  <si>
    <t xml:space="preserve">Tipo de documento que genera la plantilla.</t>
  </si>
  <si>
    <t xml:space="preserve">¿Qué tipos de documento existen?</t>
  </si>
  <si>
    <t xml:space="preserve">C2111</t>
  </si>
  <si>
    <t xml:space="preserve">Contenido de la plantilla del documento.</t>
  </si>
  <si>
    <t xml:space="preserve">¿El contenido está en HTML, Markdown o texto plano?</t>
  </si>
  <si>
    <t xml:space="preserve">C2112</t>
  </si>
  <si>
    <t xml:space="preserve">Variables que se pueden usar en la plantilla del documento, en formato JSON.</t>
  </si>
  <si>
    <t xml:space="preserve">C2113</t>
  </si>
  <si>
    <t xml:space="preserve">idx_plantillas_activa</t>
  </si>
  <si>
    <t xml:space="preserve">C2114</t>
  </si>
  <si>
    <t xml:space="preserve">C2115</t>
  </si>
  <si>
    <t xml:space="preserve">preferencia_notificacion</t>
  </si>
  <si>
    <t xml:space="preserve">idx_preferencia_usuario, preferencia_notificacion_usuario_id_key</t>
  </si>
  <si>
    <t xml:space="preserve">Mapeada en internal-institutional-control-service/src/esap/notificaciones/entities/preferencia-notificacion.entity.ts:16 (PreferenciaNotificacion.usuarioId) | Validación: IsNotEmpty, IsOptional, IsString, IsUUID</t>
  </si>
  <si>
    <t xml:space="preserve">Identificador del usuario al que pertenecen las preferencias; cada usuario tiene un solo registro.</t>
  </si>
  <si>
    <t xml:space="preserve">C2116</t>
  </si>
  <si>
    <t xml:space="preserve">notificaciones_email</t>
  </si>
  <si>
    <t xml:space="preserve">Mapeada en internal-institutional-control-service/src/esap/notificaciones/entities/preferencia-notificacion.entity.ts:19 (PreferenciaNotificacion.recibirEmail)</t>
  </si>
  <si>
    <t xml:space="preserve">Indica si aplica: notificaciones email.</t>
  </si>
  <si>
    <t xml:space="preserve">C2117</t>
  </si>
  <si>
    <t xml:space="preserve">notificaciones_sistema</t>
  </si>
  <si>
    <t xml:space="preserve">Mapeada en internal-institutional-control-service/src/esap/notificaciones/entities/preferencia-notificacion.entity.ts:22 (PreferenciaNotificacion.recibirSistema)</t>
  </si>
  <si>
    <t xml:space="preserve">Indica si aplica: notificaciones sistema.</t>
  </si>
  <si>
    <t xml:space="preserve">C2118</t>
  </si>
  <si>
    <t xml:space="preserve">tipos_notificacion</t>
  </si>
  <si>
    <t xml:space="preserve">Mapeada en internal-institutional-control-service/src/esap/notificaciones/entities/preferencia-notificacion.entity.ts:28 (PreferenciaNotificacion.tiposNotificacion)</t>
  </si>
  <si>
    <t xml:space="preserve">Tipos de notificación que el usuario elige recibir, en formato JSON.</t>
  </si>
  <si>
    <t xml:space="preserve">¿El JSON lista los tipos habilitados o un mapa tipo → activo?</t>
  </si>
  <si>
    <t xml:space="preserve">C2119</t>
  </si>
  <si>
    <t xml:space="preserve">frecuencia_recordatorios</t>
  </si>
  <si>
    <t xml:space="preserve">Mapeada en internal-institutional-control-service/src/esap/notificaciones/entities/preferencia-notificacion.entity.ts:25 (PreferenciaNotificacion.diasAnticipacion)</t>
  </si>
  <si>
    <t xml:space="preserve">Frecuencia de los recordatorios enviados al usuario. Valor por defecto: 7.</t>
  </si>
  <si>
    <t xml:space="preserve">¿El valor está en días? ¿Por qué se guarda como texto?</t>
  </si>
  <si>
    <t xml:space="preserve">C2120</t>
  </si>
  <si>
    <t xml:space="preserve">proceso_auditable</t>
  </si>
  <si>
    <t xml:space="preserve">idx_proceso_auditable_codigo, proceso_auditable_codigo_key</t>
  </si>
  <si>
    <t xml:space="preserve">Mapeada en internal-institutional-control-service/src/esap/universo-auditorias/entities/proceso-auditable.entity.ts:30 (ProcesoAuditable.codigo) | Validación: IsNotEmpty, IsOptional, IsString, Length(1, 50), MaxLength(80)</t>
  </si>
  <si>
    <t xml:space="preserve">Código del registro de proceso_auditable. Único en la tabla.</t>
  </si>
  <si>
    <t xml:space="preserve">C2121</t>
  </si>
  <si>
    <t xml:space="preserve">Mapeada en internal-institutional-control-service/src/esap/universo-auditorias/entities/proceso-auditable.entity.ts:33 (ProcesoAuditable.nombre) | Validación: IsNotEmpty, IsNotEmpty({ message: 'El nombre del documento es obligatorio' }), IsOptional, IsString, Length(1, 500), MaxLength(120)</t>
  </si>
  <si>
    <t xml:space="preserve">Nombre del registro de proceso_auditable.</t>
  </si>
  <si>
    <t xml:space="preserve">C2122</t>
  </si>
  <si>
    <t xml:space="preserve">Mapeada en internal-institutional-control-service/src/esap/universo-auditorias/entities/proceso-auditable.entity.ts:36 (ProcesoAuditable.descripcion) | Validación: IsNotEmpty, IsOptional, IsString</t>
  </si>
  <si>
    <t xml:space="preserve">Descripción del registro de proceso_auditable.</t>
  </si>
  <si>
    <t xml:space="preserve">C2123</t>
  </si>
  <si>
    <t xml:space="preserve">idx_proceso_auditable_tipo</t>
  </si>
  <si>
    <t xml:space="preserve">Mapeada en internal-institutional-control-service/src/esap/universo-auditorias/entities/proceso-auditable.entity.ts:39 (ProcesoAuditable.tipo) | Validación: IsEnum(AccionCorrectivaTipo), IsEnum(TipoAuditoriaProgramada), IsEnum(TipoEventoTimeline), IsEnum(TipoTablero), IsEnum(['cumplimiento', 'eficiencia', 'eficacia', 'economia']), IsEnum(['plan-auditoria', 'plan-mejora', 'informe', 'documento'])</t>
  </si>
  <si>
    <t xml:space="preserve">Tipo del registro de proceso_auditable.</t>
  </si>
  <si>
    <t xml:space="preserve">C2124</t>
  </si>
  <si>
    <t xml:space="preserve">macroproceso</t>
  </si>
  <si>
    <t xml:space="preserve">idx_proceso_auditable_macroproceso</t>
  </si>
  <si>
    <t xml:space="preserve">Mapeada en internal-institutional-control-service/src/esap/universo-auditorias/entities/proceso-auditable.entity.ts:59 (ProcesoAuditable.macroproceso) | Validación: IsNotEmpty, IsOptional, IsString</t>
  </si>
  <si>
    <t xml:space="preserve">Macroproceso al que pertenece el proceso auditable.</t>
  </si>
  <si>
    <t xml:space="preserve">C2125</t>
  </si>
  <si>
    <t xml:space="preserve">Mapeada en internal-institutional-control-service/src/esap/universo-auditorias/entities/proceso-auditable.entity.ts:65 (ProcesoAuditable.responsable) | Validación: IsNotEmpty, IsOptional, IsString, Length(1, 255)</t>
  </si>
  <si>
    <t xml:space="preserve">Responsable del proceso auditable.</t>
  </si>
  <si>
    <t xml:space="preserve">¿Guarda el nombre, el cargo o el identificador del responsable?</t>
  </si>
  <si>
    <t xml:space="preserve">C2126</t>
  </si>
  <si>
    <t xml:space="preserve">Mapeada en internal-institutional-control-service/src/esap/universo-auditorias/entities/proceso-auditable.entity.ts:68 (ProcesoAuditable.dependencia) | Validación: IsNotEmpty, IsOptional, IsString</t>
  </si>
  <si>
    <t xml:space="preserve">Dependencia de la ESAP a cargo del proceso auditable.</t>
  </si>
  <si>
    <t xml:space="preserve">C2127</t>
  </si>
  <si>
    <t xml:space="preserve">Mapeada en internal-institutional-control-service/src/esap/universo-auditorias/entities/proceso-auditable.entity.ts:71 (ProcesoAuditable.territorial) | Validación: IsNotEmpty, IsOptional, IsString</t>
  </si>
  <si>
    <t xml:space="preserve">Dirección territorial a la que corresponde el proceso auditable.</t>
  </si>
  <si>
    <t xml:space="preserve">¿Se toma de un catálogo de territoriales? ¿Queda vacía para procesos del nivel central?</t>
  </si>
  <si>
    <t xml:space="preserve">C2128</t>
  </si>
  <si>
    <t xml:space="preserve">evaluacion_riesgo</t>
  </si>
  <si>
    <t xml:space="preserve">Mapeada en internal-institutional-control-service/src/esap/universo-auditorias/entities/proceso-auditable.entity.ts:74 (ProcesoAuditable.evaluacionRiesgo) | Validación: IsObject</t>
  </si>
  <si>
    <t xml:space="preserve">Evaluación de riesgo del proceso auditable, como objeto JSON.</t>
  </si>
  <si>
    <t xml:space="preserve">¿Qué campos tiene la evaluación de riesgo (probabilidad, impacto, nivel)?</t>
  </si>
  <si>
    <t xml:space="preserve">C2129</t>
  </si>
  <si>
    <t xml:space="preserve">frecuencia_auditoria</t>
  </si>
  <si>
    <t xml:space="preserve">Mapeada en internal-institutional-control-service/src/esap/universo-auditorias/entities/proceso-auditable.entity.ts:120 (ProcesoAuditable.frecuenciaAuditoria) | Validación: IsOptional, IsString</t>
  </si>
  <si>
    <t xml:space="preserve">Frecuencia con que debe auditarse el proceso.</t>
  </si>
  <si>
    <t xml:space="preserve">¿Qué valores toma (anual, bienal…)?</t>
  </si>
  <si>
    <t xml:space="preserve">C2130</t>
  </si>
  <si>
    <t xml:space="preserve">ultima_auditoria</t>
  </si>
  <si>
    <t xml:space="preserve">Mapeada en internal-institutional-control-service/src/esap/universo-auditorias/entities/proceso-auditable.entity.ts:123 (ProcesoAuditable.ultimaAuditoria) | Validación: IsOptional</t>
  </si>
  <si>
    <t xml:space="preserve">Fecha de la última auditoría realizada al proceso.</t>
  </si>
  <si>
    <t xml:space="preserve">C2131</t>
  </si>
  <si>
    <t xml:space="preserve">proxima_auditoria</t>
  </si>
  <si>
    <t xml:space="preserve">Mapeada en internal-institutional-control-service/src/esap/universo-auditorias/entities/proceso-auditable.entity.ts:129 (ProcesoAuditable.proximaAuditoria) | Validación: IsOptional</t>
  </si>
  <si>
    <t xml:space="preserve">Fecha programada para la próxima auditoría del proceso.</t>
  </si>
  <si>
    <t xml:space="preserve">C2132</t>
  </si>
  <si>
    <t xml:space="preserve">idx_proceso_auditable_prioridad</t>
  </si>
  <si>
    <t xml:space="preserve">Mapeada en internal-institutional-control-service/src/esap/universo-auditorias/entities/proceso-auditable.entity.ts:132 (ProcesoAuditable.prioridad) | Validación: IsEnum(PrioridadAuditoria), IsEnum(PrioridadAuditoriaProgramada), IsEnum(PrioridadNotificacion), IsEnum(PrioridadTarea), IsEnum(['Alta', 'Media', 'Baja']), IsInt</t>
  </si>
  <si>
    <t xml:space="preserve">Prioridad del proceso auditable, expresada como número entero.</t>
  </si>
  <si>
    <t xml:space="preserve">¿Qué escala usa el número de prioridad y cómo se relaciona con los valores Alta, Media, Baja?</t>
  </si>
  <si>
    <t xml:space="preserve">C2133</t>
  </si>
  <si>
    <t xml:space="preserve">priorizacion_anos</t>
  </si>
  <si>
    <t xml:space="preserve">internal-institutional-control-service/src/esap/universo-auditorias/entities/proceso-auditable.entity.ts:135: 1-4 años según nivel de riesgo</t>
  </si>
  <si>
    <t xml:space="preserve">Periodicidad de auditoría del proceso, en años (1 a 4), según su nivel de riesgo.</t>
  </si>
  <si>
    <t xml:space="preserve">código: internal-institutional-control-service/src/esap/universo-auditorias/entities/proceso-auditable.entity.ts:135</t>
  </si>
  <si>
    <t xml:space="preserve">C2134</t>
  </si>
  <si>
    <t xml:space="preserve">Mapeada en internal-institutional-control-service/src/esap/universo-auditorias/entities/proceso-auditable.entity.ts:138 (ProcesoAuditable.activo) | Validación: IsBoolean, IsOptional</t>
  </si>
  <si>
    <t xml:space="preserve">C2135</t>
  </si>
  <si>
    <t xml:space="preserve">unidades_auditables</t>
  </si>
  <si>
    <t xml:space="preserve">Mapeada en internal-institutional-control-service/src/esap/universo-auditorias/entities/proceso-auditable.entity.ts:62 (ProcesoAuditable.unidadesAuditables) | Validación: IsArray, IsOptional, IsString({ each: true })</t>
  </si>
  <si>
    <t xml:space="preserve">Unidades auditables que componen el proceso, como arreglo JSON de textos.</t>
  </si>
  <si>
    <t xml:space="preserve">C2136</t>
  </si>
  <si>
    <t xml:space="preserve">programa_anual_ajuste</t>
  </si>
  <si>
    <t xml:space="preserve">uq_programa_anual_ajuste_abierto</t>
  </si>
  <si>
    <t xml:space="preserve">C2137</t>
  </si>
  <si>
    <t xml:space="preserve">iniciado_por</t>
  </si>
  <si>
    <t xml:space="preserve">Usuario que realizó el inicio.</t>
  </si>
  <si>
    <t xml:space="preserve">C2138</t>
  </si>
  <si>
    <t xml:space="preserve">iniciado_por_id</t>
  </si>
  <si>
    <t xml:space="preserve">Identificador del usuario que inició el ajuste del Programa Anual (EFDS-1919).</t>
  </si>
  <si>
    <t xml:space="preserve">¿Es el id de auth."user" u otro identificador de usuario?</t>
  </si>
  <si>
    <t xml:space="preserve">C2139</t>
  </si>
  <si>
    <t xml:space="preserve">iniciado_at</t>
  </si>
  <si>
    <t xml:space="preserve">C2140</t>
  </si>
  <si>
    <t xml:space="preserve">cerrado_at</t>
  </si>
  <si>
    <t xml:space="preserve">C2141</t>
  </si>
  <si>
    <t xml:space="preserve">version_resultante</t>
  </si>
  <si>
    <t xml:space="preserve">db/migrations/657_ajustes_programa_anual.sql:19: Versión que cerró el ajuste; vacío si se cerró sin cambios.</t>
  </si>
  <si>
    <t xml:space="preserve">Número de la versión del Programa Anual con la que se cerró el ajuste; vacío si el ajuste se cerró sin cambios (EFDS-1919).</t>
  </si>
  <si>
    <t xml:space="preserve">código: db/migrations/657_ajustes_programa_anual.sql:19</t>
  </si>
  <si>
    <t xml:space="preserve">C2142</t>
  </si>
  <si>
    <t xml:space="preserve">registro_seguimiento</t>
  </si>
  <si>
    <t xml:space="preserve">accion_descripcion</t>
  </si>
  <si>
    <t xml:space="preserve">Mapeada en internal-institutional-control-service/src/esap/planes-mejoramiento/entities/registro-seguimiento.entity.ts:32 (RegistroSeguimiento.accionDescripcion) | Validación: IsNotEmpty, IsString</t>
  </si>
  <si>
    <t xml:space="preserve">Descripción de la acción de mejora objeto del seguimiento.</t>
  </si>
  <si>
    <t xml:space="preserve">C2143</t>
  </si>
  <si>
    <t xml:space="preserve">acciones_programadas</t>
  </si>
  <si>
    <t xml:space="preserve">Mapeada en internal-institutional-control-service/src/esap/planes-mejoramiento/entities/registro-seguimiento.entity.ts:35 (RegistroSeguimiento.accionesProgramadas) | Validación: IsInt, Min(1)</t>
  </si>
  <si>
    <t xml:space="preserve">Cantidad de acciones programadas, mínimo 1.</t>
  </si>
  <si>
    <t xml:space="preserve">C2144</t>
  </si>
  <si>
    <t xml:space="preserve">acciones_implementadas</t>
  </si>
  <si>
    <t xml:space="preserve">Mapeada en internal-institutional-control-service/src/esap/planes-mejoramiento/entities/registro-seguimiento.entity.ts:38 (RegistroSeguimiento.accionesImplementadas) | Validación: IsInt, Min(0)</t>
  </si>
  <si>
    <t xml:space="preserve">Cantidad de acciones implementadas.</t>
  </si>
  <si>
    <t xml:space="preserve">nombre + validación Min(0)</t>
  </si>
  <si>
    <t xml:space="preserve">C2145</t>
  </si>
  <si>
    <t xml:space="preserve">puntaje_cumplimiento</t>
  </si>
  <si>
    <t xml:space="preserve">Mapeada en internal-institutional-control-service/src/esap/planes-mejoramiento/entities/registro-seguimiento.entity.ts:41 (RegistroSeguimiento.puntajeCumplimiento)</t>
  </si>
  <si>
    <t xml:space="preserve">Puntaje de cumplimiento de la acción en el seguimiento.</t>
  </si>
  <si>
    <t xml:space="preserve">¿Cómo se calcula y en qué escala (0–100)?</t>
  </si>
  <si>
    <t xml:space="preserve">C2146</t>
  </si>
  <si>
    <t xml:space="preserve">controles_implementados</t>
  </si>
  <si>
    <t xml:space="preserve">NO, PARCIAL, SI</t>
  </si>
  <si>
    <t xml:space="preserve">Mapeada en internal-institutional-control-service/src/esap/planes-mejoramiento/entities/registro-seguimiento.entity.ts:44 (RegistroSeguimiento.controlesImplementados) | Validación: IsEnum(['SI', 'NO', 'PARCIAL'])</t>
  </si>
  <si>
    <t xml:space="preserve">Indica si se implementaron los controles. Valores permitidos: SI, NO, PARCIAL.</t>
  </si>
  <si>
    <t xml:space="preserve">C2147</t>
  </si>
  <si>
    <t xml:space="preserve">hallazgo_se_repite</t>
  </si>
  <si>
    <t xml:space="preserve">NO, SI</t>
  </si>
  <si>
    <t xml:space="preserve">Mapeada en internal-institutional-control-service/src/esap/planes-mejoramiento/entities/registro-seguimiento.entity.ts:47 (RegistroSeguimiento.hallazgoSeRepite) | Validación: IsEnum(['SI', 'NO'])</t>
  </si>
  <si>
    <t xml:space="preserve">Indica si el hallazgo se repite. Valores permitidos: SI, NO.</t>
  </si>
  <si>
    <t xml:space="preserve">C2148</t>
  </si>
  <si>
    <t xml:space="preserve">puntaje_efectividad</t>
  </si>
  <si>
    <t xml:space="preserve">Mapeada en internal-institutional-control-service/src/esap/planes-mejoramiento/entities/registro-seguimiento.entity.ts:50 (RegistroSeguimiento.puntajeEfectividad)</t>
  </si>
  <si>
    <t xml:space="preserve">Puntaje de efectividad de la acción en el seguimiento.</t>
  </si>
  <si>
    <t xml:space="preserve">C2149</t>
  </si>
  <si>
    <t xml:space="preserve">Mapeada en internal-institutional-control-service/src/esap/planes-mejoramiento/entities/registro-seguimiento.entity.ts:53 (RegistroSeguimiento.observaciones) | Validación: IsOptional, IsString</t>
  </si>
  <si>
    <t xml:space="preserve">C2150</t>
  </si>
  <si>
    <t xml:space="preserve">Mapeada en internal-institutional-control-service/src/esap/planes-mejoramiento/entities/registro-seguimiento.entity.ts:56 (RegistroSeguimiento.evidencias) | Validación: IsArray, IsOptional, IsString({ each: true })</t>
  </si>
  <si>
    <t xml:space="preserve">Evidencias del seguimiento, como arreglo JSON de textos.</t>
  </si>
  <si>
    <t xml:space="preserve">¿Cada elemento es una ruta, una URL o un identificador de documento?</t>
  </si>
  <si>
    <t xml:space="preserve">C2151</t>
  </si>
  <si>
    <t xml:space="preserve">reunion_apertura</t>
  </si>
  <si>
    <t xml:space="preserve">idx_reunion_fecha</t>
  </si>
  <si>
    <t xml:space="preserve">Mapeada en internal-institutional-control-service/src/esap/auditorias/entities/reunion-apertura.entity.ts:30 (ReunionApertura.fecha) | Validación: IsDateString, IsString</t>
  </si>
  <si>
    <t xml:space="preserve">C2152</t>
  </si>
  <si>
    <t xml:space="preserve">hibrida, presencial, virtual</t>
  </si>
  <si>
    <t xml:space="preserve">Mapeada en internal-institutional-control-service/src/esap/auditorias/entities/reunion-apertura.entity.ts:33 (ReunionApertura.modalidad) | Validación: IsIn(['presencial', 'virtual', 'hibrida']), IsString</t>
  </si>
  <si>
    <t xml:space="preserve">Modalidad de la reunión de apertura. Valores permitidos: presencial, virtual, hibrida.</t>
  </si>
  <si>
    <t xml:space="preserve">C2153</t>
  </si>
  <si>
    <t xml:space="preserve">db/migrations/old/036_add_auditorias_kanban_completo.sql:929: Para presencial | Validación: IsOptional, IsString</t>
  </si>
  <si>
    <t xml:space="preserve">Lugar de la reunión de apertura cuando la modalidad es presencial.</t>
  </si>
  <si>
    <t xml:space="preserve">código: db/migrations/old/036_add_auditorias_kanban_completo.sql:929</t>
  </si>
  <si>
    <t xml:space="preserve">C2154</t>
  </si>
  <si>
    <t xml:space="preserve">enlace_virtual</t>
  </si>
  <si>
    <t xml:space="preserve">db/migrations/old/036_add_auditorias_kanban_completo.sql:930: Para virtual/híbrida</t>
  </si>
  <si>
    <t xml:space="preserve">Enlace de conexión a la reunión de apertura cuando la modalidad es virtual o híbrida.</t>
  </si>
  <si>
    <t xml:space="preserve">código: db/migrations/old/036_add_auditorias_kanban_completo.sql:930</t>
  </si>
  <si>
    <t xml:space="preserve">C2155</t>
  </si>
  <si>
    <t xml:space="preserve">agenda</t>
  </si>
  <si>
    <t xml:space="preserve">db/migrations/old/036_add_auditorias_kanban_completo.sql:931: Array de temas a tratar</t>
  </si>
  <si>
    <t xml:space="preserve">Temas a tratar en la reunión de apertura, como arreglo JSON.</t>
  </si>
  <si>
    <t xml:space="preserve">código: db/migrations/old/036_add_auditorias_kanban_completo.sql:931</t>
  </si>
  <si>
    <t xml:space="preserve">C2156</t>
  </si>
  <si>
    <t xml:space="preserve">db/migrations/old/036_add_auditorias_kanban_completo.sql:932: Array de participantes con sus roles | Validación: IsOptional, IsString</t>
  </si>
  <si>
    <t xml:space="preserve">Participantes de la reunión de apertura con sus roles, como arreglo JSON.</t>
  </si>
  <si>
    <t xml:space="preserve">código: db/migrations/old/036_add_auditorias_kanban_completo.sql:932</t>
  </si>
  <si>
    <t xml:space="preserve">C2157</t>
  </si>
  <si>
    <t xml:space="preserve">estado_acta</t>
  </si>
  <si>
    <t xml:space="preserve">aprobada, en_elaboracion, firmada, pendiente</t>
  </si>
  <si>
    <t xml:space="preserve">Mapeada en internal-institutional-control-service/src/esap/auditorias/entities/reunion-apertura.entity.ts:48 (ReunionApertura.estadoActa)</t>
  </si>
  <si>
    <t xml:space="preserve">Estado del acta de la reunión de apertura. Valores permitidos: pendiente, en_elaboracion, aprobada, firmada.</t>
  </si>
  <si>
    <t xml:space="preserve">C2158</t>
  </si>
  <si>
    <t xml:space="preserve">acta_ruta</t>
  </si>
  <si>
    <t xml:space="preserve">db/migrations/old/036_add_auditorias_kanban_completo.sql:934: Ruta al archivo del acta</t>
  </si>
  <si>
    <t xml:space="preserve">Ruta del archivo del acta de la reunión de apertura.</t>
  </si>
  <si>
    <t xml:space="preserve">código: db/migrations/old/036_add_auditorias_kanban_completo.sql:934</t>
  </si>
  <si>
    <t xml:space="preserve">C2159</t>
  </si>
  <si>
    <t xml:space="preserve">Mapeada en internal-institutional-control-service/src/esap/auditorias/entities/reunion-apertura.entity.ts:54 (ReunionApertura.observaciones) | Validación: IsOptional, IsString</t>
  </si>
  <si>
    <t xml:space="preserve">C2160</t>
  </si>
  <si>
    <t xml:space="preserve">Mapeada en internal-institutional-control-service/src/esap/auditorias/entities/reunion-apertura.entity.ts:57 (ReunionApertura.elaboradoPor) | Validación: IsOptional, IsString, Length(0, 255)</t>
  </si>
  <si>
    <t xml:space="preserve">Persona que elaboró el acta de la reunión de apertura.</t>
  </si>
  <si>
    <t xml:space="preserve">¿Guarda el nombre o el identificador de la persona?</t>
  </si>
  <si>
    <t xml:space="preserve">C2161</t>
  </si>
  <si>
    <t xml:space="preserve">Mapeada en internal-institutional-control-service/src/esap/auditorias/entities/reunion-apertura.entity.ts:60 (ReunionApertura.revisadoPor) | Validación: IsOptional, IsString</t>
  </si>
  <si>
    <t xml:space="preserve">C2162</t>
  </si>
  <si>
    <t xml:space="preserve">reunion_cierre</t>
  </si>
  <si>
    <t xml:space="preserve">Mapeada en internal-institutional-control-service/src/esap/auditorias/entities/reunion-cierre.entity.ts:30 (ReunionCierre.fecha) | Validación: IsDateString, IsString</t>
  </si>
  <si>
    <t xml:space="preserve">Fecha y hora de la reunión de cierre de la auditoría.</t>
  </si>
  <si>
    <t xml:space="preserve">C2163</t>
  </si>
  <si>
    <t xml:space="preserve">Mapeada en internal-institutional-control-service/src/esap/auditorias/entities/reunion-cierre.entity.ts:33 (ReunionCierre.modalidad) | Validación: IsIn(['presencial', 'virtual', 'hibrida']), IsString</t>
  </si>
  <si>
    <t xml:space="preserve">Modalidad de la reunión de cierre. Valores permitidos: presencial, virtual, hibrida.</t>
  </si>
  <si>
    <t xml:space="preserve">C2164</t>
  </si>
  <si>
    <t xml:space="preserve">Mapeada en internal-institutional-control-service/src/esap/auditorias/entities/reunion-cierre.entity.ts:36 (ReunionCierre.lugar) | Validación: IsOptional, IsString</t>
  </si>
  <si>
    <t xml:space="preserve">Lugar donde se realiza la reunión de cierre.</t>
  </si>
  <si>
    <t xml:space="preserve">C2165</t>
  </si>
  <si>
    <t xml:space="preserve">Mapeada en internal-institutional-control-service/src/esap/auditorias/entities/reunion-cierre.entity.ts:39 (ReunionCierre.enlaceVirtual)</t>
  </si>
  <si>
    <t xml:space="preserve">Enlace de conexión a la reunión de cierre virtual o híbrida.</t>
  </si>
  <si>
    <t xml:space="preserve">C2166</t>
  </si>
  <si>
    <t xml:space="preserve">Mapeada en internal-institutional-control-service/src/esap/auditorias/entities/reunion-cierre.entity.ts:42 (ReunionCierre.agenda)</t>
  </si>
  <si>
    <t xml:space="preserve">Agenda de la reunión de cierre, en formato JSON.</t>
  </si>
  <si>
    <t xml:space="preserve">¿Qué estructura tiene cada punto de la agenda?</t>
  </si>
  <si>
    <t xml:space="preserve">C2167</t>
  </si>
  <si>
    <t xml:space="preserve">Mapeada en internal-institutional-control-service/src/esap/auditorias/entities/reunion-cierre.entity.ts:45 (ReunionCierre.participantes) | Validación: IsOptional, IsString</t>
  </si>
  <si>
    <t xml:space="preserve">Participantes de la reunión de cierre, en formato JSON.</t>
  </si>
  <si>
    <t xml:space="preserve">La validación espera texto y la columna es jsonb: ¿qué datos se guardan de cada participante?</t>
  </si>
  <si>
    <t xml:space="preserve">C2168</t>
  </si>
  <si>
    <t xml:space="preserve">Mapeada en internal-institutional-control-service/src/esap/auditorias/entities/reunion-cierre.entity.ts:48 (ReunionCierre.estadoActa)</t>
  </si>
  <si>
    <t xml:space="preserve">Estado del acta de la reunión de cierre. Valores permitidos: pendiente, en_elaboracion, aprobada, firmada.</t>
  </si>
  <si>
    <t xml:space="preserve">C2169</t>
  </si>
  <si>
    <t xml:space="preserve">Mapeada en internal-institutional-control-service/src/esap/auditorias/entities/reunion-cierre.entity.ts:51 (ReunionCierre.actaRuta)</t>
  </si>
  <si>
    <t xml:space="preserve">Ruta del archivo del acta de la reunión de cierre.</t>
  </si>
  <si>
    <t xml:space="preserve">C2170</t>
  </si>
  <si>
    <t xml:space="preserve">Mapeada en internal-institutional-control-service/src/esap/auditorias/entities/reunion-cierre.entity.ts:54 (ReunionCierre.observaciones) | Validación: IsOptional, IsString</t>
  </si>
  <si>
    <t xml:space="preserve">C2171</t>
  </si>
  <si>
    <t xml:space="preserve">Mapeada en internal-institutional-control-service/src/esap/auditorias/entities/reunion-cierre.entity.ts:57 (ReunionCierre.elaboradoPor) | Validación: IsOptional, IsString, Length(0, 255)</t>
  </si>
  <si>
    <t xml:space="preserve">Persona que elaboró el acta de la reunión de cierre.</t>
  </si>
  <si>
    <t xml:space="preserve">C2172</t>
  </si>
  <si>
    <t xml:space="preserve">Mapeada en internal-institutional-control-service/src/esap/auditorias/entities/reunion-cierre.entity.ts:60 (ReunionCierre.revisadoPor) | Validación: IsOptional, IsString</t>
  </si>
  <si>
    <t xml:space="preserve">C2173</t>
  </si>
  <si>
    <t xml:space="preserve">rol_decreto_648</t>
  </si>
  <si>
    <t xml:space="preserve">idx_rol_codigo, rol_decreto_648_codigo_key</t>
  </si>
  <si>
    <t xml:space="preserve">Código del registro de rol_decreto_648. Único en la tabla.</t>
  </si>
  <si>
    <t xml:space="preserve">C2174</t>
  </si>
  <si>
    <t xml:space="preserve">Nombre del registro de rol_decreto_648.</t>
  </si>
  <si>
    <t xml:space="preserve">C2175</t>
  </si>
  <si>
    <t xml:space="preserve">Descripción del registro de rol_decreto_648.</t>
  </si>
  <si>
    <t xml:space="preserve">C2176</t>
  </si>
  <si>
    <t xml:space="preserve">C2177</t>
  </si>
  <si>
    <t xml:space="preserve">C2178</t>
  </si>
  <si>
    <t xml:space="preserve">C2179</t>
  </si>
  <si>
    <t xml:space="preserve">rol_decreto_648_template</t>
  </si>
  <si>
    <t xml:space="preserve">rol_numero</t>
  </si>
  <si>
    <t xml:space="preserve">idx_rol_template_numero, rol_decreto_648_template_rol_numero_key</t>
  </si>
  <si>
    <t xml:space="preserve">Número único del rol de la oficina de control interno según el Decreto 648 de 2017.</t>
  </si>
  <si>
    <t xml:space="preserve">nombre de la tabla + restricción única + 5 filas</t>
  </si>
  <si>
    <t xml:space="preserve">¿Los números 1 a 5 corresponden a los roles del artículo 17 del Decreto 648 de 2017?</t>
  </si>
  <si>
    <t xml:space="preserve">C2180</t>
  </si>
  <si>
    <t xml:space="preserve">Nombre del registro de rol_decreto_648_template.</t>
  </si>
  <si>
    <t xml:space="preserve">C2181</t>
  </si>
  <si>
    <t xml:space="preserve">Descripción del registro de rol_decreto_648_template.</t>
  </si>
  <si>
    <t xml:space="preserve">C2182</t>
  </si>
  <si>
    <t xml:space="preserve">Color hexadecimal con que se muestra el rol en la interfaz. Valor por defecto: #3B82F6.</t>
  </si>
  <si>
    <t xml:space="preserve">nombre + tipo (7 caracteres) + defecto</t>
  </si>
  <si>
    <t xml:space="preserve">C2183</t>
  </si>
  <si>
    <t xml:space="preserve">C2184</t>
  </si>
  <si>
    <t xml:space="preserve">rol_plan_anual</t>
  </si>
  <si>
    <t xml:space="preserve">Auditor, Auditor Líder, Prof. Especializado, Prof. Universitario, Técnico</t>
  </si>
  <si>
    <t xml:space="preserve">idx_rol_tipo</t>
  </si>
  <si>
    <t xml:space="preserve">Tipo del registro de rol_plan_anual.</t>
  </si>
  <si>
    <t xml:space="preserve">C2185</t>
  </si>
  <si>
    <t xml:space="preserve">Nombre del registro de rol_plan_anual.</t>
  </si>
  <si>
    <t xml:space="preserve">C2186</t>
  </si>
  <si>
    <t xml:space="preserve">C2187</t>
  </si>
  <si>
    <t xml:space="preserve">disponibilidad</t>
  </si>
  <si>
    <t xml:space="preserve">disponible, no-disponible, parcial</t>
  </si>
  <si>
    <t xml:space="preserve">Disponibilidad del auditor en el plan anual. Valores permitidos: disponible, parcial, no-disponible.</t>
  </si>
  <si>
    <t xml:space="preserve">C2188</t>
  </si>
  <si>
    <t xml:space="preserve">horas_totales</t>
  </si>
  <si>
    <t xml:space="preserve">Horas totales disponibles del auditor en el año. Valor por defecto: 1800.</t>
  </si>
  <si>
    <t xml:space="preserve">¿Las 1800 horas corresponden a la jornada anual del auditor?</t>
  </si>
  <si>
    <t xml:space="preserve">C2189</t>
  </si>
  <si>
    <t xml:space="preserve">horas_asignadas</t>
  </si>
  <si>
    <t xml:space="preserve">Horas del auditor ya asignadas a auditorías.</t>
  </si>
  <si>
    <t xml:space="preserve">C2190</t>
  </si>
  <si>
    <t xml:space="preserve">auditorias_asignadas</t>
  </si>
  <si>
    <t xml:space="preserve">Cantidad de auditorías asignadas al auditor.</t>
  </si>
  <si>
    <t xml:space="preserve">C2191</t>
  </si>
  <si>
    <t xml:space="preserve">rol_plan_anual_5</t>
  </si>
  <si>
    <t xml:space="preserve">idx_rol_plan_5_plan, rol_plan_anual_5_plan_id_rol_numero_key</t>
  </si>
  <si>
    <t xml:space="preserve">Mapeada en internal-institutional-control-service/src/esap/plan-anual-5-roles/entities/rol-plan-anual-5.entity.ts:22 (RolPlanAnual5.planId)</t>
  </si>
  <si>
    <t xml:space="preserve">Identificador del plan anual al que pertenece el rol (control_interno.plan_anual_5_roles).</t>
  </si>
  <si>
    <t xml:space="preserve">uso en fn_actualizar_cumplimiento_auditorias_vigencia (JOIN con plan_anual_5_roles)</t>
  </si>
  <si>
    <t xml:space="preserve">C2192</t>
  </si>
  <si>
    <t xml:space="preserve">Función control_interno.fn_actualizar_cumplimiento_auditorias_vigencia; Función control_interno.fn_configurar_actividad_auditorias_plan; Vista control_interno.v_estado_vinculacion_auditorias — control_interno.fn_actualizar_cumplimiento_auditorias_vigencia: WHERE r.rol_numero = 4 | control_interno.fn_configurar_actividad_auditorias_plan: AND r.rol_numero = 4</t>
  </si>
  <si>
    <t xml:space="preserve">rol_plan_anual_5_plan_id_rol_numero_key</t>
  </si>
  <si>
    <t xml:space="preserve">internal-institutional-control-service/src/esap/plan-anual-5-roles/entities/rol-plan-anual-5.entity.ts:30: 1-5</t>
  </si>
  <si>
    <t xml:space="preserve">Número del rol dentro del plan anual, de 1 a 5; único por plan. Las funciones de cumplimiento de auditorías usan el rol 4.</t>
  </si>
  <si>
    <t xml:space="preserve">código: internal-institutional-control-service/src/esap/plan-anual-5-roles/entities/rol-plan-anual-5.entity.ts:30; uso en la función control_interno.fn_actualizar_cumplimiento_auditorias_vigencia</t>
  </si>
  <si>
    <t xml:space="preserve">C2193</t>
  </si>
  <si>
    <t xml:space="preserve">Mapeada en internal-institutional-control-service/src/esap/plan-anual-5-roles/entities/rol-plan-anual-5.entity.ts:33 (RolPlanAnual5.nombre) | Validación: IsNotEmpty, IsNotEmpty({ message: 'El nombre del documento es obligatorio' }), IsOptional, IsString, Length(1, 500), MaxLength(120)</t>
  </si>
  <si>
    <t xml:space="preserve">Nombre del registro de rol_plan_anual_5.</t>
  </si>
  <si>
    <t xml:space="preserve">C2194</t>
  </si>
  <si>
    <t xml:space="preserve">Mapeada en internal-institutional-control-service/src/esap/plan-anual-5-roles/entities/rol-plan-anual-5.entity.ts:36 (RolPlanAnual5.descripcion) | Validación: IsNotEmpty, IsOptional, IsString</t>
  </si>
  <si>
    <t xml:space="preserve">Descripción del registro de rol_plan_anual_5.</t>
  </si>
  <si>
    <t xml:space="preserve">C2195</t>
  </si>
  <si>
    <t xml:space="preserve">Mapeada en internal-institutional-control-service/src/esap/plan-anual-5-roles/entities/rol-plan-anual-5.entity.ts:39 (RolPlanAnual5.color) | Validación: IsOptional, IsString, MaxLength(120)</t>
  </si>
  <si>
    <t xml:space="preserve">C2196</t>
  </si>
  <si>
    <t xml:space="preserve">Función control_interno.fn_actualizar_cumplimiento_auditorias_vigencia — control_interno.fn_actualizar_cumplimiento_auditorias_vigencia: porcentaje_avance = v_cumplimiento.porcentaje_cumplimiento,</t>
  </si>
  <si>
    <t xml:space="preserve">Mapeada en internal-institutional-control-service/src/esap/plan-anual-5-roles/entities/rol-plan-anual-5.entity.ts:42 (RolPlanAnual5.porcentaje_cumplimiento) | Validación: IsInt, IsOptional, Max(100), Min(0)</t>
  </si>
  <si>
    <t xml:space="preserve">Porcentaje de cumplimiento del rol en el plan anual, entre 0 y 100.</t>
  </si>
  <si>
    <t xml:space="preserve">validaciones + uso en fn_actualizar_cumplimiento_auditorias_vigencia</t>
  </si>
  <si>
    <t xml:space="preserve">C2197</t>
  </si>
  <si>
    <t xml:space="preserve">Mapeada en internal-institutional-control-service/src/esap/plan-anual-5-roles/entities/rol-plan-anual-5.entity.ts:45 (RolPlanAnual5.total_actividades)</t>
  </si>
  <si>
    <t xml:space="preserve">Cantidad total de actividades del rol en el plan anual.</t>
  </si>
  <si>
    <t xml:space="preserve">C2198</t>
  </si>
  <si>
    <t xml:space="preserve">seccion_lista_chequeo</t>
  </si>
  <si>
    <t xml:space="preserve">lista_id</t>
  </si>
  <si>
    <t xml:space="preserve">idx_seccion_lista</t>
  </si>
  <si>
    <t xml:space="preserve">Identificador de la lista de chequeo a la que pertenece la sección (control_interno.lista_chequeo).</t>
  </si>
  <si>
    <t xml:space="preserve">C2199</t>
  </si>
  <si>
    <t xml:space="preserve">C2200</t>
  </si>
  <si>
    <t xml:space="preserve">Nombre del registro de seccion_lista_chequeo.</t>
  </si>
  <si>
    <t xml:space="preserve">C2201</t>
  </si>
  <si>
    <t xml:space="preserve">Descripción del registro de seccion_lista_chequeo.</t>
  </si>
  <si>
    <t xml:space="preserve">C2202</t>
  </si>
  <si>
    <t xml:space="preserve">seguimiento_plan</t>
  </si>
  <si>
    <t xml:space="preserve">internal-institutional-control-service/src/esap/planes-mejoramiento/entities/seguimiento-plan.entity.ts:20: TRIMESTRAL | SEMESTRAL | internal-institutional-control-service/db/init/011_seguimiento_plan_ddl.sql:11: TRIMESTRAL | SEMESTRAL | Validación: IsEnum(['mensual', 'bimestral', 'trimestral', 'cuatrimestral', 'semestral', 'anual']), IsNotEmpty, IsOptional</t>
  </si>
  <si>
    <t xml:space="preserve">Periodicidad del corte de seguimiento del plan de mejoramiento. Valores documentados: TRIMESTRAL, SEMESTRAL; valor por defecto TRIMESTRAL.</t>
  </si>
  <si>
    <t xml:space="preserve">código: internal-institutional-control-service/src/esap/planes-mejoramiento/entities/seguimiento-plan.entity.ts:20; db/init/011_seguimiento_plan_ddl.sql:11</t>
  </si>
  <si>
    <t xml:space="preserve">La validación del DTO admite mensual, bimestral, trimestral, cuatrimestral, semestral y anual en minúscula; ¿qué valores y qué formato son los vigentes?</t>
  </si>
  <si>
    <t xml:space="preserve">C2203</t>
  </si>
  <si>
    <t xml:space="preserve">tipo_control</t>
  </si>
  <si>
    <t xml:space="preserve">internal-institutional-control-service/src/esap/planes-mejoramiento/entities/seguimiento-plan.entity.ts:24: INTERNO | ENTE_EXTERNO | internal-institutional-control-service/db/init/011_seguimiento_plan_ddl.sql:12: INTERNO | ENTE_EXTERNO</t>
  </si>
  <si>
    <t xml:space="preserve">Tipo de control del seguimiento. Valores: INTERNO, ENTE_EXTERNO; valor por defecto INTERNO.</t>
  </si>
  <si>
    <t xml:space="preserve">código: internal-institutional-control-service/src/esap/planes-mejoramiento/entities/seguimiento-plan.entity.ts:24</t>
  </si>
  <si>
    <t xml:space="preserve">C2204</t>
  </si>
  <si>
    <t xml:space="preserve">fecha_corte</t>
  </si>
  <si>
    <t xml:space="preserve">idx_seguimiento_plan_fecha_corte</t>
  </si>
  <si>
    <t xml:space="preserve">internal-institutional-control-service/src/esap/planes-mejoramiento/entities/seguimiento-plan.entity.ts:28: Fecha de corte del seguimiento | Validación: IsDateString, IsNotEmpty, IsOptional, IsString</t>
  </si>
  <si>
    <t xml:space="preserve">Fecha de corte del seguimiento.</t>
  </si>
  <si>
    <t xml:space="preserve">código: internal-institutional-control-service/src/esap/planes-mejoramiento/entities/seguimiento-plan.entity.ts:28</t>
  </si>
  <si>
    <t xml:space="preserve">C2205</t>
  </si>
  <si>
    <t xml:space="preserve">internal-institutional-control-service/src/esap/planes-mejoramiento/entities/seguimiento-plan.entity.ts:32: ID del responsable (Jefe OCI / equipo auditor) | Validación: IsOptional, IsUUID, Matches(POSTGRES_UUID_RE, { message: 'responsable_id must be a UUID' })</t>
  </si>
  <si>
    <t xml:space="preserve">Identificador (UUID) del responsable del seguimiento: jefe de la Oficina de Control Interno o equipo auditor.</t>
  </si>
  <si>
    <t xml:space="preserve">código: internal-institutional-control-service/src/esap/planes-mejoramiento/entities/seguimiento-plan.entity.ts:32</t>
  </si>
  <si>
    <t xml:space="preserve">C2206</t>
  </si>
  <si>
    <t xml:space="preserve">internal-institutional-control-service/src/esap/planes-mejoramiento/entities/seguimiento-plan.entity.ts:36: Nombre del responsable | Validación: IsOptional, IsString, MaxLength(255)</t>
  </si>
  <si>
    <t xml:space="preserve">Nombre del responsable del seguimiento.</t>
  </si>
  <si>
    <t xml:space="preserve">código: internal-institutional-control-service/src/esap/planes-mejoramiento/entities/seguimiento-plan.entity.ts:36</t>
  </si>
  <si>
    <t xml:space="preserve">C2207</t>
  </si>
  <si>
    <t xml:space="preserve">internal-institutional-control-service/src/esap/planes-mejoramiento/entities/seguimiento-plan.entity.ts:40: Resumen ejecutivo del seguimiento</t>
  </si>
  <si>
    <t xml:space="preserve">Resumen ejecutivo del seguimiento.</t>
  </si>
  <si>
    <t xml:space="preserve">código: internal-institutional-control-service/src/esap/planes-mejoramiento/entities/seguimiento-plan.entity.ts:40</t>
  </si>
  <si>
    <t xml:space="preserve">C2208</t>
  </si>
  <si>
    <t xml:space="preserve">informe_ref</t>
  </si>
  <si>
    <t xml:space="preserve">internal-institutional-control-service/src/esap/planes-mejoramiento/entities/seguimiento-plan.entity.ts:44: Referencia al informe de ley y seguimiento generado | internal-institutional-control-service/db/init/011_seguimiento_plan_ddl.sql:17: Referencia al informe de ley generado</t>
  </si>
  <si>
    <t xml:space="preserve">Referencia al informe de ley y seguimiento generado en el corte.</t>
  </si>
  <si>
    <t xml:space="preserve">código: internal-institutional-control-service/src/esap/planes-mejoramiento/entities/seguimiento-plan.entity.ts:44</t>
  </si>
  <si>
    <t xml:space="preserve">C2209</t>
  </si>
  <si>
    <t xml:space="preserve">total_acciones_evaluadas</t>
  </si>
  <si>
    <t xml:space="preserve">internal-institutional-control-service/src/esap/planes-mejoramiento/entities/seguimiento-plan.entity.ts:48: Número total de acciones evaluadas en este corte</t>
  </si>
  <si>
    <t xml:space="preserve">Número total de acciones del plan evaluadas en el corte.</t>
  </si>
  <si>
    <t xml:space="preserve">código: internal-institutional-control-service/src/esap/planes-mejoramiento/entities/seguimiento-plan.entity.ts:48</t>
  </si>
  <si>
    <t xml:space="preserve">C2210</t>
  </si>
  <si>
    <t xml:space="preserve">acciones_cumplen</t>
  </si>
  <si>
    <t xml:space="preserve">internal-institutional-control-service/src/esap/planes-mejoramiento/entities/seguimiento-plan.entity.ts:52: Acciones que cumplen (cumplimiento = 2)</t>
  </si>
  <si>
    <t xml:space="preserve">Número de acciones que cumplen en el corte (cumplimiento = 2).</t>
  </si>
  <si>
    <t xml:space="preserve">código: internal-institutional-control-service/src/esap/planes-mejoramiento/entities/seguimiento-plan.entity.ts:52</t>
  </si>
  <si>
    <t xml:space="preserve">C2211</t>
  </si>
  <si>
    <t xml:space="preserve">acciones_parcial</t>
  </si>
  <si>
    <t xml:space="preserve">internal-institutional-control-service/src/esap/planes-mejoramiento/entities/seguimiento-plan.entity.ts:56: Acciones cumplimiento parcial (cumplimiento = 1)</t>
  </si>
  <si>
    <t xml:space="preserve">Número de acciones con cumplimiento parcial en el corte (cumplimiento = 1).</t>
  </si>
  <si>
    <t xml:space="preserve">código: internal-institutional-control-service/src/esap/planes-mejoramiento/entities/seguimiento-plan.entity.ts:56</t>
  </si>
  <si>
    <t xml:space="preserve">C2212</t>
  </si>
  <si>
    <t xml:space="preserve">acciones_no_cumplen</t>
  </si>
  <si>
    <t xml:space="preserve">internal-institutional-control-service/src/esap/planes-mejoramiento/entities/seguimiento-plan.entity.ts:60: Acciones que no cumplen (cumplimiento = 0)</t>
  </si>
  <si>
    <t xml:space="preserve">Número de acciones que no cumplen en el corte (cumplimiento = 0).</t>
  </si>
  <si>
    <t xml:space="preserve">código: internal-institutional-control-service/src/esap/planes-mejoramiento/entities/seguimiento-plan.entity.ts:60</t>
  </si>
  <si>
    <t xml:space="preserve">C2213</t>
  </si>
  <si>
    <t xml:space="preserve">alertas_generadas</t>
  </si>
  <si>
    <t xml:space="preserve">internal-institutional-control-service/src/esap/planes-mejoramiento/entities/seguimiento-plan.entity.ts:64: Alertas generadas en este corte</t>
  </si>
  <si>
    <t xml:space="preserve">Número de alertas generadas en el corte.</t>
  </si>
  <si>
    <t xml:space="preserve">código: internal-institutional-control-service/src/esap/planes-mejoramiento/entities/seguimiento-plan.entity.ts:64</t>
  </si>
  <si>
    <t xml:space="preserve">C2214</t>
  </si>
  <si>
    <t xml:space="preserve">automatico</t>
  </si>
  <si>
    <t xml:space="preserve">internal-institutional-control-service/src/esap/planes-mejoramiento/entities/seguimiento-plan.entity.ts:68: ¿El seguimiento fue generado automáticamente por el job? | internal-institutional-control-service/db/init/011_seguimiento_plan_ddl.sql:23: TRUE = generado por job</t>
  </si>
  <si>
    <t xml:space="preserve">Indica si el seguimiento lo generó automáticamente el proceso programado (job): true = generado por el job.</t>
  </si>
  <si>
    <t xml:space="preserve">código: internal-institutional-control-service/src/esap/planes-mejoramiento/entities/seguimiento-plan.entity.ts:68</t>
  </si>
  <si>
    <t xml:space="preserve">C2215</t>
  </si>
  <si>
    <t xml:space="preserve">seguimiento_plan_mejoramiento</t>
  </si>
  <si>
    <t xml:space="preserve">numero_seguimiento</t>
  </si>
  <si>
    <t xml:space="preserve">seguimiento_plan_mejoramiento_plan_id_numero_seguimiento_key</t>
  </si>
  <si>
    <t xml:space="preserve">Número consecutivo del seguimiento dentro del plan de mejoramiento; único por plan.</t>
  </si>
  <si>
    <t xml:space="preserve">nombre + índice único (plan_id, numero_seguimiento)</t>
  </si>
  <si>
    <t xml:space="preserve">C2216</t>
  </si>
  <si>
    <t xml:space="preserve">fecha_seguimiento</t>
  </si>
  <si>
    <t xml:space="preserve">Fecha de seguimiento.</t>
  </si>
  <si>
    <t xml:space="preserve">C2217</t>
  </si>
  <si>
    <t xml:space="preserve">realizado_por</t>
  </si>
  <si>
    <t xml:space="preserve">Persona que realizó el seguimiento.</t>
  </si>
  <si>
    <t xml:space="preserve">C2218</t>
  </si>
  <si>
    <t xml:space="preserve">C2219</t>
  </si>
  <si>
    <t xml:space="preserve">Porcentaje de cumplimiento registrado en el seguimiento.</t>
  </si>
  <si>
    <t xml:space="preserve">¿Es un porcentaje de 0 a 100?</t>
  </si>
  <si>
    <t xml:space="preserve">C2220</t>
  </si>
  <si>
    <t xml:space="preserve">efectividad</t>
  </si>
  <si>
    <t xml:space="preserve">Porcentaje de efectividad registrado en el seguimiento.</t>
  </si>
  <si>
    <t xml:space="preserve">C2221</t>
  </si>
  <si>
    <t xml:space="preserve">Cantidad de acciones implementadas a la fecha del seguimiento.</t>
  </si>
  <si>
    <t xml:space="preserve">C2222</t>
  </si>
  <si>
    <t xml:space="preserve">acciones_totales</t>
  </si>
  <si>
    <t xml:space="preserve">Cantidad total de acciones del plan de mejoramiento evaluadas en el seguimiento.</t>
  </si>
  <si>
    <t xml:space="preserve">C2223</t>
  </si>
  <si>
    <t xml:space="preserve">seguimiento_trimestral</t>
  </si>
  <si>
    <t xml:space="preserve">idx_seguimiento_trimestral_trimestre</t>
  </si>
  <si>
    <t xml:space="preserve">Mapeada en internal-institutional-control-service/src/esap/planes-mejoramiento/entities/seguimiento-trimestral.entity.ts:26 (SeguimientoTrimestral.trimestre) | Validación: IsInt, IsOptional, Max(4), Min(1)</t>
  </si>
  <si>
    <t xml:space="preserve">Trimestre del seguimiento, de 1 a 4.</t>
  </si>
  <si>
    <t xml:space="preserve">nombre + validaciones Min(1), Max(4)</t>
  </si>
  <si>
    <t xml:space="preserve">C2224</t>
  </si>
  <si>
    <t xml:space="preserve">Mapeada en internal-institutional-control-service/src/esap/planes-mejoramiento/entities/seguimiento-trimestral.entity.ts:29 (SeguimientoTrimestral.año) | Validación: IsInt, IsOptional, Max(2100), Min(2020)</t>
  </si>
  <si>
    <t xml:space="preserve">Año del seguimiento, entre 2020 y 2100.</t>
  </si>
  <si>
    <t xml:space="preserve">nombre + validaciones</t>
  </si>
  <si>
    <t xml:space="preserve">C2225</t>
  </si>
  <si>
    <t xml:space="preserve">Mapeada en internal-institutional-control-service/src/esap/planes-mejoramiento/entities/seguimiento-trimestral.entity.ts:32 (SeguimientoTrimestral.fechaInicio) | Validación: IsDateString, IsNotEmpty, IsOptional</t>
  </si>
  <si>
    <t xml:space="preserve">C2226</t>
  </si>
  <si>
    <t xml:space="preserve">Mapeada en internal-institutional-control-service/src/esap/planes-mejoramiento/entities/seguimiento-trimestral.entity.ts:35 (SeguimientoTrimestral.fechaFin) | Validación: IsDateString, IsNotEmpty, IsOptional</t>
  </si>
  <si>
    <t xml:space="preserve">C2227</t>
  </si>
  <si>
    <t xml:space="preserve">Mapeada en internal-institutional-control-service/src/esap/planes-mejoramiento/entities/seguimiento-trimestral.entity.ts:38 (SeguimientoTrimestral.fechaSeguimiento) | Validación: IsDateString, IsOptional</t>
  </si>
  <si>
    <t xml:space="preserve">C2228</t>
  </si>
  <si>
    <t xml:space="preserve">Mapeada en internal-institutional-control-service/src/esap/planes-mejoramiento/entities/seguimiento-trimestral.entity.ts:41 (SeguimientoTrimestral.avanceGlobal) | Validación: IsInt, IsOptional, Max(100), Min(0)</t>
  </si>
  <si>
    <t xml:space="preserve">Porcentaje de avance global en el trimestre, entre 0 y 100.</t>
  </si>
  <si>
    <t xml:space="preserve">C2229</t>
  </si>
  <si>
    <t xml:space="preserve">Mapeada en internal-institutional-control-service/src/esap/planes-mejoramiento/entities/seguimiento-trimestral.entity.ts:44 (SeguimientoTrimestral.porcentajeCumplimiento) | Validación: IsInt, IsOptional, Max(100), Min(0)</t>
  </si>
  <si>
    <t xml:space="preserve">Porcentaje de cumplimiento en el trimestre, entre 0 y 100.</t>
  </si>
  <si>
    <t xml:space="preserve">C2230</t>
  </si>
  <si>
    <t xml:space="preserve">Mapeada en internal-institutional-control-service/src/esap/planes-mejoramiento/entities/seguimiento-trimestral.entity.ts:47 (SeguimientoTrimestral.porcentajeEfectividad) | Validación: IsInt, IsOptional, Max(100), Min(0)</t>
  </si>
  <si>
    <t xml:space="preserve">Porcentaje de efectividad en el trimestre, entre 0 y 100.</t>
  </si>
  <si>
    <t xml:space="preserve">C2231</t>
  </si>
  <si>
    <t xml:space="preserve">acciones_revisadas</t>
  </si>
  <si>
    <t xml:space="preserve">Mapeada en internal-institutional-control-service/src/esap/planes-mejoramiento/entities/seguimiento-trimestral.entity.ts:50 (SeguimientoTrimestral.accionesRevisadas) | Validación: IsInt, IsOptional, Min(0)</t>
  </si>
  <si>
    <t xml:space="preserve">Cantidad de acciones revisadas en el seguimiento trimestral.</t>
  </si>
  <si>
    <t xml:space="preserve">C2232</t>
  </si>
  <si>
    <t xml:space="preserve">Mapeada en internal-institutional-control-service/src/esap/planes-mejoramiento/entities/seguimiento-trimestral.entity.ts:53 (SeguimientoTrimestral.accionesTotales) | Validación: IsInt, IsOptional, Min(0)</t>
  </si>
  <si>
    <t xml:space="preserve">Cantidad total de acciones del plan en el seguimiento trimestral.</t>
  </si>
  <si>
    <t xml:space="preserve">C2233</t>
  </si>
  <si>
    <t xml:space="preserve">observaciones_generales</t>
  </si>
  <si>
    <t xml:space="preserve">Mapeada en internal-institutional-control-service/src/esap/planes-mejoramiento/entities/seguimiento-trimestral.entity.ts:56 (SeguimientoTrimestral.observacionesGenerales) | Validación: IsOptional, IsString</t>
  </si>
  <si>
    <t xml:space="preserve">Observaciones generales del seguimiento trimestral.</t>
  </si>
  <si>
    <t xml:space="preserve">C2234</t>
  </si>
  <si>
    <t xml:space="preserve">sesiones_esap</t>
  </si>
  <si>
    <t xml:space="preserve">idx_sesiones_token, sesiones_esap_token_key</t>
  </si>
  <si>
    <t xml:space="preserve">Token único de la sesión del usuario.</t>
  </si>
  <si>
    <t xml:space="preserve">C2235</t>
  </si>
  <si>
    <t xml:space="preserve">Dirección IP desde la que se inició la sesión (IPv4 o IPv6).</t>
  </si>
  <si>
    <t xml:space="preserve">C2236</t>
  </si>
  <si>
    <t xml:space="preserve">C2237</t>
  </si>
  <si>
    <t xml:space="preserve">C2238</t>
  </si>
  <si>
    <t xml:space="preserve">idx_sesiones_expiracion</t>
  </si>
  <si>
    <t xml:space="preserve">C2239</t>
  </si>
  <si>
    <t xml:space="preserve">idx_sesiones_activa</t>
  </si>
  <si>
    <t xml:space="preserve">C2240</t>
  </si>
  <si>
    <t xml:space="preserve">tablero_kanban</t>
  </si>
  <si>
    <t xml:space="preserve">Mapeada en internal-institutional-control-service/src/esap/tableros-kanban/entities/tablero-kanban.entity.ts:26 (TableroKanban.nombre) | Validación: IsNotEmpty, IsNotEmpty({ message: 'El nombre del documento es obligatorio' }), IsOptional, IsString, Length(1, 500), MaxLength(120)</t>
  </si>
  <si>
    <t xml:space="preserve">Nombre del registro de tablero_kanban.</t>
  </si>
  <si>
    <t xml:space="preserve">C2241</t>
  </si>
  <si>
    <t xml:space="preserve">Mapeada en internal-institutional-control-service/src/esap/tableros-kanban/entities/tablero-kanban.entity.ts:29 (TableroKanban.descripcion) | Validación: IsNotEmpty, IsOptional, IsString</t>
  </si>
  <si>
    <t xml:space="preserve">Descripción del registro de tablero_kanban.</t>
  </si>
  <si>
    <t xml:space="preserve">C2242</t>
  </si>
  <si>
    <t xml:space="preserve">idx_tablero_kanban_activo</t>
  </si>
  <si>
    <t xml:space="preserve">Mapeada en internal-institutional-control-service/src/esap/tableros-kanban/entities/tablero-kanban.entity.ts:39 (TableroKanban.activo) | Validación: IsBoolean, IsOptional</t>
  </si>
  <si>
    <t xml:space="preserve">C2243</t>
  </si>
  <si>
    <t xml:space="preserve">idx_tablero_kanban_deleted_at</t>
  </si>
  <si>
    <t xml:space="preserve">Mapeada en internal-institutional-control-service/src/esap/tableros-kanban/entities/tablero-kanban.entity.ts:57 (TableroKanban.deletedAt)</t>
  </si>
  <si>
    <t xml:space="preserve">C2244</t>
  </si>
  <si>
    <t xml:space="preserve">configuracion_visual</t>
  </si>
  <si>
    <t xml:space="preserve">Mapeada en internal-institutional-control-service/src/esap/tableros-kanban/entities/tablero-kanban.entity.ts:48 (TableroKanban.configuracionVisual) | Validación: IsOptional</t>
  </si>
  <si>
    <t xml:space="preserve">Configuración visual del tablero Kanban (colores, columnas, disposición), en formato JSON.</t>
  </si>
  <si>
    <t xml:space="preserve">¿Qué estructura tiene el JSON de configuración visual?</t>
  </si>
  <si>
    <t xml:space="preserve">C2245</t>
  </si>
  <si>
    <t xml:space="preserve">tareas_auditoria</t>
  </si>
  <si>
    <t xml:space="preserve">Mapeada en internal-institutional-control-service/src/esap/tareas-auditoria/entities/tarea-auditoria.entity.ts:51 (TareaAuditoria.titulo) | Validación: IsNotEmpty, IsOptional, IsString, MaxLength(255), MaxLength(500)</t>
  </si>
  <si>
    <t xml:space="preserve">C2246</t>
  </si>
  <si>
    <t xml:space="preserve">Mapeada en internal-institutional-control-service/src/esap/tareas-auditoria/entities/tarea-auditoria.entity.ts:54 (TareaAuditoria.descripcion) | Validación: IsNotEmpty, IsOptional, IsString</t>
  </si>
  <si>
    <t xml:space="preserve">Descripción del registro de tareas_auditoria.</t>
  </si>
  <si>
    <t xml:space="preserve">C2247</t>
  </si>
  <si>
    <t xml:space="preserve">control_interno.estado_tarea</t>
  </si>
  <si>
    <t xml:space="preserve">Pendiente, En Progreso, Completada, Cancelada</t>
  </si>
  <si>
    <t xml:space="preserve">idx_tareas_auditoria_estado</t>
  </si>
  <si>
    <t xml:space="preserve">Mapeada en internal-institutional-control-service/src/esap/tareas-auditoria/entities/tarea-auditoria.entity.ts:57 (TareaAuditoria.estado) | Validación: IsEnum(AccionCorrectivaEstado), IsEnum(EstadoEtapa), IsEnum(EstadoPlanIndividual), IsEnum(EstadoTarea), IsEnum(HallazgoEstado), IsEnum(PlanMejoramientoEstado)</t>
  </si>
  <si>
    <t xml:space="preserve">Estado del registro de tareas_auditoria.</t>
  </si>
  <si>
    <t xml:space="preserve">C2248</t>
  </si>
  <si>
    <t xml:space="preserve">control_interno.prioridad_tarea</t>
  </si>
  <si>
    <t xml:space="preserve">Baja, Media, Alta, Urgente</t>
  </si>
  <si>
    <t xml:space="preserve">idx_tareas_auditoria_prioridad</t>
  </si>
  <si>
    <t xml:space="preserve">Mapeada en internal-institutional-control-service/src/esap/tareas-auditoria/entities/tarea-auditoria.entity.ts:64 (TareaAuditoria.prioridad) | Validación: IsEnum(PrioridadAuditoria), IsEnum(PrioridadAuditoriaProgramada), IsEnum(PrioridadNotificacion), IsEnum(PrioridadTarea), IsEnum(['Alta', 'Media', 'Baja']), IsInt</t>
  </si>
  <si>
    <t xml:space="preserve">Prioridad de la tarea. Valores permitidos: Baja, Media, Alta, Urgente.</t>
  </si>
  <si>
    <t xml:space="preserve">valores del tipo enumerado</t>
  </si>
  <si>
    <t xml:space="preserve">C2249</t>
  </si>
  <si>
    <t xml:space="preserve">control_interno.fase_tarea</t>
  </si>
  <si>
    <t xml:space="preserve">Planeación, Ejecución, Comunicación, Seguimiento</t>
  </si>
  <si>
    <t xml:space="preserve">Mapeada en internal-institutional-control-service/src/esap/tareas-auditoria/entities/tarea-auditoria.entity.ts:71 (TareaAuditoria.fase) | Validación: IsEnum(FaseAuditoria), IsEnum(FaseTarea), IsEnum(['planeacion', 'en-curso', 'revision', 'completada']), IsOptional</t>
  </si>
  <si>
    <t xml:space="preserve">Fase de la auditoría a la que corresponde la tarea. Valores permitidos: Planeación, Ejecución, Comunicación, Seguimiento.</t>
  </si>
  <si>
    <t xml:space="preserve">C2250</t>
  </si>
  <si>
    <t xml:space="preserve">idx_tareas_auditoria_responsable_id</t>
  </si>
  <si>
    <t xml:space="preserve">Mapeada en internal-institutional-control-service/src/esap/tareas-auditoria/entities/tarea-auditoria.entity.ts:78 (TareaAuditoria.responsableId) | Validación: IsOptional, IsUUID, Matches(POSTGRES_UUID_RE, { message: 'responsable_id must be a UUID' })</t>
  </si>
  <si>
    <t xml:space="preserve">Identificador del usuario responsable de la tarea.</t>
  </si>
  <si>
    <t xml:space="preserve">¿Es el id de auth."user" u otra tabla de usuarios?</t>
  </si>
  <si>
    <t xml:space="preserve">C2251</t>
  </si>
  <si>
    <t xml:space="preserve">Mapeada en internal-institutional-control-service/src/esap/tareas-auditoria/entities/tarea-auditoria.entity.ts:81 (TareaAuditoria.responsableNombre) | Validación: IsOptional, IsString, MaxLength(255)</t>
  </si>
  <si>
    <t xml:space="preserve">Nombre del usuario responsable de la tarea.</t>
  </si>
  <si>
    <t xml:space="preserve">C2252</t>
  </si>
  <si>
    <t xml:space="preserve">idx_tareas_auditoria_fecha_vencimiento</t>
  </si>
  <si>
    <t xml:space="preserve">Mapeada en internal-institutional-control-service/src/esap/tareas-auditoria/entities/tarea-auditoria.entity.ts:89 (TareaAuditoria.fechaVencimiento) | Validación: IsDateString, IsNotEmpty, IsOptional</t>
  </si>
  <si>
    <t xml:space="preserve">C2253</t>
  </si>
  <si>
    <t xml:space="preserve">fecha_completado</t>
  </si>
  <si>
    <t xml:space="preserve">Mapeada en internal-institutional-control-service/src/esap/tareas-auditoria/entities/tarea-auditoria.entity.ts:92 (TareaAuditoria.fechaCompletado) | Validación: IsDateString, IsOptional</t>
  </si>
  <si>
    <t xml:space="preserve">Fecha completado.</t>
  </si>
  <si>
    <t xml:space="preserve">C2254</t>
  </si>
  <si>
    <t xml:space="preserve">internal-institutional-control-service/src/esap/tareas-auditoria/entities/tarea-auditoria.entity.ts:95: 0-100 | Validación: IsInt, IsOptional, Max(100), Min(0)</t>
  </si>
  <si>
    <t xml:space="preserve">Porcentaje de avance de la tarea de auditoría, de 0 a 100. Por defecto 0.</t>
  </si>
  <si>
    <t xml:space="preserve">código: internal-institutional-control-service/src/esap/tareas-auditoria/entities/tarea-auditoria.entity.ts:95</t>
  </si>
  <si>
    <t xml:space="preserve">C2255</t>
  </si>
  <si>
    <t xml:space="preserve">notas</t>
  </si>
  <si>
    <t xml:space="preserve">Mapeada en internal-institutional-control-service/src/esap/tareas-auditoria/entities/tarea-auditoria.entity.ts:98 (TareaAuditoria.notas) | Validación: IsOptional, IsString</t>
  </si>
  <si>
    <t xml:space="preserve">Notas registradas sobre la tarea de auditoría.</t>
  </si>
  <si>
    <t xml:space="preserve">C2256</t>
  </si>
  <si>
    <t xml:space="preserve">idx_tipo_proceso_orden</t>
  </si>
  <si>
    <t xml:space="preserve">Mapeada en internal-institutional-control-service/src/esap/universo-auditorias/entities/tipo-proceso.entity.ts:29 (TipoProceso.orden) | Validación: IsInt, IsOptional, Min(1)</t>
  </si>
  <si>
    <t xml:space="preserve">C2257</t>
  </si>
  <si>
    <t xml:space="preserve">idx_tipo_proceso_activo</t>
  </si>
  <si>
    <t xml:space="preserve">Mapeada en internal-institutional-control-service/src/esap/universo-auditorias/entities/tipo-proceso.entity.ts:32 (TipoProceso.activo) | Validación: IsBoolean, IsOptional</t>
  </si>
  <si>
    <t xml:space="preserve">C2258</t>
  </si>
  <si>
    <t xml:space="preserve">usuarios_esap</t>
  </si>
  <si>
    <t xml:space="preserve">idx_usuarios_esap_codigo, usuarios_esap_codigo_key</t>
  </si>
  <si>
    <t xml:space="preserve">Código del registro de usuarios_esap. Único en la tabla.</t>
  </si>
  <si>
    <t xml:space="preserve">C2259</t>
  </si>
  <si>
    <t xml:space="preserve">nombre_completo</t>
  </si>
  <si>
    <t xml:space="preserve">Nombre completo del usuario.</t>
  </si>
  <si>
    <t xml:space="preserve">C2260</t>
  </si>
  <si>
    <t xml:space="preserve">idx_usuarios_esap_email, usuarios_esap_email_key</t>
  </si>
  <si>
    <t xml:space="preserve">C2261</t>
  </si>
  <si>
    <t xml:space="preserve">Cargo del usuario en la ESAP.</t>
  </si>
  <si>
    <t xml:space="preserve">C2262</t>
  </si>
  <si>
    <t xml:space="preserve">Área o dependencia a la que pertenece el usuario.</t>
  </si>
  <si>
    <t xml:space="preserve">C2263</t>
  </si>
  <si>
    <t xml:space="preserve">Rol del usuario en el sistema.</t>
  </si>
  <si>
    <t xml:space="preserve">¿Qué roles existen y de qué catálogo provienen?</t>
  </si>
  <si>
    <t xml:space="preserve">C2264</t>
  </si>
  <si>
    <t xml:space="preserve">idx_usuarios_esap_activo</t>
  </si>
  <si>
    <t xml:space="preserve">C2265</t>
  </si>
  <si>
    <t xml:space="preserve">ultimo_acceso</t>
  </si>
  <si>
    <t xml:space="preserve">Fecha y hora del último acceso del usuario al sistema.</t>
  </si>
  <si>
    <t xml:space="preserve">C2266</t>
  </si>
  <si>
    <t xml:space="preserve">version_lista_chequeo</t>
  </si>
  <si>
    <t xml:space="preserve">idx_version_lista</t>
  </si>
  <si>
    <t xml:space="preserve">Identificador de la lista de chequeo versionada (control_interno.lista_chequeo).</t>
  </si>
  <si>
    <t xml:space="preserve">C2267</t>
  </si>
  <si>
    <t xml:space="preserve">C2268</t>
  </si>
  <si>
    <t xml:space="preserve">Fecha de la versión de la lista de chequeo.</t>
  </si>
  <si>
    <t xml:space="preserve">C2269</t>
  </si>
  <si>
    <t xml:space="preserve">Usuario que generó la versión de la lista de chequeo.</t>
  </si>
  <si>
    <t xml:space="preserve">¿Guarda el nombre, el correo o el identificador del usuario?</t>
  </si>
  <si>
    <t xml:space="preserve">C2270</t>
  </si>
  <si>
    <t xml:space="preserve">cambios</t>
  </si>
  <si>
    <t xml:space="preserve">Descripción de los cambios incluidos en la versión.</t>
  </si>
  <si>
    <t xml:space="preserve">C2271</t>
  </si>
  <si>
    <t xml:space="preserve">motivo_cambio</t>
  </si>
  <si>
    <t xml:space="preserve">Motivo del cambio.</t>
  </si>
  <si>
    <t xml:space="preserve">C2272</t>
  </si>
  <si>
    <t xml:space="preserve">version_programa_anual</t>
  </si>
  <si>
    <t xml:space="preserve">idx_version_programa_anual_vigencia, uq_version_programa_anual</t>
  </si>
  <si>
    <t xml:space="preserve">Mapeada en internal-institutional-control-service/src/esap/programa-anual-versiones/entities/version-programa-anual.entity.ts:49 (VersionProgramaAnual.vigencia) | Validación: IsNumber, IsOptional, Max(2100), Min(2020)</t>
  </si>
  <si>
    <t xml:space="preserve">C2273</t>
  </si>
  <si>
    <t xml:space="preserve">Mapeada en internal-institutional-control-service/src/esap/programa-anual-versiones/entities/version-programa-anual.entity.ts:52 (VersionProgramaAnual.version) | Validación: IsOptional, IsString</t>
  </si>
  <si>
    <t xml:space="preserve">C2274</t>
  </si>
  <si>
    <t xml:space="preserve">db/migrations/656_versionamiento_programa_anual.sql:13: Huella de los campos que imprime el documento: si no cambia, no hay versión nueva.</t>
  </si>
  <si>
    <t xml:space="preserve">Huella (hash) de los campos que imprime el documento del Programa Anual; si no cambia, no se genera una versión nueva (EFDS-1919).</t>
  </si>
  <si>
    <t xml:space="preserve">código: db/migrations/656_versionamiento_programa_anual.sql:13</t>
  </si>
  <si>
    <t xml:space="preserve">C2275</t>
  </si>
  <si>
    <t xml:space="preserve">filas</t>
  </si>
  <si>
    <t xml:space="preserve">db/migrations/656_versionamiento_programa_anual.sql:15: Filas del programa tal como quedaron en esta versión.</t>
  </si>
  <si>
    <t xml:space="preserve">Filas del Programa Anual tal como quedaron en esta versión, en formato JSON.</t>
  </si>
  <si>
    <t xml:space="preserve">código: db/migrations/656_versionamiento_programa_anual.sql:15</t>
  </si>
  <si>
    <t xml:space="preserve">C2276</t>
  </si>
  <si>
    <t xml:space="preserve">db/migrations/656_versionamiento_programa_anual.sql:17: Diferencias frente a la versión anterior (vacío en la versión 1).</t>
  </si>
  <si>
    <t xml:space="preserve">Diferencias frente a la versión anterior, en formato JSON; vacío en la versión 1.</t>
  </si>
  <si>
    <t xml:space="preserve">código: db/migrations/656_versionamiento_programa_anual.sql:17</t>
  </si>
  <si>
    <t xml:space="preserve">C2277</t>
  </si>
  <si>
    <t xml:space="preserve">generada_por</t>
  </si>
  <si>
    <t xml:space="preserve">Mapeada en internal-institutional-control-service/src/esap/programa-anual-versiones/entities/version-programa-anual.entity.ts:67 (VersionProgramaAnual.generadaPor)</t>
  </si>
  <si>
    <t xml:space="preserve">C2278</t>
  </si>
  <si>
    <t xml:space="preserve">generada_por_id</t>
  </si>
  <si>
    <t xml:space="preserve">Mapeada en internal-institutional-control-service/src/esap/programa-anual-versiones/entities/version-programa-anual.entity.ts:70 (VersionProgramaAnual.generadaPorId)</t>
  </si>
  <si>
    <t xml:space="preserve">Identificador del usuario que generó la versión del Programa Anual (EFDS-1919).</t>
  </si>
  <si>
    <t xml:space="preserve">C2279</t>
  </si>
  <si>
    <t xml:space="preserve">Mapeada en internal-institutional-control-service/src/esap/programa-anual-versiones/entities/version-programa-anual.entity.ts:64 (VersionProgramaAnual.motivo) | Validación: IsOptional, IsString, MaxLength(1000)</t>
  </si>
  <si>
    <t xml:space="preserve">Motivo de la nueva versión del Programa Anual; hasta 1000 caracteres (EFDS-1919).</t>
  </si>
  <si>
    <t xml:space="preserve">nombre + validación MaxLength(1000)</t>
  </si>
  <si>
    <t xml:space="preserve">C2280</t>
  </si>
  <si>
    <t xml:space="preserve">workflow_aprobacion_informe</t>
  </si>
  <si>
    <t xml:space="preserve">paso_actual</t>
  </si>
  <si>
    <t xml:space="preserve">Mapeada en internal-institutional-control-service/src/esap/informes-ley/entities/workflow-aprobacion-informe.entity.ts:29 (WorkflowAprobacionInforme.pasoActual)</t>
  </si>
  <si>
    <t xml:space="preserve">Número del paso en que se encuentra el workflow de aprobación. Valor por defecto: 1.</t>
  </si>
  <si>
    <t xml:space="preserve">nombre + defecto + tabla paso_workflow_informe</t>
  </si>
  <si>
    <t xml:space="preserve">C2281</t>
  </si>
  <si>
    <t xml:space="preserve">estado_workflow</t>
  </si>
  <si>
    <t xml:space="preserve">aprobado, completado, en-aprobacion, en-elaboracion, en-revision, rechazado</t>
  </si>
  <si>
    <t xml:space="preserve">idx_workflow_estado</t>
  </si>
  <si>
    <t xml:space="preserve">Mapeada en internal-institutional-control-service/src/esap/informes-ley/entities/workflow-aprobacion-informe.entity.ts:32 (WorkflowAprobacionInforme.estadoWorkflow)</t>
  </si>
  <si>
    <t xml:space="preserve">Estado del workflow de aprobación del informe. Valores permitidos: en-elaboracion, en-revision, en-aprobacion, aprobado, rechazado, completado.</t>
  </si>
  <si>
    <t xml:space="preserve">C2282</t>
  </si>
  <si>
    <t xml:space="preserve">completado</t>
  </si>
  <si>
    <t xml:space="preserve">Mapeada en internal-institutional-control-service/src/esap/informes-ley/entities/workflow-aprobacion-informe.entity.ts:40 (WorkflowAprobacionInforme.completado)</t>
  </si>
  <si>
    <t xml:space="preserve">Indica si el registro está completado.</t>
  </si>
  <si>
    <t xml:space="preserve">C2283</t>
  </si>
  <si>
    <t xml:space="preserve">Mapeada en internal-institutional-control-service/src/esap/informes-ley/entities/workflow-aprobacion-informe.entity.ts:43 (WorkflowAprobacionInforme.fechaCompletado) | Validación: IsDateString, IsOptional</t>
  </si>
  <si>
    <t xml:space="preserve">C2284</t>
  </si>
  <si>
    <t xml:space="preserve">alertas_enviadas</t>
  </si>
  <si>
    <t xml:space="preserve">internal_disciplinary_control.tipo_alerta_enum</t>
  </si>
  <si>
    <t xml:space="preserve">email, visual, sistema</t>
  </si>
  <si>
    <t xml:space="preserve">Mapeada en internal-disciplinary-control-service/src/entities/alerta-enviada.entity.ts:58 (AlertaEnviada.tipo) | Validación: IsEnum(TipoAlerta), IsEnum(TipoFestivo), IsNotEmpty, IsOptional, IsString, MaxLength(50)</t>
  </si>
  <si>
    <t xml:space="preserve">Tipo del registro de alertas_enviadas.</t>
  </si>
  <si>
    <t xml:space="preserve">C2285</t>
  </si>
  <si>
    <t xml:space="preserve">Mapeada en internal-disciplinary-control-service/src/entities/alerta-enviada.entity.ts:64 (AlertaEnviada.destinatario)</t>
  </si>
  <si>
    <t xml:space="preserve">Destinatario de la alerta.</t>
  </si>
  <si>
    <t xml:space="preserve">¿Guarda el correo electrónico o el identificador del destinatario?</t>
  </si>
  <si>
    <t xml:space="preserve">C2286</t>
  </si>
  <si>
    <t xml:space="preserve">Mapeada en internal-disciplinary-control-service/src/entities/alerta-enviada.entity.ts:67 (AlertaEnviada.asunto)</t>
  </si>
  <si>
    <t xml:space="preserve">Asunto de la alerta enviada.</t>
  </si>
  <si>
    <t xml:space="preserve">C2287</t>
  </si>
  <si>
    <t xml:space="preserve">Mapeada en internal-disciplinary-control-service/src/entities/alerta-enviada.entity.ts:70 (AlertaEnviada.mensaje)</t>
  </si>
  <si>
    <t xml:space="preserve">Texto del mensaje de la alerta enviada.</t>
  </si>
  <si>
    <t xml:space="preserve">C2288</t>
  </si>
  <si>
    <t xml:space="preserve">internal_disciplinary_control.estado_alerta_enum</t>
  </si>
  <si>
    <t xml:space="preserve">enviada, pendiente, error</t>
  </si>
  <si>
    <t xml:space="preserve">IDX_alertas_estado, idx_alertas_estado</t>
  </si>
  <si>
    <t xml:space="preserve">Mapeada en internal-disciplinary-control-service/src/entities/alerta-enviada.entity.ts:73 (AlertaEnviada.estado) | Validación: IsBoolean, IsEnum(AutoStatus), IsEnum(EstadoAlerta), IsEnum(TerminoEstado), IsIn(['activo', 'inactivo']), IsOptional</t>
  </si>
  <si>
    <t xml:space="preserve">Estado del registro de alertas_enviadas.</t>
  </si>
  <si>
    <t xml:space="preserve">C2289</t>
  </si>
  <si>
    <t xml:space="preserve">IDX_alertas_fecha_envio, idx_alertas_fecha_envio</t>
  </si>
  <si>
    <t xml:space="preserve">Mapeada en internal-disciplinary-control-service/src/entities/alerta-enviada.entity.ts:80 (AlertaEnviada.fechaEnvio)</t>
  </si>
  <si>
    <t xml:space="preserve">C2290</t>
  </si>
  <si>
    <t xml:space="preserve">internal-disciplinary-control-service/src/entities/alerta-enviada.entity.ts:83: Si es visual</t>
  </si>
  <si>
    <t xml:space="preserve">Fecha y hora en que el destinatario leyó la alerta; aplica a las alertas visuales.</t>
  </si>
  <si>
    <t xml:space="preserve">código: internal-disciplinary-control-service/src/entities/alerta-enviada.entity.ts:83</t>
  </si>
  <si>
    <t xml:space="preserve">C2291</t>
  </si>
  <si>
    <t xml:space="preserve">error_mensaje</t>
  </si>
  <si>
    <t xml:space="preserve">internal-disciplinary-control-service/src/entities/alerta-enviada.entity.ts:86: Si estado = 'error'</t>
  </si>
  <si>
    <t xml:space="preserve">Mensaje de error del envío de la alerta; se diligencia cuando el estado es error.</t>
  </si>
  <si>
    <t xml:space="preserve">código: internal-disciplinary-control-service/src/entities/alerta-enviada.entity.ts:86</t>
  </si>
  <si>
    <t xml:space="preserve">C2292</t>
  </si>
  <si>
    <t xml:space="preserve">creado_por_id</t>
  </si>
  <si>
    <t xml:space="preserve">internal-disciplinary-control-service/src/entities/alerta-enviada.entity.ts:89: Sistema si es automático, usuario si es manual</t>
  </si>
  <si>
    <t xml:space="preserve">Identificador de quien creó la alerta: el sistema si es automática o el usuario si es manual.</t>
  </si>
  <si>
    <t xml:space="preserve">código: internal-disciplinary-control-service/src/entities/alerta-enviada.entity.ts:89</t>
  </si>
  <si>
    <t xml:space="preserve">¿Qué valor se registra cuando la crea el sistema y a qué tabla corresponde el identificador del usuario?</t>
  </si>
  <si>
    <t xml:space="preserve">C2293</t>
  </si>
  <si>
    <t xml:space="preserve">auto_versions</t>
  </si>
  <si>
    <t xml:space="preserve">autoId</t>
  </si>
  <si>
    <t xml:space="preserve">IDX_auto_versions_autoId, idx_auto_versions_auto</t>
  </si>
  <si>
    <t xml:space="preserve">Identificador del auto al que pertenece la versión.</t>
  </si>
  <si>
    <t xml:space="preserve">¿A qué tabla de autos apunta? ¿Se puede declarar la FK?</t>
  </si>
  <si>
    <t xml:space="preserve">C2294</t>
  </si>
  <si>
    <t xml:space="preserve">Mapeada en internal-disciplinary-control-service/src/entities/auto-version.entity.ts:18 (AutoVersion.contenido)</t>
  </si>
  <si>
    <t xml:space="preserve">Contenido del auto en esta versión.</t>
  </si>
  <si>
    <t xml:space="preserve">¿El contenido está en HTML o texto plano?</t>
  </si>
  <si>
    <t xml:space="preserve">C2295</t>
  </si>
  <si>
    <t xml:space="preserve">versionNumber</t>
  </si>
  <si>
    <t xml:space="preserve">idx_auto_versions_number</t>
  </si>
  <si>
    <t xml:space="preserve">Mapeada en internal-disciplinary-control-service/src/entities/auto-version.entity.ts:21 (AutoVersion.versionNumber)</t>
  </si>
  <si>
    <t xml:space="preserve">Número de la versión del auto.</t>
  </si>
  <si>
    <t xml:space="preserve">C2296</t>
  </si>
  <si>
    <t xml:space="preserve">changeReason</t>
  </si>
  <si>
    <t xml:space="preserve">Mapeada en internal-disciplinary-control-service/src/entities/auto-version.entity.ts:27 (AutoVersion.changeReason)</t>
  </si>
  <si>
    <t xml:space="preserve">Motivo del cambio que generó la versión del auto.</t>
  </si>
  <si>
    <t xml:space="preserve">C2297</t>
  </si>
  <si>
    <t xml:space="preserve">autos_configuration</t>
  </si>
  <si>
    <t xml:space="preserve">id</t>
  </si>
  <si>
    <t xml:space="preserve">Mapeada en internal-disciplinary-control-service/src/entities/auto-configuration.entity.ts:11 (AutoConfiguration.id) | Validación: IsOptional, IsUUID</t>
  </si>
  <si>
    <t xml:space="preserve">Identificador único de la configuración de auto (UUID generado automáticamente).</t>
  </si>
  <si>
    <t xml:space="preserve">tipo + defecto gen_random_uuid()</t>
  </si>
  <si>
    <t xml:space="preserve">C2298</t>
  </si>
  <si>
    <t xml:space="preserve">idx_autos_configuration_tipo</t>
  </si>
  <si>
    <t xml:space="preserve">Mapeada en internal-disciplinary-control-service/src/entities/auto-configuration.entity.ts:14 (AutoConfiguration.tipo) | Validación: IsEnum(TipoAlerta), IsEnum(TipoFestivo), IsNotEmpty, IsOptional, IsString, MaxLength(50)</t>
  </si>
  <si>
    <t xml:space="preserve">Tipo del registro de autos_configuration.</t>
  </si>
  <si>
    <t xml:space="preserve">C2299</t>
  </si>
  <si>
    <t xml:space="preserve">Mapeada en internal-disciplinary-control-service/src/entities/auto-configuration.entity.ts:17 (AutoConfiguration.nombre) | Validación: IsNotEmpty, IsOptional, IsString, MaxLength(255)</t>
  </si>
  <si>
    <t xml:space="preserve">Nombre del registro de autos_configuration.</t>
  </si>
  <si>
    <t xml:space="preserve">C2300</t>
  </si>
  <si>
    <t xml:space="preserve">idx_autos_configuration_estado</t>
  </si>
  <si>
    <t xml:space="preserve">Mapeada en internal-disciplinary-control-service/src/entities/auto-configuration.entity.ts:20 (AutoConfiguration.estado) | Validación: IsBoolean, IsEnum(AutoStatus), IsEnum(EstadoAlerta), IsEnum(TerminoEstado), IsIn(['activo', 'inactivo']), IsOptional</t>
  </si>
  <si>
    <t xml:space="preserve">Estado del registro de autos_configuration.</t>
  </si>
  <si>
    <t xml:space="preserve">C2301</t>
  </si>
  <si>
    <t xml:space="preserve">Mapeada en internal-disciplinary-control-service/src/entities/auto-configuration.entity.ts:23 (AutoConfiguration.plantilla) | Validación: IsOptional, IsString</t>
  </si>
  <si>
    <t xml:space="preserve">Contenido de la plantilla del auto.</t>
  </si>
  <si>
    <t xml:space="preserve">¿La plantilla está en HTML o texto con variables?</t>
  </si>
  <si>
    <t xml:space="preserve">C2302</t>
  </si>
  <si>
    <t xml:space="preserve">idx_autos_configuration_orden</t>
  </si>
  <si>
    <t xml:space="preserve">Mapeada en internal-disciplinary-control-service/src/entities/auto-configuration.entity.ts:42 (AutoConfiguration.orden) | Validación: IsInt, IsNumber, IsOptional, Max(9999), Min(0)</t>
  </si>
  <si>
    <t xml:space="preserve">C2303</t>
  </si>
  <si>
    <t xml:space="preserve">stage</t>
  </si>
  <si>
    <t xml:space="preserve">Mapeada en internal-disciplinary-control-service/src/entities/auto-configuration.entity.ts:39 (AutoConfiguration.stage) | Validación: IsOptional, IsString</t>
  </si>
  <si>
    <t xml:space="preserve">Etapa del proceso disciplinario en la que se usa el auto.</t>
  </si>
  <si>
    <t xml:space="preserve">¿Qué etapas existen y de qué catálogo provienen?</t>
  </si>
  <si>
    <t xml:space="preserve">C2304</t>
  </si>
  <si>
    <t xml:space="preserve">dias_festivos</t>
  </si>
  <si>
    <t xml:space="preserve">idx_festivos_fecha, idx_unique_festivo_fecha_tipo_territorio</t>
  </si>
  <si>
    <t xml:space="preserve">Mapeada en internal-disciplinary-control-service/src/entities/dia-festivo.entity.ts:26 (DiaFestivo.fecha) | Validación: IsDateString, IsNotEmpty, IsOptional</t>
  </si>
  <si>
    <t xml:space="preserve">Fecha del día festivo; única por tipo y territorio.</t>
  </si>
  <si>
    <t xml:space="preserve">nombre + índice único (fecha, tipo, territorio)</t>
  </si>
  <si>
    <t xml:space="preserve">C2305</t>
  </si>
  <si>
    <t xml:space="preserve">Mapeada en internal-disciplinary-control-service/src/entities/dia-festivo.entity.ts:29 (DiaFestivo.descripcion) | Validación: IsNotEmpty, IsObject, IsOptional, IsString</t>
  </si>
  <si>
    <t xml:space="preserve">Descripción del registro de dias_festivos.</t>
  </si>
  <si>
    <t xml:space="preserve">C2306</t>
  </si>
  <si>
    <t xml:space="preserve">internal_disciplinary_control.tipo_festivo_enum</t>
  </si>
  <si>
    <t xml:space="preserve">nacional, regional, institucional</t>
  </si>
  <si>
    <t xml:space="preserve">idx_festivos_tipo, idx_unique_festivo_fecha_tipo_territorio</t>
  </si>
  <si>
    <t xml:space="preserve">Mapeada en internal-disciplinary-control-service/src/entities/dia-festivo.entity.ts:32 (DiaFestivo.tipo) | Validación: IsEnum(TipoAlerta), IsEnum(TipoFestivo), IsNotEmpty, IsOptional, IsString, MaxLength(50)</t>
  </si>
  <si>
    <t xml:space="preserve">Tipo del registro de dias_festivos.</t>
  </si>
  <si>
    <t xml:space="preserve">C2307</t>
  </si>
  <si>
    <t xml:space="preserve">territorio</t>
  </si>
  <si>
    <t xml:space="preserve">internal-disciplinary-control-service/src/entities/dia-festivo.entity.ts:38: Solo si tipo = 'regional' | Validación: IsOptional, IsString</t>
  </si>
  <si>
    <t xml:space="preserve">Territorio al que aplica el día festivo; se diligencia solo si el tipo es regional.</t>
  </si>
  <si>
    <t xml:space="preserve">código: internal-disciplinary-control-service/src/entities/dia-festivo.entity.ts:38</t>
  </si>
  <si>
    <t xml:space="preserve">C2308</t>
  </si>
  <si>
    <t xml:space="preserve">idx_festivos_activo</t>
  </si>
  <si>
    <t xml:space="preserve">Mapeada en internal-disciplinary-control-service/src/entities/dia-festivo.entity.ts:41 (DiaFestivo.activo) | Validación: IsBoolean, IsOptional</t>
  </si>
  <si>
    <t xml:space="preserve">C2309</t>
  </si>
  <si>
    <t xml:space="preserve">internal-disciplinary-control-service/src/entities/dia-festivo.entity.ts:44: FK a personas</t>
  </si>
  <si>
    <t xml:space="preserve">Identificador de la persona que registró el día festivo.</t>
  </si>
  <si>
    <t xml:space="preserve">código: internal-disciplinary-control-service/src/entities/dia-festivo.entity.ts:44</t>
  </si>
  <si>
    <t xml:space="preserve">¿Referencia auth.personas.id_person? No tiene FK declarada.</t>
  </si>
  <si>
    <t xml:space="preserve">C2310</t>
  </si>
  <si>
    <t xml:space="preserve">disciplinary_news</t>
  </si>
  <si>
    <t xml:space="preserve">disciplinary_news_radicado_key, idx_disciplinary_news_radicado, idx_news_radicado</t>
  </si>
  <si>
    <t xml:space="preserve">internal-disciplinary-control-service/src/entities/disciplinary-news.entity.ts:64: ND-2025-001 | Validación: IsOptional, IsString</t>
  </si>
  <si>
    <t xml:space="preserve">Número de radicado único de la noticia disciplinaria, por ejemplo ND-2025-001.</t>
  </si>
  <si>
    <t xml:space="preserve">código: internal-disciplinary-control-service/src/entities/disciplinary-news.entity.ts:64</t>
  </si>
  <si>
    <t xml:space="preserve">C2311</t>
  </si>
  <si>
    <t xml:space="preserve">fechaRecepcion</t>
  </si>
  <si>
    <t xml:space="preserve">idx_news_fecha</t>
  </si>
  <si>
    <t xml:space="preserve">Mapeada en internal-disciplinary-control-service/src/entities/disciplinary-news.entity.ts:68 (DisciplinaryNews.fechaRecepcion)</t>
  </si>
  <si>
    <t xml:space="preserve">Fecha y hora de recepción de la noticia disciplinaria. Por defecto, la fecha y hora de creación del registro.</t>
  </si>
  <si>
    <t xml:space="preserve">C2312</t>
  </si>
  <si>
    <t xml:space="preserve">internal_disciplinary_control.disciplinary_news_origen_enum</t>
  </si>
  <si>
    <t xml:space="preserve">ANONIMO, QUEJOSO, OFICIO, REMISION, POR_DETERMINAR</t>
  </si>
  <si>
    <t xml:space="preserve">Mapeada en internal-disciplinary-control-service/src/entities/disciplinary-news.entity.ts:74 (DisciplinaryNews.origen)</t>
  </si>
  <si>
    <t xml:space="preserve">Origen de la noticia disciplinaria. Valores permitidos: ANONIMO, QUEJOSO, OFICIO, REMISION, POR_DETERMINAR.</t>
  </si>
  <si>
    <t xml:space="preserve">C2313</t>
  </si>
  <si>
    <t xml:space="preserve">idx_news_territorial</t>
  </si>
  <si>
    <t xml:space="preserve">Mapeada en internal-disciplinary-control-service/src/entities/disciplinary-news.entity.ts:77 (DisciplinaryNews.territorial) | Validación: IsString</t>
  </si>
  <si>
    <t xml:space="preserve">Dirección territorial donde se recibe o a la que corresponde la noticia disciplinaria.</t>
  </si>
  <si>
    <t xml:space="preserve">¿Es la territorial del denunciado o la de recepción?</t>
  </si>
  <si>
    <t xml:space="preserve">C2314</t>
  </si>
  <si>
    <t xml:space="preserve">dependenciaDenunciado</t>
  </si>
  <si>
    <t xml:space="preserve">Mapeada en internal-disciplinary-control-service/src/entities/disciplinary-news.entity.ts:80 (DisciplinaryNews.dependenciaDenunciado) | Validación: IsString</t>
  </si>
  <si>
    <t xml:space="preserve">Dependencia a la que pertenece el denunciado.</t>
  </si>
  <si>
    <t xml:space="preserve">C2315</t>
  </si>
  <si>
    <t xml:space="preserve">Mapeada en internal-disciplinary-control-service/src/entities/disciplinary-news.entity.ts:89 (DisciplinaryNews.hechos) | Validación: IsOptional, IsString</t>
  </si>
  <si>
    <t xml:space="preserve">Descripción de los hechos objeto de la noticia disciplinaria.</t>
  </si>
  <si>
    <t xml:space="preserve">C2316</t>
  </si>
  <si>
    <t xml:space="preserve">adjuntos</t>
  </si>
  <si>
    <t xml:space="preserve">Mapeada en internal-disciplinary-control-service/src/entities/disciplinary-news.entity.ts:102 (DisciplinaryNews.adjuntos)</t>
  </si>
  <si>
    <t xml:space="preserve">Archivos adjuntos de la noticia disciplinaria, como arreglo de textos.</t>
  </si>
  <si>
    <t xml:space="preserve">C2317</t>
  </si>
  <si>
    <t xml:space="preserve">Mapeada en internal-disciplinary-control-service/src/entities/disciplinary-news.entity.ts:105 (DisciplinaryNews.observaciones) | Validación: IsNotEmpty, IsOptional, IsString</t>
  </si>
  <si>
    <t xml:space="preserve">C2318</t>
  </si>
  <si>
    <t xml:space="preserve">historialAuditoria</t>
  </si>
  <si>
    <t xml:space="preserve">Mapeada en internal-disciplinary-control-service/src/entities/disciplinary-news.entity.ts:126 (DisciplinaryNews.historialAuditoria)</t>
  </si>
  <si>
    <t xml:space="preserve">Historial de cambios de la noticia disciplinaria, como arreglo JSON.</t>
  </si>
  <si>
    <t xml:space="preserve">¿Qué datos se registran por cada cambio (usuario, fecha, acción)?</t>
  </si>
  <si>
    <t xml:space="preserve">C2319</t>
  </si>
  <si>
    <t xml:space="preserve">kanbanStage</t>
  </si>
  <si>
    <t xml:space="preserve">Mapeada en internal-disciplinary-control-service/src/entities/disciplinary-news.entity.ts:111 (DisciplinaryNews.kanbanStage) | Validación: IsNumber, IsOptional</t>
  </si>
  <si>
    <t xml:space="preserve">Identificador de la etapa del tablero Kanban en que se encuentra la noticia disciplinaria.</t>
  </si>
  <si>
    <t xml:space="preserve">La validación espera un número y la columna es uuid: ¿a qué tabla de etapas apunta?</t>
  </si>
  <si>
    <t xml:space="preserve">C2320</t>
  </si>
  <si>
    <t xml:space="preserve">fechaHechos</t>
  </si>
  <si>
    <t xml:space="preserve">Mapeada en internal-disciplinary-control-service/src/entities/disciplinary-news.entity.ts:120 (DisciplinaryNews.fechaHechos)</t>
  </si>
  <si>
    <t xml:space="preserve">Fecha en que ocurrieron los hechos.</t>
  </si>
  <si>
    <t xml:space="preserve">C2321</t>
  </si>
  <si>
    <t xml:space="preserve">fechaCaducidad</t>
  </si>
  <si>
    <t xml:space="preserve">Mapeada en internal-disciplinary-control-service/src/entities/disciplinary-news.entity.ts:123 (DisciplinaryNews.fechaCaducidad)</t>
  </si>
  <si>
    <t xml:space="preserve">Fecha de caducidad de la acción disciplinaria.</t>
  </si>
  <si>
    <t xml:space="preserve">¿Se calcula a partir de fechaHechos según el término legal?</t>
  </si>
  <si>
    <t xml:space="preserve">C2322</t>
  </si>
  <si>
    <t xml:space="preserve">proceso_asociado_id</t>
  </si>
  <si>
    <t xml:space="preserve">idx_news_proceso_asociado_id</t>
  </si>
  <si>
    <t xml:space="preserve">internal-disciplinary-control-service/src/entities/disciplinary-news.entity.ts:140: Nota: Relación con asociaciones noticia-proceso se maneja via consultas directas para evitar dependencias circulares con DisciplinaryNewsProcess</t>
  </si>
  <si>
    <t xml:space="preserve">Identificador del proceso disciplinario asociado a la noticia.</t>
  </si>
  <si>
    <t xml:space="preserve">¿A qué tabla de procesos disciplinarios corresponde el identificador? No tiene FK declarada.</t>
  </si>
  <si>
    <t xml:space="preserve">C2323</t>
  </si>
  <si>
    <t xml:space="preserve">proceso_asociado_numero</t>
  </si>
  <si>
    <t xml:space="preserve">internal-disciplinary-control-service/src/entities/disciplinary-news.entity.ts:143: Nota: Relación con asociaciones noticia-proceso se maneja via consultas directas para evitar dependencias circulares con DisciplinaryNewsProcess</t>
  </si>
  <si>
    <t xml:space="preserve">Número del proceso disciplinario asociado a la noticia.</t>
  </si>
  <si>
    <t xml:space="preserve">nombre + tipo + columnas vecinas (proceso_asociado_id)</t>
  </si>
  <si>
    <t xml:space="preserve">¿Es una copia del número del proceso referenciado por proceso_asociado_id?</t>
  </si>
  <si>
    <t xml:space="preserve">C2324</t>
  </si>
  <si>
    <t xml:space="preserve">proceso_asociado_fecha</t>
  </si>
  <si>
    <t xml:space="preserve">internal-disciplinary-control-service/src/entities/disciplinary-news.entity.ts:146: Nota: Relación con asociaciones noticia-proceso se maneja via consultas directas para evitar dependencias circulares con DisciplinaryNewsProcess</t>
  </si>
  <si>
    <t xml:space="preserve">Fecha y hora de la asociación de la noticia con el proceso disciplinario.</t>
  </si>
  <si>
    <t xml:space="preserve">¿Es la fecha en que se hizo la asociación o la fecha del proceso asociado?</t>
  </si>
  <si>
    <t xml:space="preserve">C2325</t>
  </si>
  <si>
    <t xml:space="preserve">proceso_asociado_justificacion</t>
  </si>
  <si>
    <t xml:space="preserve">internal-disciplinary-control-service/src/entities/disciplinary-news.entity.ts:149: Nota: Relación con asociaciones noticia-proceso se maneja via consultas directas para evitar dependencias circulares con DisciplinaryNewsProcess</t>
  </si>
  <si>
    <t xml:space="preserve">Justificación de la asociación de la noticia con el proceso disciplinario.</t>
  </si>
  <si>
    <t xml:space="preserve">C2326</t>
  </si>
  <si>
    <t xml:space="preserve">numero_rc</t>
  </si>
  <si>
    <t xml:space="preserve">idx_news_numero_rc</t>
  </si>
  <si>
    <t xml:space="preserve">internal-disciplinary-control-service/src/entities/disciplinary-news.entity.ts:155: Nota: Relación con asociaciones noticia-proceso se maneja via consultas directas para evitar dependencias circulares con DisciplinaryNewsProcess</t>
  </si>
  <si>
    <t xml:space="preserve">Número RC de la noticia disciplinaria.</t>
  </si>
  <si>
    <t xml:space="preserve">¿Qué significa la sigla RC y quién asigna el número?</t>
  </si>
  <si>
    <t xml:space="preserve">C2327</t>
  </si>
  <si>
    <t xml:space="preserve">entidad_remision</t>
  </si>
  <si>
    <t xml:space="preserve">idx_news_entidad_remision</t>
  </si>
  <si>
    <t xml:space="preserve">internal-disciplinary-control-service/src/entities/disciplinary-news.entity.ts:158: Nota: Relación con asociaciones noticia-proceso se maneja via consultas directas para evitar dependencias circulares con DisciplinaryNewsProcess</t>
  </si>
  <si>
    <t xml:space="preserve">Entidad a la que se remite la noticia disciplinaria.</t>
  </si>
  <si>
    <t xml:space="preserve">¿La remisión es por competencia a otra entidad?</t>
  </si>
  <si>
    <t xml:space="preserve">C2328</t>
  </si>
  <si>
    <t xml:space="preserve">correo_entidad_remision</t>
  </si>
  <si>
    <t xml:space="preserve">internal-disciplinary-control-service/src/entities/disciplinary-news.entity.ts:161: Nota: Relación con asociaciones noticia-proceso se maneja via consultas directas para evitar dependencias circulares con DisciplinaryNewsProcess</t>
  </si>
  <si>
    <t xml:space="preserve">Correo electrónico de la entidad a la que se remite la noticia.</t>
  </si>
  <si>
    <t xml:space="preserve">C2329</t>
  </si>
  <si>
    <t xml:space="preserve">fecha_remision</t>
  </si>
  <si>
    <t xml:space="preserve">idx_news_fecha_remision</t>
  </si>
  <si>
    <t xml:space="preserve">internal-disciplinary-control-service/src/entities/disciplinary-news.entity.ts:164: Nota: Relación con asociaciones noticia-proceso se maneja via consultas directas para evitar dependencias circulares con DisciplinaryNewsProcess</t>
  </si>
  <si>
    <t xml:space="preserve">Fecha y hora de remisión de la noticia a la entidad destino.</t>
  </si>
  <si>
    <t xml:space="preserve">C2330</t>
  </si>
  <si>
    <t xml:space="preserve">tipo_remision</t>
  </si>
  <si>
    <t xml:space="preserve">internal-disciplinary-control-service/src/entities/disciplinary-news.entity.ts:167: Nota: Relación con asociaciones noticia-proceso se maneja via consultas directas para evitar dependencias circulares con DisciplinaryNewsProcess | Validación: IsOptional, IsString</t>
  </si>
  <si>
    <t xml:space="preserve">Tipo de remisión de la noticia disciplinaria.</t>
  </si>
  <si>
    <t xml:space="preserve">¿Qué valores admite tipo_remision?</t>
  </si>
  <si>
    <t xml:space="preserve">C2331</t>
  </si>
  <si>
    <t xml:space="preserve">justificacion_remision</t>
  </si>
  <si>
    <t xml:space="preserve">internal-disciplinary-control-service/src/entities/disciplinary-news.entity.ts:170: Nota: Relación con asociaciones noticia-proceso se maneja via consultas directas para evitar dependencias circulares con DisciplinaryNewsProcess</t>
  </si>
  <si>
    <t xml:space="preserve">Justificación de la remisión de la noticia disciplinaria.</t>
  </si>
  <si>
    <t xml:space="preserve">C2332</t>
  </si>
  <si>
    <t xml:space="preserve">descripcion_remision</t>
  </si>
  <si>
    <t xml:space="preserve">internal-disciplinary-control-service/src/entities/disciplinary-news.entity.ts:173: Nota: Relación con asociaciones noticia-proceso se maneja via consultas directas para evitar dependencias circulares con DisciplinaryNewsProcess</t>
  </si>
  <si>
    <t xml:space="preserve">Descripción de la remisión de la noticia, como arreglo JSON. Por defecto, arreglo vacío.</t>
  </si>
  <si>
    <t xml:space="preserve">¿Qué estructura tienen los elementos del arreglo?</t>
  </si>
  <si>
    <t xml:space="preserve">C2333</t>
  </si>
  <si>
    <t xml:space="preserve">radicador_id</t>
  </si>
  <si>
    <t xml:space="preserve">Mapeada en internal-disciplinary-control-service/src/entities/disciplinary-news.entity.ts:108 (DisciplinaryNews.radicadorId) | Validación: IsOptional, IsString, IsUUID</t>
  </si>
  <si>
    <t xml:space="preserve">Identificador del usuario que radicó la noticia disciplinaria.</t>
  </si>
  <si>
    <t xml:space="preserve">¿Es el id de auth."user" o de auth.personas?</t>
  </si>
  <si>
    <t xml:space="preserve">C2334</t>
  </si>
  <si>
    <t xml:space="preserve">conducta_disciplinaria</t>
  </si>
  <si>
    <t xml:space="preserve">db/migrations/220_add_conducta_column_disciplinary.sql:8: Conducta indisciplinaria seleccionada | Validación: IsString</t>
  </si>
  <si>
    <t xml:space="preserve">Conducta disciplinaria seleccionada para la noticia.</t>
  </si>
  <si>
    <t xml:space="preserve">código: db/migrations/220_add_conducta_column_disciplinary.sql:8</t>
  </si>
  <si>
    <t xml:space="preserve">C2335</t>
  </si>
  <si>
    <t xml:space="preserve">disciplinary_process_actuaciones</t>
  </si>
  <si>
    <t xml:space="preserve">Mapeada en internal-disciplinary-control-service/src/entities/disciplinary-process-actuacion.entity.ts:40 (DisciplinaryProcessActuacion.tipo) | Validación: IsEnum(TipoAlerta), IsEnum(TipoFestivo), IsNotEmpty, IsOptional, IsString, MaxLength(50)</t>
  </si>
  <si>
    <t xml:space="preserve">Tipo del registro de disciplinary_process_actuaciones.</t>
  </si>
  <si>
    <t xml:space="preserve">C2336</t>
  </si>
  <si>
    <t xml:space="preserve">Mapeada en internal-disciplinary-control-service/src/entities/disciplinary-process-actuacion.entity.ts:43 (DisciplinaryProcessActuacion.etapa) | Validación: IsOptional, IsString, MaxLength(80)</t>
  </si>
  <si>
    <t xml:space="preserve">Etapa del proceso disciplinario en que se registra la actuación.</t>
  </si>
  <si>
    <t xml:space="preserve">C2337</t>
  </si>
  <si>
    <t xml:space="preserve">Mapeada en internal-disciplinary-control-service/src/entities/disciplinary-process-actuacion.entity.ts:46 (DisciplinaryProcessActuacion.descripcion) | Validación: IsNotEmpty, IsObject, IsOptional, IsString</t>
  </si>
  <si>
    <t xml:space="preserve">Descripción del registro de disciplinary_process_actuaciones.</t>
  </si>
  <si>
    <t xml:space="preserve">C2338</t>
  </si>
  <si>
    <t xml:space="preserve">responsableNombre</t>
  </si>
  <si>
    <t xml:space="preserve">Mapeada en internal-disciplinary-control-service/src/entities/disciplinary-process-actuacion.entity.ts:49 (DisciplinaryProcessActuacion.responsableNombre) | Validación: IsNotEmpty, IsOptional, IsString, MaxLength(255)</t>
  </si>
  <si>
    <t xml:space="preserve">Nombre del responsable de la actuación.</t>
  </si>
  <si>
    <t xml:space="preserve">C2339</t>
  </si>
  <si>
    <t xml:space="preserve">fechaActuacion</t>
  </si>
  <si>
    <t xml:space="preserve">idx_disciplinary_process_actuaciones_fecha</t>
  </si>
  <si>
    <t xml:space="preserve">Mapeada en internal-disciplinary-control-service/src/entities/disciplinary-process-actuacion.entity.ts:52 (DisciplinaryProcessActuacion.fechaActuacion) | Validación: IsDateString, IsNotEmpty</t>
  </si>
  <si>
    <t xml:space="preserve">Fecha y hora de la actuación; por defecto, la del registro.</t>
  </si>
  <si>
    <t xml:space="preserve">nombre + defecto CURRENT_TIMESTAMP</t>
  </si>
  <si>
    <t xml:space="preserve">C2340</t>
  </si>
  <si>
    <t xml:space="preserve">Mapeada en internal-disciplinary-control-service/src/entities/disciplinary-process-actuacion.entity.ts:55 (DisciplinaryProcessActuacion.observaciones) | Validación: IsNotEmpty, IsOptional, IsString</t>
  </si>
  <si>
    <t xml:space="preserve">C2341</t>
  </si>
  <si>
    <t xml:space="preserve">disciplinary_process_notes</t>
  </si>
  <si>
    <t xml:space="preserve">texto</t>
  </si>
  <si>
    <t xml:space="preserve">Mapeada en internal-disciplinary-control-service/src/entities/disciplinary-process-note.entity.ts:26 (DisciplinaryProcessNote.texto) | Validación: IsNotEmpty, IsString</t>
  </si>
  <si>
    <t xml:space="preserve">Texto de la nota del proceso disciplinario.</t>
  </si>
  <si>
    <t xml:space="preserve">C2342</t>
  </si>
  <si>
    <t xml:space="preserve">Mapeada en internal-disciplinary-control-service/src/entities/disciplinary-process-note.entity.ts:29 (DisciplinaryProcessNote.etapa) | Validación: IsOptional, IsString, MaxLength(80)</t>
  </si>
  <si>
    <t xml:space="preserve">Etapa del proceso disciplinario a la que corresponde la nota.</t>
  </si>
  <si>
    <t xml:space="preserve">C2343</t>
  </si>
  <si>
    <t xml:space="preserve">disciplinary_process_reassignment_requests</t>
  </si>
  <si>
    <t xml:space="preserve">was_initially_unassigned</t>
  </si>
  <si>
    <t xml:space="preserve">Mapeada en internal-disciplinary-control-service/src/entities/disciplinary-process-reassignment-request.entity.ts:45 (DisciplinaryProcessReassignmentRequest.wasInitiallyUnassigned)</t>
  </si>
  <si>
    <t xml:space="preserve">Indica si aplica: was initially unassigned.</t>
  </si>
  <si>
    <t xml:space="preserve">C2344</t>
  </si>
  <si>
    <t xml:space="preserve">disciplinary_process_tasks</t>
  </si>
  <si>
    <t xml:space="preserve">Mapeada en internal-disciplinary-control-service/src/entities/disciplinary-process-task.entity.ts:26 (DisciplinaryProcessTask.titulo) | Validación: IsNotEmpty, IsString, MaxLength(255)</t>
  </si>
  <si>
    <t xml:space="preserve">Título de la tarea del proceso disciplinario.</t>
  </si>
  <si>
    <t xml:space="preserve">C2345</t>
  </si>
  <si>
    <t xml:space="preserve">Mapeada en internal-disciplinary-control-service/src/entities/disciplinary-process-task.entity.ts:29 (DisciplinaryProcessTask.descripcion) | Validación: IsNotEmpty, IsObject, IsOptional, IsString</t>
  </si>
  <si>
    <t xml:space="preserve">Descripción del registro de disciplinary_process_tasks.</t>
  </si>
  <si>
    <t xml:space="preserve">C2346</t>
  </si>
  <si>
    <t xml:space="preserve">Mapeada en internal-disciplinary-control-service/src/entities/disciplinary-process-task.entity.ts:32 (DisciplinaryProcessTask.prioridad) | Validación: IsIn(['alta', 'media', 'baja']), IsString</t>
  </si>
  <si>
    <t xml:space="preserve">Prioridad de la tarea. Valores permitidos: alta, media, baja.</t>
  </si>
  <si>
    <t xml:space="preserve">validación IsIn + defecto</t>
  </si>
  <si>
    <t xml:space="preserve">C2347</t>
  </si>
  <si>
    <t xml:space="preserve">Mapeada en internal-disciplinary-control-service/src/entities/disciplinary-process-task.entity.ts:35 (DisciplinaryProcessTask.etapa) | Validación: IsOptional, IsString, MaxLength(80)</t>
  </si>
  <si>
    <t xml:space="preserve">Etapa del proceso disciplinario a la que corresponde la tarea.</t>
  </si>
  <si>
    <t xml:space="preserve">C2348</t>
  </si>
  <si>
    <t xml:space="preserve">Mapeada en internal-disciplinary-control-service/src/entities/disciplinary-process-task.entity.ts:38 (DisciplinaryProcessTask.responsableNombre) | Validación: IsNotEmpty, IsOptional, IsString, MaxLength(255)</t>
  </si>
  <si>
    <t xml:space="preserve">Nombre del responsable de la tarea.</t>
  </si>
  <si>
    <t xml:space="preserve">C2349</t>
  </si>
  <si>
    <t xml:space="preserve">fechaVencimiento</t>
  </si>
  <si>
    <t xml:space="preserve">idx_disciplinary_process_tasks_vencimiento</t>
  </si>
  <si>
    <t xml:space="preserve">Mapeada en internal-disciplinary-control-service/src/entities/disciplinary-process-task.entity.ts:41 (DisciplinaryProcessTask.fechaVencimiento) | Validación: IsDateString, IsNotEmpty</t>
  </si>
  <si>
    <t xml:space="preserve">Fecha de vencimiento de la tarea.</t>
  </si>
  <si>
    <t xml:space="preserve">C2350</t>
  </si>
  <si>
    <t xml:space="preserve">idx_disciplinary_process_tasks_completada</t>
  </si>
  <si>
    <t xml:space="preserve">Mapeada en internal-disciplinary-control-service/src/entities/disciplinary-process-task.entity.ts:44 (DisciplinaryProcessTask.completada) | Validación: IsBoolean</t>
  </si>
  <si>
    <t xml:space="preserve">C2351</t>
  </si>
  <si>
    <t xml:space="preserve">fechaCompletada</t>
  </si>
  <si>
    <t xml:space="preserve">Mapeada en internal-disciplinary-control-service/src/entities/disciplinary-process-task.entity.ts:47 (DisciplinaryProcessTask.fechaCompletada)</t>
  </si>
  <si>
    <t xml:space="preserve">Fecha y hora en que se completó la tarea.</t>
  </si>
  <si>
    <t xml:space="preserve">C2352</t>
  </si>
  <si>
    <t xml:space="preserve">Mapeada en internal-disciplinary-control-service/src/entities/disciplinary-process-task.entity.ts:50 (DisciplinaryProcessTask.observaciones) | Validación: IsNotEmpty, IsOptional, IsString</t>
  </si>
  <si>
    <t xml:space="preserve">C2353</t>
  </si>
  <si>
    <t xml:space="preserve">disciplinary_processes</t>
  </si>
  <si>
    <t xml:space="preserve">radicadoProceso</t>
  </si>
  <si>
    <t xml:space="preserve">disciplinary_processes_radicadoProceso_key, idx_disciplinary_processes_radicado, idx_process_radicado</t>
  </si>
  <si>
    <t xml:space="preserve">internal-disciplinary-control-service/src/entities/disciplinary-process.entity.ts:43: P-###-YYYY</t>
  </si>
  <si>
    <t xml:space="preserve">Número de radicado del proceso disciplinario, único, con formato P-###-YYYY.</t>
  </si>
  <si>
    <t xml:space="preserve">código: disciplinary-process.entity.ts:43 + restricción única</t>
  </si>
  <si>
    <t xml:space="preserve">C2354</t>
  </si>
  <si>
    <t xml:space="preserve">newsId</t>
  </si>
  <si>
    <t xml:space="preserve">idx_process_news</t>
  </si>
  <si>
    <t xml:space="preserve">Mapeada en internal-disciplinary-control-service/src/entities/disciplinary-process.entity.ts:49 (DisciplinaryProcess.news) | Validación: IsOptional, IsString, IsUUID</t>
  </si>
  <si>
    <t xml:space="preserve">Identificador (UUID) de la novedad o queja que dio origen al proceso disciplinario.</t>
  </si>
  <si>
    <t xml:space="preserve">nombre + tipo + columnas vecinas + validación IsUUID</t>
  </si>
  <si>
    <t xml:space="preserve">¿newsId referencia a qué tabla de novedades o quejas, y por qué no tiene FK declarada?</t>
  </si>
  <si>
    <t xml:space="preserve">C2355</t>
  </si>
  <si>
    <t xml:space="preserve">fechaPrescripcion</t>
  </si>
  <si>
    <t xml:space="preserve">Mapeada en internal-disciplinary-control-service/src/entities/disciplinary-process.entity.ts:82 (DisciplinaryProcess.fechaPrescripcion)</t>
  </si>
  <si>
    <t xml:space="preserve">Fecha en que prescribe la acción disciplinaria del proceso.</t>
  </si>
  <si>
    <t xml:space="preserve">¿La fecha de prescripción se calcula automáticamente o la registra el abogado?</t>
  </si>
  <si>
    <t xml:space="preserve">C2356</t>
  </si>
  <si>
    <t xml:space="preserve">fechaVencimientoEtapa</t>
  </si>
  <si>
    <t xml:space="preserve">Mapeada en internal-disciplinary-control-service/src/entities/disciplinary-process.entity.ts:85 (DisciplinaryProcess.fechaVencimientoEtapa)</t>
  </si>
  <si>
    <t xml:space="preserve">Fecha en que vence el término de la etapa actual del proceso.</t>
  </si>
  <si>
    <t xml:space="preserve">nombre + tipo + columnas vecinas (etapaActual, fechaInicioEtapa)</t>
  </si>
  <si>
    <t xml:space="preserve">¿Se calcula a partir de fechaInicioEtapa y los días hábiles de stage_configuration?</t>
  </si>
  <si>
    <t xml:space="preserve">C2357</t>
  </si>
  <si>
    <t xml:space="preserve">Mapeada en internal-disciplinary-control-service/src/entities/disciplinary-process.entity.ts:91 (DisciplinaryProcess.observaciones) | Validación: IsNotEmpty, IsOptional, IsString</t>
  </si>
  <si>
    <t xml:space="preserve">C2358</t>
  </si>
  <si>
    <t xml:space="preserve">pruebas</t>
  </si>
  <si>
    <t xml:space="preserve">Mapeada en internal-disciplinary-control-service/src/entities/disciplinary-process.entity.ts:94 (DisciplinaryProcess.pruebas)</t>
  </si>
  <si>
    <t xml:space="preserve">Lista de pruebas asociadas al proceso disciplinario.</t>
  </si>
  <si>
    <t xml:space="preserve">¿Qué contiene cada elemento del arreglo: URL, nombre de documento o descripción de la prueba?</t>
  </si>
  <si>
    <t xml:space="preserve">C2359</t>
  </si>
  <si>
    <t xml:space="preserve">Mapeada en internal-disciplinary-control-service/src/entities/disciplinary-process.entity.ts:73 (DisciplinaryProcess.kanbanStage) | Validación: IsNumber, IsOptional</t>
  </si>
  <si>
    <t xml:space="preserve">Identificador de la columna del tablero kanban en la que se ubica el proceso.</t>
  </si>
  <si>
    <t xml:space="preserve">El tipo es uuid pero la validación es IsNumber: ¿qué valor se guarda y a qué tabla corresponde?</t>
  </si>
  <si>
    <t xml:space="preserve">C2360</t>
  </si>
  <si>
    <t xml:space="preserve">kanbanNotice</t>
  </si>
  <si>
    <t xml:space="preserve">Mapeada en internal-disciplinary-control-service/src/entities/disciplinary-process.entity.ts:76 (DisciplinaryProcess.kanbanNotice) | Validación: IsOptional, IsString</t>
  </si>
  <si>
    <t xml:space="preserve">Aviso o nota visible en la tarjeta del proceso en el tablero kanban.</t>
  </si>
  <si>
    <t xml:space="preserve">¿Qué contenido se guarda en kanbanNotice y quién lo genera?</t>
  </si>
  <si>
    <t xml:space="preserve">C2361</t>
  </si>
  <si>
    <t xml:space="preserve">drafts_count</t>
  </si>
  <si>
    <t xml:space="preserve">Función public.update_process_statistics — public.update_process_statistics: -- Update drafts_count</t>
  </si>
  <si>
    <t xml:space="preserve">Cantidad de borradores asociados al proceso. Se actualiza mediante la función public.update_process_statistics.</t>
  </si>
  <si>
    <t xml:space="preserve">uso en la función public.update_process_statistics</t>
  </si>
  <si>
    <t xml:space="preserve">C2362</t>
  </si>
  <si>
    <t xml:space="preserve">documents_count</t>
  </si>
  <si>
    <t xml:space="preserve">Función public.update_process_documents_count — public.update_process_documents_count: SET documents_count = (</t>
  </si>
  <si>
    <t xml:space="preserve">Cantidad de documentos asociados al proceso. Se actualiza mediante la función public.update_process_documents_count.</t>
  </si>
  <si>
    <t xml:space="preserve">uso en la función public.update_process_documents_count</t>
  </si>
  <si>
    <t xml:space="preserve">C2363</t>
  </si>
  <si>
    <t xml:space="preserve">time_percentage</t>
  </si>
  <si>
    <t xml:space="preserve">Porcentaje del término de la etapa actual que ya ha transcurrido.</t>
  </si>
  <si>
    <t xml:space="preserve">nombre + tipo + columnas vecinas (numeric(5,2), fechas de etapa)</t>
  </si>
  <si>
    <t xml:space="preserve">¿El porcentaje se mide sobre el término de la etapa o sobre la prescripción del proceso?</t>
  </si>
  <si>
    <t xml:space="preserve">C2364</t>
  </si>
  <si>
    <t xml:space="preserve">idx_proceso_asociado_id</t>
  </si>
  <si>
    <t xml:space="preserve">internal-disciplinary-control-service/src/entities/disciplinary-process.entity.ts:131: Nota: Relación con asociaciones noticia-proceso se maneja via consultas directas para evitar dependencias circulares con DisciplinaryNewsProcess</t>
  </si>
  <si>
    <t xml:space="preserve">Identificador del proceso disciplinario asociado a este proceso.</t>
  </si>
  <si>
    <t xml:space="preserve">nombre + tipo + columnas vecinas; el comentario de código disciplinary-process.entity.ts:131 no define el dato</t>
  </si>
  <si>
    <t xml:space="preserve">¿proceso_asociado_id referencia a disciplinary_processes.id y en qué caso se asocia un proceso con otro?</t>
  </si>
  <si>
    <t xml:space="preserve">C2365</t>
  </si>
  <si>
    <t xml:space="preserve">internal-disciplinary-control-service/src/entities/disciplinary-process.entity.ts:134: Nota: Relación con asociaciones noticia-proceso se maneja via consultas directas para evitar dependencias circulares con DisciplinaryNewsProcess</t>
  </si>
  <si>
    <t xml:space="preserve">Número de radicado del proceso asociado.</t>
  </si>
  <si>
    <t xml:space="preserve">nombre + tipo + columnas vecinas; el comentario de código disciplinary-process.entity.ts:134 no define el dato</t>
  </si>
  <si>
    <t xml:space="preserve">¿Corresponde al radicadoProceso del proceso asociado?</t>
  </si>
  <si>
    <t xml:space="preserve">C2366</t>
  </si>
  <si>
    <t xml:space="preserve">proceso_asociado_tipo</t>
  </si>
  <si>
    <t xml:space="preserve">internal-disciplinary-control-service/src/entities/disciplinary-process.entity.ts:137: Nota: Relación con asociaciones noticia-proceso se maneja via consultas directas para evitar dependencias circulares con DisciplinaryNewsProcess</t>
  </si>
  <si>
    <t xml:space="preserve">Tipo del proceso asociado o de la asociación entre procesos.</t>
  </si>
  <si>
    <t xml:space="preserve">nombre + tipo + columnas vecinas; el comentario de código disciplinary-process.entity.ts:137 no define el dato</t>
  </si>
  <si>
    <t xml:space="preserve">¿Qué valores toma proceso_asociado_tipo y describe el tipo de proceso o el tipo de vínculo?</t>
  </si>
  <si>
    <t xml:space="preserve">C2367</t>
  </si>
  <si>
    <t xml:space="preserve">internal-disciplinary-control-service/src/entities/disciplinary-process.entity.ts:140: Nota: Relación con asociaciones noticia-proceso se maneja via consultas directas para evitar dependencias circulares con DisciplinaryNewsProcess</t>
  </si>
  <si>
    <t xml:space="preserve">Fecha y hora de la asociación con otro proceso.</t>
  </si>
  <si>
    <t xml:space="preserve">nombre + tipo + columnas vecinas; el comentario de código disciplinary-process.entity.ts:140 no define el dato</t>
  </si>
  <si>
    <t xml:space="preserve">¿Es la fecha en que se registró la asociación o la fecha del proceso asociado?</t>
  </si>
  <si>
    <t xml:space="preserve">C2368</t>
  </si>
  <si>
    <t xml:space="preserve">internal-disciplinary-control-service/src/entities/disciplinary-process.entity.ts:143: Nota: Relación con asociaciones noticia-proceso se maneja via consultas directas para evitar dependencias circulares con DisciplinaryNewsProcess</t>
  </si>
  <si>
    <t xml:space="preserve">Justificación de la asociación del proceso con otro proceso.</t>
  </si>
  <si>
    <t xml:space="preserve">nombre + tipo + columnas vecinas; el comentario de código disciplinary-process.entity.ts:143 no define el dato</t>
  </si>
  <si>
    <t xml:space="preserve">¿Quién registra la justificación y es obligatoria al asociar procesos?</t>
  </si>
  <si>
    <t xml:space="preserve">C2369</t>
  </si>
  <si>
    <t xml:space="preserve">procesos_consolidados</t>
  </si>
  <si>
    <t xml:space="preserve">internal-disciplinary-control-service/src/entities/disciplinary-process.entity.ts:147: Nota: Relación con asociaciones noticia-proceso se maneja via consultas directas para evitar dependencias circulares con DisciplinaryNewsProcess</t>
  </si>
  <si>
    <t xml:space="preserve">Lista de los procesos consolidados en este proceso.</t>
  </si>
  <si>
    <t xml:space="preserve">nombre + tipo + columnas vecinas; el comentario de código disciplinary-process.entity.ts:147 no define el dato</t>
  </si>
  <si>
    <t xml:space="preserve">¿El arreglo guarda identificadores (uuid) o radicados de los procesos consolidados?</t>
  </si>
  <si>
    <t xml:space="preserve">C2370</t>
  </si>
  <si>
    <t xml:space="preserve">proceso_consolidado_principal</t>
  </si>
  <si>
    <t xml:space="preserve">idx_proceso_consolidado_principal</t>
  </si>
  <si>
    <t xml:space="preserve">internal-disciplinary-control-service/src/entities/disciplinary-process.entity.ts:150: Nota: Relación con asociaciones noticia-proceso se maneja via consultas directas para evitar dependencias circulares con DisciplinaryNewsProcess</t>
  </si>
  <si>
    <t xml:space="preserve">Identificador del proceso principal en el que se consolidó este proceso.</t>
  </si>
  <si>
    <t xml:space="preserve">nombre + tipo + columnas vecinas; el comentario de código disciplinary-process.entity.ts:150 no define el dato</t>
  </si>
  <si>
    <t xml:space="preserve">¿Apunta a disciplinary_processes.id del proceso principal de la consolidación?</t>
  </si>
  <si>
    <t xml:space="preserve">C2371</t>
  </si>
  <si>
    <t xml:space="preserve">informacion_consolidada</t>
  </si>
  <si>
    <t xml:space="preserve">internal-disciplinary-control-service/src/entities/disciplinary-process.entity.ts:153: Nota: Relación con asociaciones noticia-proceso se maneja via consultas directas para evitar dependencias circulares con DisciplinaryNewsProcess</t>
  </si>
  <si>
    <t xml:space="preserve">Información de la consolidación de procesos, en formato JSON.</t>
  </si>
  <si>
    <t xml:space="preserve">nombre + tipo + columnas vecinas; el comentario de código disciplinary-process.entity.ts:153 no define el dato</t>
  </si>
  <si>
    <t xml:space="preserve">¿Qué estructura tiene el JSON de informacion_consolidada y quién lo llena?</t>
  </si>
  <si>
    <t xml:space="preserve">C2372</t>
  </si>
  <si>
    <t xml:space="preserve">fechaInicioEtapa</t>
  </si>
  <si>
    <t xml:space="preserve">Mapeada en internal-disciplinary-control-service/src/entities/disciplinary-process.entity.ts:88 (DisciplinaryProcess.fechaInicioEtapa)</t>
  </si>
  <si>
    <t xml:space="preserve">Fecha de inicio de la etapa actual del proceso.</t>
  </si>
  <si>
    <t xml:space="preserve">nombre + tipo + columnas vecinas (etapaActual, fechaVencimientoEtapa)</t>
  </si>
  <si>
    <t xml:space="preserve">C2373</t>
  </si>
  <si>
    <t xml:space="preserve">internal-disciplinary-control-service/src/entities/disciplinary-process.entity.ts:116: Nota: Relación con asociaciones noticia-proceso se maneja via consultas directas para evitar dependencias circulares con DisciplinaryNewsProcess</t>
  </si>
  <si>
    <t xml:space="preserve">Fecha y hora de cierre del proceso disciplinario.</t>
  </si>
  <si>
    <t xml:space="preserve">nombre + tipo + columnas vecinas; el comentario de código disciplinary-process.entity.ts:116 no define el dato</t>
  </si>
  <si>
    <t xml:space="preserve">¿Se llena al cerrar el proceso y se borra si el proceso se restaura (columna restaurado)?</t>
  </si>
  <si>
    <t xml:space="preserve">C2374</t>
  </si>
  <si>
    <t xml:space="preserve">etapa_al_cierre</t>
  </si>
  <si>
    <t xml:space="preserve">internal-disciplinary-control-service/src/entities/disciplinary-process.entity.ts:119: Nota: Relación con asociaciones noticia-proceso se maneja via consultas directas para evitar dependencias circulares con DisciplinaryNewsProcess</t>
  </si>
  <si>
    <t xml:space="preserve">Etapa en que se encontraba el proceso al momento del cierre.</t>
  </si>
  <si>
    <t xml:space="preserve">nombre + tipo + columnas vecinas; el comentario de código disciplinary-process.entity.ts:119 no define el dato</t>
  </si>
  <si>
    <t xml:space="preserve">¿Toma los mismos valores que etapaActual?</t>
  </si>
  <si>
    <t xml:space="preserve">C2375</t>
  </si>
  <si>
    <t xml:space="preserve">internal-disciplinary-control-service/src/entities/disciplinary-process.entity.ts:122: Nota: Relación con asociaciones noticia-proceso se maneja via consultas directas para evitar dependencias circulares con DisciplinaryNewsProcess</t>
  </si>
  <si>
    <t xml:space="preserve">Identificador del usuario que cerró el proceso.</t>
  </si>
  <si>
    <t xml:space="preserve">nombre + tipo + columnas vecinas; el comentario de código disciplinary-process.entity.ts:122 no define el dato</t>
  </si>
  <si>
    <t xml:space="preserve">¿cerrado_por_id referencia a auth."user" o a auth.personas?</t>
  </si>
  <si>
    <t xml:space="preserve">C2376</t>
  </si>
  <si>
    <t xml:space="preserve">correo_juridica_enviado</t>
  </si>
  <si>
    <t xml:space="preserve">internal-disciplinary-control-service/src/entities/disciplinary-process.entity.ts:125: Nota: Relación con asociaciones noticia-proceso se maneja via consultas directas para evitar dependencias circulares con DisciplinaryNewsProcess</t>
  </si>
  <si>
    <t xml:space="preserve">Indica si se envió el correo a jurídica sobre el proceso. Por defecto, falso.</t>
  </si>
  <si>
    <t xml:space="preserve">nombre + tipo + columnas vecinas; el comentario de código disciplinary-process.entity.ts:125 no define el dato</t>
  </si>
  <si>
    <t xml:space="preserve">¿Qué evento del proceso dispara el envío del correo a jurídica y a qué buzón se envía?</t>
  </si>
  <si>
    <t xml:space="preserve">C2377</t>
  </si>
  <si>
    <t xml:space="preserve">correo_juridica_fecha_envio</t>
  </si>
  <si>
    <t xml:space="preserve">internal-disciplinary-control-service/src/entities/disciplinary-process.entity.ts:128: Nota: Relación con asociaciones noticia-proceso se maneja via consultas directas para evitar dependencias circulares con DisciplinaryNewsProcess</t>
  </si>
  <si>
    <t xml:space="preserve">Fecha y hora de envío del correo a jurídica.</t>
  </si>
  <si>
    <t xml:space="preserve">nombre + tipo + columnas vecinas; el comentario de código disciplinary-process.entity.ts:128 no define el dato</t>
  </si>
  <si>
    <t xml:space="preserve">¿Se llena junto con correo_juridica_enviado = verdadero?</t>
  </si>
  <si>
    <t xml:space="preserve">C2378</t>
  </si>
  <si>
    <t xml:space="preserve">en_proceso_remision</t>
  </si>
  <si>
    <t xml:space="preserve">internal-disciplinary-control-service/src/entities/disciplinary-process.entity.ts:165: Nota: Relación con asociaciones noticia-proceso se maneja via consultas directas para evitar dependencias circulares con DisciplinaryNewsProcess</t>
  </si>
  <si>
    <t xml:space="preserve">Indica si el proceso está en trámite de remisión a otra entidad. Por defecto, falso.</t>
  </si>
  <si>
    <t xml:space="preserve">nombre + tipo + columnas vecinas; el comentario de código disciplinary-process.entity.ts:165 no define el dato</t>
  </si>
  <si>
    <t xml:space="preserve">¿La remisión corresponde al traslado del proceso a otra entidad competente?</t>
  </si>
  <si>
    <t xml:space="preserve">C2379</t>
  </si>
  <si>
    <t xml:space="preserve">remision_aprobada</t>
  </si>
  <si>
    <t xml:space="preserve">internal-disciplinary-control-service/src/entities/disciplinary-process.entity.ts:168: Nota: Relación con asociaciones noticia-proceso se maneja via consultas directas para evitar dependencias circulares con DisciplinaryNewsProcess</t>
  </si>
  <si>
    <t xml:space="preserve">Indica si la remisión del proceso fue aprobada. Por defecto, falso.</t>
  </si>
  <si>
    <t xml:space="preserve">nombre + tipo + columnas vecinas; el comentario de código disciplinary-process.entity.ts:168 no define el dato</t>
  </si>
  <si>
    <t xml:space="preserve">¿Quién aprueba la remisión y en qué paso del flujo?</t>
  </si>
  <si>
    <t xml:space="preserve">C2380</t>
  </si>
  <si>
    <t xml:space="preserve">internal-disciplinary-control-service/src/entities/disciplinary-process.entity.ts:171: Nota: Relación con asociaciones noticia-proceso se maneja via consultas directas para evitar dependencias circulares con DisciplinaryNewsProcess</t>
  </si>
  <si>
    <t xml:space="preserve">Número RC asociado a la remisión del proceso.</t>
  </si>
  <si>
    <t xml:space="preserve">nombre + tipo + columnas vecinas; el comentario de código disciplinary-process.entity.ts:171 no define el dato</t>
  </si>
  <si>
    <t xml:space="preserve">¿Qué significa RC en numero_rc y de qué sistema proviene ese número?</t>
  </si>
  <si>
    <t xml:space="preserve">C2381</t>
  </si>
  <si>
    <t xml:space="preserve">internal-disciplinary-control-service/src/entities/disciplinary-process.entity.ts:174: Nota: Relación con asociaciones noticia-proceso se maneja via consultas directas para evitar dependencias circulares con DisciplinaryNewsProcess</t>
  </si>
  <si>
    <t xml:space="preserve">Nombre de la entidad a la que se remite el proceso.</t>
  </si>
  <si>
    <t xml:space="preserve">nombre + tipo + columnas vecinas; el comentario de código disciplinary-process.entity.ts:174 no define el dato</t>
  </si>
  <si>
    <t xml:space="preserve">¿Es texto libre o proviene de un catálogo de entidades?</t>
  </si>
  <si>
    <t xml:space="preserve">C2382</t>
  </si>
  <si>
    <t xml:space="preserve">internal-disciplinary-control-service/src/entities/disciplinary-process.entity.ts:177: Nota: Relación con asociaciones noticia-proceso se maneja via consultas directas para evitar dependencias circulares con DisciplinaryNewsProcess</t>
  </si>
  <si>
    <t xml:space="preserve">Correo electrónico de la entidad a la que se remite el proceso.</t>
  </si>
  <si>
    <t xml:space="preserve">nombre + tipo + columnas vecinas; el comentario de código disciplinary-process.entity.ts:177 no define el dato</t>
  </si>
  <si>
    <t xml:space="preserve">¿Es la dirección a la que se envía la remisión?</t>
  </si>
  <si>
    <t xml:space="preserve">C2383</t>
  </si>
  <si>
    <t xml:space="preserve">internal-disciplinary-control-service/src/entities/disciplinary-process.entity.ts:180: Nota: Relación con asociaciones noticia-proceso se maneja via consultas directas para evitar dependencias circulares con DisciplinaryNewsProcess</t>
  </si>
  <si>
    <t xml:space="preserve">Fecha y hora de remisión del proceso a la entidad destino.</t>
  </si>
  <si>
    <t xml:space="preserve">nombre + tipo + columnas vecinas; el comentario de código disciplinary-process.entity.ts:180 no define el dato</t>
  </si>
  <si>
    <t xml:space="preserve">¿Es la fecha de envío de la remisión o la de su aprobación?</t>
  </si>
  <si>
    <t xml:space="preserve">C2384</t>
  </si>
  <si>
    <t xml:space="preserve">internal-disciplinary-control-service/src/entities/disciplinary-process.entity.ts:183: Nota: Relación con asociaciones noticia-proceso se maneja via consultas directas para evitar dependencias circulares con DisciplinaryNewsProcess | Validación: IsOptional, IsString</t>
  </si>
  <si>
    <t xml:space="preserve">Tipo de remisión del proceso.</t>
  </si>
  <si>
    <t xml:space="preserve">nombre + tipo + columnas vecinas; el comentario de código disciplinary-process.entity.ts:183 no define el dato</t>
  </si>
  <si>
    <t xml:space="preserve">C2385</t>
  </si>
  <si>
    <t xml:space="preserve">internal-disciplinary-control-service/src/entities/disciplinary-process.entity.ts:186: Nota: Relación con asociaciones noticia-proceso se maneja via consultas directas para evitar dependencias circulares con DisciplinaryNewsProcess</t>
  </si>
  <si>
    <t xml:space="preserve">Justificación de la remisión del proceso a otra entidad.</t>
  </si>
  <si>
    <t xml:space="preserve">nombre + tipo + columnas vecinas; el comentario de código disciplinary-process.entity.ts:186 no define el dato</t>
  </si>
  <si>
    <t xml:space="preserve">¿Quién registra la justificación de la remisión?</t>
  </si>
  <si>
    <t xml:space="preserve">C2386</t>
  </si>
  <si>
    <t xml:space="preserve">internal-disciplinary-control-service/src/entities/disciplinary-process.entity.ts:189: Nota: Relación con asociaciones noticia-proceso se maneja via consultas directas para evitar dependencias circulares con DisciplinaryNewsProcess</t>
  </si>
  <si>
    <t xml:space="preserve">Descripción de la remisión, en formato JSON.</t>
  </si>
  <si>
    <t xml:space="preserve">nombre + tipo + columnas vecinas; el comentario de código disciplinary-process.entity.ts:189 no define el dato</t>
  </si>
  <si>
    <t xml:space="preserve">¿Qué estructura tiene el JSON de descripcion_remision?</t>
  </si>
  <si>
    <t xml:space="preserve">C2387</t>
  </si>
  <si>
    <t xml:space="preserve">disciplinary_professional</t>
  </si>
  <si>
    <t xml:space="preserve">Mapeada en internal-disciplinary-control-service/src/entities/disciplinary-professional.entity.ts:14 (DisciplinaryProfessional.nombreCompleto)</t>
  </si>
  <si>
    <t xml:space="preserve">Nombre completo del profesional.</t>
  </si>
  <si>
    <t xml:space="preserve">C2388</t>
  </si>
  <si>
    <t xml:space="preserve">disciplinary_professional_email_key, idx_disciplinary_professional_email, idx_professional_email</t>
  </si>
  <si>
    <t xml:space="preserve">Mapeada en internal-disciplinary-control-service/src/entities/disciplinary-professional.entity.ts:17 (DisciplinaryProfessional.email) | Validación: IsEmail, IsOptional, IsString</t>
  </si>
  <si>
    <t xml:space="preserve">C2389</t>
  </si>
  <si>
    <t xml:space="preserve">Mapeada en internal-disciplinary-control-service/src/entities/disciplinary-professional.entity.ts:20 (DisciplinaryProfessional.telefono) | Validación: IsOptional, IsString</t>
  </si>
  <si>
    <t xml:space="preserve">C2390</t>
  </si>
  <si>
    <t xml:space="preserve">internal-disciplinary-control-service/src/entities/disciplinary-professional.entity.ts:23: 'Jefe de Oficina', 'Profesional Universitario', etc. | Validación: IsOptional, IsString</t>
  </si>
  <si>
    <t xml:space="preserve">Cargo del profesional, por ejemplo Jefe de Oficina o Profesional Universitario.</t>
  </si>
  <si>
    <t xml:space="preserve">código: disciplinary-professional.entity.ts:23</t>
  </si>
  <si>
    <t xml:space="preserve">C2391</t>
  </si>
  <si>
    <t xml:space="preserve">especialidad</t>
  </si>
  <si>
    <t xml:space="preserve">Mapeada en internal-disciplinary-control-service/src/entities/disciplinary-professional.entity.ts:26 (DisciplinaryProfessional.especialidad)</t>
  </si>
  <si>
    <t xml:space="preserve">Especialidad del profesional.</t>
  </si>
  <si>
    <t xml:space="preserve">¿La especialidad es texto libre o una lista de áreas del derecho?</t>
  </si>
  <si>
    <t xml:space="preserve">C2392</t>
  </si>
  <si>
    <t xml:space="preserve">tipo_contrato</t>
  </si>
  <si>
    <t xml:space="preserve">Mapeada en internal-disciplinary-control-service/src/entities/disciplinary-professional.entity.ts:29 (DisciplinaryProfessional.tipoContrato)</t>
  </si>
  <si>
    <t xml:space="preserve">Tipo de vinculación o contrato del profesional.</t>
  </si>
  <si>
    <t xml:space="preserve">¿Qué valores admite tipo_contrato (planta, contratista…)?</t>
  </si>
  <si>
    <t xml:space="preserve">C2393</t>
  </si>
  <si>
    <t xml:space="preserve">Mapeada en internal-disciplinary-control-service/src/entities/disciplinary-professional.entity.ts:32 (DisciplinaryProfessional.territorial) | Validación: IsString</t>
  </si>
  <si>
    <t xml:space="preserve">Dirección territorial a la que pertenece el profesional.</t>
  </si>
  <si>
    <t xml:space="preserve">¿Es un texto libre o un código de la sede/territorial?</t>
  </si>
  <si>
    <t xml:space="preserve">C2394</t>
  </si>
  <si>
    <t xml:space="preserve">capacidad_maxima</t>
  </si>
  <si>
    <t xml:space="preserve">Mapeada en internal-disciplinary-control-service/src/entities/disciplinary-professional.entity.ts:35 (DisciplinaryProfessional.capacidadMaxima)</t>
  </si>
  <si>
    <t xml:space="preserve">Número máximo de procesos que se pueden asignar al profesional. Valor por defecto: 10.</t>
  </si>
  <si>
    <t xml:space="preserve">¿La capacidad se cuenta en procesos activos simultáneos?</t>
  </si>
  <si>
    <t xml:space="preserve">C2395</t>
  </si>
  <si>
    <t xml:space="preserve">idx_disciplinary_professional_estado, idx_professional_estado</t>
  </si>
  <si>
    <t xml:space="preserve">Mapeada en internal-disciplinary-control-service/src/entities/disciplinary-professional.entity.ts:44 (DisciplinaryProfessional.estado) | Validación: IsBoolean, IsEnum(AutoStatus), IsEnum(EstadoAlerta), IsEnum(TerminoEstado), IsIn(['activo', 'inactivo']), IsOptional</t>
  </si>
  <si>
    <t xml:space="preserve">Estado del registro de disciplinary_professional.</t>
  </si>
  <si>
    <t xml:space="preserve">C2396</t>
  </si>
  <si>
    <t xml:space="preserve">id_user</t>
  </si>
  <si>
    <t xml:space="preserve">Mapeada en internal-disciplinary-control-service/src/entities/disciplinary-professional.entity.ts:41 (DisciplinaryProfessional.idUser)</t>
  </si>
  <si>
    <t xml:space="preserve">Referencia al registro de auth.user (id_user); relación sin llave foránea declarada.</t>
  </si>
  <si>
    <t xml:space="preserve">C2397</t>
  </si>
  <si>
    <t xml:space="preserve">evidence</t>
  </si>
  <si>
    <t xml:space="preserve">db/migrations/old/032_fix_disciplinay_schema.sql:171: Cambiado a TEXT para soportar URLs externas largas | db/init/old/007_schema_disciplinary.sql:171: Cambiado a TEXT para soportar URLs externas largas | db/init/old/007_schema_disciplinary_fixed_final.sql:171: Cambiado a TEXT para soportar URLs externas largas</t>
  </si>
  <si>
    <t xml:space="preserve">Dirección web (URL) del archivo de la evidencia; admite URL externas largas.</t>
  </si>
  <si>
    <t xml:space="preserve">código: db/migrations/old/032_fix_disciplinay_schema.sql:171</t>
  </si>
  <si>
    <t xml:space="preserve">C2398</t>
  </si>
  <si>
    <t xml:space="preserve">filename</t>
  </si>
  <si>
    <t xml:space="preserve">Mapeada en internal-disciplinary-control-service/src/entities/evidence.entity.ts:25 (Evidence.filename)</t>
  </si>
  <si>
    <t xml:space="preserve">nombre + tipo + columnas vecinas (url, fileType)</t>
  </si>
  <si>
    <t xml:space="preserve">C2399</t>
  </si>
  <si>
    <t xml:space="preserve">Mapeada en internal-disciplinary-control-service/src/entities/evidence.entity.ts:28 (Evidence.description)</t>
  </si>
  <si>
    <t xml:space="preserve">Descripción del registro de evidence.</t>
  </si>
  <si>
    <t xml:space="preserve">C2400</t>
  </si>
  <si>
    <t xml:space="preserve">fileSize</t>
  </si>
  <si>
    <t xml:space="preserve">Mapeada en internal-disciplinary-control-service/src/entities/evidence.entity.ts:34 (Evidence.fileSize)</t>
  </si>
  <si>
    <t xml:space="preserve">C2401</t>
  </si>
  <si>
    <t xml:space="preserve">nombreDocumento</t>
  </si>
  <si>
    <t xml:space="preserve">Mapeada en internal-disciplinary-control-service/src/entities/evidence.entity.ts:37 (Evidence.nombreDocumento)</t>
  </si>
  <si>
    <t xml:space="preserve">Nombre del documento cargado como evidencia.</t>
  </si>
  <si>
    <t xml:space="preserve">¿En qué se diferencia nombreDocumento de filename y nombreArchivo?</t>
  </si>
  <si>
    <t xml:space="preserve">C2402</t>
  </si>
  <si>
    <t xml:space="preserve">tipoDocumento</t>
  </si>
  <si>
    <t xml:space="preserve">idx_evidence_tipo_documento</t>
  </si>
  <si>
    <t xml:space="preserve">Mapeada en internal-disciplinary-control-service/src/entities/evidence.entity.ts:40 (Evidence.tipoDocumento)</t>
  </si>
  <si>
    <t xml:space="preserve">Tipo de documento de la evidencia.</t>
  </si>
  <si>
    <t xml:space="preserve">¿Qué valores admite tipoDocumento?</t>
  </si>
  <si>
    <t xml:space="preserve">C2403</t>
  </si>
  <si>
    <t xml:space="preserve">Mapeada en internal-disciplinary-control-service/src/entities/evidence.entity.ts:58 (Evidence.etapa) | Validación: IsOptional, IsString, MaxLength(80)</t>
  </si>
  <si>
    <t xml:space="preserve">Etapa del proceso disciplinario en la que se cargó la evidencia (máximo 80 caracteres).</t>
  </si>
  <si>
    <t xml:space="preserve">nombre + tipo + columnas vecinas + validación MaxLength(80)</t>
  </si>
  <si>
    <t xml:space="preserve">C2404</t>
  </si>
  <si>
    <t xml:space="preserve">usuarioCarga</t>
  </si>
  <si>
    <t xml:space="preserve">Mapeada en internal-disciplinary-control-service/src/entities/evidence.entity.ts:61 (Evidence.usuarioCarga)</t>
  </si>
  <si>
    <t xml:space="preserve">C2405</t>
  </si>
  <si>
    <t xml:space="preserve">Mapeada en internal-disciplinary-control-service/src/entities/evidence.entity.ts:46 (Evidence.categoria)</t>
  </si>
  <si>
    <t xml:space="preserve">¿Qué valores admite categoria?</t>
  </si>
  <si>
    <t xml:space="preserve">C2406</t>
  </si>
  <si>
    <t xml:space="preserve">Mapeada en internal-disciplinary-control-service/src/entities/evidence.entity.ts:49 (Evidence.destinatario)</t>
  </si>
  <si>
    <t xml:space="preserve">Destinatario de la comunicación registrada como evidencia.</t>
  </si>
  <si>
    <t xml:space="preserve">nombre + tipo + columnas vecinas (asunto)</t>
  </si>
  <si>
    <t xml:space="preserve">¿Aplica solo a evidencias de tipo comunicación u oficio?</t>
  </si>
  <si>
    <t xml:space="preserve">C2407</t>
  </si>
  <si>
    <t xml:space="preserve">Mapeada en internal-disciplinary-control-service/src/entities/evidence.entity.ts:52 (Evidence.asunto)</t>
  </si>
  <si>
    <t xml:space="preserve">Asunto de la comunicación registrada como evidencia.</t>
  </si>
  <si>
    <t xml:space="preserve">nombre + tipo + columnas vecinas (destinatario)</t>
  </si>
  <si>
    <t xml:space="preserve">C2408</t>
  </si>
  <si>
    <t xml:space="preserve">Mapeada en internal-disciplinary-control-service/src/entities/evidence.entity.ts:55 (Evidence.participantes)</t>
  </si>
  <si>
    <t xml:space="preserve">Número de participantes registrados en la evidencia.</t>
  </si>
  <si>
    <t xml:space="preserve">¿A qué corresponde participantes (por ejemplo, asistentes a una diligencia)?</t>
  </si>
  <si>
    <t xml:space="preserve">C2409</t>
  </si>
  <si>
    <t xml:space="preserve">archivoUrl</t>
  </si>
  <si>
    <t xml:space="preserve">db/migrations/old/032_fix_disciplinay_schema.sql:172: Mantener compatibilidad con TypeORM | db/init/old/007_schema_disciplinary.sql:172: Mantener compatibilidad con TypeORM | db/init/old/007_schema_disciplinary_fixed_final.sql:172: Mantener compatibilidad con TypeORM</t>
  </si>
  <si>
    <t xml:space="preserve">URL del archivo de la evidencia, mantenida por compatibilidad con TypeORM.</t>
  </si>
  <si>
    <t xml:space="preserve">código: db/migrations/old/032_fix_disciplinay_schema.sql:172</t>
  </si>
  <si>
    <t xml:space="preserve">¿Cuál de url y archivoUrl es la vigente y se llenan las dos?</t>
  </si>
  <si>
    <t xml:space="preserve">C2410</t>
  </si>
  <si>
    <t xml:space="preserve">nombreArchivo</t>
  </si>
  <si>
    <t xml:space="preserve">db/migrations/old/032_fix_disciplinay_schema.sql:173: Mantener compatibilidad con TypeORM | db/init/old/007_schema_disciplinary.sql:173: Mantener compatibilidad con TypeORM | db/init/old/007_schema_disciplinary_fixed_final.sql:173: Mantener compatibilidad con TypeORM</t>
  </si>
  <si>
    <t xml:space="preserve">Nombre del archivo de la evidencia, mantenido por compatibilidad con TypeORM.</t>
  </si>
  <si>
    <t xml:space="preserve">código: db/migrations/old/032_fix_disciplinay_schema.sql:173</t>
  </si>
  <si>
    <t xml:space="preserve">¿Equivale a filename o a nombreDocumento? ¿Cuál es la vigente?</t>
  </si>
  <si>
    <t xml:space="preserve">C2411</t>
  </si>
  <si>
    <t xml:space="preserve">db/migrations/old/012_create_disciplinary_schema.sql:171: Tipos: DENUNCIA, TESTIMONIO, PRUEBA_DOCUMENTAL, AUDIO, VIDEO, etc. | Validación: IsEnum(TipoAlerta), IsEnum(TipoFestivo), IsNotEmpty, IsOptional, IsString, MaxLength(50)</t>
  </si>
  <si>
    <t xml:space="preserve">Tipo de evidencia (por ejemplo, DENUNCIA, TESTIMONIO, PRUEBA_DOCUMENTAL, AUDIO, VIDEO). Valor por defecto: DOCUMENTO.</t>
  </si>
  <si>
    <t xml:space="preserve">código: db/migrations/old/012_create_disciplinary_schema.sql:171</t>
  </si>
  <si>
    <t xml:space="preserve">¿Cuál es la lista completa de tipos de evidencia admitidos?</t>
  </si>
  <si>
    <t xml:space="preserve">C2412</t>
  </si>
  <si>
    <t xml:space="preserve">expediente_compartido</t>
  </si>
  <si>
    <t xml:space="preserve">internal_disciplinary_control.estado_compartido</t>
  </si>
  <si>
    <t xml:space="preserve">ACTIVO, EXPIRADO, INACTIVO</t>
  </si>
  <si>
    <t xml:space="preserve">idx_expediente_compartido_estado</t>
  </si>
  <si>
    <t xml:space="preserve">Mapeada en internal-disciplinary-control-service/src/entities/expediente-compartido.entity.ts:50 (ExpedienteCompartido.estado) | Validación: IsBoolean, IsEnum(AutoStatus), IsEnum(EstadoAlerta), IsEnum(TerminoEstado), IsIn(['activo', 'inactivo']), IsOptional</t>
  </si>
  <si>
    <t xml:space="preserve">Estado del registro de expediente_compartido.</t>
  </si>
  <si>
    <t xml:space="preserve">C2413</t>
  </si>
  <si>
    <t xml:space="preserve">contador_accesos</t>
  </si>
  <si>
    <t xml:space="preserve">Mapeada en internal-disciplinary-control-service/src/entities/expediente-compartido.entity.ts:79 (ExpedienteCompartido.contadorAccesos)</t>
  </si>
  <si>
    <t xml:space="preserve">Número de veces que se ha accedido al enlace compartido. Valor por defecto: 0.</t>
  </si>
  <si>
    <t xml:space="preserve">C2414</t>
  </si>
  <si>
    <t xml:space="preserve">Mapeada en internal-disciplinary-control-service/src/entities/expediente-compartido.entity.ts:82 (ExpedienteCompartido.ultimoAcceso)</t>
  </si>
  <si>
    <t xml:space="preserve">Fecha y hora del último acceso al enlace compartido.</t>
  </si>
  <si>
    <t xml:space="preserve">C2415</t>
  </si>
  <si>
    <t xml:space="preserve">ip_ultimo_acceso</t>
  </si>
  <si>
    <t xml:space="preserve">Mapeada en internal-disciplinary-control-service/src/entities/expediente-compartido.entity.ts:85 (ExpedienteCompartido.ipUltimoAcceso)</t>
  </si>
  <si>
    <t xml:space="preserve">Dirección IP desde la que se hizo el último acceso al enlace compartido (IPv4 o IPv6).</t>
  </si>
  <si>
    <t xml:space="preserve">nombre + tipo + columnas vecinas (longitud 45)</t>
  </si>
  <si>
    <t xml:space="preserve">C2416</t>
  </si>
  <si>
    <t xml:space="preserve">permite_descarga</t>
  </si>
  <si>
    <t xml:space="preserve">Mapeada en internal-disciplinary-control-service/src/entities/expediente-compartido.entity.ts:97 (ExpedienteCompartido.permiteDescarga)</t>
  </si>
  <si>
    <t xml:space="preserve">Indica si permite descarga.</t>
  </si>
  <si>
    <t xml:space="preserve">C2417</t>
  </si>
  <si>
    <t xml:space="preserve">legal_autos</t>
  </si>
  <si>
    <t xml:space="preserve">internal-disciplinary-control-service/src/entities/legal-auto.entity.ts:92: HTML/Rich Text</t>
  </si>
  <si>
    <t xml:space="preserve">Contenido del auto en HTML (texto enriquecido).</t>
  </si>
  <si>
    <t xml:space="preserve">código: legal-auto.entity.ts:92</t>
  </si>
  <si>
    <t xml:space="preserve">C2418</t>
  </si>
  <si>
    <t xml:space="preserve">firmaUrl</t>
  </si>
  <si>
    <t xml:space="preserve">internal-disciplinary-control-service/src/entities/legal-auto.entity.ts:102: URL del PDF firmado</t>
  </si>
  <si>
    <t xml:space="preserve">URL del PDF firmado del auto.</t>
  </si>
  <si>
    <t xml:space="preserve">código: legal-auto.entity.ts:102</t>
  </si>
  <si>
    <t xml:space="preserve">C2419</t>
  </si>
  <si>
    <t xml:space="preserve">Mapeada en internal-disciplinary-control-service/src/entities/legal-auto.entity.ts:132 (LegalAuto.comentarios) | Validación: IsOptional, IsString</t>
  </si>
  <si>
    <t xml:space="preserve">Comentarios registrados sobre el auto.</t>
  </si>
  <si>
    <t xml:space="preserve">¿Quién registra estos comentarios y en qué paso del flujo (revisión, aprobación)?</t>
  </si>
  <si>
    <t xml:space="preserve">C2420</t>
  </si>
  <si>
    <t xml:space="preserve">internal-disciplinary-control-service/src/entities/legal-auto.entity.ts:153: ID del jefe que aprobó</t>
  </si>
  <si>
    <t xml:space="preserve">Identificador del jefe que aprobó el auto.</t>
  </si>
  <si>
    <t xml:space="preserve">código: legal-auto.entity.ts:153</t>
  </si>
  <si>
    <t xml:space="preserve">C2421</t>
  </si>
  <si>
    <t xml:space="preserve">notificationDate</t>
  </si>
  <si>
    <t xml:space="preserve">Mapeada en internal-disciplinary-control-service/src/entities/legal-auto.entity.ts:117 (LegalAuto.notificationDate) | Validación: IsDateString, IsNotEmpty</t>
  </si>
  <si>
    <t xml:space="preserve">Fecha de notificación del auto.</t>
  </si>
  <si>
    <t xml:space="preserve">nombre + tipo + columnas vecinas + validación IsDateString</t>
  </si>
  <si>
    <t xml:space="preserve">C2422</t>
  </si>
  <si>
    <t xml:space="preserve">notificationEvidence</t>
  </si>
  <si>
    <t xml:space="preserve">internal-disciplinary-control-service/src/entities/legal-auto.entity.ts:129: URL del archivo de prueba de notificación | Validación: IsOptional, IsString</t>
  </si>
  <si>
    <t xml:space="preserve">URL del archivo de prueba de notificación del auto.</t>
  </si>
  <si>
    <t xml:space="preserve">código: legal-auto.entity.ts:129</t>
  </si>
  <si>
    <t xml:space="preserve">C2423</t>
  </si>
  <si>
    <t xml:space="preserve">rejection_comments</t>
  </si>
  <si>
    <t xml:space="preserve">Mapeada en internal-disciplinary-control-service/src/entities/legal-auto.entity.ts:135 (LegalAuto.rejection_comments)</t>
  </si>
  <si>
    <t xml:space="preserve">Comentarios del rechazo del auto.</t>
  </si>
  <si>
    <t xml:space="preserve">C2424</t>
  </si>
  <si>
    <t xml:space="preserve">currentVersion</t>
  </si>
  <si>
    <t xml:space="preserve">Mapeada en internal-disciplinary-control-service/src/entities/legal-auto.entity.ts:168 (LegalAuto.currentVersion)</t>
  </si>
  <si>
    <t xml:space="preserve">Número de la versión vigente del auto. Valor por defecto: 1.</t>
  </si>
  <si>
    <t xml:space="preserve">C2425</t>
  </si>
  <si>
    <t xml:space="preserve">Mapeada en internal-disciplinary-control-service/src/entities/legal-auto.entity.ts:89 (LegalAuto.numero) | Validación: IsOptional, IsString</t>
  </si>
  <si>
    <t xml:space="preserve">C2426</t>
  </si>
  <si>
    <t xml:space="preserve">documentUrl</t>
  </si>
  <si>
    <t xml:space="preserve">Mapeada en internal-disciplinary-control-service/src/entities/legal-auto.entity.ts:105 (LegalAuto.documentUrl) | Validación: IsOptional, IsString</t>
  </si>
  <si>
    <t xml:space="preserve">URL del documento del auto.</t>
  </si>
  <si>
    <t xml:space="preserve">¿Qué diferencia hay entre documentUrl y firmaUrl?</t>
  </si>
  <si>
    <t xml:space="preserve">C2427</t>
  </si>
  <si>
    <t xml:space="preserve">documentName</t>
  </si>
  <si>
    <t xml:space="preserve">Mapeada en internal-disciplinary-control-service/src/entities/legal-auto.entity.ts:108 (LegalAuto.documentName) | Validación: IsOptional, IsString</t>
  </si>
  <si>
    <t xml:space="preserve">Nombre del documento del auto.</t>
  </si>
  <si>
    <t xml:space="preserve">nombre + tipo + columnas vecinas (documentUrl)</t>
  </si>
  <si>
    <t xml:space="preserve">C2428</t>
  </si>
  <si>
    <t xml:space="preserve">documentType</t>
  </si>
  <si>
    <t xml:space="preserve">Mapeada en internal-disciplinary-control-service/src/entities/legal-auto.entity.ts:111 (LegalAuto.documentType) | Validación: IsOptional, IsString</t>
  </si>
  <si>
    <t xml:space="preserve">Tipo de archivo del documento del auto.</t>
  </si>
  <si>
    <t xml:space="preserve">C2429</t>
  </si>
  <si>
    <t xml:space="preserve">documentSize</t>
  </si>
  <si>
    <t xml:space="preserve">Mapeada en internal-disciplinary-control-service/src/entities/legal-auto.entity.ts:114 (LegalAuto.documentSize) | Validación: IsNumber, IsOptional</t>
  </si>
  <si>
    <t xml:space="preserve">Tamaño del documento del auto.</t>
  </si>
  <si>
    <t xml:space="preserve">C2430</t>
  </si>
  <si>
    <t xml:space="preserve">etapaDestino</t>
  </si>
  <si>
    <t xml:space="preserve">Mapeada en internal-disciplinary-control-service/src/entities/legal-auto.entity.ts:120 (LegalAuto.etapaDestino) | Validación: IsOptional, IsString</t>
  </si>
  <si>
    <t xml:space="preserve">Etapa procesal a la que pasa el proceso con el auto.</t>
  </si>
  <si>
    <t xml:space="preserve">¿Qué valores admite etapaDestino?</t>
  </si>
  <si>
    <t xml:space="preserve">C2431</t>
  </si>
  <si>
    <t xml:space="preserve">prorrogaMeses</t>
  </si>
  <si>
    <t xml:space="preserve">internal-disciplinary-control-service/src/entities/legal-auto.entity.ts:144: 3 o 6 — Solo aplica para AUTO_PRORROGA | Validación: IsIn([3, 6]), IsNumber, IsOptional</t>
  </si>
  <si>
    <t xml:space="preserve">Meses de prórroga; solo aplica para AUTO_PRORROGA. Valores permitidos: 3, 6.</t>
  </si>
  <si>
    <t xml:space="preserve">código: legal-auto.entity.ts:144</t>
  </si>
  <si>
    <t xml:space="preserve">C2432</t>
  </si>
  <si>
    <t xml:space="preserve">fechaVencimientoAnterior</t>
  </si>
  <si>
    <t xml:space="preserve">internal-disciplinary-control-service/src/entities/legal-auto.entity.ts:147: Registro para historial de prórroga</t>
  </si>
  <si>
    <t xml:space="preserve">Fecha de vencimiento anterior a la prórroga, registrada para el historial de prórrogas.</t>
  </si>
  <si>
    <t xml:space="preserve">código: legal-auto.entity.ts:147</t>
  </si>
  <si>
    <t xml:space="preserve">C2433</t>
  </si>
  <si>
    <t xml:space="preserve">fechaVencimientoNueva</t>
  </si>
  <si>
    <t xml:space="preserve">internal-disciplinary-control-service/src/entities/legal-auto.entity.ts:150: Registro para historial de prórroga</t>
  </si>
  <si>
    <t xml:space="preserve">Fecha de vencimiento de la etapa que resulta de la prórroga concedida por el auto.</t>
  </si>
  <si>
    <t xml:space="preserve">nombre + columnas vecinas (prorrogaMeses, fechaVencimientoAnterior) (comentario del código desplazado: corresponde a otra columna)</t>
  </si>
  <si>
    <t xml:space="preserve">¿Se llena solo en autos de tipo AUTO_PRORROGA?</t>
  </si>
  <si>
    <t xml:space="preserve">C2434</t>
  </si>
  <si>
    <t xml:space="preserve">autoConfigurationId</t>
  </si>
  <si>
    <t xml:space="preserve">idx_legal_autos_auto_configuration_id</t>
  </si>
  <si>
    <t xml:space="preserve">internal-disciplinary-control-service/src/entities/legal-auto.entity.ts:86: Plantilla exacta (autos_configuration.id) usada al crear el auto | Validación: IsOptional, IsString</t>
  </si>
  <si>
    <t xml:space="preserve">Identificador de la plantilla exacta (autos_configuration.id) usada al crear el auto.</t>
  </si>
  <si>
    <t xml:space="preserve">código: legal-auto.entity.ts:86</t>
  </si>
  <si>
    <t xml:space="preserve">C2435</t>
  </si>
  <si>
    <t xml:space="preserve">etapaPreviaAprobacion</t>
  </si>
  <si>
    <t xml:space="preserve">internal-disciplinary-control-service/src/entities/legal-auto.entity.ts:126: EFDS-1564: etapa en la que estaba el proceso justo antes de aprobar este auto. Solo se guarda si la aprobacion efectivamente cambio la etapa; sirve para que "Reversar aprobacion" devuelva el proceso a esa etapa.</t>
  </si>
  <si>
    <t xml:space="preserve">Etapa en la que estaba el proceso justo antes de aprobar el auto; solo se guarda si la aprobación cambió la etapa, y permite que «Reversar aprobación» devuelva el proceso a esa etapa (EFDS-1564).</t>
  </si>
  <si>
    <t xml:space="preserve">código: internal-disciplinary-control-service/src/entities/legal-auto.entity.ts:126</t>
  </si>
  <si>
    <t xml:space="preserve">C2436</t>
  </si>
  <si>
    <t xml:space="preserve">rejectionDocumentUrl</t>
  </si>
  <si>
    <t xml:space="preserve">internal-disciplinary-control-service/src/entities/legal-auto.entity.ts:138: Documento de soporte adjuntado por el Jefe al devolver el auto</t>
  </si>
  <si>
    <t xml:space="preserve">URL del documento de soporte que adjunta el jefe al devolver el auto.</t>
  </si>
  <si>
    <t xml:space="preserve">código: legal-auto.entity.ts:138</t>
  </si>
  <si>
    <t xml:space="preserve">C2437</t>
  </si>
  <si>
    <t xml:space="preserve">rejectionDocumentName</t>
  </si>
  <si>
    <t xml:space="preserve">Mapeada en internal-disciplinary-control-service/src/entities/legal-auto.entity.ts:141 (LegalAuto.rejectionDocumentName)</t>
  </si>
  <si>
    <t xml:space="preserve">Nombre del documento de soporte adjuntado al devolver el auto.</t>
  </si>
  <si>
    <t xml:space="preserve">nombre + columna vecina rejectionDocumentUrl</t>
  </si>
  <si>
    <t xml:space="preserve">¿Es el nombre original del archivo cargado?</t>
  </si>
  <si>
    <t xml:space="preserve">C2438</t>
  </si>
  <si>
    <t xml:space="preserve">Mapeada en internal-disciplinary-control-service/src/entities/legal-auto.entity.ts:159 (LegalAuto.entidadDestino) | Validación: IsNotEmpty, IsOptional, IsString</t>
  </si>
  <si>
    <t xml:space="preserve">Entidad destino del auto.</t>
  </si>
  <si>
    <t xml:space="preserve">nombre + columna vecina entidad_destino_email</t>
  </si>
  <si>
    <t xml:space="preserve">¿Es la entidad a la que se dirige o remite el auto y en qué tipos de auto se llena?</t>
  </si>
  <si>
    <t xml:space="preserve">C2439</t>
  </si>
  <si>
    <t xml:space="preserve">entidad_destino_email</t>
  </si>
  <si>
    <t xml:space="preserve">Mapeada en internal-disciplinary-control-service/src/entities/legal-auto.entity.ts:162 (LegalAuto.entidadDestinoEmail) | Validación: IsOptional, IsString</t>
  </si>
  <si>
    <t xml:space="preserve">Correo electrónico de la entidad destino del auto.</t>
  </si>
  <si>
    <t xml:space="preserve">nombre + tipo + columnas vecinas (entidad_destino)</t>
  </si>
  <si>
    <t xml:space="preserve">C2440</t>
  </si>
  <si>
    <t xml:space="preserve">oficios_configuration</t>
  </si>
  <si>
    <t xml:space="preserve">idx_oficios_configuration_tipo, oficios_configuration_tipo_key</t>
  </si>
  <si>
    <t xml:space="preserve">Mapeada en internal-disciplinary-control-service/src/entities/oficio-configuration.entity.ts:14 (OficioConfiguration.tipo) | Validación: IsEnum(TipoAlerta), IsEnum(TipoFestivo), IsNotEmpty, IsOptional, IsString, MaxLength(50)</t>
  </si>
  <si>
    <t xml:space="preserve">Tipo del registro de oficios_configuration.</t>
  </si>
  <si>
    <t xml:space="preserve">C2441</t>
  </si>
  <si>
    <t xml:space="preserve">Mapeada en internal-disciplinary-control-service/src/entities/oficio-configuration.entity.ts:17 (OficioConfiguration.nombre) | Validación: IsNotEmpty, IsOptional, IsString, MaxLength(255)</t>
  </si>
  <si>
    <t xml:space="preserve">Nombre del registro de oficios_configuration.</t>
  </si>
  <si>
    <t xml:space="preserve">C2442</t>
  </si>
  <si>
    <t xml:space="preserve">Mapeada en internal-disciplinary-control-service/src/entities/oficio-configuration.entity.ts:23 (OficioConfiguration.codigo) | Validación: IsNotEmpty, IsOptional, IsString, MaxLength(100), MaxLength(50)</t>
  </si>
  <si>
    <t xml:space="preserve">Código del registro de oficios_configuration.</t>
  </si>
  <si>
    <t xml:space="preserve">C2443</t>
  </si>
  <si>
    <t xml:space="preserve">Mapeada en internal-disciplinary-control-service/src/entities/oficio-configuration.entity.ts:26 (OficioConfiguration.descripcion) | Validación: IsNotEmpty, IsObject, IsOptional, IsString</t>
  </si>
  <si>
    <t xml:space="preserve">Descripción del registro de oficios_configuration.</t>
  </si>
  <si>
    <t xml:space="preserve">C2444</t>
  </si>
  <si>
    <t xml:space="preserve">idx_oficios_configuration_estado</t>
  </si>
  <si>
    <t xml:space="preserve">Mapeada en internal-disciplinary-control-service/src/entities/oficio-configuration.entity.ts:20 (OficioConfiguration.estado) | Validación: IsBoolean, IsEnum(AutoStatus), IsEnum(EstadoAlerta), IsEnum(TerminoEstado), IsIn(['activo', 'inactivo']), IsOptional</t>
  </si>
  <si>
    <t xml:space="preserve">Estado del registro de oficios_configuration.</t>
  </si>
  <si>
    <t xml:space="preserve">C2445</t>
  </si>
  <si>
    <t xml:space="preserve">Mapeada en internal-disciplinary-control-service/src/entities/oficio-configuration.entity.ts:29 (OficioConfiguration.plantilla) | Validación: IsOptional, IsString</t>
  </si>
  <si>
    <t xml:space="preserve">Contenido de la plantilla del oficio.</t>
  </si>
  <si>
    <t xml:space="preserve">¿El contenido de la plantilla se guarda en HTML?</t>
  </si>
  <si>
    <t xml:space="preserve">C2446</t>
  </si>
  <si>
    <t xml:space="preserve">nombre_plantilla</t>
  </si>
  <si>
    <t xml:space="preserve">internal-disciplinary-control-service/src/entities/oficio-configuration.entity.ts:33: Nuevos campos para información de la plantilla | Validación: IsOptional, IsString</t>
  </si>
  <si>
    <t xml:space="preserve">Nombre de la plantilla asociada a la configuración del oficio.</t>
  </si>
  <si>
    <t xml:space="preserve">código: internal-disciplinary-control-service/src/entities/oficio-configuration.entity.ts:33</t>
  </si>
  <si>
    <t xml:space="preserve">C2447</t>
  </si>
  <si>
    <t xml:space="preserve">descripcion_plantilla</t>
  </si>
  <si>
    <t xml:space="preserve">Mapeada en internal-disciplinary-control-service/src/entities/oficio-configuration.entity.ts:36 (OficioConfiguration.descripcion_plantilla) | Validación: IsOptional, IsString</t>
  </si>
  <si>
    <t xml:space="preserve">Descripción de la plantilla del oficio.</t>
  </si>
  <si>
    <t xml:space="preserve">C2448</t>
  </si>
  <si>
    <t xml:space="preserve">Mapeada en internal-disciplinary-control-service/src/entities/oficio-configuration.entity.ts:39 (OficioConfiguration.version_plantilla) | Validación: IsOptional, IsString</t>
  </si>
  <si>
    <t xml:space="preserve">Versión de la plantilla del oficio. Valor por defecto: 1.0.</t>
  </si>
  <si>
    <t xml:space="preserve">C2449</t>
  </si>
  <si>
    <t xml:space="preserve">estado_plantilla</t>
  </si>
  <si>
    <t xml:space="preserve">Mapeada en internal-disciplinary-control-service/src/entities/oficio-configuration.entity.ts:42 (OficioConfiguration.estado_plantilla) | Validación: IsIn(['activo', 'inactivo']), IsOptional, IsString</t>
  </si>
  <si>
    <t xml:space="preserve">Estado de la plantilla del oficio. Valores permitidos: activo, inactivo. Valor por defecto: activo.</t>
  </si>
  <si>
    <t xml:space="preserve">C2450</t>
  </si>
  <si>
    <t xml:space="preserve">internal-disciplinary-control-service/src/entities/oficio-configuration.entity.ts:46: Campo para la etapa del proceso asociada | Validación: IsOptional, IsString</t>
  </si>
  <si>
    <t xml:space="preserve">Etapa del proceso disciplinario asociada al oficio.</t>
  </si>
  <si>
    <t xml:space="preserve">código: internal-disciplinary-control-service/src/entities/oficio-configuration.entity.ts:46</t>
  </si>
  <si>
    <t xml:space="preserve">C2451</t>
  </si>
  <si>
    <t xml:space="preserve">idx_oficios_configuration_orden</t>
  </si>
  <si>
    <t xml:space="preserve">Mapeada en internal-disciplinary-control-service/src/entities/oficio-configuration.entity.ts:49 (OficioConfiguration.orden) | Validación: IsInt, IsNumber, IsOptional, Max(9999), Min(0)</t>
  </si>
  <si>
    <t xml:space="preserve">C2452</t>
  </si>
  <si>
    <t xml:space="preserve">plantilla_auto</t>
  </si>
  <si>
    <t xml:space="preserve">htmlContent</t>
  </si>
  <si>
    <t xml:space="preserve">Mapeada en internal-disciplinary-control-service/src/entities/plantilla-auto.entity.ts:8 (PlantillaAuto.htmlContent)</t>
  </si>
  <si>
    <t xml:space="preserve">Contenido HTML de la plantilla de auto.</t>
  </si>
  <si>
    <t xml:space="preserve">C2453</t>
  </si>
  <si>
    <t xml:space="preserve">activo, inactivo</t>
  </si>
  <si>
    <t xml:space="preserve">idx_plantilla_auto_estado</t>
  </si>
  <si>
    <t xml:space="preserve">internal-disciplinary-control-service/src/entities/plantilla-auto.entity.ts:11: 'activo', 'inactivo' | Validación: IsBoolean, IsEnum(AutoStatus), IsEnum(EstadoAlerta), IsEnum(TerminoEstado), IsIn(['activo', 'inactivo']), IsOptional</t>
  </si>
  <si>
    <t xml:space="preserve">Estado de la plantilla de auto. Valores permitidos: activo, inactivo. Por defecto, activo.</t>
  </si>
  <si>
    <t xml:space="preserve">código: plantilla-auto.entity.ts:11 + valores permitidos del CHECK</t>
  </si>
  <si>
    <t xml:space="preserve">C2454</t>
  </si>
  <si>
    <t xml:space="preserve">Mapeada en internal-disciplinary-control-service/src/entities/plantilla-auto.entity.ts:14 (PlantillaAuto.nombre) | Validación: IsNotEmpty, IsOptional, IsString, MaxLength(255)</t>
  </si>
  <si>
    <t xml:space="preserve">Nombre del registro de plantilla_auto.</t>
  </si>
  <si>
    <t xml:space="preserve">C2455</t>
  </si>
  <si>
    <t xml:space="preserve">Mapeada en internal-disciplinary-control-service/src/entities/plantilla-auto.entity.ts:17 (PlantillaAuto.descripcion) | Validación: IsNotEmpty, IsObject, IsOptional, IsString</t>
  </si>
  <si>
    <t xml:space="preserve">Descripción del registro de plantilla_auto.</t>
  </si>
  <si>
    <t xml:space="preserve">C2456</t>
  </si>
  <si>
    <t xml:space="preserve">reglas_alerta</t>
  </si>
  <si>
    <t xml:space="preserve">UQ_reglas_alerta_nombre</t>
  </si>
  <si>
    <t xml:space="preserve">Mapeada en internal-disciplinary-control-service/src/entities/regla-alerta.entity.ts:20 (ReglaAlerta.nombre) | Validación: IsNotEmpty, IsOptional, IsString, MaxLength(255)</t>
  </si>
  <si>
    <t xml:space="preserve">Nombre del registro de reglas_alerta.</t>
  </si>
  <si>
    <t xml:space="preserve">C2457</t>
  </si>
  <si>
    <t xml:space="preserve">dias_anticipacion</t>
  </si>
  <si>
    <t xml:space="preserve">internal-disciplinary-control-service/src/entities/regla-alerta.entity.ts:23: CHECK: &gt;= 0 AND &lt;= 30 (0 = immediate/vencido) | Validación: IsInt, IsOptional, Max(30), Min(1)</t>
  </si>
  <si>
    <t xml:space="preserve">Días de anticipación al vencimiento con que se genera la alerta, de 0 a 30; 0 indica alerta inmediata o de término vencido.</t>
  </si>
  <si>
    <t xml:space="preserve">código: regla-alerta.entity.ts:23</t>
  </si>
  <si>
    <t xml:space="preserve">El comentario indica un mínimo de 0 y la validación usa Min(1); ¿cuál es el mínimo vigente?</t>
  </si>
  <si>
    <t xml:space="preserve">C2458</t>
  </si>
  <si>
    <t xml:space="preserve">IDX_reglas_alerta_activa, idx_reglas_activa</t>
  </si>
  <si>
    <t xml:space="preserve">Mapeada en internal-disciplinary-control-service/src/entities/regla-alerta.entity.ts:27 (ReglaAlerta.activa) | Validación: IsBoolean, IsOptional</t>
  </si>
  <si>
    <t xml:space="preserve">C2459</t>
  </si>
  <si>
    <t xml:space="preserve">Mapeada en internal-disciplinary-control-service/src/entities/regla-alerta.entity.ts:30 (ReglaAlerta.enviarEmail) | Validación: IsBoolean, IsOptional</t>
  </si>
  <si>
    <t xml:space="preserve">C2460</t>
  </si>
  <si>
    <t xml:space="preserve">mostrar_panel</t>
  </si>
  <si>
    <t xml:space="preserve">Mapeada en internal-disciplinary-control-service/src/entities/regla-alerta.entity.ts:33 (ReglaAlerta.mostrarPanel) | Validación: IsBoolean, IsOptional</t>
  </si>
  <si>
    <t xml:space="preserve">Indica si aplica: mostrar panel.</t>
  </si>
  <si>
    <t xml:space="preserve">C2461</t>
  </si>
  <si>
    <t xml:space="preserve">Mapeada en internal-disciplinary-control-service/src/entities/regla-alerta.entity.ts:36 (ReglaAlerta.descripcion) | Validación: IsNotEmpty, IsObject, IsOptional, IsString</t>
  </si>
  <si>
    <t xml:space="preserve">Descripción del registro de reglas_alerta.</t>
  </si>
  <si>
    <t xml:space="preserve">C2462</t>
  </si>
  <si>
    <t xml:space="preserve">internal-disciplinary-control-service/src/entities/regla-alerta.entity.ts:39: FK a personas (nullable for system-generated rules)</t>
  </si>
  <si>
    <t xml:space="preserve">Identificador de la persona que creó la regla (auth.personas); nulo en las reglas generadas por el sistema.</t>
  </si>
  <si>
    <t xml:space="preserve">código: regla-alerta.entity.ts:39</t>
  </si>
  <si>
    <t xml:space="preserve">C2463</t>
  </si>
  <si>
    <t xml:space="preserve">currentValue</t>
  </si>
  <si>
    <t xml:space="preserve">Mapeada en internal-disciplinary-control-service/src/entities/sequence.entity.ts:8 (Sequence.currentValue)</t>
  </si>
  <si>
    <t xml:space="preserve">Valor actual de la secuencia de radicados. Por defecto, 0.</t>
  </si>
  <si>
    <t xml:space="preserve">¿currentValue es el último número asignado o el siguiente por asignar?</t>
  </si>
  <si>
    <t xml:space="preserve">C2464</t>
  </si>
  <si>
    <t xml:space="preserve">stage_configuration</t>
  </si>
  <si>
    <t xml:space="preserve">Mapeada en internal-disciplinary-control-service/src/entities/stage-configuration.entity.ts:14 (StageConfiguration.etapa) | Validación: IsOptional, IsString, MaxLength(80)</t>
  </si>
  <si>
    <t xml:space="preserve">Nombre de la etapa procesal (máximo 80 caracteres).</t>
  </si>
  <si>
    <t xml:space="preserve">C2465</t>
  </si>
  <si>
    <t xml:space="preserve">diasHabiles</t>
  </si>
  <si>
    <t xml:space="preserve">Mapeada en internal-disciplinary-control-service/src/entities/stage-configuration.entity.ts:17 (StageConfiguration.diasHabiles) | Validación: IsInt, IsOptional, Max(180), Min(1)</t>
  </si>
  <si>
    <t xml:space="preserve">Días hábiles de duración de la etapa (entre 1 y 180). Valor por defecto: 30.</t>
  </si>
  <si>
    <t xml:space="preserve">validaciones Min(1), Max(180) + defecto</t>
  </si>
  <si>
    <t xml:space="preserve">C2466</t>
  </si>
  <si>
    <t xml:space="preserve">Mapeada en internal-disciplinary-control-service/src/entities/stage-configuration.entity.ts:23 (StageConfiguration.descripcion) | Validación: IsNotEmpty, IsObject, IsOptional, IsString</t>
  </si>
  <si>
    <t xml:space="preserve">Descripción del registro de stage_configuration.</t>
  </si>
  <si>
    <t xml:space="preserve">C2467</t>
  </si>
  <si>
    <t xml:space="preserve">Mapeada en internal-disciplinary-control-service/src/entities/stage-configuration.entity.ts:26 (StageConfiguration.activo) | Validación: IsBoolean, IsOptional</t>
  </si>
  <si>
    <t xml:space="preserve">C2468</t>
  </si>
  <si>
    <t xml:space="preserve">Mapeada en internal-disciplinary-control-service/src/entities/stage-configuration.entity.ts:20 (StageConfiguration.color)</t>
  </si>
  <si>
    <t xml:space="preserve">Color con que se muestra la etapa en la interfaz.</t>
  </si>
  <si>
    <t xml:space="preserve">¿Se guarda en formato hexadecimal o como nombre de clase?</t>
  </si>
  <si>
    <t xml:space="preserve">C2469</t>
  </si>
  <si>
    <t xml:space="preserve">Mapeada en internal-disciplinary-control-service/src/entities/stage-configuration.entity.ts:29 (StageConfiguration.orden) | Validación: IsInt, IsNumber, IsOptional, Max(9999), Min(0)</t>
  </si>
  <si>
    <t xml:space="preserve">C2470</t>
  </si>
  <si>
    <t xml:space="preserve">system_configuration</t>
  </si>
  <si>
    <t xml:space="preserve">roleCapacities</t>
  </si>
  <si>
    <t xml:space="preserve">internal-disciplinary-control-service/src/entities/system-configuration.entity.ts:10: CAPACIDAD POR CARGO (JSON) Ejemplo: { "profesional": 10, "especializado": 15 ... }</t>
  </si>
  <si>
    <t xml:space="preserve">Capacidad asignada por cargo, en formato JSON (por ejemplo, {"profesional": 10, "especializado": 15}).</t>
  </si>
  <si>
    <t xml:space="preserve">código: internal-disciplinary-control-service/src/entities/system-configuration.entity.ts:10</t>
  </si>
  <si>
    <t xml:space="preserve">¿La capacidad es el número máximo de procesos asignados simultáneamente a cada cargo?</t>
  </si>
  <si>
    <t xml:space="preserve">C2471</t>
  </si>
  <si>
    <t xml:space="preserve">notificationSettings</t>
  </si>
  <si>
    <t xml:space="preserve">internal-disciplinary-control-service/src/entities/system-configuration.entity.ts:15: CONFIGURACIÓN DE NOTIFICACIONES (JSON) Ejemplo: { "vencimiento7dias": true, "emailMasterSwitch": true ... }</t>
  </si>
  <si>
    <t xml:space="preserve">Configuración de notificaciones, en formato JSON (por ejemplo, vencimiento7dias, emailMasterSwitch).</t>
  </si>
  <si>
    <t xml:space="preserve">código: internal-disciplinary-control-service/src/entities/system-configuration.entity.ts:15</t>
  </si>
  <si>
    <t xml:space="preserve">C2472</t>
  </si>
  <si>
    <t xml:space="preserve">alertSettings</t>
  </si>
  <si>
    <t xml:space="preserve">internal-disciplinary-control-service/src/entities/system-configuration.entity.ts:20: CONFIGURACIÓN DE ALERTAS (JSON) Ejemplo: { "porcentajeAmarillo": 85, "porcentajeRojo": 95 ... }</t>
  </si>
  <si>
    <t xml:space="preserve">Configuración de alertas, en formato JSON (por ejemplo, porcentajeAmarillo: 85, porcentajeRojo: 95).</t>
  </si>
  <si>
    <t xml:space="preserve">código: internal-disciplinary-control-service/src/entities/system-configuration.entity.ts:20</t>
  </si>
  <si>
    <t xml:space="preserve">C2473</t>
  </si>
  <si>
    <t xml:space="preserve">securitySettings</t>
  </si>
  <si>
    <t xml:space="preserve">internal-disciplinary-control-service/src/entities/system-configuration.entity.ts:25: SEGURIDAD Y AUDITORÍA (JSON) Ejemplo: { "auditEnabled": true, "digitalSignature": false ... }</t>
  </si>
  <si>
    <t xml:space="preserve">Configuración de seguridad y auditoría, en formato JSON (por ejemplo, auditEnabled, digitalSignature).</t>
  </si>
  <si>
    <t xml:space="preserve">código: internal-disciplinary-control-service/src/entities/system-configuration.entity.ts:25</t>
  </si>
  <si>
    <t xml:space="preserve">C2474</t>
  </si>
  <si>
    <t xml:space="preserve">documentTemplates</t>
  </si>
  <si>
    <t xml:space="preserve">internal-disciplinary-control-service/src/entities/system-configuration.entity.ts:30: PLANTILLAS DE DOCUMENTOS (JSON) Ejemplo: { "oficios": [...], "autos": [...], "actas": [...] }</t>
  </si>
  <si>
    <t xml:space="preserve">Plantillas de documentos (oficios, autos, actas), en formato JSON.</t>
  </si>
  <si>
    <t xml:space="preserve">código: internal-disciplinary-control-service/src/entities/system-configuration.entity.ts:30</t>
  </si>
  <si>
    <t xml:space="preserve">C2475</t>
  </si>
  <si>
    <t xml:space="preserve">proceso_id</t>
  </si>
  <si>
    <t xml:space="preserve">IDX_terminos_proceso_id, idx_terminos_proceso</t>
  </si>
  <si>
    <t xml:space="preserve">Mapeada en internal-disciplinary-control-service/src/entities/termino-procesal.entity.ts:32 (TerminoProcesal.procesoId) | Validación: IsNotEmpty({ message: 'procesoId must not be empty' }), IsOptional, IsString({ message: 'procesoId must be a string' }), Matches(/^[0-9a-f]{8}-[0-9a-f]{4}-[0-9a-f]{4}-[0-9a-f]{4}-[0-9a-f]{12}$/i, {
    message: 'procesoId must be a valid UUID',
  })</t>
  </si>
  <si>
    <t xml:space="preserve">Identificador (UUID) del proceso disciplinario al que pertenece el término.</t>
  </si>
  <si>
    <t xml:space="preserve">nombre + tipo + columnas vecinas + validación de UUID</t>
  </si>
  <si>
    <t xml:space="preserve">¿Referencia a disciplinary_processes.id? No tiene FK declarada.</t>
  </si>
  <si>
    <t xml:space="preserve">C2476</t>
  </si>
  <si>
    <t xml:space="preserve">numero_proceso</t>
  </si>
  <si>
    <t xml:space="preserve">internal-disciplinary-control-service/src/entities/termino-procesal.entity.ts:39: Puede venir vacío si aún no hay radicado visible</t>
  </si>
  <si>
    <t xml:space="preserve">Número de radicado del proceso; puede estar vacío si aún no hay radicado visible.</t>
  </si>
  <si>
    <t xml:space="preserve">código: termino-procesal.entity.ts:39</t>
  </si>
  <si>
    <t xml:space="preserve">C2477</t>
  </si>
  <si>
    <t xml:space="preserve">actuacion</t>
  </si>
  <si>
    <t xml:space="preserve">internal-disciplinary-control-service/src/entities/termino-procesal.entity.ts:42: Tipo de actuación procesal | Validación: IsNotEmpty, IsOptional, IsString</t>
  </si>
  <si>
    <t xml:space="preserve">Tipo de actuación procesal a la que corresponde el término.</t>
  </si>
  <si>
    <t xml:space="preserve">código: termino-procesal.entity.ts:42</t>
  </si>
  <si>
    <t xml:space="preserve">C2478</t>
  </si>
  <si>
    <t xml:space="preserve">IDX_terminos_responsable_id, idx_terminos_responsable</t>
  </si>
  <si>
    <t xml:space="preserve">internal-disciplinary-control-service/src/entities/termino-procesal.entity.ts:45: FK a personas (tabla externa) | Validación: IsNotEmpty({ message: 'responsableId must not be empty' }), IsOptional, IsString({ message: 'responsableId must be a string' }), Matches(/^[0-9a-f]{8}-[0-9a-f]{4}-[0-9a-f]{4}-[0-9a-f]{4}-[0-9a-f]{12}$/i, {
    message: 'responsableId must be a valid UUID',
  })</t>
  </si>
  <si>
    <t xml:space="preserve">Identificador de la persona responsable del término (auth.personas).</t>
  </si>
  <si>
    <t xml:space="preserve">código: termino-procesal.entity.ts:45</t>
  </si>
  <si>
    <t xml:space="preserve">C2479</t>
  </si>
  <si>
    <t xml:space="preserve">internal-disciplinary-control-service/src/entities/termino-procesal.entity.ts:48: Denormalizado para performance | Validación: IsNotEmpty, IsOptional, IsString, MaxLength(255)</t>
  </si>
  <si>
    <t xml:space="preserve">Nombre del responsable del término, copiado de la persona responsable.</t>
  </si>
  <si>
    <t xml:space="preserve">código: termino-procesal.entity.ts:48</t>
  </si>
  <si>
    <t xml:space="preserve">C2480</t>
  </si>
  <si>
    <t xml:space="preserve">email_responsable</t>
  </si>
  <si>
    <t xml:space="preserve">Mapeada en internal-disciplinary-control-service/src/entities/termino-procesal.entity.ts:51 (TerminoProcesal.emailResponsable)</t>
  </si>
  <si>
    <t xml:space="preserve">Correo electrónico del responsable del término.</t>
  </si>
  <si>
    <t xml:space="preserve">nombre + columnas vecinas (responsable_id, responsable_nombre)</t>
  </si>
  <si>
    <t xml:space="preserve">C2481</t>
  </si>
  <si>
    <t xml:space="preserve">Mapeada en internal-disciplinary-control-service/src/entities/termino-procesal.entity.ts:54 (TerminoProcesal.fechaInicio) | Validación: IsDateString, IsNotEmpty, IsOptional</t>
  </si>
  <si>
    <t xml:space="preserve">C2482</t>
  </si>
  <si>
    <t xml:space="preserve">dias_habiles</t>
  </si>
  <si>
    <t xml:space="preserve">internal-disciplinary-control-service/src/entities/termino-procesal.entity.ts:57: CHECK: &gt; 0 AND &lt;= 180 | Validación: IsInt, IsOptional, Max(180), Min(1)</t>
  </si>
  <si>
    <t xml:space="preserve">Número de días hábiles del término, mayor que 0 y hasta 180.</t>
  </si>
  <si>
    <t xml:space="preserve">código: termino-procesal.entity.ts:57</t>
  </si>
  <si>
    <t xml:space="preserve">C2483</t>
  </si>
  <si>
    <t xml:space="preserve">IDX_terminos_fecha_vencimiento, idx_terminos_fecha_vencimiento</t>
  </si>
  <si>
    <t xml:space="preserve">Mapeada en internal-disciplinary-control-service/src/entities/termino-procesal.entity.ts:60 (TerminoProcesal.fechaVencimiento) | Validación: IsDateString, IsNotEmpty</t>
  </si>
  <si>
    <t xml:space="preserve">C2484</t>
  </si>
  <si>
    <t xml:space="preserve">IDX_terminos_dias_restantes, idx_terminos_dias_restantes</t>
  </si>
  <si>
    <t xml:space="preserve">internal-disciplinary-control-service/src/entities/termino-procesal.entity.ts:63: CHECK: &gt;= -365 (permite hasta 1 año vencido)</t>
  </si>
  <si>
    <t xml:space="preserve">Días que faltan para el vencimiento del término; negativo si está vencido, con mínimo de -365.</t>
  </si>
  <si>
    <t xml:space="preserve">código: termino-procesal.entity.ts:63</t>
  </si>
  <si>
    <t xml:space="preserve">C2485</t>
  </si>
  <si>
    <t xml:space="preserve">internal_disciplinary_control.termino_estado_enum</t>
  </si>
  <si>
    <t xml:space="preserve">pendiente, proximo_vencer, vencido, cumplido</t>
  </si>
  <si>
    <t xml:space="preserve">IDX_terminos_estado, idx_terminos_estado</t>
  </si>
  <si>
    <t xml:space="preserve">Mapeada en internal-disciplinary-control-service/src/entities/termino-procesal.entity.ts:66 (TerminoProcesal.estado) | Validación: IsBoolean, IsEnum(AutoStatus), IsEnum(EstadoAlerta), IsEnum(TerminoEstado), IsIn(['activo', 'inactivo']), IsOptional</t>
  </si>
  <si>
    <t xml:space="preserve">Estado del registro de terminos_procesales.</t>
  </si>
  <si>
    <t xml:space="preserve">C2486</t>
  </si>
  <si>
    <t xml:space="preserve">alerta_enviada</t>
  </si>
  <si>
    <t xml:space="preserve">Mapeada en internal-disciplinary-control-service/src/entities/termino-procesal.entity.ts:73 (TerminoProcesal.alertaEnviada)</t>
  </si>
  <si>
    <t xml:space="preserve">Indica si el registro está alerta enviada.</t>
  </si>
  <si>
    <t xml:space="preserve">C2487</t>
  </si>
  <si>
    <t xml:space="preserve">fecha_cumplimiento</t>
  </si>
  <si>
    <t xml:space="preserve">Mapeada en internal-disciplinary-control-service/src/entities/termino-procesal.entity.ts:76 (TerminoProcesal.fechaCumplimiento) | Validación: IsDateString, IsNotEmpty</t>
  </si>
  <si>
    <t xml:space="preserve">Fecha de cumplimiento.</t>
  </si>
  <si>
    <t xml:space="preserve">C2488</t>
  </si>
  <si>
    <t xml:space="preserve">Mapeada en internal-disciplinary-control-service/src/entities/termino-procesal.entity.ts:79 (TerminoProcesal.observaciones) | Validación: IsNotEmpty, IsOptional, IsString</t>
  </si>
  <si>
    <t xml:space="preserve">C2489</t>
  </si>
  <si>
    <t xml:space="preserve">internal-disciplinary-control-service/src/entities/termino-procesal.entity.ts:82: FK a personas</t>
  </si>
  <si>
    <t xml:space="preserve">Identificador de la persona que registró el término (auth.personas).</t>
  </si>
  <si>
    <t xml:space="preserve">código: termino-procesal.entity.ts:82</t>
  </si>
  <si>
    <t xml:space="preserve">C2490</t>
  </si>
  <si>
    <t xml:space="preserve">avances_hallazgo</t>
  </si>
  <si>
    <t xml:space="preserve">idx_avances_fecha</t>
  </si>
  <si>
    <t xml:space="preserve">C2491</t>
  </si>
  <si>
    <t xml:space="preserve">Porcentaje de avance reportado para el hallazgo (0 a 100).</t>
  </si>
  <si>
    <t xml:space="preserve">C2492</t>
  </si>
  <si>
    <t xml:space="preserve">Descripción del avance reportado.</t>
  </si>
  <si>
    <t xml:space="preserve">C2493</t>
  </si>
  <si>
    <t xml:space="preserve">documentos_adjuntos_urls</t>
  </si>
  <si>
    <t xml:space="preserve">Lista de URL de los documentos que soportan el avance.</t>
  </si>
  <si>
    <t xml:space="preserve">C2494</t>
  </si>
  <si>
    <t xml:space="preserve">reportado_a_sireci</t>
  </si>
  <si>
    <t xml:space="preserve">Indica si aplica: reportado a sireci.</t>
  </si>
  <si>
    <t xml:space="preserve">C2495</t>
  </si>
  <si>
    <t xml:space="preserve">fecha_reporte_sireci</t>
  </si>
  <si>
    <t xml:space="preserve">Fecha de reporte sireci.</t>
  </si>
  <si>
    <t xml:space="preserve">C2496</t>
  </si>
  <si>
    <t xml:space="preserve">reportado_por</t>
  </si>
  <si>
    <t xml:space="preserve">Nombre del funcionario que reportó el avance.</t>
  </si>
  <si>
    <t xml:space="preserve">C2497</t>
  </si>
  <si>
    <t xml:space="preserve">cat_organismos_control</t>
  </si>
  <si>
    <t xml:space="preserve">cat_organismos_control_nombre_key</t>
  </si>
  <si>
    <t xml:space="preserve">Mapeada en legal-management-service/src/entities/organismo-control.entity.ts:9 (OrganismoControl.nombre)</t>
  </si>
  <si>
    <t xml:space="preserve">Nombre del registro de cat_organismos_control.</t>
  </si>
  <si>
    <t xml:space="preserve">C2498</t>
  </si>
  <si>
    <t xml:space="preserve">Mapeada en legal-management-service/src/entities/organismo-control.entity.ts:12 (OrganismoControl.sigla)</t>
  </si>
  <si>
    <t xml:space="preserve">Sigla del organismo de control.</t>
  </si>
  <si>
    <t xml:space="preserve">C2499</t>
  </si>
  <si>
    <t xml:space="preserve">legal-management-service/src/entities/organismo-control.entity.ts:15: CONTRALORIA, PROCURADURIA, MINISTERIO, SUPERINTENDENCIA, OTROS | db/init/old/011_schema_organos_control.sql:14: CONTRALORIA, PROCURADURIA, MINISTERIO, SUPERINTENDENCIA, OTROS</t>
  </si>
  <si>
    <t xml:space="preserve">Tipo de organismo de control. Valores: CONTRALORIA, PROCURADURIA, MINISTERIO, SUPERINTENDENCIA, OTROS.</t>
  </si>
  <si>
    <t xml:space="preserve">código: organismo-control.entity.ts:15</t>
  </si>
  <si>
    <t xml:space="preserve">C2500</t>
  </si>
  <si>
    <t xml:space="preserve">legal-management-service/src/entities/organismo-control.entity.ts:18: NACIONAL, DEPARTAMENTAL, MUNICIPAL | db/init/old/011_schema_organos_control.sql:15: NACIONAL, DEPARTAMENTAL, MUNICIPAL</t>
  </si>
  <si>
    <t xml:space="preserve">Nivel territorial del organismo de control. Valores: NACIONAL, DEPARTAMENTAL, MUNICIPAL.</t>
  </si>
  <si>
    <t xml:space="preserve">código: organismo-control.entity.ts:18</t>
  </si>
  <si>
    <t xml:space="preserve">C2501</t>
  </si>
  <si>
    <t xml:space="preserve">Mapeada en legal-management-service/src/entities/organismo-control.entity.ts:21 (OrganismoControl.activo)</t>
  </si>
  <si>
    <t xml:space="preserve">C2502</t>
  </si>
  <si>
    <t xml:space="preserve">C2503</t>
  </si>
  <si>
    <t xml:space="preserve">C2504</t>
  </si>
  <si>
    <t xml:space="preserve">C2505</t>
  </si>
  <si>
    <t xml:space="preserve">C2506</t>
  </si>
  <si>
    <t xml:space="preserve">C2507</t>
  </si>
  <si>
    <t xml:space="preserve">C2508</t>
  </si>
  <si>
    <t xml:space="preserve">C2509</t>
  </si>
  <si>
    <t xml:space="preserve">C2510</t>
  </si>
  <si>
    <t xml:space="preserve">C2511</t>
  </si>
  <si>
    <t xml:space="preserve">C2512</t>
  </si>
  <si>
    <t xml:space="preserve">idx_hallazgos_fecha_compromiso</t>
  </si>
  <si>
    <t xml:space="preserve">C2513</t>
  </si>
  <si>
    <t xml:space="preserve">C2514</t>
  </si>
  <si>
    <t xml:space="preserve">C2515</t>
  </si>
  <si>
    <t xml:space="preserve">C2516</t>
  </si>
  <si>
    <t xml:space="preserve">¿Se actualiza a partir de avances_hallazgo o se registra manualmente?</t>
  </si>
  <si>
    <t xml:space="preserve">C2517</t>
  </si>
  <si>
    <t xml:space="preserve">C2518</t>
  </si>
  <si>
    <t xml:space="preserve">C2519</t>
  </si>
  <si>
    <t xml:space="preserve">Periodicidad con que se reporta el avance del hallazgo. Valores permitidos: ANUAL, MENSUAL, SEMESTRAL, TRIMESTRAL. Por defecto, SEMESTRAL.</t>
  </si>
  <si>
    <t xml:space="preserve">C2520</t>
  </si>
  <si>
    <t xml:space="preserve">C2521</t>
  </si>
  <si>
    <t xml:space="preserve">documentos_evidencia_urls</t>
  </si>
  <si>
    <t xml:space="preserve">Lista de URL de los documentos de evidencia del hallazgo.</t>
  </si>
  <si>
    <t xml:space="preserve">C2522</t>
  </si>
  <si>
    <t xml:space="preserve">historial_requerimientos</t>
  </si>
  <si>
    <t xml:space="preserve">Función requerimientos_oc.registrar_historial_requerimiento — requerimientos_oc.registrar_historial_requerimiento: INSERT INTO historial_requerimientos (requerimiento_id, accion, descripcion, estado_anterior, estado_nuevo)</t>
  </si>
  <si>
    <t xml:space="preserve">Acción registrada sobre el requerimiento.</t>
  </si>
  <si>
    <t xml:space="preserve">uso en la función requerimientos_oc.registrar_historial_requerimiento</t>
  </si>
  <si>
    <t xml:space="preserve">¿Qué valores de acción registra la función?</t>
  </si>
  <si>
    <t xml:space="preserve">C2523</t>
  </si>
  <si>
    <t xml:space="preserve">Descripción del registro de historial_requerimientos.</t>
  </si>
  <si>
    <t xml:space="preserve">C2524</t>
  </si>
  <si>
    <t xml:space="preserve">Estado del requerimiento antes de la acción.</t>
  </si>
  <si>
    <t xml:space="preserve">C2525</t>
  </si>
  <si>
    <t xml:space="preserve">Estado del requerimiento después de la acción.</t>
  </si>
  <si>
    <t xml:space="preserve">C2526</t>
  </si>
  <si>
    <t xml:space="preserve">¿Quién llena el nombre cuando la acción la registra la función automáticamente?</t>
  </si>
  <si>
    <t xml:space="preserve">C2527</t>
  </si>
  <si>
    <t xml:space="preserve">area_usuario</t>
  </si>
  <si>
    <t xml:space="preserve">Área a la que pertenece el usuario que realizó la acción.</t>
  </si>
  <si>
    <t xml:space="preserve">C2528</t>
  </si>
  <si>
    <t xml:space="preserve">C2529</t>
  </si>
  <si>
    <t xml:space="preserve">requerimientos</t>
  </si>
  <si>
    <t xml:space="preserve">Mapeada en legal-management-service/src/entities/requerimiento.entity.ts:9 (Requerimiento.radicadoExterno)</t>
  </si>
  <si>
    <t xml:space="preserve">C2530</t>
  </si>
  <si>
    <t xml:space="preserve">Mapeada en legal-management-service/src/entities/requerimiento.entity.ts:23 (Requerimiento.asunto)</t>
  </si>
  <si>
    <t xml:space="preserve">Asunto del requerimiento.</t>
  </si>
  <si>
    <t xml:space="preserve">C2531</t>
  </si>
  <si>
    <t xml:space="preserve">AJUSTE, AUDITORIA, HALLAZGO, INFORMACION</t>
  </si>
  <si>
    <t xml:space="preserve">db/init/old/011_schema_organos_control.sql:30: INFORMACION, AUDITORIA, HALLAZGO, AJUSTE</t>
  </si>
  <si>
    <t xml:space="preserve">Tipo de requerimiento del órgano de control. Valores permitidos: INFORMACION, AUDITORIA, HALLAZGO, AJUSTE.</t>
  </si>
  <si>
    <t xml:space="preserve">valores permitidos del CHECK; código: db/init/old/011_schema_organos_control.sql:30</t>
  </si>
  <si>
    <t xml:space="preserve">C2532</t>
  </si>
  <si>
    <t xml:space="preserve">legal-management-service/src/entities/requerimiento.entity.ts:29: TypeORM maps date to string usually for checks</t>
  </si>
  <si>
    <t xml:space="preserve">Fecha de recepción del requerimiento del órgano de control.</t>
  </si>
  <si>
    <t xml:space="preserve">propuesta por regla + descripción de la tabla; el comentario de código requerimiento.entity.ts:29 no define el dato</t>
  </si>
  <si>
    <t xml:space="preserve">C2533</t>
  </si>
  <si>
    <t xml:space="preserve">APROBADO, CERRADO, ENVIADO, EN_PREPARACION, EN_REVISION</t>
  </si>
  <si>
    <t xml:space="preserve">idx_requerimientos_estado</t>
  </si>
  <si>
    <t xml:space="preserve">db/init/old/011_schema_organos_control.sql:33: EN_PREPARACION, EN_REVISION, APROBADO, ENVIADO, CERRADO</t>
  </si>
  <si>
    <t xml:space="preserve">Estado del requerimiento. Valores permitidos: EN_PREPARACION, EN_REVISION, APROBADO, ENVIADO, CERRADO; valor por defecto EN_PREPARACION.</t>
  </si>
  <si>
    <t xml:space="preserve">valores permitidos del CHECK; código: db/init/old/011_schema_organos_control.sql:33</t>
  </si>
  <si>
    <t xml:space="preserve">C2534</t>
  </si>
  <si>
    <t xml:space="preserve">Mapeada en legal-management-service/src/entities/requerimiento.entity.ts:41 (Requerimiento.archivoAdjuntoUrl)</t>
  </si>
  <si>
    <t xml:space="preserve">URL del archivo del requerimiento recibido.</t>
  </si>
  <si>
    <t xml:space="preserve">C2535</t>
  </si>
  <si>
    <t xml:space="preserve">usuario_asignado_id</t>
  </si>
  <si>
    <t xml:space="preserve">idx_requerimientos_usuario_asignado</t>
  </si>
  <si>
    <t xml:space="preserve">db/init/old/011_schema_organos_control.sql:36: FK a auth.personas (se asume que existe)</t>
  </si>
  <si>
    <t xml:space="preserve">Identificador del usuario asignado al requerimiento; el código lo documenta como referencia a auth.personas, sin clave foránea en la base.</t>
  </si>
  <si>
    <t xml:space="preserve">código: db/init/old/011_schema_organos_control.sql:36</t>
  </si>
  <si>
    <t xml:space="preserve">La columna es integer y el comentario la señala como FK a auth.personas; ¿qué identificador guarda realmente?</t>
  </si>
  <si>
    <t xml:space="preserve">C2536</t>
  </si>
  <si>
    <t xml:space="preserve">auditoria_created_at</t>
  </si>
  <si>
    <t xml:space="preserve">Mapeada en legal-management-service/src/entities/requerimiento.entity.ts:47 (Requerimiento.auditoriaCreatedAt)</t>
  </si>
  <si>
    <t xml:space="preserve">Fecha y hora de creación del registro. Por defecto, la fecha y hora de inserción.</t>
  </si>
  <si>
    <t xml:space="preserve">C2537</t>
  </si>
  <si>
    <t xml:space="preserve">Unidad de tiempo del plazo otorgado. Valores permitidos: DIAS_CALENDARIO, DIAS_HABILES, HORAS. Por defecto, DIAS_HABILES.</t>
  </si>
  <si>
    <t xml:space="preserve">C2538</t>
  </si>
  <si>
    <t xml:space="preserve">dias_plazo_otorgado</t>
  </si>
  <si>
    <t xml:space="preserve">Plazo otorgado para responder el requerimiento, expresado en la unidad de unidad_tiempo. Por defecto, 15.</t>
  </si>
  <si>
    <t xml:space="preserve">¿El valor se expresa siempre en días o sigue la unidad de unidad_tiempo (incluidas horas)?</t>
  </si>
  <si>
    <t xml:space="preserve">C2539</t>
  </si>
  <si>
    <t xml:space="preserve">referencia_externa</t>
  </si>
  <si>
    <t xml:space="preserve">Referencia externa del requerimiento.</t>
  </si>
  <si>
    <t xml:space="preserve">¿En qué se diferencia la referencia externa del radicado externo?</t>
  </si>
  <si>
    <t xml:space="preserve">C2540</t>
  </si>
  <si>
    <t xml:space="preserve">Descripción del registro de requerimientos.</t>
  </si>
  <si>
    <t xml:space="preserve">C2541</t>
  </si>
  <si>
    <t xml:space="preserve">¿Se guarda el nombre completo o un identificador de usuario?</t>
  </si>
  <si>
    <t xml:space="preserve">C2542</t>
  </si>
  <si>
    <t xml:space="preserve">Nombre del área responsable de atender el requerimiento.</t>
  </si>
  <si>
    <t xml:space="preserve">¿El área se toma de un catálogo de dependencias?</t>
  </si>
  <si>
    <t xml:space="preserve">C2543</t>
  </si>
  <si>
    <t xml:space="preserve">C2544</t>
  </si>
  <si>
    <t xml:space="preserve">C2545</t>
  </si>
  <si>
    <t xml:space="preserve">URL del acuse de recibo de la respuesta por parte del organismo de control.</t>
  </si>
  <si>
    <t xml:space="preserve">C2546</t>
  </si>
  <si>
    <t xml:space="preserve">C2547</t>
  </si>
  <si>
    <t xml:space="preserve">C2548</t>
  </si>
  <si>
    <t xml:space="preserve">C2549</t>
  </si>
  <si>
    <t xml:space="preserve">C2550</t>
  </si>
  <si>
    <t xml:space="preserve">C2551</t>
  </si>
  <si>
    <t xml:space="preserve">¿Se registra como texto libre o como lista?</t>
  </si>
  <si>
    <t xml:space="preserve">C2552</t>
  </si>
  <si>
    <t xml:space="preserve">C2553</t>
  </si>
  <si>
    <t xml:space="preserve">C2554</t>
  </si>
  <si>
    <t xml:space="preserve">C2555</t>
  </si>
  <si>
    <t xml:space="preserve">C2556</t>
  </si>
  <si>
    <t xml:space="preserve">documentos_entregados_urls</t>
  </si>
  <si>
    <t xml:space="preserve">Lista de URL de los documentos entregados por el área.</t>
  </si>
  <si>
    <t xml:space="preserve">C2557</t>
  </si>
  <si>
    <t xml:space="preserve">C2558</t>
  </si>
  <si>
    <t xml:space="preserve">C2559</t>
  </si>
  <si>
    <t xml:space="preserve">C2560</t>
  </si>
  <si>
    <t xml:space="preserve">id_usuario_destinatario</t>
  </si>
  <si>
    <t xml:space="preserve">idx_notificacion_leida, idx_notificacion_usuario</t>
  </si>
  <si>
    <t xml:space="preserve">Mapeada en notifications-service/src/notifications/entities/notification.entity.ts:14 (Notification.id_usuario_destinatario) | Validación: IsString</t>
  </si>
  <si>
    <t xml:space="preserve">nombre + tipo + índices</t>
  </si>
  <si>
    <t xml:space="preserve">C2561</t>
  </si>
  <si>
    <t xml:space="preserve">Mapeada en notifications-service/src/notifications/entities/notification.entity.ts:17 (Notification.tipo_notificacion) | Validación: IsString</t>
  </si>
  <si>
    <t xml:space="preserve">Tipo de notificación.</t>
  </si>
  <si>
    <t xml:space="preserve">¿Qué tipos de notificación se usan?</t>
  </si>
  <si>
    <t xml:space="preserve">C2562</t>
  </si>
  <si>
    <t xml:space="preserve">Mapeada en notifications-service/src/notifications/entities/notification.entity.ts:20 (Notification.titulo) | Validación: IsString</t>
  </si>
  <si>
    <t xml:space="preserve">C2563</t>
  </si>
  <si>
    <t xml:space="preserve">Mapeada en notifications-service/src/notifications/entities/notification.entity.ts:23 (Notification.mensaje) | Validación: IsString</t>
  </si>
  <si>
    <t xml:space="preserve">C2564</t>
  </si>
  <si>
    <t xml:space="preserve">descripcion_corta</t>
  </si>
  <si>
    <t xml:space="preserve">Mapeada en notifications-service/src/notifications/entities/notification.entity.ts:26 (Notification.descripcion_corta) | Validación: IsOptional, IsString</t>
  </si>
  <si>
    <t xml:space="preserve">Resumen corto de la notificación.</t>
  </si>
  <si>
    <t xml:space="preserve">C2565</t>
  </si>
  <si>
    <t xml:space="preserve">Mapeada en notifications-service/src/notifications/entities/notification.entity.ts:29 (Notification.icono) | Validación: IsOptional, IsString</t>
  </si>
  <si>
    <t xml:space="preserve">Nombre del ícono que se muestra con la notificación.</t>
  </si>
  <si>
    <t xml:space="preserve">¿Qué librería de íconos usa el frontend?</t>
  </si>
  <si>
    <t xml:space="preserve">C2566</t>
  </si>
  <si>
    <t xml:space="preserve">Mapeada en notifications-service/src/notifications/entities/notification.entity.ts:32 (Notification.color) | Validación: IsOptional, IsString</t>
  </si>
  <si>
    <t xml:space="preserve">Color con que se muestra la notificación.</t>
  </si>
  <si>
    <t xml:space="preserve">¿Se guarda un código hexadecimal o un nombre de color del tema?</t>
  </si>
  <si>
    <t xml:space="preserve">C2567</t>
  </si>
  <si>
    <t xml:space="preserve">Mapeada en notifications-service/src/notifications/entities/notification.entity.ts:35 (Notification.prioridad) | Validación: IsIn(['Baja', 'Media', 'Alta', 'Crítica']), IsOptional</t>
  </si>
  <si>
    <t xml:space="preserve">Prioridad de la notificación. Valores permitidos: Baja, Media, Alta, Crítica. Por defecto, Media.</t>
  </si>
  <si>
    <t xml:space="preserve">C2568</t>
  </si>
  <si>
    <t xml:space="preserve">Mapeada en notifications-service/src/notifications/entities/notification.entity.ts:38 (Notification.categoria) | Validación: IsOptional, IsString</t>
  </si>
  <si>
    <t xml:space="preserve">Categoría de la notificación.</t>
  </si>
  <si>
    <t xml:space="preserve">¿Qué categorías se usan y en qué se diferencian de tipo_notificacion?</t>
  </si>
  <si>
    <t xml:space="preserve">C2569</t>
  </si>
  <si>
    <t xml:space="preserve">idx_notificacion_leida</t>
  </si>
  <si>
    <t xml:space="preserve">Mapeada en notifications-service/src/notifications/entities/notification.entity.ts:41 (Notification.leida)</t>
  </si>
  <si>
    <t xml:space="preserve">C2570</t>
  </si>
  <si>
    <t xml:space="preserve">Mapeada en notifications-service/src/notifications/entities/notification.entity.ts:44 (Notification.archivada)</t>
  </si>
  <si>
    <t xml:space="preserve">Indica si el registro está archivada.</t>
  </si>
  <si>
    <t xml:space="preserve">C2571</t>
  </si>
  <si>
    <t xml:space="preserve">Mapeada en notifications-service/src/notifications/entities/notification.entity.ts:53 (Notification.fecha_lectura)</t>
  </si>
  <si>
    <t xml:space="preserve">C2572</t>
  </si>
  <si>
    <t xml:space="preserve">fecha_archivado</t>
  </si>
  <si>
    <t xml:space="preserve">Mapeada en notifications-service/src/notifications/entities/notification.entity.ts:56 (Notification.fecha_archivado)</t>
  </si>
  <si>
    <t xml:space="preserve">Fecha del archivo.</t>
  </si>
  <si>
    <t xml:space="preserve">C2573</t>
  </si>
  <si>
    <t xml:space="preserve">tiene_accion</t>
  </si>
  <si>
    <t xml:space="preserve">Mapeada en notifications-service/src/notifications/entities/notification.entity.ts:59 (Notification.tiene_accion) | Validación: IsBoolean, IsOptional</t>
  </si>
  <si>
    <t xml:space="preserve">Indica si aplica: acción.</t>
  </si>
  <si>
    <t xml:space="preserve">C2574</t>
  </si>
  <si>
    <t xml:space="preserve">texto_boton_accion</t>
  </si>
  <si>
    <t xml:space="preserve">Mapeada en notifications-service/src/notifications/entities/notification.entity.ts:62 (Notification.texto_boton_accion) | Validación: IsOptional, IsString</t>
  </si>
  <si>
    <t xml:space="preserve">Texto del botón de acción de la notificación.</t>
  </si>
  <si>
    <t xml:space="preserve">C2575</t>
  </si>
  <si>
    <t xml:space="preserve">url_accion</t>
  </si>
  <si>
    <t xml:space="preserve">Mapeada en notifications-service/src/notifications/entities/notification.entity.ts:65 (Notification.url_accion) | Validación: IsOptional, IsString</t>
  </si>
  <si>
    <t xml:space="preserve">URL a la que dirige el botón de acción de la notificación.</t>
  </si>
  <si>
    <t xml:space="preserve">C2576</t>
  </si>
  <si>
    <t xml:space="preserve">datos_adicionales</t>
  </si>
  <si>
    <t xml:space="preserve">Mapeada en notifications-service/src/notifications/entities/notification.entity.ts:68 (Notification.datos_adicionales) | Validación: IsObject, IsOptional</t>
  </si>
  <si>
    <t xml:space="preserve">Datos adicionales de la notificación, en formato JSON.</t>
  </si>
  <si>
    <t xml:space="preserve">nombre + tipo + validación IsObject</t>
  </si>
  <si>
    <t xml:space="preserve">¿Qué claves se guardan en los datos adicionales?</t>
  </si>
  <si>
    <t xml:space="preserve">C2577</t>
  </si>
  <si>
    <t xml:space="preserve">email_enviado</t>
  </si>
  <si>
    <t xml:space="preserve">Mapeada en notifications-service/src/notifications/entities/notification.entity.ts:71 (Notification.email_enviado)</t>
  </si>
  <si>
    <t xml:space="preserve">Indica si el registro está email enviado.</t>
  </si>
  <si>
    <t xml:space="preserve">C2578</t>
  </si>
  <si>
    <t xml:space="preserve">email_entregado</t>
  </si>
  <si>
    <t xml:space="preserve">Mapeada en notifications-service/src/notifications/entities/notification.entity.ts:74 (Notification.email_entregado)</t>
  </si>
  <si>
    <t xml:space="preserve">Indica si el registro está email entregado.</t>
  </si>
  <si>
    <t xml:space="preserve">C2579</t>
  </si>
  <si>
    <t xml:space="preserve">email_abierto</t>
  </si>
  <si>
    <t xml:space="preserve">Mapeada en notifications-service/src/notifications/entities/notification.entity.ts:77 (Notification.email_abierto)</t>
  </si>
  <si>
    <t xml:space="preserve">Indica si aplica: email abierto.</t>
  </si>
  <si>
    <t xml:space="preserve">C2580</t>
  </si>
  <si>
    <t xml:space="preserve">email_click</t>
  </si>
  <si>
    <t xml:space="preserve">Mapeada en notifications-service/src/notifications/entities/notification.entity.ts:80 (Notification.email_click)</t>
  </si>
  <si>
    <t xml:space="preserve">Indica si aplica: email click.</t>
  </si>
  <si>
    <t xml:space="preserve">C2581</t>
  </si>
  <si>
    <t xml:space="preserve">Mapeada en notifications-service/src/notifications/entities/notification.entity.ts:83 (Notification.fecha_envio_email)</t>
  </si>
  <si>
    <t xml:space="preserve">C2582</t>
  </si>
  <si>
    <t xml:space="preserve">fecha_apertura_email</t>
  </si>
  <si>
    <t xml:space="preserve">Mapeada en notifications-service/src/notifications/entities/notification.entity.ts:86 (Notification.fecha_apertura_email)</t>
  </si>
  <si>
    <t xml:space="preserve">Fecha de apertura email.</t>
  </si>
  <si>
    <t xml:space="preserve">C2583</t>
  </si>
  <si>
    <t xml:space="preserve">es_favorito</t>
  </si>
  <si>
    <t xml:space="preserve">Mapeada en notifications-service/src/notifications/entities/notification.entity.ts:47 (Notification.es_favorito)</t>
  </si>
  <si>
    <t xml:space="preserve">Indica si aplica: favorito.</t>
  </si>
  <si>
    <t xml:space="preserve">C2584</t>
  </si>
  <si>
    <t xml:space="preserve">request_logs</t>
  </si>
  <si>
    <t xml:space="preserve">method</t>
  </si>
  <si>
    <t xml:space="preserve">Vista audit.request_logs_stats</t>
  </si>
  <si>
    <t xml:space="preserve">idx_request_logs_method</t>
  </si>
  <si>
    <t xml:space="preserve">audit-service/src/audit/entities/request-log.entity.ts:21: GET, POST, PUT, DELETE, PATCH | Validación: IsOptional, IsString</t>
  </si>
  <si>
    <t xml:space="preserve">Método HTTP de la petición registrada, por ejemplo GET, POST, PUT, DELETE o PATCH.</t>
  </si>
  <si>
    <t xml:space="preserve">código: audit-service/src/audit/entities/request-log.entity.ts:21</t>
  </si>
  <si>
    <t xml:space="preserve">C2585</t>
  </si>
  <si>
    <t xml:space="preserve">Mapeada en audit-service/src/audit/entities/request-log.entity.ts:24 (RequestLog.url) | Validación: IsString</t>
  </si>
  <si>
    <t xml:space="preserve">C2586</t>
  </si>
  <si>
    <t xml:space="preserve">path</t>
  </si>
  <si>
    <t xml:space="preserve">Mapeada en audit-service/src/audit/entities/request-log.entity.ts:27 (RequestLog.path) | Validación: IsString</t>
  </si>
  <si>
    <t xml:space="preserve">Ruta de la URL solicitada, sin el dominio ni los parámetros de consulta.</t>
  </si>
  <si>
    <t xml:space="preserve">nombre + tipo + columnas vecinas (url, query_params)</t>
  </si>
  <si>
    <t xml:space="preserve">C2587</t>
  </si>
  <si>
    <t xml:space="preserve">query_params</t>
  </si>
  <si>
    <t xml:space="preserve">idx_request_logs_query_params</t>
  </si>
  <si>
    <t xml:space="preserve">Mapeada en audit-service/src/audit/entities/request-log.entity.ts:30 (RequestLog.queryParams) | Validación: IsObject, IsOptional</t>
  </si>
  <si>
    <t xml:space="preserve">Parámetros de consulta de la petición, en formato JSON.</t>
  </si>
  <si>
    <t xml:space="preserve">C2588</t>
  </si>
  <si>
    <t xml:space="preserve">Mapeada en audit-service/src/audit/entities/request-log.entity.ts:42 (RequestLog.version) | Validación: IsOptional, IsString</t>
  </si>
  <si>
    <t xml:space="preserve">C2589</t>
  </si>
  <si>
    <t xml:space="preserve">idx_request_logs_ip</t>
  </si>
  <si>
    <t xml:space="preserve">Mapeada en audit-service/src/audit/entities/request-log.entity.ts:45 (RequestLog.ipAddress) | Validación: IsOptional, IsString</t>
  </si>
  <si>
    <t xml:space="preserve">Dirección IP (IPv4 o IPv6) desde la que se hizo la petición.</t>
  </si>
  <si>
    <t xml:space="preserve">nombre + tipo + columnas vecinas (varchar(45))</t>
  </si>
  <si>
    <t xml:space="preserve">C2590</t>
  </si>
  <si>
    <t xml:space="preserve">Mapeada en audit-service/src/audit/entities/request-log.entity.ts:48 (RequestLog.userAgent) | Validación: IsOptional, IsString</t>
  </si>
  <si>
    <t xml:space="preserve">C2591</t>
  </si>
  <si>
    <t xml:space="preserve">origin</t>
  </si>
  <si>
    <t xml:space="preserve">Mapeada en audit-service/src/audit/entities/request-log.entity.ts:51 (RequestLog.origin) | Validación: IsOptional, IsString</t>
  </si>
  <si>
    <t xml:space="preserve">Valor del encabezado HTTP Origin de la petición.</t>
  </si>
  <si>
    <t xml:space="preserve">C2592</t>
  </si>
  <si>
    <t xml:space="preserve">referer</t>
  </si>
  <si>
    <t xml:space="preserve">Mapeada en audit-service/src/audit/entities/request-log.entity.ts:54 (RequestLog.referer) | Validación: IsOptional, IsString</t>
  </si>
  <si>
    <t xml:space="preserve">Valor del encabezado HTTP Referer de la petición.</t>
  </si>
  <si>
    <t xml:space="preserve">C2593</t>
  </si>
  <si>
    <t xml:space="preserve">user_id</t>
  </si>
  <si>
    <t xml:space="preserve">idx_request_logs_user_id</t>
  </si>
  <si>
    <t xml:space="preserve">Mapeada en audit-service/src/audit/entities/request-log.entity.ts:57 (RequestLog.userId) | Validación: IsNumber, IsNumber({}, { message: 'userId debe ser un número' }), IsOptional</t>
  </si>
  <si>
    <t xml:space="preserve">Identificador del usuario autenticado que hizo la petición.</t>
  </si>
  <si>
    <t xml:space="preserve">¿user_id corresponde a auth."user".id_user?</t>
  </si>
  <si>
    <t xml:space="preserve">C2594</t>
  </si>
  <si>
    <t xml:space="preserve">user_email</t>
  </si>
  <si>
    <t xml:space="preserve">Mapeada en audit-service/src/audit/entities/request-log.entity.ts:60 (RequestLog.userEmail) | Validación: IsOptional, IsString</t>
  </si>
  <si>
    <t xml:space="preserve">Correo electrónico del usuario autenticado que hizo la petición.</t>
  </si>
  <si>
    <t xml:space="preserve">C2595</t>
  </si>
  <si>
    <t xml:space="preserve">user_role</t>
  </si>
  <si>
    <t xml:space="preserve">Mapeada en audit-service/src/audit/entities/request-log.entity.ts:63 (RequestLog.userRole) | Validación: IsOptional, IsString</t>
  </si>
  <si>
    <t xml:space="preserve">Rol del usuario autenticado al momento de la petición.</t>
  </si>
  <si>
    <t xml:space="preserve">C2596</t>
  </si>
  <si>
    <t xml:space="preserve">status_code</t>
  </si>
  <si>
    <t xml:space="preserve">idx_request_logs_module_status, idx_request_logs_status</t>
  </si>
  <si>
    <t xml:space="preserve">Mapeada en audit-service/src/audit/entities/request-log.entity.ts:66 (RequestLog.statusCode) | Validación: IsNumber, IsNumber({}, { message: 'statusCode debe ser un número' })</t>
  </si>
  <si>
    <t xml:space="preserve">Código de estado HTTP de la respuesta.</t>
  </si>
  <si>
    <t xml:space="preserve">C2597</t>
  </si>
  <si>
    <t xml:space="preserve">response_time_ms</t>
  </si>
  <si>
    <t xml:space="preserve">Mapeada en audit-service/src/audit/entities/request-log.entity.ts:69 (RequestLog.responseTimeMs) | Validación: IsNumber</t>
  </si>
  <si>
    <t xml:space="preserve">Tiempo de respuesta de la petición, en milisegundos.</t>
  </si>
  <si>
    <t xml:space="preserve">C2598</t>
  </si>
  <si>
    <t xml:space="preserve">response_size_bytes</t>
  </si>
  <si>
    <t xml:space="preserve">Mapeada en audit-service/src/audit/entities/request-log.entity.ts:72 (RequestLog.responseSizeBytes) | Validación: IsNumber, IsOptional</t>
  </si>
  <si>
    <t xml:space="preserve">Tamaño de la respuesta, en bytes. Por defecto, 0.</t>
  </si>
  <si>
    <t xml:space="preserve">C2599</t>
  </si>
  <si>
    <t xml:space="preserve">request_body</t>
  </si>
  <si>
    <t xml:space="preserve">idx_request_logs_request_body</t>
  </si>
  <si>
    <t xml:space="preserve">Mapeada en audit-service/src/audit/entities/request-log.entity.ts:75 (RequestLog.requestBody) | Validación: IsObject, IsOptional</t>
  </si>
  <si>
    <t xml:space="preserve">Cuerpo de la petición, en formato JSON.</t>
  </si>
  <si>
    <t xml:space="preserve">nombre + tipo + columnas vecinas (has_large_body)</t>
  </si>
  <si>
    <t xml:space="preserve">C2600</t>
  </si>
  <si>
    <t xml:space="preserve">request_body_size</t>
  </si>
  <si>
    <t xml:space="preserve">Mapeada en audit-service/src/audit/entities/request-log.entity.ts:78 (RequestLog.requestBodySize) | Validación: IsNumber, IsOptional</t>
  </si>
  <si>
    <t xml:space="preserve">Tamaño del cuerpo de la petición, en bytes. Por defecto, 0.</t>
  </si>
  <si>
    <t xml:space="preserve">C2601</t>
  </si>
  <si>
    <t xml:space="preserve">has_large_body</t>
  </si>
  <si>
    <t xml:space="preserve">Mapeada en audit-service/src/audit/entities/request-log.entity.ts:81 (RequestLog.hasLargeBody)</t>
  </si>
  <si>
    <t xml:space="preserve">Indica si aplica: large body.</t>
  </si>
  <si>
    <t xml:space="preserve">C2602</t>
  </si>
  <si>
    <t xml:space="preserve">response_body</t>
  </si>
  <si>
    <t xml:space="preserve">idx_request_logs_response_body</t>
  </si>
  <si>
    <t xml:space="preserve">Mapeada en audit-service/src/audit/entities/request-log.entity.ts:84 (RequestLog.responseBody) | Validación: IsObject, IsOptional</t>
  </si>
  <si>
    <t xml:space="preserve">Cuerpo de la respuesta, en formato JSON.</t>
  </si>
  <si>
    <t xml:space="preserve">nombre + tipo + columnas vecinas (has_large_response)</t>
  </si>
  <si>
    <t xml:space="preserve">C2603</t>
  </si>
  <si>
    <t xml:space="preserve">response_body_size</t>
  </si>
  <si>
    <t xml:space="preserve">Mapeada en audit-service/src/audit/entities/request-log.entity.ts:87 (RequestLog.responseBodySize) | Validación: IsNumber, IsOptional</t>
  </si>
  <si>
    <t xml:space="preserve">Tamaño del cuerpo de la respuesta, en bytes. Por defecto, 0.</t>
  </si>
  <si>
    <t xml:space="preserve">C2604</t>
  </si>
  <si>
    <t xml:space="preserve">has_large_response</t>
  </si>
  <si>
    <t xml:space="preserve">Mapeada en audit-service/src/audit/entities/request-log.entity.ts:90 (RequestLog.hasLargeResponse)</t>
  </si>
  <si>
    <t xml:space="preserve">Indica si aplica: large response.</t>
  </si>
  <si>
    <t xml:space="preserve">C2605</t>
  </si>
  <si>
    <t xml:space="preserve">error_message</t>
  </si>
  <si>
    <t xml:space="preserve">Mapeada en audit-service/src/audit/entities/request-log.entity.ts:93 (RequestLog.errorMessage) | Validación: IsOptional, IsString</t>
  </si>
  <si>
    <t xml:space="preserve">Mensaje de error devuelto cuando la petición falla.</t>
  </si>
  <si>
    <t xml:space="preserve">C2606</t>
  </si>
  <si>
    <t xml:space="preserve">error_stack</t>
  </si>
  <si>
    <t xml:space="preserve">Mapeada en audit-service/src/audit/entities/request-log.entity.ts:96 (RequestLog.errorStack) | Validación: IsOptional, IsString</t>
  </si>
  <si>
    <t xml:space="preserve">Traza de la pila del error cuando la petición falla.</t>
  </si>
  <si>
    <t xml:space="preserve">C2607</t>
  </si>
  <si>
    <t xml:space="preserve">config_entes_control</t>
  </si>
  <si>
    <t xml:space="preserve">config_entes_control_codigo_key</t>
  </si>
  <si>
    <t xml:space="preserve">db/migrations/005_add_config_entes_control.sql:21: e.g., 'CONTRALORIA', 'PROCURADURIA'</t>
  </si>
  <si>
    <t xml:space="preserve">Código único del ente de control (por ejemplo, CONTRALORIA, PROCURADURIA).</t>
  </si>
  <si>
    <t xml:space="preserve">código: db/migrations/005_add_config_entes_control.sql:21 + restricción única</t>
  </si>
  <si>
    <t xml:space="preserve">C2608</t>
  </si>
  <si>
    <t xml:space="preserve">Nombre del registro de config_entes_control.</t>
  </si>
  <si>
    <t xml:space="preserve">C2609</t>
  </si>
  <si>
    <t xml:space="preserve">Descripción del registro de config_entes_control.</t>
  </si>
  <si>
    <t xml:space="preserve">C2610</t>
  </si>
  <si>
    <t xml:space="preserve">Color con que se identifica el ente de control en la interfaz, en código hexadecimal. Por defecto, #3B82F6.</t>
  </si>
  <si>
    <t xml:space="preserve">C2611</t>
  </si>
  <si>
    <t xml:space="preserve">C2612</t>
  </si>
  <si>
    <t xml:space="preserve">C2613</t>
  </si>
  <si>
    <t xml:space="preserve">Nombre de la etapa configurada.</t>
  </si>
  <si>
    <t xml:space="preserve">¿A qué proceso pertenecen estas etapas?</t>
  </si>
  <si>
    <t xml:space="preserve">C2614</t>
  </si>
  <si>
    <t xml:space="preserve">Número de días hábiles asignados a la etapa. Por defecto, 30.</t>
  </si>
  <si>
    <t xml:space="preserve">C2615</t>
  </si>
  <si>
    <t xml:space="preserve">C2616</t>
  </si>
  <si>
    <t xml:space="preserve">C2617</t>
  </si>
  <si>
    <t xml:space="preserve">Configuración de capacidades por rol, en formato JSON.</t>
  </si>
  <si>
    <t xml:space="preserve">¿Qué estructura tiene el JSON y a qué módulo aplica?</t>
  </si>
  <si>
    <t xml:space="preserve">C2618</t>
  </si>
  <si>
    <t xml:space="preserve">Configuración de notificaciones del sistema, en formato JSON.</t>
  </si>
  <si>
    <t xml:space="preserve">¿Qué parámetros incluye la configuración?</t>
  </si>
  <si>
    <t xml:space="preserve">C2619</t>
  </si>
  <si>
    <t xml:space="preserve">Configuración de alertas del sistema, en formato JSON.</t>
  </si>
  <si>
    <t xml:space="preserve">C2620</t>
  </si>
  <si>
    <t xml:space="preserve">Configuración de seguridad del sistema, en formato JSON.</t>
  </si>
  <si>
    <t xml:space="preserve">C2621</t>
  </si>
  <si>
    <t xml:space="preserve">asignacion_docente</t>
  </si>
  <si>
    <t xml:space="preserve">Estado del registro de asignacion_docente.</t>
  </si>
  <si>
    <t xml:space="preserve">C2622</t>
  </si>
  <si>
    <t xml:space="preserve">C2623</t>
  </si>
  <si>
    <t xml:space="preserve">asignado_por</t>
  </si>
  <si>
    <t xml:space="preserve">academic-schedule-service/db/migrations/012_create_asignacion_docente.sql:42: Trazabilidad de quién asignó: la decisión es de una decanatura concreta.</t>
  </si>
  <si>
    <t xml:space="preserve">Usuario de la decanatura que realizó la asignación del docente.</t>
  </si>
  <si>
    <t xml:space="preserve">código: academic-schedule-service/db/migrations/012_create_asignacion_docente.sql:42</t>
  </si>
  <si>
    <t xml:space="preserve">C2624</t>
  </si>
  <si>
    <t xml:space="preserve">aula</t>
  </si>
  <si>
    <t xml:space="preserve">Nombre del registro de aula.</t>
  </si>
  <si>
    <t xml:space="preserve">C2625</t>
  </si>
  <si>
    <t xml:space="preserve">sede_codigo</t>
  </si>
  <si>
    <t xml:space="preserve">Código de la sede donde se ubica el aula.</t>
  </si>
  <si>
    <t xml:space="preserve">nombre + tabla aula + columna vecina codigo</t>
  </si>
  <si>
    <t xml:space="preserve">C2626</t>
  </si>
  <si>
    <t xml:space="preserve">capacidad</t>
  </si>
  <si>
    <t xml:space="preserve">Número máximo de personas que admite el aula. Debe ser mayor o igual a cero; puede quedar vacío mientras no se registre.</t>
  </si>
  <si>
    <t xml:space="preserve">nombre + tipo integer + CHECK capacidad &gt;= 0 + descripción de la tabla</t>
  </si>
  <si>
    <t xml:space="preserve">C2627</t>
  </si>
  <si>
    <t xml:space="preserve">provisional</t>
  </si>
  <si>
    <t xml:space="preserve">academic-schedule-service/db/migrations/015_aulas_y_bloqueo.sql:21: Deja explícito que es aprovisionamiento, no dato oficial.</t>
  </si>
  <si>
    <t xml:space="preserve">Indica si el aula se registró como aprovisionamiento provisional y no como dato oficial.</t>
  </si>
  <si>
    <t xml:space="preserve">código: academic-schedule-service/db/migrations/015_aulas_y_bloqueo.sql:21</t>
  </si>
  <si>
    <t xml:space="preserve">C2628</t>
  </si>
  <si>
    <t xml:space="preserve">auditorio, aula</t>
  </si>
  <si>
    <t xml:space="preserve">Tipo del registro de aula.</t>
  </si>
  <si>
    <t xml:space="preserve">C2629</t>
  </si>
  <si>
    <t xml:space="preserve">piso</t>
  </si>
  <si>
    <t xml:space="preserve">Número del piso en que se ubica el aula.</t>
  </si>
  <si>
    <t xml:space="preserve">nombre + tipo smallint</t>
  </si>
  <si>
    <t xml:space="preserve">¿Cómo se registran sótanos o mezzanines (valores negativos, cero)?</t>
  </si>
  <si>
    <t xml:space="preserve">C2630</t>
  </si>
  <si>
    <t xml:space="preserve">codigo_cetap</t>
  </si>
  <si>
    <t xml:space="preserve">Código del CETAP (Centro Territorial de Administración Pública) al que pertenece el aula, cuando no está en la Sede Central.</t>
  </si>
  <si>
    <t xml:space="preserve">nombre + contexto de programación territorial</t>
  </si>
  <si>
    <t xml:space="preserve">¿El código corresponde al catálogo oficial de CETAP? ¿Qué tabla es la fuente?</t>
  </si>
  <si>
    <t xml:space="preserve">C2631</t>
  </si>
  <si>
    <t xml:space="preserve">Origen del registro del aula (fuente o proceso de carga).</t>
  </si>
  <si>
    <t xml:space="preserve">nombre genérico + descripción de la tabla que menciona el Lote 1</t>
  </si>
  <si>
    <t xml:space="preserve">¿Qué valores toma (por ejemplo, Lote 1, CRUD, importación) y quién lo asigna?</t>
  </si>
  <si>
    <t xml:space="preserve">C2632</t>
  </si>
  <si>
    <t xml:space="preserve">cetap_sin_catalogo</t>
  </si>
  <si>
    <t xml:space="preserve">cetap_sin_catalogo_territorial_nombre_declarado_key</t>
  </si>
  <si>
    <t xml:space="preserve">Nombre de la dirección territorial que declaró el CETAP. Junto con nombre_declarado no se repite.</t>
  </si>
  <si>
    <t xml:space="preserve">nombre + índice único (territorial, nombre_declarado) + descripción de la tabla</t>
  </si>
  <si>
    <t xml:space="preserve">C2633</t>
  </si>
  <si>
    <t xml:space="preserve">nombre_declarado</t>
  </si>
  <si>
    <t xml:space="preserve">Nombre del CETAP tal como aparece en el detalle territorial, sin contraparte en el catálogo oficial.</t>
  </si>
  <si>
    <t xml:space="preserve">nombre + descripción de la tabla + índice único</t>
  </si>
  <si>
    <t xml:space="preserve">C2634</t>
  </si>
  <si>
    <t xml:space="preserve">registrado_en</t>
  </si>
  <si>
    <t xml:space="preserve">Fecha y hora del registro.</t>
  </si>
  <si>
    <t xml:space="preserve">C2635</t>
  </si>
  <si>
    <t xml:space="preserve">concertacion_docencia</t>
  </si>
  <si>
    <t xml:space="preserve">periodo_ref</t>
  </si>
  <si>
    <t xml:space="preserve">idx_concertacion_periodo_estado, uq_concertacion_docente_periodo_nivel</t>
  </si>
  <si>
    <t xml:space="preserve">academic-schedule-service/db/migrations/037_concertacion_docencia.sql:30: idPeriodo efectivo: id de periodo_academico (plataforma) o UUID (legado).</t>
  </si>
  <si>
    <t xml:space="preserve">Identificador del periodo académico de la concertación: id de periodo_academico (plataforma) o UUID (legado). Junto con el docente y el nivel no se repite.</t>
  </si>
  <si>
    <t xml:space="preserve">código: academic-schedule-service/db/migrations/037_concertacion_docencia.sql:30</t>
  </si>
  <si>
    <t xml:space="preserve">C2636</t>
  </si>
  <si>
    <t xml:space="preserve">uq_concertacion_docente_periodo_nivel</t>
  </si>
  <si>
    <t xml:space="preserve">Nivel de formación de la docencia concertada. Valores permitidos: pregrado, posgrado.</t>
  </si>
  <si>
    <t xml:space="preserve">valores permitidos del CHECK + índice único</t>
  </si>
  <si>
    <t xml:space="preserve">C2637</t>
  </si>
  <si>
    <t xml:space="preserve">APROBADA, DEVUELTA, ENVIADA, REVISADA</t>
  </si>
  <si>
    <t xml:space="preserve">idx_concertacion_periodo_estado</t>
  </si>
  <si>
    <t xml:space="preserve">Estado del registro de concertacion_docencia.</t>
  </si>
  <si>
    <t xml:space="preserve">C2638</t>
  </si>
  <si>
    <t xml:space="preserve">Número de horas de docencia concertadas, con un decimal.</t>
  </si>
  <si>
    <t xml:space="preserve">nombre + tipo numeric(8,1) + defecto 0</t>
  </si>
  <si>
    <t xml:space="preserve">¿Son horas semanales o totales del periodo?</t>
  </si>
  <si>
    <t xml:space="preserve">C2639</t>
  </si>
  <si>
    <t xml:space="preserve">franjas</t>
  </si>
  <si>
    <t xml:space="preserve">Franjas horarias concertadas, en formato JSON (lista).</t>
  </si>
  <si>
    <t xml:space="preserve">nombre + tipo jsonb + defecto lista vacía</t>
  </si>
  <si>
    <t xml:space="preserve">¿Qué estructura tiene cada elemento (día, hora de inicio, hora de fin, sede)?</t>
  </si>
  <si>
    <t xml:space="preserve">C2640</t>
  </si>
  <si>
    <t xml:space="preserve">Huella digital (hash de 64 caracteres hexadecimales, probablemente SHA-256) del contenido de la concertación.</t>
  </si>
  <si>
    <t xml:space="preserve">nombre + tipo character(64)</t>
  </si>
  <si>
    <t xml:space="preserve">¿Qué algoritmo se usa y sobre qué campos se calcula?</t>
  </si>
  <si>
    <t xml:space="preserve">C2641</t>
  </si>
  <si>
    <t xml:space="preserve">comentario</t>
  </si>
  <si>
    <t xml:space="preserve">Comentario u observación sobre la concertación.</t>
  </si>
  <si>
    <t xml:space="preserve">C2642</t>
  </si>
  <si>
    <t xml:space="preserve">notificada_pta_en</t>
  </si>
  <si>
    <t xml:space="preserve">academic-schedule-service/db/migrations/037_concertacion_docencia.sql:40: Entrega al PTA por el contrato (EFDS-2315). Pendiente = se reintenta.</t>
  </si>
  <si>
    <t xml:space="preserve">Fecha y hora, con zona horaria, en que la concertación se entregó al PTA por el contrato; si está vacía, la entrega está pendiente y se reintenta (EFDS-2315).</t>
  </si>
  <si>
    <t xml:space="preserve">código: academic-schedule-service/db/migrations/037_concertacion_docencia.sql:40</t>
  </si>
  <si>
    <t xml:space="preserve">¿Qué significa la sigla PTA en este contexto (plan de trabajo académico)?</t>
  </si>
  <si>
    <t xml:space="preserve">C2643</t>
  </si>
  <si>
    <t xml:space="preserve">error_notificacion</t>
  </si>
  <si>
    <t xml:space="preserve">Mensaje de error registrado si falló la notificación al PTA.</t>
  </si>
  <si>
    <t xml:space="preserve">nombre + tipo text + columna vecina notificada_pta_en</t>
  </si>
  <si>
    <t xml:space="preserve">C2644</t>
  </si>
  <si>
    <t xml:space="preserve">aplicacion_pta</t>
  </si>
  <si>
    <t xml:space="preserve">Identificador o resultado de la aplicación de la concertación en el PTA.</t>
  </si>
  <si>
    <t xml:space="preserve">nombre + columnas vecinas notificada_pta_en</t>
  </si>
  <si>
    <t xml:space="preserve">¿Qué guarda: un identificador devuelto por el PTA, un estado o una fecha en texto?</t>
  </si>
  <si>
    <t xml:space="preserve">C2645</t>
  </si>
  <si>
    <t xml:space="preserve">concertacion_firma</t>
  </si>
  <si>
    <t xml:space="preserve">aprobador, docente, revisor</t>
  </si>
  <si>
    <t xml:space="preserve">Rol con que firma el usuario la concertación. Valores permitidos: docente, revisor, aprobador.</t>
  </si>
  <si>
    <t xml:space="preserve">C2646</t>
  </si>
  <si>
    <t xml:space="preserve">Identificador del usuario que firma.</t>
  </si>
  <si>
    <t xml:space="preserve">nombre + tipo uuid + columna vecina firmado_en</t>
  </si>
  <si>
    <t xml:space="preserve">C2647</t>
  </si>
  <si>
    <t xml:space="preserve">firmado_en</t>
  </si>
  <si>
    <t xml:space="preserve">Fecha y hora de la firma.</t>
  </si>
  <si>
    <t xml:space="preserve">C2648</t>
  </si>
  <si>
    <t xml:space="preserve">modo_otp</t>
  </si>
  <si>
    <t xml:space="preserve">real, simulado</t>
  </si>
  <si>
    <t xml:space="preserve">Modo de la verificación por código de un solo uso (OTP) usada en la firma. Valores permitidos: real, simulado.</t>
  </si>
  <si>
    <t xml:space="preserve">nombre + valores permitidos del CHECK</t>
  </si>
  <si>
    <t xml:space="preserve">C2649</t>
  </si>
  <si>
    <t xml:space="preserve">Huella digital (hash de 64 caracteres, probablemente SHA-256) del contenido firmado.</t>
  </si>
  <si>
    <t xml:space="preserve">¿Qué algoritmo se usa y coincide con la huella de concertacion_docencia en el momento de la firma?</t>
  </si>
  <si>
    <t xml:space="preserve">C2650</t>
  </si>
  <si>
    <t xml:space="preserve">contexto</t>
  </si>
  <si>
    <t xml:space="preserve">character varying(160)</t>
  </si>
  <si>
    <t xml:space="preserve">academic-schedule-service/db/migrations/037_concertacion_docencia.sql:73: Contexto del OTP: prog-docencia:&lt;id&gt;:&lt;huella&gt;:&lt;rol&gt; (el mismo formato que usará auth-service cuando se pase a firma real).</t>
  </si>
  <si>
    <t xml:space="preserve">Contexto del OTP de la firma, con formato prog-docencia:&lt;id&gt;:&lt;huella&gt;:&lt;rol&gt;.</t>
  </si>
  <si>
    <t xml:space="preserve">código: academic-schedule-service/db/migrations/037_concertacion_docencia.sql:73</t>
  </si>
  <si>
    <t xml:space="preserve">C2651</t>
  </si>
  <si>
    <t xml:space="preserve">concertacion_historial</t>
  </si>
  <si>
    <t xml:space="preserve">Acción realizada sobre la concertación.</t>
  </si>
  <si>
    <t xml:space="preserve">nombre + tabla de historial</t>
  </si>
  <si>
    <t xml:space="preserve">¿Qué valores toma (crear, firmar, devolver, aprobar…)?</t>
  </si>
  <si>
    <t xml:space="preserve">C2652</t>
  </si>
  <si>
    <t xml:space="preserve">Estado de la concertación antes de la acción. Vacío cuando no había estado previo.</t>
  </si>
  <si>
    <t xml:space="preserve">nombre + columna vecina estado_nuevo</t>
  </si>
  <si>
    <t xml:space="preserve">C2653</t>
  </si>
  <si>
    <t xml:space="preserve">Estado de la concertación después de la acción.</t>
  </si>
  <si>
    <t xml:space="preserve">nombre + columna vecina estado_anterior</t>
  </si>
  <si>
    <t xml:space="preserve">C2654</t>
  </si>
  <si>
    <t xml:space="preserve">nombre + tipo uuid + tabla de historial</t>
  </si>
  <si>
    <t xml:space="preserve">C2655</t>
  </si>
  <si>
    <t xml:space="preserve">Comentario registrado con la acción.</t>
  </si>
  <si>
    <t xml:space="preserve">C2656</t>
  </si>
  <si>
    <t xml:space="preserve">en</t>
  </si>
  <si>
    <t xml:space="preserve">Fecha y hora en que se registró la acción, con zona horaria.</t>
  </si>
  <si>
    <t xml:space="preserve">C2657</t>
  </si>
  <si>
    <t xml:space="preserve">concertacion_revision</t>
  </si>
  <si>
    <t xml:space="preserve">Identificador del usuario que hizo la revisión.</t>
  </si>
  <si>
    <t xml:space="preserve">nombre + tipo uuid + columna vecina revisado_en</t>
  </si>
  <si>
    <t xml:space="preserve">C2658</t>
  </si>
  <si>
    <t xml:space="preserve">C2659</t>
  </si>
  <si>
    <t xml:space="preserve">equivalencia_periodo</t>
  </si>
  <si>
    <t xml:space="preserve">codigo_periodo_academico</t>
  </si>
  <si>
    <t xml:space="preserve">Función academic-schedule.reapuntar_grupos_por_equivalencia — academic-schedule.reapuntar_grupos_por_equivalencia: JOIN academic_work_plan.periodo_academico pa    ON pa.codigo = e.codigo_periodo_academico</t>
  </si>
  <si>
    <t xml:space="preserve">Código del periodo académico (academic_work_plan.periodo_academico) equivalente al código de programación.</t>
  </si>
  <si>
    <t xml:space="preserve">uso en la función reapuntar_grupos_por_equivalencia (JOIN con periodo_academico.codigo)</t>
  </si>
  <si>
    <t xml:space="preserve">C2660</t>
  </si>
  <si>
    <t xml:space="preserve">tipo_oferta</t>
  </si>
  <si>
    <t xml:space="preserve">creditos_virtual, interperiodo, periodo_regular</t>
  </si>
  <si>
    <t xml:space="preserve">Función academic-schedule.reapuntar_grupos_por_equivalencia — academic-schedule.reapuntar_grupos_por_equivalencia: tipo_oferta          = e.tipo_oferta,</t>
  </si>
  <si>
    <t xml:space="preserve">Tipo de oferta que se asigna a los grupos del periodo equivalente. Valores permitidos: periodo_regular, interperiodo, creditos_virtual.</t>
  </si>
  <si>
    <t xml:space="preserve">valores permitidos del CHECK + uso en la función reapuntar_grupos_por_equivalencia</t>
  </si>
  <si>
    <t xml:space="preserve">C2661</t>
  </si>
  <si>
    <t xml:space="preserve">Justificación de la equivalencia entre periodos.</t>
  </si>
  <si>
    <t xml:space="preserve">C2662</t>
  </si>
  <si>
    <t xml:space="preserve">franja_horaria</t>
  </si>
  <si>
    <t xml:space="preserve">id_docente</t>
  </si>
  <si>
    <t xml:space="preserve">Función academic-schedule.fn_propagar_docente_a_franjas — academic-schedule.fn_propagar_docente_a_franjas: SET id_docente = NEW.id_docente</t>
  </si>
  <si>
    <t xml:space="preserve">idx_franja_docente_dia_horario</t>
  </si>
  <si>
    <t xml:space="preserve">Identificador del docente asignado a la franja. Se propaga desde el grupo mediante la función fn_propagar_docente_a_franjas.</t>
  </si>
  <si>
    <t xml:space="preserve">nombre + tipo uuid + uso en la función fn_propagar_docente_a_franjas + CHECK que menciona PUBLICADA</t>
  </si>
  <si>
    <t xml:space="preserve">El CHECK asociado menciona el valor PUBLICADA: ¿exige docente cuando la franja está publicada?</t>
  </si>
  <si>
    <t xml:space="preserve">C2663</t>
  </si>
  <si>
    <t xml:space="preserve">academic-schedule-service/src/horarios/franja-horaria.entity.ts:52: Nullable: el horario se define antes de asignar salón.</t>
  </si>
  <si>
    <t xml:space="preserve">Código de la sede donde se dicta la franja. Queda vacío mientras no se asigna salón, porque el horario se define antes.</t>
  </si>
  <si>
    <t xml:space="preserve">código: academic-schedule-service/src/horarios/franja-horaria.entity.ts:52</t>
  </si>
  <si>
    <t xml:space="preserve">¿El código corresponde a una tabla de sedes y cuál?</t>
  </si>
  <si>
    <t xml:space="preserve">C2664</t>
  </si>
  <si>
    <t xml:space="preserve">aula_codigo</t>
  </si>
  <si>
    <t xml:space="preserve">idx_franja_aula_dia_horario</t>
  </si>
  <si>
    <t xml:space="preserve">Mapeada en academic-schedule-service/src/horarios/franja-horaria.entity.ts:55 (FranjaHorariaEntity.aulaCodigo)</t>
  </si>
  <si>
    <t xml:space="preserve">Código del aula donde se dicta la franja.</t>
  </si>
  <si>
    <t xml:space="preserve">nombre + índice por aula, día y horario</t>
  </si>
  <si>
    <t xml:space="preserve">C2665</t>
  </si>
  <si>
    <t xml:space="preserve">dia_semana</t>
  </si>
  <si>
    <t xml:space="preserve">DOMINGO, JUEVES, LUNES, MARTES, MIERCOLES, SABADO, VIERNES</t>
  </si>
  <si>
    <t xml:space="preserve">idx_franja_aula_dia_horario, idx_franja_docente_dia_horario</t>
  </si>
  <si>
    <t xml:space="preserve">Mapeada en academic-schedule-service/src/horarios/franja-horaria.entity.ts:35 (FranjaHorariaEntity.diaSemana)</t>
  </si>
  <si>
    <t xml:space="preserve">Día de la semana de la franja. Valores permitidos: LUNES, MARTES, MIERCOLES, JUEVES, VIERNES, SABADO, DOMINGO.</t>
  </si>
  <si>
    <t xml:space="preserve">C2666</t>
  </si>
  <si>
    <t xml:space="preserve">hora_inicio</t>
  </si>
  <si>
    <t xml:space="preserve">academic-schedule-service/src/horarios/franja-horaria.entity.ts:39: 'HH:MM' o 'HH:MM:SS'. Arbitraria: 11:05 a 12:35 es válido (AC-03).</t>
  </si>
  <si>
    <t xml:space="preserve">Hora de inicio de la franja, en formato HH:MM o HH:MM:SS; admite horas arbitrarias (por ejemplo, 11:05). Debe ser anterior a hora_fin (AC-03).</t>
  </si>
  <si>
    <t xml:space="preserve">código: academic-schedule-service/src/horarios/franja-horaria.entity.ts:39</t>
  </si>
  <si>
    <t xml:space="preserve">C2667</t>
  </si>
  <si>
    <t xml:space="preserve">hora_fin</t>
  </si>
  <si>
    <t xml:space="preserve">Mapeada en academic-schedule-service/src/horarios/franja-horaria.entity.ts:42 (FranjaHorariaEntity.horaFin)</t>
  </si>
  <si>
    <t xml:space="preserve">Hora de finalización de la franja. Debe ser posterior a hora_inicio.</t>
  </si>
  <si>
    <t xml:space="preserve">nombre + tipo time + CHECK hora_fin &gt; hora_inicio</t>
  </si>
  <si>
    <t xml:space="preserve">C2668</t>
  </si>
  <si>
    <t xml:space="preserve">DISTANCIA, DIURNA, FIN_DE_SEMANA, NOCTURNA</t>
  </si>
  <si>
    <t xml:space="preserve">Mapeada en academic-schedule-service/src/horarios/franja-horaria.entity.ts:48 (FranjaHorariaEntity.jornada)</t>
  </si>
  <si>
    <t xml:space="preserve">Jornada de la franja. Valores permitidos: DIURNA, NOCTURNA, FIN_DE_SEMANA, DISTANCIA. Por defecto, DIURNA.</t>
  </si>
  <si>
    <t xml:space="preserve">C2669</t>
  </si>
  <si>
    <t xml:space="preserve">cupo_maximo</t>
  </si>
  <si>
    <t xml:space="preserve">Número máximo de estudiantes de la franja. Por defecto, 30.</t>
  </si>
  <si>
    <t xml:space="preserve">nombre + tipo integer + defecto 30</t>
  </si>
  <si>
    <t xml:space="preserve">¿Este cupo es independiente del cupo_maximo del grupo o se hereda de él?</t>
  </si>
  <si>
    <t xml:space="preserve">C2670</t>
  </si>
  <si>
    <t xml:space="preserve">APROBADA, DEVUELTA, PROGRAMADO, PUBLICADA, TOMADA</t>
  </si>
  <si>
    <t xml:space="preserve">Mapeada en academic-schedule-service/src/horarios/franja-horaria.entity.ts:58 (FranjaHorariaEntity.estado)</t>
  </si>
  <si>
    <t xml:space="preserve">Estado del registro de franja_horaria.</t>
  </si>
  <si>
    <t xml:space="preserve">C2671</t>
  </si>
  <si>
    <t xml:space="preserve">comentario_jefatura</t>
  </si>
  <si>
    <t xml:space="preserve">Comentario de la jefatura sobre la franja.</t>
  </si>
  <si>
    <t xml:space="preserve">¿A qué jefatura se refiere (jefatura de programa o de departamento) y en qué momento lo registra?</t>
  </si>
  <si>
    <t xml:space="preserve">C2672</t>
  </si>
  <si>
    <t xml:space="preserve">excepcion</t>
  </si>
  <si>
    <t xml:space="preserve">Indica si aplica: excepción.</t>
  </si>
  <si>
    <t xml:space="preserve">C2673</t>
  </si>
  <si>
    <t xml:space="preserve">numero_grupo</t>
  </si>
  <si>
    <t xml:space="preserve">uq_grupo_numero_plataforma, uq_grupo_numero_por_asignatura_periodo</t>
  </si>
  <si>
    <t xml:space="preserve">academic-schedule-service/db/migrations/005_create_grupo.sql:29: Numeración secuencial dentro de (asignatura, periodo). La estrategia que la calcula está aislada en el servicio y es reemplazable: la regla definitiva sigue pendiente de confirmación con las decanaturas (bloqueo B-4).</t>
  </si>
  <si>
    <t xml:space="preserve">Número secuencial del grupo dentro de la asignatura y el periodo. Debe ser mayor que cero.</t>
  </si>
  <si>
    <t xml:space="preserve">código: academic-schedule-service/db/migrations/005_create_grupo.sql:29</t>
  </si>
  <si>
    <t xml:space="preserve">La regla de numeración sigue pendiente de confirmación con las decanaturas (bloqueo B-4): ¿cuál es la regla definitiva?</t>
  </si>
  <si>
    <t xml:space="preserve">C2674</t>
  </si>
  <si>
    <t xml:space="preserve">Mapeada en academic-schedule-service/src/grupos/grupo.entity.ts:52 (GrupoEntity.cupoMaximo)</t>
  </si>
  <si>
    <t xml:space="preserve">Número máximo de estudiantes del grupo. Debe ser mayor que cero; por defecto, 30.</t>
  </si>
  <si>
    <t xml:space="preserve">nombre + CHECK cupo_maximo &gt; 0 + defecto 30</t>
  </si>
  <si>
    <t xml:space="preserve">C2675</t>
  </si>
  <si>
    <t xml:space="preserve">Mapeada en academic-schedule-service/src/grupos/grupo.entity.ts:55 (GrupoEntity.estado)</t>
  </si>
  <si>
    <t xml:space="preserve">Estado del registro de grupo.</t>
  </si>
  <si>
    <t xml:space="preserve">C2676</t>
  </si>
  <si>
    <t xml:space="preserve">Mapeada en academic-schedule-service/src/grupos/grupo.entity.ts:58 (GrupoEntity.observaciones)</t>
  </si>
  <si>
    <t xml:space="preserve">C2677</t>
  </si>
  <si>
    <t xml:space="preserve">Mapeada en academic-schedule-service/src/grupos/grupo.entity.ts:65 (GrupoEntity.fechaFin)</t>
  </si>
  <si>
    <t xml:space="preserve">C2678</t>
  </si>
  <si>
    <t xml:space="preserve">uq_grupo_numero_plataforma</t>
  </si>
  <si>
    <t xml:space="preserve">academic-schedule-service/src/grupos/grupo.entity.ts:35: Oferta del grupo dentro del periodo de plataforma (migración 036).</t>
  </si>
  <si>
    <t xml:space="preserve">Tipo de oferta del grupo dentro del periodo de plataforma. Valores permitidos: periodo_regular, interperiodo, creditos_virtual.</t>
  </si>
  <si>
    <t xml:space="preserve">código: academic-schedule-service/src/grupos/grupo.entity.ts:35</t>
  </si>
  <si>
    <t xml:space="preserve">C2679</t>
  </si>
  <si>
    <t xml:space="preserve">jefatura_territorial</t>
  </si>
  <si>
    <t xml:space="preserve">asignado_en</t>
  </si>
  <si>
    <t xml:space="preserve">Fecha y hora de la asignación.</t>
  </si>
  <si>
    <t xml:space="preserve">C2680</t>
  </si>
  <si>
    <t xml:space="preserve">periodo_programacion</t>
  </si>
  <si>
    <t xml:space="preserve">periodo_programacion_codigo_key</t>
  </si>
  <si>
    <t xml:space="preserve">Código del registro de periodo_programacion. Único en la tabla.</t>
  </si>
  <si>
    <t xml:space="preserve">C2681</t>
  </si>
  <si>
    <t xml:space="preserve">Nombre del registro de periodo_programacion.</t>
  </si>
  <si>
    <t xml:space="preserve">C2682</t>
  </si>
  <si>
    <t xml:space="preserve">C2683</t>
  </si>
  <si>
    <t xml:space="preserve">C2684</t>
  </si>
  <si>
    <t xml:space="preserve">programacion_historica</t>
  </si>
  <si>
    <t xml:space="preserve">idx_hist_periodo</t>
  </si>
  <si>
    <t xml:space="preserve">Periodo académico de la programación (por ejemplo, 2026-1 o 2026-V1), tal como llegó en la programación histórica.</t>
  </si>
  <si>
    <t xml:space="preserve">nombre + descripción de la tabla + índice</t>
  </si>
  <si>
    <t xml:space="preserve">C2685</t>
  </si>
  <si>
    <t xml:space="preserve">Tipo de oferta de la programación, tal como llegó en la programación histórica.</t>
  </si>
  <si>
    <t xml:space="preserve">nombre + columna homónima en grupo</t>
  </si>
  <si>
    <t xml:space="preserve">¿Usa los mismos valores que grupo.tipo_oferta o los de la fuente original?</t>
  </si>
  <si>
    <t xml:space="preserve">C2686</t>
  </si>
  <si>
    <t xml:space="preserve">Código de la sede, tal como llegó en la programación histórica.</t>
  </si>
  <si>
    <t xml:space="preserve">nombre + columnas vecinas sede y seccional</t>
  </si>
  <si>
    <t xml:space="preserve">C2687</t>
  </si>
  <si>
    <t xml:space="preserve">seccional</t>
  </si>
  <si>
    <t xml:space="preserve">Nombre de la seccional, tal como llegó en la programación histórica.</t>
  </si>
  <si>
    <t xml:space="preserve">nombre + columnas vecinas sede y cod_sede</t>
  </si>
  <si>
    <t xml:space="preserve">C2688</t>
  </si>
  <si>
    <t xml:space="preserve">Nombre de la sede, tal como llegó en la programación histórica.</t>
  </si>
  <si>
    <t xml:space="preserve">nombre + columna vecina cod_sede</t>
  </si>
  <si>
    <t xml:space="preserve">C2689</t>
  </si>
  <si>
    <t xml:space="preserve">Código del pensum (plan de estudios), tal como llegó en la programación histórica.</t>
  </si>
  <si>
    <t xml:space="preserve">nombre + descripción de la tabla (PROGRAMA_PENSUM)</t>
  </si>
  <si>
    <t xml:space="preserve">¿Es el código o la versión del pensum?</t>
  </si>
  <si>
    <t xml:space="preserve">C2690</t>
  </si>
  <si>
    <t xml:space="preserve">Código del programa académico, tal como llegó en la programación histórica.</t>
  </si>
  <si>
    <t xml:space="preserve">nombre + tipo varchar(20) + descripción de la tabla</t>
  </si>
  <si>
    <t xml:space="preserve">¿Es un código o una sigla del programa?</t>
  </si>
  <si>
    <t xml:space="preserve">C2691</t>
  </si>
  <si>
    <t xml:space="preserve">cod_asigna</t>
  </si>
  <si>
    <t xml:space="preserve">Código compuesto PROGRAMA_PENSUM de la asignatura; no es el código de la materia.</t>
  </si>
  <si>
    <t xml:space="preserve">descripción de la tabla</t>
  </si>
  <si>
    <t xml:space="preserve">C2692</t>
  </si>
  <si>
    <t xml:space="preserve">Nombre de la asignatura, tal como llegó en la programación histórica.</t>
  </si>
  <si>
    <t xml:space="preserve">nombre + tipo varchar(200)</t>
  </si>
  <si>
    <t xml:space="preserve">C2693</t>
  </si>
  <si>
    <t xml:space="preserve">detalle_asignatura</t>
  </si>
  <si>
    <t xml:space="preserve">Texto adicional que describe la asignatura, tal como llegó en la programación histórica.</t>
  </si>
  <si>
    <t xml:space="preserve">¿Qué contiene (contenido, modalidad, observaciones)?</t>
  </si>
  <si>
    <t xml:space="preserve">C2694</t>
  </si>
  <si>
    <t xml:space="preserve">C2695</t>
  </si>
  <si>
    <t xml:space="preserve">Semestre del plan de estudios en que se ubica la asignatura.</t>
  </si>
  <si>
    <t xml:space="preserve">C2696</t>
  </si>
  <si>
    <t xml:space="preserve">Número de horas de la asignatura.</t>
  </si>
  <si>
    <t xml:space="preserve">nombre + tipo smallint + columna vecina hrs_clase</t>
  </si>
  <si>
    <t xml:space="preserve">¿Son horas totales del periodo o semanales? ¿En qué se diferencia de hrs_clase?</t>
  </si>
  <si>
    <t xml:space="preserve">C2697</t>
  </si>
  <si>
    <t xml:space="preserve">Jornada del grupo, tal como llegó en la programación histórica.</t>
  </si>
  <si>
    <t xml:space="preserve">nombre + columna homónima en franja_horaria</t>
  </si>
  <si>
    <t xml:space="preserve">C2698</t>
  </si>
  <si>
    <t xml:space="preserve">cedula_docente</t>
  </si>
  <si>
    <t xml:space="preserve">idx_hist_docente</t>
  </si>
  <si>
    <t xml:space="preserve">Número de cédula del docente asignado, tal como llegó en la programación histórica.</t>
  </si>
  <si>
    <t xml:space="preserve">nombre + índice idx_hist_docente</t>
  </si>
  <si>
    <t xml:space="preserve">C2699</t>
  </si>
  <si>
    <t xml:space="preserve">nombre_docente</t>
  </si>
  <si>
    <t xml:space="preserve">Nombre completo del docente asignado, tal como llegó en la programación histórica.</t>
  </si>
  <si>
    <t xml:space="preserve">nombre + columna vecina cedula_docente</t>
  </si>
  <si>
    <t xml:space="preserve">C2700</t>
  </si>
  <si>
    <t xml:space="preserve">vinculacion_docente</t>
  </si>
  <si>
    <t xml:space="preserve">Tipo de vinculación del docente (por ejemplo, planta u ocasional), tal como llegó en la programación histórica.</t>
  </si>
  <si>
    <t xml:space="preserve">¿Qué valores trae la fuente?</t>
  </si>
  <si>
    <t xml:space="preserve">C2701</t>
  </si>
  <si>
    <t xml:space="preserve">C2702</t>
  </si>
  <si>
    <t xml:space="preserve">C2703</t>
  </si>
  <si>
    <t xml:space="preserve">dia</t>
  </si>
  <si>
    <t xml:space="preserve">idx_hist_aula_dia</t>
  </si>
  <si>
    <t xml:space="preserve">Día de la semana de la sesión, en texto, tal como llegó en la programación histórica.</t>
  </si>
  <si>
    <t xml:space="preserve">nombre + índice por aula y día</t>
  </si>
  <si>
    <t xml:space="preserve">C2704</t>
  </si>
  <si>
    <t xml:space="preserve">Hora de inicio de la sesión, en texto, tal como llegó en la programación histórica.</t>
  </si>
  <si>
    <t xml:space="preserve">nombre + tipo varchar(10) + índice</t>
  </si>
  <si>
    <t xml:space="preserve">C2705</t>
  </si>
  <si>
    <t xml:space="preserve">Hora de finalización de la sesión, en texto, tal como llegó en la programación histórica.</t>
  </si>
  <si>
    <t xml:space="preserve">C2706</t>
  </si>
  <si>
    <t xml:space="preserve">hrs_clase</t>
  </si>
  <si>
    <t xml:space="preserve">Duración de la sesión de clase en horas, en texto.</t>
  </si>
  <si>
    <t xml:space="preserve">nombre + tipo varchar(10)</t>
  </si>
  <si>
    <t xml:space="preserve">¿Es la duración de cada sesión o el total de horas de clase? ¿En qué formato viene?</t>
  </si>
  <si>
    <t xml:space="preserve">C2707</t>
  </si>
  <si>
    <t xml:space="preserve">Nombre o código del aula, tal como llegó en la programación histórica.</t>
  </si>
  <si>
    <t xml:space="preserve">C2708</t>
  </si>
  <si>
    <t xml:space="preserve">estado_aula</t>
  </si>
  <si>
    <t xml:space="preserve">Estado de la asignación del aula en la fuente.</t>
  </si>
  <si>
    <t xml:space="preserve">nombre + tipo varchar(20)</t>
  </si>
  <si>
    <t xml:space="preserve">¿Qué valores toma (asignada, pendiente…) y quién los define?</t>
  </si>
  <si>
    <t xml:space="preserve">C2709</t>
  </si>
  <si>
    <t xml:space="preserve">estado_docente</t>
  </si>
  <si>
    <t xml:space="preserve">Estado de la asignación del docente en la fuente.</t>
  </si>
  <si>
    <t xml:space="preserve">¿Qué valores toma (asignado, por contratar…) y quién los define?</t>
  </si>
  <si>
    <t xml:space="preserve">C2710</t>
  </si>
  <si>
    <t xml:space="preserve">importado_en</t>
  </si>
  <si>
    <t xml:space="preserve">Fecha y hora en que se importó el registro, con zona horaria.</t>
  </si>
  <si>
    <t xml:space="preserve">C2711</t>
  </si>
  <si>
    <t xml:space="preserve">programacion_periodo</t>
  </si>
  <si>
    <t xml:space="preserve">abierta, cerrada</t>
  </si>
  <si>
    <t xml:space="preserve">Estado del registro de programacion_periodo.</t>
  </si>
  <si>
    <t xml:space="preserve">C2712</t>
  </si>
  <si>
    <t xml:space="preserve">cerrada_en</t>
  </si>
  <si>
    <t xml:space="preserve">C2713</t>
  </si>
  <si>
    <t xml:space="preserve">cerrada_por</t>
  </si>
  <si>
    <t xml:space="preserve">Usuario que realizó el cierre.</t>
  </si>
  <si>
    <t xml:space="preserve">C2714</t>
  </si>
  <si>
    <t xml:space="preserve">actas_inicio</t>
  </si>
  <si>
    <t xml:space="preserve">hiring-service/src/entities/acta-inicio.entity.ts:25: La de la reunión, no la del registro: es desde cuándo el contrato está en ejecución y desde donde corre su plazo. | db/migrations/hiring/042_acta_de_inicio.sql:29: Fecha real de la reunión, no la del registro: es la que cuenta como inicio de la ejecución y desde la que corre el plazo del contrato. | Validación: IsDateString({}, { message: 'La fecha de inicio debe tener el formato YYYY-MM-DD' })</t>
  </si>
  <si>
    <t xml:space="preserve">Fecha real de la reunión de inicio, no la del registro; marca el inicio de la ejecución del contrato y desde ella corre su plazo. Formato YYYY-MM-DD (EFDS-1167).</t>
  </si>
  <si>
    <t xml:space="preserve">código: hiring-service/src/entities/acta-inicio.entity.ts:25; db/migrations/hiring/042_acta_de_inicio.sql:29</t>
  </si>
  <si>
    <t xml:space="preserve">C2715</t>
  </si>
  <si>
    <t xml:space="preserve">temas_tratados</t>
  </si>
  <si>
    <t xml:space="preserve">hiring-service/src/entities/acta-inicio.entity.ts:29: Alcance, cronograma y entregables: lo que la matriz pide socializar. | db/migrations/hiring/042_acta_de_inicio.sql:34: Qué se socializó. La matriz lo pide en 9.1: alcance, cronograma y entregables. Se guarda el texto porque es lo que acredita que la reunión ocurrió y no fue un trámite en el papel. | Validación: IsNotEmpty({ message: 'Registra que se socializó en la reunión de inicio' }), IsString, MaxLength(4000), MinLength(10, {
    message: 'Describe los temas tratados: alcance, cronograma y entregables',
  })</t>
  </si>
  <si>
    <t xml:space="preserve">Temas socializados en la reunión de inicio del contrato: alcance, cronograma y entregables. Entre 10 y 4.000 caracteres.</t>
  </si>
  <si>
    <t xml:space="preserve">código: hiring-service/src/entities/acta-inicio.entity.ts:29; db/migrations/hiring/042_acta_de_inicio.sql:34; nota: longitudes de las validaciones DTO</t>
  </si>
  <si>
    <t xml:space="preserve">C2716</t>
  </si>
  <si>
    <t xml:space="preserve">asistentes</t>
  </si>
  <si>
    <t xml:space="preserve">hiring-service/src/entities/acta-inicio.entity.ts:37: En texto libre porque el contratista no es usuario del sistema: por la entidad va quien delegue el ordenador, y por la otra parte su representante, que no está en el directorio. | db/migrations/hiring/042_acta_de_inicio.sql:40: Quiénes asistieron, en texto libre: por la entidad puede ir el supervisor, el ordenador o quien deleguen, y por el contratista su representante. No se modela como lista de personas porque el contratista no es usuario del sistema y no está en el directorio. | Validación: IsOptional, IsString, MaxLength(2000)</t>
  </si>
  <si>
    <t xml:space="preserve">Personas que asistieron a la reunión de inicio, en texto libre: por la entidad, el supervisor, el ordenador o su delegado, y por el contratista, su representante. Hasta 2.000 caracteres.</t>
  </si>
  <si>
    <t xml:space="preserve">código: hiring-service/src/entities/acta-inicio.entity.ts:37; db/migrations/hiring/042_acta_de_inicio.sql:40</t>
  </si>
  <si>
    <t xml:space="preserve">C2717</t>
  </si>
  <si>
    <t xml:space="preserve">acta_pactada</t>
  </si>
  <si>
    <t xml:space="preserve">hiring-service/src/entities/acta-inicio.entity.ts:48: Si el contrato pactó acta de inicio. Congelado al registrar: de él depende que el documento fuera exigible en ese momento. | db/migrations/hiring/042_acta_de_inicio.sql:48: Si el contrato la pactó. Congelado al registrar, porque de él depende que el acta fuera exigible en ese momento. | Validación: IsBoolean({ message: 'Indica con si o no si el contrato pacto acta de inicio' })</t>
  </si>
  <si>
    <t xml:space="preserve">Indica si el contrato pactó acta de inicio. Se fija al registrar, porque de él depende que el acta fuera exigible en ese momento.</t>
  </si>
  <si>
    <t xml:space="preserve">código: hiring-service/src/entities/acta-inicio.entity.ts:48; db/migrations/hiring/042_acta_de_inicio.sql:48</t>
  </si>
  <si>
    <t xml:space="preserve">C2718</t>
  </si>
  <si>
    <t xml:space="preserve">registrado_por</t>
  </si>
  <si>
    <t xml:space="preserve">Mapeada en hiring-service/src/entities/acta-inicio.entity.ts:51 (ActaInicio.registradoPor)</t>
  </si>
  <si>
    <t xml:space="preserve">C2719</t>
  </si>
  <si>
    <t xml:space="preserve">actas_liquidacion</t>
  </si>
  <si>
    <t xml:space="preserve">BILATERAL, UNILATERAL</t>
  </si>
  <si>
    <t xml:space="preserve">db/migrations/hiring/045_acta_de_liquidacion.sql:29: De común acuerdo o por acto de la entidad. No es un detalle del acta: son dos figuras distintas, con requisitos y plazos distintos. | Validación: IsIn(TIPOS_CAMPO as unknown as string[]), IsIn(TIPOS_LIQUIDACION, {
    message: 'La liquidación es bilateral, de común acuerdo, o unilateral, por acto de la entidad',
  }), IsIn(TIPOS_REGLA as unknown as string[]), IsIn(TIPOS_SOPORTE, {
    message: 'El soporte es seguridad social, RUT, certificación bancaria u otro',
  }), IsIn(['GRABACION', 'OBSERVACION', 'ANEXO'], {
    message: 'Di qué es: una grabación, una observación con su respuesta, o un anexo',
  }), IsIn(['INFORME', 'ACTA', 'SOPORTE'], {
    message: 'El soporte es un informe, un acta u otro documento de la ejecución',
  })</t>
  </si>
  <si>
    <t xml:space="preserve">Tipo de liquidación del contrato: BILATERAL (de común acuerdo entre las partes) o UNILATERAL (por acto de la entidad); cada una tiene requisitos y plazos distintos (RF-LIQ-02).</t>
  </si>
  <si>
    <t xml:space="preserve">código: db/migrations/hiring/045_acta_de_liquidacion.sql:29</t>
  </si>
  <si>
    <t xml:space="preserve">C2720</t>
  </si>
  <si>
    <t xml:space="preserve">fecha_acta</t>
  </si>
  <si>
    <t xml:space="preserve">Mapeada en hiring-service/src/entities/acta-liquidacion.entity.ts:63 (ActaLiquidacion.fechaActa) | Validación: IsDateString({}, { message: 'La fecha del acta debe tener el formato YYYY-MM-DD' })</t>
  </si>
  <si>
    <t xml:space="preserve">Fecha de acta.</t>
  </si>
  <si>
    <t xml:space="preserve">C2721</t>
  </si>
  <si>
    <t xml:space="preserve">balance</t>
  </si>
  <si>
    <t xml:space="preserve">Mapeada en hiring-service/src/entities/acta-liquidacion.entity.ts:66 (ActaLiquidacion.balance)</t>
  </si>
  <si>
    <t xml:space="preserve">Balance financiero de la liquidación del contrato, en formato JSON.</t>
  </si>
  <si>
    <t xml:space="preserve">nombre + jsonb + descripción de la tabla</t>
  </si>
  <si>
    <t xml:space="preserve">¿Qué conceptos incluye el JSON (valor ejecutado, pagado, saldo)?</t>
  </si>
  <si>
    <t xml:space="preserve">C2722</t>
  </si>
  <si>
    <t xml:space="preserve">paz_y_salvo</t>
  </si>
  <si>
    <t xml:space="preserve">db/migrations/hiring/045_acta_de_liquidacion.sql:45: Paz y salvo: si las partes se declaran a paz y salvo y su soporte. El soporte es aparte del acta porque suele ser un documento propio del contratista, no una hoja del acta. | Validación: IsBoolean</t>
  </si>
  <si>
    <t xml:space="preserve">Indica si las partes se declaran a paz y salvo. El soporte se registra aparte del acta.</t>
  </si>
  <si>
    <t xml:space="preserve">código: db/migrations/hiring/045_acta_de_liquidacion.sql:45</t>
  </si>
  <si>
    <t xml:space="preserve">C2723</t>
  </si>
  <si>
    <t xml:space="preserve">Mapeada en hiring-service/src/entities/acta-liquidacion.entity.ts:81 (ActaLiquidacion.observaciones) | Validación: IsNotEmpty({ message: 'El motivo del rechazo es obligatorio' }), IsNotEmpty({ message: 'Explica por qué se rechaza el registro presupuestal' }), IsNotEmpty({ message: 'Explica por qué se rechaza' }), IsOptional, IsString, MaxLength(1000)</t>
  </si>
  <si>
    <t xml:space="preserve">C2724</t>
  </si>
  <si>
    <t xml:space="preserve">fecha_terminacion</t>
  </si>
  <si>
    <t xml:space="preserve">hiring-service/src/entities/acta-liquidacion.entity.ts:91: La ventana con la que se liquidó. Se guarda además de poder calcularse: es la que estaba vigente ese día. Si cambia la norma o se corrige la fecha de terminación, el acta tiene que seguir explicando por qué se liquidó cuando se liquidó.</t>
  </si>
  <si>
    <t xml:space="preserve">Fecha de terminación del contrato con la que se calculó la ventana de liquidación, guardada tal como estaba vigente el día en que se liquidó.</t>
  </si>
  <si>
    <t xml:space="preserve">código: hiring-service/src/entities/acta-liquidacion.entity.ts:91; nota: el comentario se refiere a la ventana de liquidación</t>
  </si>
  <si>
    <t xml:space="preserve">¿Es una copia de la fecha de terminación del contrato tomada al liquidar, o se diligencia en el acta?</t>
  </si>
  <si>
    <t xml:space="preserve">C2725</t>
  </si>
  <si>
    <t xml:space="preserve">bilateral_hasta</t>
  </si>
  <si>
    <t xml:space="preserve">ix_actas_liquidacion_plazo</t>
  </si>
  <si>
    <t xml:space="preserve">Mapeada en hiring-service/src/entities/acta-liquidacion.entity.ts:94 (ActaLiquidacion.bilateralHasta)</t>
  </si>
  <si>
    <t xml:space="preserve">Fecha límite para liquidar el contrato de mutuo acuerdo (bilateral).</t>
  </si>
  <si>
    <t xml:space="preserve">nombre + date + índice ix_actas_liquidacion_plazo + tipo de liquidación</t>
  </si>
  <si>
    <t xml:space="preserve">C2726</t>
  </si>
  <si>
    <t xml:space="preserve">unilateral_hasta</t>
  </si>
  <si>
    <t xml:space="preserve">Mapeada en hiring-service/src/entities/acta-liquidacion.entity.ts:97 (ActaLiquidacion.unilateralHasta)</t>
  </si>
  <si>
    <t xml:space="preserve">Fecha límite para liquidar el contrato de forma unilateral.</t>
  </si>
  <si>
    <t xml:space="preserve">nombre + date + columna vecina bilateral_hasta</t>
  </si>
  <si>
    <t xml:space="preserve">C2727</t>
  </si>
  <si>
    <t xml:space="preserve">momento_del_plazo</t>
  </si>
  <si>
    <t xml:space="preserve">BILATERAL, UNILATERAL, VENCIDO</t>
  </si>
  <si>
    <t xml:space="preserve">hiring-service/src/entities/acta-liquidacion.entity.ts:101: Resuelto y no derivado: explica que una liquidación tardía se aceptara. | db/migrations/hiring/045_acta_de_liquidacion.sql:59: En qué momento del plazo se firmó: BILATERAL, UNILATERAL o VENCIDO. Se guarda resuelto porque es lo que explica que una liquidación tardía se haya aceptado igual.</t>
  </si>
  <si>
    <t xml:space="preserve">Momento del plazo de liquidación en que se firmó el acta: BILATERAL, UNILATERAL o VENCIDO. Se guarda resuelto al registrar, no se deriva después.</t>
  </si>
  <si>
    <t xml:space="preserve">código: hiring-service/src/entities/acta-liquidacion.entity.ts:101; db/migrations/hiring/045_acta_de_liquidacion.sql:59</t>
  </si>
  <si>
    <t xml:space="preserve">C2728</t>
  </si>
  <si>
    <t xml:space="preserve">ANULADO, VIGENTE</t>
  </si>
  <si>
    <t xml:space="preserve">Mapeada en hiring-service/src/entities/acta-liquidacion.entity.ts:104 (ActaLiquidacion.estado)</t>
  </si>
  <si>
    <t xml:space="preserve">Estado del registro de actas_liquidacion.</t>
  </si>
  <si>
    <t xml:space="preserve">C2729</t>
  </si>
  <si>
    <t xml:space="preserve">liquidado_por</t>
  </si>
  <si>
    <t xml:space="preserve">Mapeada en hiring-service/src/entities/acta-liquidacion.entity.ts:107 (ActaLiquidacion.liquidadoPor)</t>
  </si>
  <si>
    <t xml:space="preserve">Usuario que realizó la liquidación.</t>
  </si>
  <si>
    <t xml:space="preserve">C2730</t>
  </si>
  <si>
    <t xml:space="preserve">anulado_at</t>
  </si>
  <si>
    <t xml:space="preserve">Mapeada en hiring-service/src/entities/acta-liquidacion.entity.ts:113 (ActaLiquidacion.anuladoAt)</t>
  </si>
  <si>
    <t xml:space="preserve">Fecha y hora de la anulación.</t>
  </si>
  <si>
    <t xml:space="preserve">C2731</t>
  </si>
  <si>
    <t xml:space="preserve">anulado_por</t>
  </si>
  <si>
    <t xml:space="preserve">Mapeada en hiring-service/src/entities/acta-liquidacion.entity.ts:116 (ActaLiquidacion.anuladoPor)</t>
  </si>
  <si>
    <t xml:space="preserve">Usuario que realizó la anulación.</t>
  </si>
  <si>
    <t xml:space="preserve">C2732</t>
  </si>
  <si>
    <t xml:space="preserve">motivo_anulacion</t>
  </si>
  <si>
    <t xml:space="preserve">Mapeada en hiring-service/src/entities/acta-liquidacion.entity.ts:119 (ActaLiquidacion.motivoAnulacion)</t>
  </si>
  <si>
    <t xml:space="preserve">Motivo de la anulación.</t>
  </si>
  <si>
    <t xml:space="preserve">C2733</t>
  </si>
  <si>
    <t xml:space="preserve">actividades</t>
  </si>
  <si>
    <t xml:space="preserve">Mapeada en hiring-service/src/entities/actividad.entity.ts:18 (Actividad.etapa)</t>
  </si>
  <si>
    <t xml:space="preserve">Número de la etapa del proceso contractual a la que pertenece la actividad.</t>
  </si>
  <si>
    <t xml:space="preserve">nombre + integer + descripción de la tabla (por etapa y numeral)</t>
  </si>
  <si>
    <t xml:space="preserve">¿Existe un catálogo con el nombre de cada etapa (1 a 10)?</t>
  </si>
  <si>
    <t xml:space="preserve">C2734</t>
  </si>
  <si>
    <t xml:space="preserve">Mapeada en hiring-service/src/entities/actividad.entity.ts:21 (Actividad.nombre)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</si>
  <si>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del registro de actividades.</t>
  </si>
  <si>
    <t xml:space="preserve">C2735</t>
  </si>
  <si>
    <t xml:space="preserve">Mapeada en hiring-service/src/entities/actividad.entity.ts:24 (Actividad.descripcion) | Validación: IsNotEmpty({ message: 'Describe el entregable' }), IsNotEmpty({ message: 'Describe la pieza: una lista de archivos sin decir cuál es cuál no documenta nada' }), IsNotEmpty({ message: 'Describe qué acredita el soporte' }), IsOptional, IsString, MaxLength(1000)</t>
  </si>
  <si>
    <t xml:space="preserve">Descripción del registro de actividades.</t>
  </si>
  <si>
    <t xml:space="preserve">C2736</t>
  </si>
  <si>
    <t xml:space="preserve">Mapeada en hiring-service/src/entities/actividad.entity.ts:27 (Actividad.orden) | Validación: IsInt, IsOptional, Min(0), Min(1)</t>
  </si>
  <si>
    <t xml:space="preserve">C2737</t>
  </si>
  <si>
    <t xml:space="preserve">db/migrations/hiring/010_cdp.sql:87: False cuando la actividad no aplica a alguna modalidad; el detalle de cuáles vive en actividades_modalidad. | Validación: IsBoolean, IsOptional</t>
  </si>
  <si>
    <t xml:space="preserve">Indica si la actividad de la matriz de flujo está activa; es falso cuando la actividad no aplica a alguna modalidad. El detalle por modalidad está en actividades_modalidad.</t>
  </si>
  <si>
    <t xml:space="preserve">código: db/migrations/hiring/010_cdp.sql:87</t>
  </si>
  <si>
    <t xml:space="preserve">C2738</t>
  </si>
  <si>
    <t xml:space="preserve">actividades_con_soporte</t>
  </si>
  <si>
    <t xml:space="preserve">Mapeada en hiring-service/src/entities/registro-actividad.entity.ts:75 (ActividadConSoporte.etapa)</t>
  </si>
  <si>
    <t xml:space="preserve">nombre + integer + columna vecina numeral</t>
  </si>
  <si>
    <t xml:space="preserve">¿Coincide siempre con la etapa registrada en hiring.actividades para el mismo numeral?</t>
  </si>
  <si>
    <t xml:space="preserve">C2739</t>
  </si>
  <si>
    <t xml:space="preserve">exige_soporte</t>
  </si>
  <si>
    <t xml:space="preserve">Mapeada en hiring-service/src/entities/registro-actividad.entity.ts:78 (ActividadConSoporte.exigeSoporte)</t>
  </si>
  <si>
    <t xml:space="preserve">Indica si aplica: exige soporte.</t>
  </si>
  <si>
    <t xml:space="preserve">C2740</t>
  </si>
  <si>
    <t xml:space="preserve">nota_fuente</t>
  </si>
  <si>
    <t xml:space="preserve">Mapeada en hiring-service/src/entities/registro-actividad.entity.ts:84 (ActividadConSoporte.notaFuente)</t>
  </si>
  <si>
    <t xml:space="preserve">Nota sobre la fuente de la que se tomó la regla de la actividad (por ejemplo, la matriz de flujo).</t>
  </si>
  <si>
    <t xml:space="preserve">nombre + text + columna vecina confirmado</t>
  </si>
  <si>
    <t xml:space="preserve">¿Indica el documento de origen o una aclaración sobre cómo se interpretó?</t>
  </si>
  <si>
    <t xml:space="preserve">C2741</t>
  </si>
  <si>
    <t xml:space="preserve">actividades_excluidas</t>
  </si>
  <si>
    <t xml:space="preserve">Mapeada en hiring-service/src/entities/actividad.entity.ts:71 (ActividadExcluida.motivo) | Validación: IsNotEmpty({ message: 'Di por qué se anula el informe definitivo' }), IsNotEmpty({ message: 'Di por qué se anula el informe' }), IsNotEmpty({ message: 'Di por qué se anula el registro' }), IsNotEmpty({ message: 'Di por qué se anula la audiencia' }), IsNotEmpty({ message: 'Di por qué se declara desierto el proceso' }), IsNotEmpty({ message: 'Di por qué se revoca el acto de adjudicación' })</t>
  </si>
  <si>
    <t xml:space="preserve">Motivo por el que la actividad no aplica a la modalidad.</t>
  </si>
  <si>
    <t xml:space="preserve">C2742</t>
  </si>
  <si>
    <t xml:space="preserve">actividades_salvedad</t>
  </si>
  <si>
    <t xml:space="preserve">variante</t>
  </si>
  <si>
    <t xml:space="preserve">hiring-service/src/entities/actividad.entity.ts:93: El texto de la celda cuando no dice SI. NULL cuando la celda es "si*". | db/migrations/hiring/031_salvedades_matriz.sql:27: El texto tal como lo escribió Contratación cuando la celda no dice SI: "TVEC", "Comunicación de aceptación". NULL cuando la celda es "si*", que marca una condición sin redactar.</t>
  </si>
  <si>
    <t xml:space="preserve">Texto de la celda de la matriz tal como lo escribió Contratación cuando no dice SI (por ejemplo, TVEC o Comunicación de aceptación). Vacío cuando la celda es «si*», que marca una condición sin redactar.</t>
  </si>
  <si>
    <t xml:space="preserve">código: hiring-service/src/entities/actividad.entity.ts:93; db/migrations/hiring/031_salvedades_matriz.sql:27</t>
  </si>
  <si>
    <t xml:space="preserve">C2743</t>
  </si>
  <si>
    <t xml:space="preserve">nota</t>
  </si>
  <si>
    <t xml:space="preserve">db/migrations/hiring/031_salvedades_matriz.sql:30: Por qué la actividad no se comporta igual aquí. Siempre presente: es lo que se le muestra al administrador en la celda de la matriz. | Validación: IsNotEmpty({ message: 'La nota de trazabilidad es obligatoria' }), IsOptional, IsString, MaxLength(2000), MaxLength(4000), MinLength(10, { message: 'La nota debe explicar qué pasó, no solo dejar constancia' })</t>
  </si>
  <si>
    <t xml:space="preserve">Explicación de por qué la actividad aplica con una condición o variante en la modalidad; es lo que se muestra al administrador en la celda de la matriz. Siempre presente.</t>
  </si>
  <si>
    <t xml:space="preserve">código: db/migrations/hiring/031_salvedades_matriz.sql:30</t>
  </si>
  <si>
    <t xml:space="preserve">C2744</t>
  </si>
  <si>
    <t xml:space="preserve">actos_adjudicacion</t>
  </si>
  <si>
    <t xml:space="preserve">numero_acto</t>
  </si>
  <si>
    <t xml:space="preserve">db/migrations/hiring/040_adjudicacion.sql:226: Número y fecha de la resolución, como los trae el acto firmado. | Validación: IsNotEmpty({ message: 'Di el número de la resolución' }), IsString, MaxLength(60)</t>
  </si>
  <si>
    <t xml:space="preserve">Número de la resolución de adjudicación del Ordenador del Gasto, tal como figura en el acto firmado (EFDS-1159).</t>
  </si>
  <si>
    <t xml:space="preserve">código: db/migrations/hiring/040_adjudicacion.sql:226</t>
  </si>
  <si>
    <t xml:space="preserve">C2745</t>
  </si>
  <si>
    <t xml:space="preserve">fecha_acto</t>
  </si>
  <si>
    <t xml:space="preserve">Mapeada en hiring-service/src/entities/acto-adjudicacion.entity.ts:57 (ActoAdjudicacion.fechaActo) | Validación: IsISO8601({ strict: true }, { message: 'La fecha del acto va como YYYY-MM-DD' })</t>
  </si>
  <si>
    <t xml:space="preserve">Fecha de acto.</t>
  </si>
  <si>
    <t xml:space="preserve">C2746</t>
  </si>
  <si>
    <t xml:space="preserve">valor_adjudicado</t>
  </si>
  <si>
    <t xml:space="preserve">numeric(18,2)</t>
  </si>
  <si>
    <t xml:space="preserve">hiring-service/src/entities/acto-adjudicacion.entity.ts:66: Por cuánto se adjudica. Puede no ser el valor ofertado ni el evaluado: el acto puede adjudicar por un valor ajustado, y lo que obliga a la entidad es lo que dice el acto. | db/migrations/hiring/040_adjudicacion.sql:232: Por cuánto se adjudica. Puede no ser el valor ofertado ni el evaluado: el acto puede adjudicar por un valor ajustado, y lo que obliga a la entidad es lo que dice el acto. | Validación: IsNumber({ maxDecimalPlaces: 2 }, { message: 'El valor adjudicado debe ser un número' }), Min(0.01, { message: 'El valor adjudicado tiene que ser mayor que cero' })</t>
  </si>
  <si>
    <t xml:space="preserve">Valor por el que se adjudica según el acto; puede diferir del valor ofertado y del evaluado. Debe ser mayor que cero.</t>
  </si>
  <si>
    <t xml:space="preserve">código: hiring-service/src/entities/acto-adjudicacion.entity.ts:66; db/migrations/hiring/040_adjudicacion.sql:232</t>
  </si>
  <si>
    <t xml:space="preserve">¿El valor está en pesos colombianos e incluye IVA?</t>
  </si>
  <si>
    <t xml:space="preserve">C2747</t>
  </si>
  <si>
    <t xml:space="preserve">notificado_at</t>
  </si>
  <si>
    <t xml:space="preserve">db/migrations/hiring/040_adjudicacion.sql:239: Notificación y publicación, cada una con su evidencia: la matriz dice "se notifica y publica en SECOP 2" y no hay integración con SECOP II. | Validación: IsISO8601({ strict: true }, { message: 'La fecha de notificación va en formato ISO 8601' }), IsOptional</t>
  </si>
  <si>
    <t xml:space="preserve">Fecha y hora de notificación del acto de adjudicación; la notificación y la publicación en SECOP II se registran por separado, cada una con su evidencia.</t>
  </si>
  <si>
    <t xml:space="preserve">código: db/migrations/hiring/040_adjudicacion.sql:239</t>
  </si>
  <si>
    <t xml:space="preserve">C2748</t>
  </si>
  <si>
    <t xml:space="preserve">publicado_at</t>
  </si>
  <si>
    <t xml:space="preserve">Mapeada en hiring-service/src/entities/acto-adjudicacion.entity.ts:76 (ActoAdjudicacion.publicadoAt)</t>
  </si>
  <si>
    <t xml:space="preserve">Fecha y hora de la publicación.</t>
  </si>
  <si>
    <t xml:space="preserve">C2749</t>
  </si>
  <si>
    <t xml:space="preserve">REVOCADO, VIGENTE</t>
  </si>
  <si>
    <t xml:space="preserve">Mapeada en hiring-service/src/entities/acto-adjudicacion.entity.ts:83 (ActoAdjudicacion.estado)</t>
  </si>
  <si>
    <t xml:space="preserve">Estado del registro de actos_adjudicacion.</t>
  </si>
  <si>
    <t xml:space="preserve">C2750</t>
  </si>
  <si>
    <t xml:space="preserve">emitido_por</t>
  </si>
  <si>
    <t xml:space="preserve">Mapeada en hiring-service/src/entities/acto-adjudicacion.entity.ts:86 (ActoAdjudicacion.emitidoPor)</t>
  </si>
  <si>
    <t xml:space="preserve">Usuario que registró la emisión del acto de adjudicación.</t>
  </si>
  <si>
    <t xml:space="preserve">nombre + varchar(200)</t>
  </si>
  <si>
    <t xml:space="preserve">C2751</t>
  </si>
  <si>
    <t xml:space="preserve">emitido_at</t>
  </si>
  <si>
    <t xml:space="preserve">Mapeada en hiring-service/src/entities/acto-adjudicacion.entity.ts:89 (ActoAdjudicacion.emitidoAt)</t>
  </si>
  <si>
    <t xml:space="preserve">Fecha y hora en que se registró la emisión del acto de adjudicación.</t>
  </si>
  <si>
    <t xml:space="preserve">nombre + timestamptz con defecto now()</t>
  </si>
  <si>
    <t xml:space="preserve">C2752</t>
  </si>
  <si>
    <t xml:space="preserve">revocado_at</t>
  </si>
  <si>
    <t xml:space="preserve">db/migrations/hiring/040_adjudicacion.sql:249: Revocar no borra: el acto pudo notificarse y publicarse, y hay terceros que lo conocieron. Mismo criterio del resultado rectificado (038).</t>
  </si>
  <si>
    <t xml:space="preserve">Fecha y hora de revocación del acto de adjudicación. Revocar no borra el registro.</t>
  </si>
  <si>
    <t xml:space="preserve">código: db/migrations/hiring/040_adjudicacion.sql:249</t>
  </si>
  <si>
    <t xml:space="preserve">C2753</t>
  </si>
  <si>
    <t xml:space="preserve">revocado_por</t>
  </si>
  <si>
    <t xml:space="preserve">Mapeada en hiring-service/src/entities/acto-adjudicacion.entity.ts:95 (ActoAdjudicacion.revocadoPor)</t>
  </si>
  <si>
    <t xml:space="preserve">Usuario que realizó la revocación.</t>
  </si>
  <si>
    <t xml:space="preserve">C2754</t>
  </si>
  <si>
    <t xml:space="preserve">motivo_revocacion</t>
  </si>
  <si>
    <t xml:space="preserve">Mapeada en hiring-service/src/entities/acto-adjudicacion.entity.ts:98 (ActoAdjudicacion.motivoRevocacion)</t>
  </si>
  <si>
    <t xml:space="preserve">Motivo de la revocación.</t>
  </si>
  <si>
    <t xml:space="preserve">C2755</t>
  </si>
  <si>
    <t xml:space="preserve">adendas</t>
  </si>
  <si>
    <t xml:space="preserve">ix_adendas_proceso, uq_adenda_numero</t>
  </si>
  <si>
    <t xml:space="preserve">hiring-service/src/entities/adenda.entity.ts:23: Consecutivo dentro del proceso: las adendas se citan por su número. | db/migrations/hiring/023_adendas_del_proceso.sql:42: Consecutivo dentro del proceso: las adendas se citan por su número ("adenda 2"), y ese número es relativo al proceso, no global. | Validación: IsNotEmpty({ message: 'El contrato necesita el número con el que la entidad lo identifica' }), IsNotEmpty({ message: 'El número del CDP es obligatorio' }), IsNotEmpty({ message: 'El registro presupuestal necesita su número' }), IsNotEmpty({ message: 'Registra el número de la modificación' }), IsNotEmpty({ message: 'Registra el número de la resolución' }), IsNotEmpty({ message: 'Registra el número' })</t>
  </si>
  <si>
    <t xml:space="preserve">Número consecutivo de la adenda dentro del proceso, con el que se cita (por ejemplo, «adenda 2»); no es global.</t>
  </si>
  <si>
    <t xml:space="preserve">código: hiring-service/src/entities/adenda.entity.ts:23; db/migrations/hiring/023_adendas_del_proceso.sql:42</t>
  </si>
  <si>
    <t xml:space="preserve">C2756</t>
  </si>
  <si>
    <t xml:space="preserve">CRONOGRAMA, FONDO</t>
  </si>
  <si>
    <t xml:space="preserve">Mapeada en hiring-service/src/entities/adenda.entity.ts:26 (Adenda.tipo) | Validación: IsIn(TIPOS_CAMPO as unknown as string[]), IsIn(TIPOS_LIQUIDACION, {
    message: 'La liquidación es bilateral, de común acuerdo, o unilateral, por acto de la entidad',
  }), IsIn(TIPOS_REGLA as unknown as string[]), IsIn(TIPOS_SOPORTE, {
    message: 'El soporte es seguridad social, RUT, certificación bancaria u otro',
  }), IsIn(['GRABACION', 'OBSERVACION', 'ANEXO'], {
    message: 'Di qué es: una grabación, una observación con su respuesta, o un anexo',
  }), IsIn(['INFORME', 'ACTA', 'SOPORTE'], {
    message: 'El soporte es un informe, un acta u otro documento de la ejecución',
  })</t>
  </si>
  <si>
    <t xml:space="preserve">Tipo del registro de adendas.</t>
  </si>
  <si>
    <t xml:space="preserve">C2757</t>
  </si>
  <si>
    <t xml:space="preserve">objeto</t>
  </si>
  <si>
    <t xml:space="preserve">hiring-service/src/entities/adenda.entity.ts:30: Qué cambia la adenda; es lo que se lee en el listado del expediente. | Validación: IsNotEmpty({ message: 'Describe qué modifica la adenda' }), IsNotEmpty({ message: 'El objeto del proceso es obligatorio' }), IsOptional, IsString, MaxLength(2000), MaxLength(4000)</t>
  </si>
  <si>
    <t xml:space="preserve">Descripción de lo que cambia la adenda; es el texto que se muestra en el listado del expediente.</t>
  </si>
  <si>
    <t xml:space="preserve">código: hiring-service/src/entities/adenda.entity.ts:30</t>
  </si>
  <si>
    <t xml:space="preserve">C2758</t>
  </si>
  <si>
    <t xml:space="preserve">ANULADA, EMITIDA, PUBLICADA</t>
  </si>
  <si>
    <t xml:space="preserve">Mapeada en hiring-service/src/entities/adenda.entity.ts:36 (Adenda.estado)</t>
  </si>
  <si>
    <t xml:space="preserve">Estado del registro de adendas.</t>
  </si>
  <si>
    <t xml:space="preserve">C2759</t>
  </si>
  <si>
    <t xml:space="preserve">emitida_por</t>
  </si>
  <si>
    <t xml:space="preserve">Mapeada en hiring-service/src/entities/adenda.entity.ts:39 (Adenda.emitidaPor)</t>
  </si>
  <si>
    <t xml:space="preserve">Usuario que emitió la adenda.</t>
  </si>
  <si>
    <t xml:space="preserve">C2760</t>
  </si>
  <si>
    <t xml:space="preserve">fecha_publicacion</t>
  </si>
  <si>
    <t xml:space="preserve">db/migrations/hiring/023_adendas_del_proceso.sql:51: Publicación | Validación: IsDateString({}, { message: 'La fecha de publicación debe tener el formato YYYY-MM-DD' }), IsISO8601({ strict: true }, { message: 'La fecha debe tener formato YYYY-MM-DD' })</t>
  </si>
  <si>
    <t xml:space="preserve">Fecha de publicación de la adenda, en formato YYYY-MM-DD.</t>
  </si>
  <si>
    <t xml:space="preserve">código: db/migrations/hiring/023_adendas_del_proceso.sql:51</t>
  </si>
  <si>
    <t xml:space="preserve">¿Dónde se publica la adenda (SECOP II u otro medio)?</t>
  </si>
  <si>
    <t xml:space="preserve">C2761</t>
  </si>
  <si>
    <t xml:space="preserve">publicada_por</t>
  </si>
  <si>
    <t xml:space="preserve">Mapeada en hiring-service/src/entities/adenda.entity.ts:51 (Adenda.publicadaPor)</t>
  </si>
  <si>
    <t xml:space="preserve">Usuario que realizó la publicación.</t>
  </si>
  <si>
    <t xml:space="preserve">C2762</t>
  </si>
  <si>
    <t xml:space="preserve">vencimiento_nuevo</t>
  </si>
  <si>
    <t xml:space="preserve">Mapeada en hiring-service/src/entities/adenda.entity.ts:63 (Adenda.vencimientoNuevo)</t>
  </si>
  <si>
    <t xml:space="preserve">Nueva fecha de vencimiento del cronograma fijada por la adenda.</t>
  </si>
  <si>
    <t xml:space="preserve">nombre + date + columna vecina vencimiento_anterior; los valores CRONOGRAMA, PUBLICADA vienen de un CHECK que la condiciona según tipo y estado</t>
  </si>
  <si>
    <t xml:space="preserve">¿Es obligatoria cuando la adenda es de tipo CRONOGRAMA y está PUBLICADA?</t>
  </si>
  <si>
    <t xml:space="preserve">C2763</t>
  </si>
  <si>
    <t xml:space="preserve">anulada_at</t>
  </si>
  <si>
    <t xml:space="preserve">Mapeada en hiring-service/src/entities/adenda.entity.ts:66 (Adenda.anuladaAt)</t>
  </si>
  <si>
    <t xml:space="preserve">C2764</t>
  </si>
  <si>
    <t xml:space="preserve">anulada_por</t>
  </si>
  <si>
    <t xml:space="preserve">Mapeada en hiring-service/src/entities/adenda.entity.ts:69 (Adenda.anuladaPor)</t>
  </si>
  <si>
    <t xml:space="preserve">C2765</t>
  </si>
  <si>
    <t xml:space="preserve">Mapeada en hiring-service/src/entities/adenda.entity.ts:72 (Adenda.motivoAnulacion)</t>
  </si>
  <si>
    <t xml:space="preserve">C2766</t>
  </si>
  <si>
    <t xml:space="preserve">afiliaciones_arl</t>
  </si>
  <si>
    <t xml:space="preserve">afiliado_por</t>
  </si>
  <si>
    <t xml:space="preserve">CONTRATISTA, ENTIDAD</t>
  </si>
  <si>
    <t xml:space="preserve">db/migrations/hiring/037_polizas_garantias_arl.sql:138: La matriz distingue los dos casos en 8.5: «cuando la entidad realiza la afiliación o cuando la realiza directamente el contratista». | Validación: IsIn(['ENTIDAD', 'CONTRATISTA'], {
    message: 'La afiliación la realiza la ENTIDAD o el CONTRATISTA',
  })</t>
  </si>
  <si>
    <t xml:space="preserve">Quién realizó la afiliación del contratista a riesgos laborales: ENTIDAD o CONTRATISTA (EFDS-1164).</t>
  </si>
  <si>
    <t xml:space="preserve">código: db/migrations/hiring/037_polizas_garantias_arl.sql:138</t>
  </si>
  <si>
    <t xml:space="preserve">C2767</t>
  </si>
  <si>
    <t xml:space="preserve">administradora</t>
  </si>
  <si>
    <t xml:space="preserve">Mapeada en hiring-service/src/entities/afiliacion-arl.entity.ts:29 (AfiliacionArl.administradora) | Validación: IsNotEmpty({ message: 'Registra la administradora de riesgos laborales' }), IsString, MaxLength(200)</t>
  </si>
  <si>
    <t xml:space="preserve">Nombre de la administradora de riesgos laborales (ARL).</t>
  </si>
  <si>
    <t xml:space="preserve">C2768</t>
  </si>
  <si>
    <t xml:space="preserve">numero_afiliacion</t>
  </si>
  <si>
    <t xml:space="preserve">Mapeada en hiring-service/src/entities/afiliacion-arl.entity.ts:32 (AfiliacionArl.numeroAfiliacion) | Validación: IsOptional, IsString, MaxLength(80)</t>
  </si>
  <si>
    <t xml:space="preserve">Número de la afiliación o certificado expedido por la ARL.</t>
  </si>
  <si>
    <t xml:space="preserve">nombre + varchar(80)</t>
  </si>
  <si>
    <t xml:space="preserve">C2769</t>
  </si>
  <si>
    <t xml:space="preserve">fecha_afiliacion</t>
  </si>
  <si>
    <t xml:space="preserve">Mapeada en hiring-service/src/entities/afiliacion-arl.entity.ts:35 (AfiliacionArl.fechaAfiliacion) | Validación: IsDateString({}, { message: 'La fecha de afiliación debe tener el formato YYYY-MM-DD' })</t>
  </si>
  <si>
    <t xml:space="preserve">Fecha de afiliación.</t>
  </si>
  <si>
    <t xml:space="preserve">C2770</t>
  </si>
  <si>
    <t xml:space="preserve">Mapeada en hiring-service/src/entities/afiliacion-arl.entity.ts:41 (AfiliacionArl.registradaPor)</t>
  </si>
  <si>
    <t xml:space="preserve">C2771</t>
  </si>
  <si>
    <t xml:space="preserve">alcances_permiso</t>
  </si>
  <si>
    <t xml:space="preserve">aprobar, decidir, editar, ver</t>
  </si>
  <si>
    <t xml:space="preserve">uq_alcance_vigente</t>
  </si>
  <si>
    <t xml:space="preserve">Acción que el permiso habilita al rol. Valores permitidos: aprobar, decidir, editar, ver.</t>
  </si>
  <si>
    <t xml:space="preserve">valores permitidos del CHECK + columna vecina rol_id</t>
  </si>
  <si>
    <t xml:space="preserve">C2772</t>
  </si>
  <si>
    <t xml:space="preserve">Etapa del proceso contractual a la que se limita el permiso, de 1 a 10. Solo se diligencia uno entre etapa, numeral y trámite.</t>
  </si>
  <si>
    <t xml:space="preserve">CHECK de rango 1–10 + CHECK num_nonnulls(etapa, numeral, tramite) &lt;= 1</t>
  </si>
  <si>
    <t xml:space="preserve">C2773</t>
  </si>
  <si>
    <t xml:space="preserve">tramite</t>
  </si>
  <si>
    <t xml:space="preserve">INC.1, INC.2</t>
  </si>
  <si>
    <t xml:space="preserve">Trámite al que se limita el permiso. Valores permitidos: INC.1, INC.2.</t>
  </si>
  <si>
    <t xml:space="preserve">¿A qué trámites corresponden INC.1 e INC.2 (por ejemplo, incumplimiento y sancionatorio)?</t>
  </si>
  <si>
    <t xml:space="preserve">C2774</t>
  </si>
  <si>
    <t xml:space="preserve">confirmado</t>
  </si>
  <si>
    <t xml:space="preserve">Indica si el registro está confirmado.</t>
  </si>
  <si>
    <t xml:space="preserve">C2775</t>
  </si>
  <si>
    <t xml:space="preserve">C2776</t>
  </si>
  <si>
    <t xml:space="preserve">amparos</t>
  </si>
  <si>
    <t xml:space="preserve">valor_asegurado</t>
  </si>
  <si>
    <t xml:space="preserve">Mapeada en hiring-service/src/entities/amparo.entity.ts:23 (Amparo.valorAsegurado) | Validación: IsNumber({}, { message: 'El valor asegurado debe ser un número' }), IsPositive({ message: 'El valor asegurado debe ser mayor que cero' })</t>
  </si>
  <si>
    <t xml:space="preserve">Valor asegurado por el amparo de la garantía. Debe ser mayor que cero.</t>
  </si>
  <si>
    <t xml:space="preserve">nombre + numeric(18,2) + CHECK &gt; 0</t>
  </si>
  <si>
    <t xml:space="preserve">¿El valor está en pesos colombianos?</t>
  </si>
  <si>
    <t xml:space="preserve">C2777</t>
  </si>
  <si>
    <t xml:space="preserve">vigencia_desde</t>
  </si>
  <si>
    <t xml:space="preserve">db/migrations/hiring/037_polizas_garantias_arl.sql:108: El desglose que pide la matriz: cada amparo con su propia vigencia, porque no todos vencen a la vez. La estabilidad de la obra se extiende años después de recibida, mientras que el anticipo se libera al amortizarlo. | Validación: IsDateString({}, { message: 'La vigencia debe tener el formato YYYY-MM-DD' }), IsISO8601({ strict: true }, { message: 'La vigencia debe tener formato YYYY-MM-DD' }), IsOptional</t>
  </si>
  <si>
    <t xml:space="preserve">Fecha de inicio de la vigencia del amparo; cada amparo de la garantía tiene su propia vigencia porque no todos vencen a la vez.</t>
  </si>
  <si>
    <t xml:space="preserve">código: db/migrations/hiring/037_polizas_garantias_arl.sql:108</t>
  </si>
  <si>
    <t xml:space="preserve">C2778</t>
  </si>
  <si>
    <t xml:space="preserve">vigencia_hasta</t>
  </si>
  <si>
    <t xml:space="preserve">ix_amparos_vencimiento</t>
  </si>
  <si>
    <t xml:space="preserve">Mapeada en hiring-service/src/entities/amparo.entity.ts:38 (Amparo.vigenciaHasta) | Validación: IsDateString({}, { message: 'La vigencia debe tener el formato YYYY-MM-DD' })</t>
  </si>
  <si>
    <t xml:space="preserve">Fecha de fin de la vigencia del amparo. Debe ser posterior a vigencia_desde.</t>
  </si>
  <si>
    <t xml:space="preserve">nombre + date + CHECK + índice ix_amparos_vencimiento</t>
  </si>
  <si>
    <t xml:space="preserve">C2779</t>
  </si>
  <si>
    <t xml:space="preserve">aperturas_proceso</t>
  </si>
  <si>
    <t xml:space="preserve">resolucion_numero</t>
  </si>
  <si>
    <t xml:space="preserve">db/migrations/hiring/020_apertura_del_proceso.sql:19: Número y fecha del acto administrativo, no del registro: es la fecha en que la entidad abrió el proceso, y la que cuenta para los términos siguientes. | Validación: IsNotEmpty({ message: 'El número de la resolución de apertura es obligatorio' }), IsString, MaxLength(80)</t>
  </si>
  <si>
    <t xml:space="preserve">Número del acto administrativo (resolución) con el que se abre formalmente el proceso (actividad 5.7).</t>
  </si>
  <si>
    <t xml:space="preserve">código: db/migrations/hiring/020_apertura_del_proceso.sql:19</t>
  </si>
  <si>
    <t xml:space="preserve">C2780</t>
  </si>
  <si>
    <t xml:space="preserve">resolucion_fecha</t>
  </si>
  <si>
    <t xml:space="preserve">hiring-service/src/entities/apertura-proceso.entity.ts:23: Fecha del acto administrativo, no la del registro en el sistema. | Validación: IsDateString({}, { message: 'La fecha de la resolución debe tener el formato YYYY-MM-DD' })</t>
  </si>
  <si>
    <t xml:space="preserve">Fecha del acto administrativo de apertura del proceso, no la del registro en el sistema; cuenta para los términos siguientes.</t>
  </si>
  <si>
    <t xml:space="preserve">código: hiring-service/src/entities/apertura-proceso.entity.ts:23; db/migrations/hiring/020_apertura_del_proceso.sql:19</t>
  </si>
  <si>
    <t xml:space="preserve">C2781</t>
  </si>
  <si>
    <t xml:space="preserve">secop_url</t>
  </si>
  <si>
    <t xml:space="preserve">Mapeada en hiring-service/src/entities/apertura-proceso.entity.ts:42 (AperturaProceso.secopUrl) | Validación: IsOptional, IsUrl({ protocols: ['http', 'https'], require_protocol: true },
    { message: 'El enlace de SECOP II debe ser una URL válida' },), IsUrl({}, { message: 'El enlace de SECOP II no es una URL válida' }), IsUrl({}, { message: 'El enlace de la publicación debe ser una URL válida' }), IsUrl({}, { message: 'El enlace de la publicación no tiene un formato válido' }), IsUrl({}, { message: 'El enlace debe ser una URL válida' })</t>
  </si>
  <si>
    <t xml:space="preserve">Dirección web del proceso publicado en SECOP.</t>
  </si>
  <si>
    <t xml:space="preserve">nombre + text</t>
  </si>
  <si>
    <t xml:space="preserve">C2782</t>
  </si>
  <si>
    <t xml:space="preserve">abierto_por</t>
  </si>
  <si>
    <t xml:space="preserve">Mapeada en hiring-service/src/entities/apertura-proceso.entity.ts:45 (AperturaProceso.abiertoPor)</t>
  </si>
  <si>
    <t xml:space="preserve">Usuario que registró la apertura del proceso.</t>
  </si>
  <si>
    <t xml:space="preserve">C2783</t>
  </si>
  <si>
    <t xml:space="preserve">audiencia_riesgos_config</t>
  </si>
  <si>
    <t xml:space="preserve">obligatoria</t>
  </si>
  <si>
    <t xml:space="preserve">hiring-service/src/entities/audiencia-riesgos.entity.ts:23: Obligatoria: sin la audiencia celebrada el proceso no puede abrirse. Distinto de que la actividad aplique. Donde aplica sin ser obligatoria, la audiencia puede celebrarse y registrarse, pero no bloquea la apertura.</t>
  </si>
  <si>
    <t xml:space="preserve">Indica si en la modalidad la audiencia de riesgos es obligatoria: sin ella celebrada el proceso no puede abrirse. Si la actividad aplica sin ser obligatoria, la audiencia se puede registrar pero no bloquea la apertura (RF-PUB-04).</t>
  </si>
  <si>
    <t xml:space="preserve">código: hiring-service/src/entities/audiencia-riesgos.entity.ts:23</t>
  </si>
  <si>
    <t xml:space="preserve">C2784</t>
  </si>
  <si>
    <t xml:space="preserve">Mapeada en hiring-service/src/entities/audiencia-riesgos.entity.ts:26 (AudienciaRiesgosConfig.fundamento) | Validación: IsOptional, IsString</t>
  </si>
  <si>
    <t xml:space="preserve">Fundamento normativo o razón por la que la audiencia de riesgos es o no obligatoria en la modalidad.</t>
  </si>
  <si>
    <t xml:space="preserve">nombre + descripción de la tabla + columna vecina obligatoria</t>
  </si>
  <si>
    <t xml:space="preserve">C2785</t>
  </si>
  <si>
    <t xml:space="preserve">Mapeada en hiring-service/src/entities/audiencia-riesgos.entity.ts:29 (AudienciaRiesgosConfig.confirmado) | Validación: IsBoolean, IsOptional</t>
  </si>
  <si>
    <t xml:space="preserve">C2786</t>
  </si>
  <si>
    <t xml:space="preserve">audiencias_adjudicacion</t>
  </si>
  <si>
    <t xml:space="preserve">celebrada_at</t>
  </si>
  <si>
    <t xml:space="preserve">hiring-service/src/entities/audiencia-adjudicacion.entity.ts:27: Con hora, a diferencia de los términos en días hábiles: una audiencia se celebra a una hora concreta y así consta en el acta. | db/migrations/hiring/040_adjudicacion.sql:45: Con hora, como el plazo de ofertas y a diferencia de los términos en días hábiles: una audiencia se celebra a una hora concreta y así consta en el acta. | Validación: IsISO8601({ strict: true }, { message: 'La fecha de la audiencia va en formato ISO 8601' })</t>
  </si>
  <si>
    <t xml:space="preserve">Fecha y hora en que se celebró la audiencia de adjudicación, como consta en el acta.</t>
  </si>
  <si>
    <t xml:space="preserve">código: hiring-service/src/entities/audiencia-adjudicacion.entity.ts:27; db/migrations/hiring/040_adjudicacion.sql:45</t>
  </si>
  <si>
    <t xml:space="preserve">C2787</t>
  </si>
  <si>
    <t xml:space="preserve">presidida_por</t>
  </si>
  <si>
    <t xml:space="preserve">hiring-service/src/entities/audiencia-adjudicacion.entity.ts:36: Quién la presidió, tal como firma el acta. Texto y no una llave a usuarios: puede presidirla alguien sin cuenta en la plataforma, y lo que importa es lo que dice el acta. | db/migrations/hiring/040_adjudicacion.sql:50: Quién la presidió, tal como firma el acta. Texto y no una llave a usuarios: puede presidirla alguien que no tenga cuenta en la plataforma, y lo que importa es lo que dice el acta. | Validación: IsNotEmpty({ message: 'Di quién presidió la audiencia' }), IsString, MaxLength(200)</t>
  </si>
  <si>
    <t xml:space="preserve">Persona que presidió la audiencia de adjudicación, en texto tal como firma el acta; puede no tener cuenta en la plataforma.</t>
  </si>
  <si>
    <t xml:space="preserve">código: hiring-service/src/entities/audiencia-adjudicacion.entity.ts:36; db/migrations/hiring/040_adjudicacion.sql:50</t>
  </si>
  <si>
    <t xml:space="preserve">C2788</t>
  </si>
  <si>
    <t xml:space="preserve">db/migrations/hiring/040_adjudicacion.sql:58: Lo que la entidad quiera dejar dicho del desarrollo de la audiencia. | Validación: IsNotEmpty({ message: 'Resume que paso en la audiencia' }), IsOptional, IsString, MaxLength(4000), MinLength(10, {
    message: 'El resumen es lo que la decisión posterior tiene que poder citar',
  })</t>
  </si>
  <si>
    <t xml:space="preserve">Resumen del desarrollo de la audiencia de adjudicación que la entidad quiera dejar registrado.</t>
  </si>
  <si>
    <t xml:space="preserve">código: db/migrations/hiring/040_adjudicacion.sql:58</t>
  </si>
  <si>
    <t xml:space="preserve">C2789</t>
  </si>
  <si>
    <t xml:space="preserve">ANULADA, CELEBRADA</t>
  </si>
  <si>
    <t xml:space="preserve">Mapeada en hiring-service/src/entities/audiencia-adjudicacion.entity.ts:46 (AudienciaAdjudicacion.estado)</t>
  </si>
  <si>
    <t xml:space="preserve">Estado del registro de audiencias_adjudicacion.</t>
  </si>
  <si>
    <t xml:space="preserve">C2790</t>
  </si>
  <si>
    <t xml:space="preserve">Mapeada en hiring-service/src/entities/audiencia-adjudicacion.entity.ts:49 (AudienciaAdjudicacion.registradaPor)</t>
  </si>
  <si>
    <t xml:space="preserve">C2791</t>
  </si>
  <si>
    <t xml:space="preserve">registrada_at</t>
  </si>
  <si>
    <t xml:space="preserve">Mapeada en hiring-service/src/entities/audiencia-adjudicacion.entity.ts:52 (AudienciaAdjudicacion.registradaAt)</t>
  </si>
  <si>
    <t xml:space="preserve">C2792</t>
  </si>
  <si>
    <t xml:space="preserve">Mapeada en hiring-service/src/entities/audiencia-adjudicacion.entity.ts:55 (AudienciaAdjudicacion.anuladaAt)</t>
  </si>
  <si>
    <t xml:space="preserve">C2793</t>
  </si>
  <si>
    <t xml:space="preserve">Mapeada en hiring-service/src/entities/audiencia-adjudicacion.entity.ts:58 (AudienciaAdjudicacion.motivoAnulacion)</t>
  </si>
  <si>
    <t xml:space="preserve">C2794</t>
  </si>
  <si>
    <t xml:space="preserve">audiencias_riesgos</t>
  </si>
  <si>
    <t xml:space="preserve">fecha_celebracion</t>
  </si>
  <si>
    <t xml:space="preserve">hiring-service/src/entities/audiencia-riesgos.entity.ts:54: La de celebración, no la del registro. | db/migrations/hiring/022_audiencia_de_riesgos.sql:80: La de celebración, no la del registro: es el hecho que la matriz de riesgos documenta, y de ella depende que el proceso pueda abrirse. | Validación: IsDateString({}, { message: 'La fecha de la audiencia debe tener el formato YYYY-MM-DD' })</t>
  </si>
  <si>
    <t xml:space="preserve">Fecha de celebración de la audiencia de riesgos, no la del registro; de ella depende que el proceso pueda abrirse.</t>
  </si>
  <si>
    <t xml:space="preserve">código: hiring-service/src/entities/audiencia-riesgos.entity.ts:54; db/migrations/hiring/022_audiencia_de_riesgos.sql:80</t>
  </si>
  <si>
    <t xml:space="preserve">C2795</t>
  </si>
  <si>
    <t xml:space="preserve">Mapeada en hiring-service/src/entities/audiencia-riesgos.entity.ts:63 (AudienciaRiesgos.observaciones) | Validación: IsNotEmpty({ message: 'El motivo del rechazo es obligatorio' }), IsNotEmpty({ message: 'Explica por qué se rechaza el registro presupuestal' }), IsNotEmpty({ message: 'Explica por qué se rechaza' }), IsOptional, IsString, MaxLength(1000)</t>
  </si>
  <si>
    <t xml:space="preserve">C2796</t>
  </si>
  <si>
    <t xml:space="preserve">Mapeada en hiring-service/src/entities/audiencia-riesgos.entity.ts:66 (AudienciaRiesgos.registradoPor)</t>
  </si>
  <si>
    <t xml:space="preserve">C2797</t>
  </si>
  <si>
    <t xml:space="preserve">db/migrations/hiring/022_audiencia_de_riesgos.sql:88: Corregir una audiencia mal registrada la anula y obliga a registrarla de nuevo: el acta anterior queda en el expediente, como en la publicación.</t>
  </si>
  <si>
    <t xml:space="preserve">Fecha y hora de anulación de la audiencia de riesgos. Corregir una audiencia mal registrada la anula y obliga a registrarla de nuevo; el acta anterior queda en el expediente.</t>
  </si>
  <si>
    <t xml:space="preserve">código: db/migrations/hiring/022_audiencia_de_riesgos.sql:88</t>
  </si>
  <si>
    <t xml:space="preserve">C2798</t>
  </si>
  <si>
    <t xml:space="preserve">Mapeada en hiring-service/src/entities/audiencia-riesgos.entity.ts:75 (AudienciaRiesgos.anuladaPor)</t>
  </si>
  <si>
    <t xml:space="preserve">C2799</t>
  </si>
  <si>
    <t xml:space="preserve">Mapeada en hiring-service/src/entities/audiencia-riesgos.entity.ts:78 (AudienciaRiesgos.motivoAnulacion)</t>
  </si>
  <si>
    <t xml:space="preserve">C2800</t>
  </si>
  <si>
    <t xml:space="preserve">audiencias_sancionatorias</t>
  </si>
  <si>
    <t xml:space="preserve">citada_para</t>
  </si>
  <si>
    <t xml:space="preserve">ix_audiencias_sancionatorias_caso</t>
  </si>
  <si>
    <t xml:space="preserve">hiring-service/src/entities/actuacion-sancionatoria.entity.ts:34: Con hora: a una audiencia se comparece a una hora concreta. | Validación: IsDateString({}, { message: 'La fecha de la audiencia va en formato de fecha y hora' })</t>
  </si>
  <si>
    <t xml:space="preserve">Fecha y hora para la que se citó la audiencia del trámite sancionatorio (EFDS-1181).</t>
  </si>
  <si>
    <t xml:space="preserve">código: hiring-service/src/entities/actuacion-sancionatoria.entity.ts:34</t>
  </si>
  <si>
    <t xml:space="preserve">C2801</t>
  </si>
  <si>
    <t xml:space="preserve">hiring-service/src/entities/actuacion-sancionatoria.entity.ts:42: Para qué se cita, cuando conviene precisarlo. | Validación: IsNotEmpty({ message: 'Describe qué modifica la adenda' }), IsNotEmpty({ message: 'El objeto del proceso es obligatorio' }), IsOptional, IsString, MaxLength(2000), MaxLength(4000)</t>
  </si>
  <si>
    <t xml:space="preserve">Propósito para el que se cita la audiencia sancionatoria, cuando se precisa.</t>
  </si>
  <si>
    <t xml:space="preserve">código: hiring-service/src/entities/actuacion-sancionatoria.entity.ts:42</t>
  </si>
  <si>
    <t xml:space="preserve">C2802</t>
  </si>
  <si>
    <t xml:space="preserve">CANCELADA, CELEBRADA, CITADA, SUSPENDIDA</t>
  </si>
  <si>
    <t xml:space="preserve">Mapeada en hiring-service/src/entities/actuacion-sancionatoria.entity.ts:45 (AudienciaSancionatoria.estado)</t>
  </si>
  <si>
    <t xml:space="preserve">Estado del registro de audiencias_sancionatorias.</t>
  </si>
  <si>
    <t xml:space="preserve">C2803</t>
  </si>
  <si>
    <t xml:space="preserve">celebrada_el</t>
  </si>
  <si>
    <t xml:space="preserve">db/migrations/hiring/056_tramite_sancionatorio.sql:74: Lo que pasó el día de la audiencia. | Validación: IsDateString({}, { message: 'La fecha de la audiencia debe tener el formato YYYY-MM-DD' })</t>
  </si>
  <si>
    <t xml:space="preserve">Fecha en que se celebró la audiencia sancionatoria.</t>
  </si>
  <si>
    <t xml:space="preserve">código: db/migrations/hiring/056_tramite_sancionatorio.sql:74</t>
  </si>
  <si>
    <t xml:space="preserve">¿Es obligatoria cuando el estado es CELEBRADA?</t>
  </si>
  <si>
    <t xml:space="preserve">C2804</t>
  </si>
  <si>
    <t xml:space="preserve">hiring-service/src/entities/actuacion-sancionatoria.entity.ts:55: Qué pasó. Es lo que la decisión posterior tiene que poder citar. | Validación: IsNotEmpty({ message: 'Resume que paso en la audiencia' }), IsOptional, IsString, MaxLength(4000), MinLength(10, {
    message: 'El resumen es lo que la decisión posterior tiene que poder citar',
  })</t>
  </si>
  <si>
    <t xml:space="preserve">Resumen de lo ocurrido en la audiencia celebrada; es lo que la decisión posterior debe poder citar. Celebrar la audiencia exige acta y resumen.</t>
  </si>
  <si>
    <t xml:space="preserve">código: hiring-service/src/entities/actuacion-sancionatoria.entity.ts:55; nota: obligatoriedad según la documentación de la entidad</t>
  </si>
  <si>
    <t xml:space="preserve">C2805</t>
  </si>
  <si>
    <t xml:space="preserve">hiring-service/src/entities/actuacion-sancionatoria.entity.ts:59: Por qué no se celebró, cuando no se celebró. | db/migrations/hiring/056_tramite_sancionatorio.sql:79: Por qué no se celebró, cuando no se celebró. | Validación: IsNotEmpty({ message: 'Di por qué se anula el informe definitivo' }), IsNotEmpty({ message: 'Di por qué se anula el informe' }), IsNotEmpty({ message: 'Di por qué se anula el registro' }), IsNotEmpty({ message: 'Di por qué se anula la audiencia' }), IsNotEmpty({ message: 'Di por qué se declara desierto el proceso' }), IsNotEmpty({ message: 'Di por qué se revoca el acto de adjudicación' })</t>
  </si>
  <si>
    <t xml:space="preserve">Motivo por el que la audiencia no se celebró, cuando no se celebró.</t>
  </si>
  <si>
    <t xml:space="preserve">código: hiring-service/src/entities/actuacion-sancionatoria.entity.ts:59; db/migrations/hiring/056_tramite_sancionatorio.sql:79</t>
  </si>
  <si>
    <t xml:space="preserve">C2806</t>
  </si>
  <si>
    <t xml:space="preserve">citada_por</t>
  </si>
  <si>
    <t xml:space="preserve">Mapeada en hiring-service/src/entities/actuacion-sancionatoria.entity.ts:62 (AudienciaSancionatoria.citadaPor)</t>
  </si>
  <si>
    <t xml:space="preserve">Usuario que registró la citación a la audiencia.</t>
  </si>
  <si>
    <t xml:space="preserve">C2807</t>
  </si>
  <si>
    <t xml:space="preserve">Mapeada en hiring-service/src/entities/actuacion-sancionatoria.entity.ts:65 (AudienciaSancionatoria.registradaPor)</t>
  </si>
  <si>
    <t xml:space="preserve">C2808</t>
  </si>
  <si>
    <t xml:space="preserve">avisos</t>
  </si>
  <si>
    <t xml:space="preserve">C2809</t>
  </si>
  <si>
    <t xml:space="preserve">papeles</t>
  </si>
  <si>
    <t xml:space="preserve">db/migrations/hiring/077_avisos_de_cada_actividad.sql:27: Papeles en el proceso: ABOGADO, CONTRATACION, RADICADOR, QUIEN_ENVIO, QUIEN_APRUEBA. Se resuelven para cada proceso en el momento del aviso.</t>
  </si>
  <si>
    <t xml:space="preserve">Papeles en el proceso que reciben el aviso, como lista en formato JSON: ABOGADO, CONTRATACION, RADICADOR, QUIEN_ENVIO o QUIEN_APRUEBA. Se resuelven para cada proceso en el momento del aviso.</t>
  </si>
  <si>
    <t xml:space="preserve">código: db/migrations/hiring/077_avisos_de_cada_actividad.sql:27</t>
  </si>
  <si>
    <t xml:space="preserve">C2810</t>
  </si>
  <si>
    <t xml:space="preserve">db/migrations/hiring/077_avisos_de_cada_actividad.sql:29: Códigos de rol: avisan a todas las cuentas que lo tengan.</t>
  </si>
  <si>
    <t xml:space="preserve">Códigos de rol que reciben el aviso, como lista en formato JSON; el aviso llega a todas las cuentas que tengan el rol.</t>
  </si>
  <si>
    <t xml:space="preserve">código: db/migrations/hiring/077_avisos_de_cada_actividad.sql:29</t>
  </si>
  <si>
    <t xml:space="preserve">¿Los códigos de rol son los de auth o los de hiring?</t>
  </si>
  <si>
    <t xml:space="preserve">C2811</t>
  </si>
  <si>
    <t xml:space="preserve">avisos_habilitacion</t>
  </si>
  <si>
    <t xml:space="preserve">avisado_at</t>
  </si>
  <si>
    <t xml:space="preserve">Fecha y hora en que se envió el aviso de habilitación de la actividad.</t>
  </si>
  <si>
    <t xml:space="preserve">nombre + timestamptz con defecto now() + descripción de la tabla</t>
  </si>
  <si>
    <t xml:space="preserve">C2812</t>
  </si>
  <si>
    <t xml:space="preserve">campos_formulario</t>
  </si>
  <si>
    <t xml:space="preserve">numeral</t>
  </si>
  <si>
    <t xml:space="preserve">idx_campos_num, uq_campo</t>
  </si>
  <si>
    <t xml:space="preserve">Mapeada en hiring-service/src/entities/campo-formulario.entity.ts:34 (CampoFormulario.numeral) | Validación: IsNotEmpty, IsOptional, IsString, MaxLength(20)</t>
  </si>
  <si>
    <t xml:space="preserve">Numeral de la actividad de la matriz de flujo a cuyo formulario pertenece el campo.</t>
  </si>
  <si>
    <t xml:space="preserve">nombre + índices idx_campos_num, uq_campo + uso de numeral en hiring.actividades</t>
  </si>
  <si>
    <t xml:space="preserve">C2813</t>
  </si>
  <si>
    <t xml:space="preserve">uq_campo</t>
  </si>
  <si>
    <t xml:space="preserve">Mapeada en hiring-service/src/entities/campo-formulario.entity.ts:37 (CampoFormulario.codigo) | Validación: IsNotEmpty, IsNotEmpty({ message: 'La tipología necesita un código' }), IsOptional, IsString, MaxLength(40), MaxLength(60)</t>
  </si>
  <si>
    <t xml:space="preserve">Código del registro de campos_formulario.</t>
  </si>
  <si>
    <t xml:space="preserve">C2814</t>
  </si>
  <si>
    <t xml:space="preserve">Mapeada en hiring-service/src/entities/campo-formulario.entity.ts:40 (CampoFormulario.etiqueta) | Validación: IsNotEmpty, IsString, MaxLength(300)</t>
  </si>
  <si>
    <t xml:space="preserve">Texto que se muestra como etiqueta del campo en el formulario.</t>
  </si>
  <si>
    <t xml:space="preserve">nombre + varchar(300)</t>
  </si>
  <si>
    <t xml:space="preserve">C2815</t>
  </si>
  <si>
    <t xml:space="preserve">ayuda</t>
  </si>
  <si>
    <t xml:space="preserve">Mapeada en hiring-service/src/entities/campo-formulario.entity.ts:43 (CampoFormulario.ayuda) | Validación: IsOptional, IsString</t>
  </si>
  <si>
    <t xml:space="preserve">Texto de ayuda que se muestra junto al campo.</t>
  </si>
  <si>
    <t xml:space="preserve">C2816</t>
  </si>
  <si>
    <t xml:space="preserve">archivo, casilla, fecha, moneda, numero, responsable, seleccion, texto, texto_largo</t>
  </si>
  <si>
    <t xml:space="preserve">Mapeada en hiring-service/src/entities/campo-formulario.entity.ts:46 (CampoFormulario.tipo) | Validación: IsIn(TIPOS_CAMPO as unknown as string[]), IsIn(TIPOS_LIQUIDACION, {
    message: 'La liquidación es bilateral, de común acuerdo, o unilateral, por acto de la entidad',
  }), IsIn(TIPOS_REGLA as unknown as string[]), IsIn(TIPOS_SOPORTE, {
    message: 'El soporte es seguridad social, RUT, certificación bancaria u otro',
  }), IsIn(['GRABACION', 'OBSERVACION', 'ANEXO'], {
    message: 'Di qué es: una grabación, una observación con su respuesta, o un anexo',
  }), IsIn(['INFORME', 'ACTA', 'SOPORTE'], {
    message: 'El soporte es un informe, un acta u otro documento de la ejecución',
  })</t>
  </si>
  <si>
    <t xml:space="preserve">Tipo del registro de campos_formulario.</t>
  </si>
  <si>
    <t xml:space="preserve">C2817</t>
  </si>
  <si>
    <t xml:space="preserve">Mapeada en hiring-service/src/entities/campo-formulario.entity.ts:49 (CampoFormulario.obligatorio) | Validación: IsBoolean, IsOptional</t>
  </si>
  <si>
    <t xml:space="preserve">C2818</t>
  </si>
  <si>
    <t xml:space="preserve">Mapeada en hiring-service/src/entities/campo-formulario.entity.ts:52 (CampoFormulario.grupo) | Validación: IsOptional, IsString</t>
  </si>
  <si>
    <t xml:space="preserve">Grupo o sección del formulario en la que se muestra el campo.</t>
  </si>
  <si>
    <t xml:space="preserve">nombre + columna vecina orden</t>
  </si>
  <si>
    <t xml:space="preserve">C2819</t>
  </si>
  <si>
    <t xml:space="preserve">idx_campos_num</t>
  </si>
  <si>
    <t xml:space="preserve">Mapeada en hiring-service/src/entities/campo-formulario.entity.ts:55 (CampoFormulario.orden) | Validación: IsInt, IsOptional, Min(0), Min(1)</t>
  </si>
  <si>
    <t xml:space="preserve">C2820</t>
  </si>
  <si>
    <t xml:space="preserve">opciones</t>
  </si>
  <si>
    <t xml:space="preserve">hiring-service/src/entities/campo-formulario.entity.ts:59: Valores admitidos cuando tipo = 'seleccion'.</t>
  </si>
  <si>
    <t xml:space="preserve">Valores admitidos para el campo cuando su tipo es seleccion, en formato JSON.</t>
  </si>
  <si>
    <t xml:space="preserve">código: hiring-service/src/entities/campo-formulario.entity.ts:59</t>
  </si>
  <si>
    <t xml:space="preserve">¿Es obligatoria cuando el tipo es seleccion y qué estructura tiene cada opción?</t>
  </si>
  <si>
    <t xml:space="preserve">C2821</t>
  </si>
  <si>
    <t xml:space="preserve">Mapeada en hiring-service/src/entities/campo-formulario.entity.ts:62 (CampoFormulario.activo) | Validación: IsBoolean, IsOptional</t>
  </si>
  <si>
    <t xml:space="preserve">C2822</t>
  </si>
  <si>
    <t xml:space="preserve">solo_lectura</t>
  </si>
  <si>
    <t xml:space="preserve">hiring-service/src/entities/campo-formulario.entity.ts:70: El campo se muestra pero no se edita porque su valor vive fuera del formulario. Hoy solo aplica a `valor_estimado`, que se captura al crear el proceso para poder determinar la modalidad por cuantía (EFDS-1147).</t>
  </si>
  <si>
    <t xml:space="preserve">Indica si el campo se muestra sin poder editarse porque su valor se captura fuera del formulario; hoy aplica solo a valor_estimado, que se registra al crear el proceso para determinar la modalidad por cuantía (EFDS-1147).</t>
  </si>
  <si>
    <t xml:space="preserve">código: hiring-service/src/entities/campo-formulario.entity.ts:70</t>
  </si>
  <si>
    <t xml:space="preserve">C2823</t>
  </si>
  <si>
    <t xml:space="preserve">casos_incumplimiento</t>
  </si>
  <si>
    <t xml:space="preserve">hiring-service/src/entities/caso-incumplimiento.entity.ts:47: Qué se observó. Se pide siempre y con holgura: es lo que el área jurídica lee para decidir si abre trámite, y «incumplió» sin más no le sirve para nada. | db/migrations/hiring/055_reporte_incumplimiento.sql:29: Qué se observó. Se pide con holgura porque es lo que el área jurídica lee para decidir si abre trámite, y «incumplió» sin más no le sirve de nada. | Validación: IsNotEmpty({ message: 'Di por qué se anula el informe definitivo' }), IsNotEmpty({ message: 'Di por qué se anula el informe' }), IsNotEmpty({ message: 'Di por qué se anula el registro' }), IsNotEmpty({ message: 'Di por qué se anula la audiencia' }), IsNotEmpty({ message: 'Di por qué se declara desierto el proceso' }), IsNotEmpty({ message: 'Di por qué se revoca el acto de adjudicación' })</t>
  </si>
  <si>
    <t xml:space="preserve">Descripción de lo observado como presunto incumplimiento; es lo que el área jurídica lee para decidir si abre trámite. Obligatoria y de al menos 10 caracteres (EFDS-1180).</t>
  </si>
  <si>
    <t xml:space="preserve">código: hiring-service/src/entities/caso-incumplimiento.entity.ts:47; db/migrations/hiring/055_reporte_incumplimiento.sql:29</t>
  </si>
  <si>
    <t xml:space="preserve">C2824</t>
  </si>
  <si>
    <t xml:space="preserve">fecha_hecho</t>
  </si>
  <si>
    <t xml:space="preserve">ix_casos_incumplimiento_contrato</t>
  </si>
  <si>
    <t xml:space="preserve">hiring-service/src/entities/caso-incumplimiento.entity.ts:56: Cuándo ocurrió el hecho, no cuándo se registró. De esta fecha cuelgan los términos del trámite sancionatorio, así que un hecho de marzo reportado en abril tiene que seguir siendo de marzo. | db/migrations/hiring/055_reporte_incumplimiento.sql:34: Cuándo ocurrió el hecho, no cuándo se registró: de esta fecha cuelgan los términos del trámite sancionatorio, así que un hecho de marzo reportado en abril sigue siendo de marzo. | Validación: IsDateString({}, { message: 'La fecha del hecho debe tener el formato YYYY-MM-DD' })</t>
  </si>
  <si>
    <t xml:space="preserve">Fecha en que ocurrió el hecho, no la de su registro; de ella dependen los términos del trámite sancionatorio.</t>
  </si>
  <si>
    <t xml:space="preserve">código: hiring-service/src/entities/caso-incumplimiento.entity.ts:56; db/migrations/hiring/055_reporte_incumplimiento.sql:34</t>
  </si>
  <si>
    <t xml:space="preserve">C2825</t>
  </si>
  <si>
    <t xml:space="preserve">db/migrations/hiring/055_reporte_incumplimiento.sql:50: Quién lo reportó y en calidad de qué: el supervisor de entonces puede no ser el de ahora, y el expediente tiene que decir quién vigilaba el día que se constató el hecho.</t>
  </si>
  <si>
    <t xml:space="preserve">Persona que reportó el presunto incumplimiento; con el dato de en calidad de qué lo hizo, deja constancia de quién supervisaba el día en que se constató el hecho.</t>
  </si>
  <si>
    <t xml:space="preserve">código: db/migrations/hiring/055_reporte_incumplimiento.sql:50</t>
  </si>
  <si>
    <t xml:space="preserve">C2826</t>
  </si>
  <si>
    <t xml:space="preserve">causales_contratacion</t>
  </si>
  <si>
    <t xml:space="preserve">Mapeada en hiring-service/src/entities/causal-contratacion.entity.ts:29 (CausalContratacion.nombre)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</si>
  <si>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del registro de causales_contratacion.</t>
  </si>
  <si>
    <t xml:space="preserve">C2827</t>
  </si>
  <si>
    <t xml:space="preserve">referencia_normativa</t>
  </si>
  <si>
    <t xml:space="preserve">hiring-service/src/entities/causal-contratacion.entity.ts:33: La disposición que la sustenta, tal como se cita en el expediente. | db/migrations/hiring/070_causal_de_contratacion.sql:49: La disposición que la sustenta, tal como se cita en el expediente.</t>
  </si>
  <si>
    <t xml:space="preserve">Disposición normativa que sustenta la causal, tal como se cita en el expediente.</t>
  </si>
  <si>
    <t xml:space="preserve">código: hiring-service/src/entities/causal-contratacion.entity.ts:33; db/migrations/hiring/070_causal_de_contratacion.sql:49</t>
  </si>
  <si>
    <t xml:space="preserve">C2828</t>
  </si>
  <si>
    <t xml:space="preserve">Mapeada en hiring-service/src/entities/causal-contratacion.entity.ts:36 (CausalContratacion.orden) | Validación: IsInt, IsOptional, Min(0), Min(1)</t>
  </si>
  <si>
    <t xml:space="preserve">C2829</t>
  </si>
  <si>
    <t xml:space="preserve">hiring-service/src/entities/causal-contratacion.entity.ts:40: Las derogadas dejan de ofrecerse sin romper los procesos que las usaron. | db/migrations/hiring/070_causal_de_contratacion.sql:53: Las derogadas dejan de ofrecerse sin romper los procesos que las usaron, igual que las modalidades de la 007. | Validación: IsBoolean, IsOptional</t>
  </si>
  <si>
    <t xml:space="preserve">Indica si la causal se sigue ofreciendo; las derogadas se desactivan sin afectar los procesos que las usaron.</t>
  </si>
  <si>
    <t xml:space="preserve">código: hiring-service/src/entities/causal-contratacion.entity.ts:40; db/migrations/hiring/070_causal_de_contratacion.sql:53</t>
  </si>
  <si>
    <t xml:space="preserve">C2830</t>
  </si>
  <si>
    <t xml:space="preserve">cdp</t>
  </si>
  <si>
    <t xml:space="preserve">hiring-service/src/entities/cdp.entity.ts:36: Lo asigna la Dirección Financiera al expedirlo; antes no existe. | db/migrations/hiring/010_cdp.sql:24: El número lo asigna la Dirección Financiera al expedirlo, así que no existe mientras el CDP está apenas solicitado. | Validación: IsNotEmpty({ message: 'El contrato necesita el número con el que la entidad lo identifica' }), IsNotEmpty({ message: 'El número del CDP es obligatorio' }), IsNotEmpty({ message: 'El registro presupuestal necesita su número' }), IsNotEmpty({ message: 'Registra el número de la modificación' }), IsNotEmpty({ message: 'Registra el número de la resolución' }), IsNotEmpty({ message: 'Registra el número' })</t>
  </si>
  <si>
    <t xml:space="preserve">Número del Certificado de Disponibilidad Presupuestal, asignado por la Dirección Financiera al expedirlo; vacío mientras el CDP está solicitado.</t>
  </si>
  <si>
    <t xml:space="preserve">código: hiring-service/src/entities/cdp.entity.ts:36; db/migrations/hiring/010_cdp.sql:24</t>
  </si>
  <si>
    <t xml:space="preserve">C2831</t>
  </si>
  <si>
    <t xml:space="preserve">Mapeada en hiring-service/src/entities/cdp.entity.ts:39 (Cdp.valor) | Validación: IsNumber({ maxDecimalPlaces: 2 }, { message: 'El salario debe ser un número' }), IsNumber({ maxDecimalPlaces: 2 }, { message: 'El valor debe ser un número' }), IsNumber({}, { message: 'El valor cobrado debe ser un número' }), IsNumber({}, { message: 'El valor comprometido debe ser un número' }), IsNumber({}, { message: 'El valor debe ser un número' }), IsNumber({}, { message: 'El valor del contrato debe ser un número' })</t>
  </si>
  <si>
    <t xml:space="preserve">Valor del certificado de disponibilidad presupuestal.</t>
  </si>
  <si>
    <t xml:space="preserve">nombre + numeric(18,2); el valor EXPEDIDO viene de un CHECK según el estado</t>
  </si>
  <si>
    <t xml:space="preserve">¿Está en pesos colombianos y es obligatorio cuando el estado es EXPEDIDO?</t>
  </si>
  <si>
    <t xml:space="preserve">C2832</t>
  </si>
  <si>
    <t xml:space="preserve">fecha_expedicion</t>
  </si>
  <si>
    <t xml:space="preserve">Mapeada en hiring-service/src/entities/cdp.entity.ts:45 (Cdp.fechaExpedicion) | Validación: IsDateString({}, { message: 'La fecha de expedición debe tener el formato YYYY-MM-DD' }), IsISO8601({ strict: true }, { message: 'La fecha debe tener formato YYYY-MM-DD' })</t>
  </si>
  <si>
    <t xml:space="preserve">Fecha de expedición.</t>
  </si>
  <si>
    <t xml:space="preserve">C2833</t>
  </si>
  <si>
    <t xml:space="preserve">vigencia_fiscal</t>
  </si>
  <si>
    <t xml:space="preserve">hiring-service/src/entities/cdp.entity.ts:49: Vigencia fiscal a la que se imputa. Un CDP no cruza vigencias. | db/migrations/hiring/010_cdp.sql:29: Vigencia fiscal a la que se imputa. Un CDP no cruza vigencias. | Validación: IsInt, IsInt({ message: 'La vigencia debe ser un año' }), IsInt({ message: 'La vigencia fiscal es un ano' }), IsInt({ message: 'La vigencia fiscal se expresa en años' }), IsOptional, Max(2100)</t>
  </si>
  <si>
    <t xml:space="preserve">Año de la vigencia fiscal a la que se imputa el CDP; un CDP no cruza vigencias.</t>
  </si>
  <si>
    <t xml:space="preserve">código: hiring-service/src/entities/cdp.entity.ts:49; db/migrations/hiring/010_cdp.sql:29</t>
  </si>
  <si>
    <t xml:space="preserve">C2834</t>
  </si>
  <si>
    <t xml:space="preserve">ANULADO, EXPEDIDO, RECHAZADO, SOLICITADO, VERIFICADO</t>
  </si>
  <si>
    <t xml:space="preserve">db/migrations/hiring/010_cdp.sql:34: SOLICITADO → VERIFICADO → EXPEDIDO ↘ RECHAZADO (no hay disponibilidad en el rubro) ANULADO queda fuera del flujo normal: cubre el CDP que se deja sin efecto.</t>
  </si>
  <si>
    <t xml:space="preserve">Estado del CDP en su flujo: SOLICITADO, VERIFICADO, EXPEDIDO o RECHAZADO (sin disponibilidad en el rubro). ANULADO está fuera del flujo normal y corresponde al CDP que se deja sin efecto.</t>
  </si>
  <si>
    <t xml:space="preserve">código: db/migrations/hiring/010_cdp.sql:34</t>
  </si>
  <si>
    <t xml:space="preserve">C2835</t>
  </si>
  <si>
    <t xml:space="preserve">hiring-service/src/entities/cdp.entity.ts:59: Por qué la Financiera lo rechazó. Sin esto el solicitante no sabe si corregir el rubro, esperar o reducir el alcance. | db/migrations/hiring/010_cdp.sql:39: Por qué la Financiera lo rechazó. Sin esto, el solicitante no sabe si corregir el rubro, esperar o reducir el alcance. | Validación: IsNotEmpty({ message: 'El motivo del rechazo es obligatorio' }), IsNotEmpty({ message: 'Explica por qué se rechaza el registro presupuestal' }), IsNotEmpty({ message: 'Explica por qué se rechaza' }), IsOptional, IsString, MaxLength(1000)</t>
  </si>
  <si>
    <t xml:space="preserve">Motivo por el que la Dirección Financiera rechazó el CDP.</t>
  </si>
  <si>
    <t xml:space="preserve">código: hiring-service/src/entities/cdp.entity.ts:59; db/migrations/hiring/010_cdp.sql:39</t>
  </si>
  <si>
    <t xml:space="preserve">C2836</t>
  </si>
  <si>
    <t xml:space="preserve">Mapeada en hiring-service/src/entities/cdp.entity.ts:69 (Cdp.solicitadoPor)</t>
  </si>
  <si>
    <t xml:space="preserve">C2837</t>
  </si>
  <si>
    <t xml:space="preserve">solicitado_at</t>
  </si>
  <si>
    <t xml:space="preserve">Mapeada en hiring-service/src/entities/cdp.entity.ts:72 (Cdp.solicitadoAt)</t>
  </si>
  <si>
    <t xml:space="preserve">Fecha y hora de la solicitud.</t>
  </si>
  <si>
    <t xml:space="preserve">C2838</t>
  </si>
  <si>
    <t xml:space="preserve">expedido_por</t>
  </si>
  <si>
    <t xml:space="preserve">Mapeada en hiring-service/src/entities/cdp.entity.ts:75 (Cdp.expedidoPor)</t>
  </si>
  <si>
    <t xml:space="preserve">Usuario o funcionario que expidió el CDP.</t>
  </si>
  <si>
    <t xml:space="preserve">nombre + varchar(160)</t>
  </si>
  <si>
    <t xml:space="preserve">¿Se guarda el nombre del funcionario de presupuesto o el usuario que registró la expedición?</t>
  </si>
  <si>
    <t xml:space="preserve">C2839</t>
  </si>
  <si>
    <t xml:space="preserve">cierres_contrato</t>
  </si>
  <si>
    <t xml:space="preserve">Mapeada en hiring-service/src/entities/cierre-contrato.entity.ts:45 (CierreContrato.fechaCierre) | Validación: IsDateString({}, { message: 'La fecha del cierre debe tener el formato YYYY-MM-DD' })</t>
  </si>
  <si>
    <t xml:space="preserve">C2840</t>
  </si>
  <si>
    <t xml:space="preserve">amparos_verificados</t>
  </si>
  <si>
    <t xml:space="preserve">hiring-service/src/entities/cierre-contrato.entity.ts:49: Los amparos que se miraron, congelados: el cierre explica su propia fecha.</t>
  </si>
  <si>
    <t xml:space="preserve">Amparos de la garantía revisados para el cierre del contrato, guardados en formato JSON tal como estaban al cerrar (EFDS-1175).</t>
  </si>
  <si>
    <t xml:space="preserve">código: hiring-service/src/entities/cierre-contrato.entity.ts:49</t>
  </si>
  <si>
    <t xml:space="preserve">¿Qué datos de cada amparo se guardan (id, tipo, vencimiento)?</t>
  </si>
  <si>
    <t xml:space="preserve">C2841</t>
  </si>
  <si>
    <t xml:space="preserve">ultimo_vencimiento</t>
  </si>
  <si>
    <t xml:space="preserve">hiring-service/src/entities/cierre-contrato.entity.ts:59: Cuándo venció el último amparo de estabilidad o calidad. Nulo cuando no había ninguno —el caso corriente de los contratos de servicios profesionales—: no significa que falte el dato sino que no había nada que esperar.</t>
  </si>
  <si>
    <t xml:space="preserve">Fecha en que venció el último amparo de estabilidad o calidad. Vacía cuando el contrato no tenía ninguno, como suele ocurrir en los contratos de servicios profesionales.</t>
  </si>
  <si>
    <t xml:space="preserve">código: hiring-service/src/entities/cierre-contrato.entity.ts:59</t>
  </si>
  <si>
    <t xml:space="preserve">¿Se calcula a partir de hiring.amparos o lo digita el usuario?</t>
  </si>
  <si>
    <t xml:space="preserve">C2842</t>
  </si>
  <si>
    <t xml:space="preserve">Mapeada en hiring-service/src/entities/cierre-contrato.entity.ts:65 (CierreContrato.observaciones) | Validación: IsNotEmpty({ message: 'El motivo del rechazo es obligatorio' }), IsNotEmpty({ message: 'Explica por qué se rechaza el registro presupuestal' }), IsNotEmpty({ message: 'Explica por qué se rechaza' }), IsOptional, IsString, MaxLength(1000)</t>
  </si>
  <si>
    <t xml:space="preserve">C2843</t>
  </si>
  <si>
    <t xml:space="preserve">REVERTIDO, VIGENTE</t>
  </si>
  <si>
    <t xml:space="preserve">Mapeada en hiring-service/src/entities/cierre-contrato.entity.ts:68 (CierreContrato.estado)</t>
  </si>
  <si>
    <t xml:space="preserve">Estado del registro de cierres_contrato.</t>
  </si>
  <si>
    <t xml:space="preserve">C2844</t>
  </si>
  <si>
    <t xml:space="preserve">cerrado_por</t>
  </si>
  <si>
    <t xml:space="preserve">Mapeada en hiring-service/src/entities/cierre-contrato.entity.ts:71 (CierreContrato.cerradoPor)</t>
  </si>
  <si>
    <t xml:space="preserve">C2845</t>
  </si>
  <si>
    <t xml:space="preserve">revertido_at</t>
  </si>
  <si>
    <t xml:space="preserve">Mapeada en hiring-service/src/entities/cierre-contrato.entity.ts:77 (CierreContrato.revertidoAt)</t>
  </si>
  <si>
    <t xml:space="preserve">Fecha y hora en que se revirtió el cierre del contrato.</t>
  </si>
  <si>
    <t xml:space="preserve">nombre + timestamptz; el valor REVERTIDO viene de un CHECK según el estado</t>
  </si>
  <si>
    <t xml:space="preserve">C2846</t>
  </si>
  <si>
    <t xml:space="preserve">revertido_por</t>
  </si>
  <si>
    <t xml:space="preserve">Mapeada en hiring-service/src/entities/cierre-contrato.entity.ts:80 (CierreContrato.revertidoPor)</t>
  </si>
  <si>
    <t xml:space="preserve">Usuario que revirtió el cierre del contrato.</t>
  </si>
  <si>
    <t xml:space="preserve">C2847</t>
  </si>
  <si>
    <t xml:space="preserve">motivo_reversion</t>
  </si>
  <si>
    <t xml:space="preserve">Mapeada en hiring-service/src/entities/cierre-contrato.entity.ts:83 (CierreContrato.motivoReversion)</t>
  </si>
  <si>
    <t xml:space="preserve">Motivo de la reversión.</t>
  </si>
  <si>
    <t xml:space="preserve">C2848</t>
  </si>
  <si>
    <t xml:space="preserve">cierres_financieros</t>
  </si>
  <si>
    <t xml:space="preserve">referencia_pago_final</t>
  </si>
  <si>
    <t xml:space="preserve">db/migrations/hiring/046_cierre_financiero.sql:28: El pago final: con qué referencia salió y cuándo. | Validación: IsNotEmpty({ message: 'Registra la referencia del pago final' }), IsString, MaxLength(120)</t>
  </si>
  <si>
    <t xml:space="preserve">Referencia con la que salió el pago final del contrato (EFDS-1173).</t>
  </si>
  <si>
    <t xml:space="preserve">código: db/migrations/hiring/046_cierre_financiero.sql:28</t>
  </si>
  <si>
    <t xml:space="preserve">¿Qué documento identifica la referencia: orden de pago, comprobante u obligación en SIIF?</t>
  </si>
  <si>
    <t xml:space="preserve">C2849</t>
  </si>
  <si>
    <t xml:space="preserve">fecha_pago_final</t>
  </si>
  <si>
    <t xml:space="preserve">Mapeada en hiring-service/src/entities/cierre-financiero.entity.ts:46 (CierreFinanciero.fechaPagoFinal) | Validación: IsDateString({}, { message: 'La fecha del pago final debe tener el formato YYYY-MM-DD' })</t>
  </si>
  <si>
    <t xml:space="preserve">Fecha de pago final.</t>
  </si>
  <si>
    <t xml:space="preserve">C2850</t>
  </si>
  <si>
    <t xml:space="preserve">valor_rp</t>
  </si>
  <si>
    <t xml:space="preserve">Mapeada en hiring-service/src/entities/cierre-financiero.entity.ts:53 (CierreFinanciero.valorRp)</t>
  </si>
  <si>
    <t xml:space="preserve">Valor del registro presupuestal (RP) del contrato.</t>
  </si>
  <si>
    <t xml:space="preserve">nombre + numeric(18,2) + descripción de la tabla</t>
  </si>
  <si>
    <t xml:space="preserve">¿Está en pesos colombianos y se toma del RP registrado o se digita?</t>
  </si>
  <si>
    <t xml:space="preserve">C2851</t>
  </si>
  <si>
    <t xml:space="preserve">Mapeada en hiring-service/src/entities/cierre-financiero.entity.ts:56 (CierreFinanciero.valorPagado)</t>
  </si>
  <si>
    <t xml:space="preserve">Valor total pagado al contratista con cargo al RP.</t>
  </si>
  <si>
    <t xml:space="preserve">nombre + numeric(18,2) + columna vecina valor_rp</t>
  </si>
  <si>
    <t xml:space="preserve">¿Está en pesos colombianos y se calcula a partir de los pagos registrados?</t>
  </si>
  <si>
    <t xml:space="preserve">C2852</t>
  </si>
  <si>
    <t xml:space="preserve">valor_liberado</t>
  </si>
  <si>
    <t xml:space="preserve">hiring-service/src/entities/cierre-financiero.entity.ts:65: Lo que volvió al presupuesto. Se guarda calculado y no derivado: si mañana entra un pago rezagado, lo que se liberó ese día no cambia.</t>
  </si>
  <si>
    <t xml:space="preserve">Saldo del RP que volvió al presupuesto en el cierre financiero. Se guarda calculado en ese momento y no cambia si después entra un pago rezagado. No puede ser negativo.</t>
  </si>
  <si>
    <t xml:space="preserve">código: hiring-service/src/entities/cierre-financiero.entity.ts:65</t>
  </si>
  <si>
    <t xml:space="preserve">¿Se calcula como valor_rp menos valor_pagado?</t>
  </si>
  <si>
    <t xml:space="preserve">C2853</t>
  </si>
  <si>
    <t xml:space="preserve">Mapeada en hiring-service/src/entities/cierre-financiero.entity.ts:74 (CierreFinanciero.observaciones) | Validación: IsNotEmpty({ message: 'El motivo del rechazo es obligatorio' }), IsNotEmpty({ message: 'Explica por qué se rechaza el registro presupuestal' }), IsNotEmpty({ message: 'Explica por qué se rechaza' }), IsOptional, IsString, MaxLength(1000)</t>
  </si>
  <si>
    <t xml:space="preserve">C2854</t>
  </si>
  <si>
    <t xml:space="preserve">Mapeada en hiring-service/src/entities/cierre-financiero.entity.ts:77 (CierreFinanciero.estado)</t>
  </si>
  <si>
    <t xml:space="preserve">Estado del registro de cierres_financieros.</t>
  </si>
  <si>
    <t xml:space="preserve">C2855</t>
  </si>
  <si>
    <t xml:space="preserve">Mapeada en hiring-service/src/entities/cierre-financiero.entity.ts:80 (CierreFinanciero.cerradoPor)</t>
  </si>
  <si>
    <t xml:space="preserve">C2856</t>
  </si>
  <si>
    <t xml:space="preserve">Mapeada en hiring-service/src/entities/cierre-financiero.entity.ts:86 (CierreFinanciero.revertidoAt)</t>
  </si>
  <si>
    <t xml:space="preserve">Fecha y hora en que se revirtió el cierre financiero.</t>
  </si>
  <si>
    <t xml:space="preserve">C2857</t>
  </si>
  <si>
    <t xml:space="preserve">Mapeada en hiring-service/src/entities/cierre-financiero.entity.ts:89 (CierreFinanciero.revertidoPor)</t>
  </si>
  <si>
    <t xml:space="preserve">Usuario que revirtió el cierre financiero.</t>
  </si>
  <si>
    <t xml:space="preserve">C2858</t>
  </si>
  <si>
    <t xml:space="preserve">Mapeada en hiring-service/src/entities/cierre-financiero.entity.ts:92 (CierreFinanciero.motivoReversion)</t>
  </si>
  <si>
    <t xml:space="preserve">C2859</t>
  </si>
  <si>
    <t xml:space="preserve">comites_evaluadores</t>
  </si>
  <si>
    <t xml:space="preserve">fecha_designacion</t>
  </si>
  <si>
    <t xml:space="preserve">hiring-service/src/entities/comite-evaluador.entity.ts:25: La del memorando, no la del registro: es cuando la entidad designó. | db/migrations/hiring/025_comite_evaluador.sql:47: La del memorando, no la del registro: es cuando la entidad designó. | Validación: IsDateString({}, { message: 'La fecha de designación debe tener el formato YYYY-MM-DD' })</t>
  </si>
  <si>
    <t xml:space="preserve">Fecha del memorando de designación del comité evaluador, no la del registro.</t>
  </si>
  <si>
    <t xml:space="preserve">código: hiring-service/src/entities/comite-evaluador.entity.ts:25; db/migrations/hiring/025_comite_evaluador.sql:47</t>
  </si>
  <si>
    <t xml:space="preserve">C2860</t>
  </si>
  <si>
    <t xml:space="preserve">designado_por</t>
  </si>
  <si>
    <t xml:space="preserve">Mapeada en hiring-service/src/entities/comite-evaluador.entity.ts:28 (ComiteEvaluador.designadoPor)</t>
  </si>
  <si>
    <t xml:space="preserve">Usuario o funcionario que designó el comité evaluador.</t>
  </si>
  <si>
    <t xml:space="preserve">¿Se guarda el nombre de quien firma el memorando o el usuario que lo registró?</t>
  </si>
  <si>
    <t xml:space="preserve">C2861</t>
  </si>
  <si>
    <t xml:space="preserve">Mapeada en hiring-service/src/entities/comite-evaluador.entity.ts:31 (ComiteEvaluador.estado)</t>
  </si>
  <si>
    <t xml:space="preserve">Estado del registro de comites_evaluadores.</t>
  </si>
  <si>
    <t xml:space="preserve">C2862</t>
  </si>
  <si>
    <t xml:space="preserve">Mapeada en hiring-service/src/entities/comite-evaluador.entity.ts:37 (ComiteEvaluador.revocadoAt)</t>
  </si>
  <si>
    <t xml:space="preserve">Fecha y hora de la revocación.</t>
  </si>
  <si>
    <t xml:space="preserve">C2863</t>
  </si>
  <si>
    <t xml:space="preserve">Mapeada en hiring-service/src/entities/comite-evaluador.entity.ts:40 (ComiteEvaluador.revocadoPor)</t>
  </si>
  <si>
    <t xml:space="preserve">C2864</t>
  </si>
  <si>
    <t xml:space="preserve">Mapeada en hiring-service/src/entities/comite-evaluador.entity.ts:43 (ComiteEvaluador.motivoRevocacion)</t>
  </si>
  <si>
    <t xml:space="preserve">C2865</t>
  </si>
  <si>
    <t xml:space="preserve">contratos</t>
  </si>
  <si>
    <t xml:space="preserve">uq_contrato_numero</t>
  </si>
  <si>
    <t xml:space="preserve">hiring-service/src/entities/contrato.entity.ts:188: Número de contrato de la entidad, el que va en la minuta. | db/migrations/hiring/035_contrato_electronico.sql:111: Número de contrato de la entidad, el que va en la minuta. Único en el sistema porque dos contratos con el mismo número no se pueden distinguir en ningún archivo, ni el físico ni este. | Validación: IsNotEmpty({ message: 'El contrato necesita el número con el que la entidad lo identifica' }), IsNotEmpty({ message: 'El número del CDP es obligatorio' }), IsNotEmpty({ message: 'El registro presupuestal necesita su número' }), IsNotEmpty({ message: 'Registra el número de la modificación' }), IsNotEmpty({ message: 'Registra el número de la resolución' }), IsNotEmpty({ message: 'Registra el número' })</t>
  </si>
  <si>
    <t xml:space="preserve">Número de contrato de la entidad, el que figura en la minuta. Único en el sistema.</t>
  </si>
  <si>
    <t xml:space="preserve">código: hiring-service/src/entities/contrato.entity.ts:188; db/migrations/hiring/035_contrato_electronico.sql:111</t>
  </si>
  <si>
    <t xml:space="preserve">C2866</t>
  </si>
  <si>
    <t xml:space="preserve">hiring-service/src/entities/contrato.entity.ts:198: `numeric` llega como string desde el driver; el transformer lo devuelve como número para que la pantalla no formatee cadenas. | Validación: IsNumber({ maxDecimalPlaces: 2 }, { message: 'El salario debe ser un número' }), IsNumber({ maxDecimalPlaces: 2 }, { message: 'El valor debe ser un número' }), IsNumber({}, { message: 'El valor cobrado debe ser un número' }), IsNumber({}, { message: 'El valor comprometido debe ser un número' }), IsNumber({}, { message: 'El valor debe ser un número' }), IsNumber({}, { message: 'El valor del contrato debe ser un número' })</t>
  </si>
  <si>
    <t xml:space="preserve">Valor total del contrato. Debe ser mayor que cero.</t>
  </si>
  <si>
    <t xml:space="preserve">código: hiring-service/src/entities/contrato.entity.ts:198; nota: el comentario solo trata la conversión del tipo numeric</t>
  </si>
  <si>
    <t xml:space="preserve">¿Está en pesos colombianos e incluye IVA?</t>
  </si>
  <si>
    <t xml:space="preserve">C2867</t>
  </si>
  <si>
    <t xml:space="preserve">plazo_dias</t>
  </si>
  <si>
    <t xml:space="preserve">Mapeada en hiring-service/src/entities/contrato.entity.ts:209 (Contrato.plazoDias) | Validación: IsInt, IsInt({ message: 'El plazo se expresa en días enteros' }), IsOptional, IsPositive({ message: 'El plazo debe ser mayor que cero' }), Max(999), Min(1)</t>
  </si>
  <si>
    <t xml:space="preserve">Plazo de ejecución del contrato, en días.</t>
  </si>
  <si>
    <t xml:space="preserve">nombre + integer</t>
  </si>
  <si>
    <t xml:space="preserve">¿Son días calendario o hábiles?</t>
  </si>
  <si>
    <t xml:space="preserve">C2868</t>
  </si>
  <si>
    <t xml:space="preserve">contratista_documento</t>
  </si>
  <si>
    <t xml:space="preserve">hiring-service/src/entities/contrato.entity.ts:218: Datos del adjudicatario copiados, no referenciados. El contrato dice con quién se contrató ese día: si mañana se corrige el registro del oferente, la minuta tiene que seguir diciendo lo que dice. | db/migrations/hiring/035_contrato_electronico.sql:121: El proponente adjudicatario. Se copian los datos y no se referencia al oferente: el contrato dice con quién se contrató ese día, y si mañana se corrige el registro del oferente, el contrato tiene que seguir diciendo lo que la minuta dice. | Validación: IsNotEmpty({ message: 'Registra el documento del contratista' }), IsString, MaxLength(40)</t>
  </si>
  <si>
    <t xml:space="preserve">Número del documento de identificación del contratista adjudicatario, copiado al contratar y no referenciado al oferente, para conservar lo que dice la minuta.</t>
  </si>
  <si>
    <t xml:space="preserve">código: hiring-service/src/entities/contrato.entity.ts:218; db/migrations/hiring/035_contrato_electronico.sql:121</t>
  </si>
  <si>
    <t xml:space="preserve">C2869</t>
  </si>
  <si>
    <t xml:space="preserve">contratista_nombre</t>
  </si>
  <si>
    <t xml:space="preserve">Mapeada en hiring-service/src/entities/contrato.entity.ts:221 (Contrato.contratistaNombre) | Validación: IsNotEmpty({ message: 'Registra el nombre del contratista' }), IsString, MaxLength(300)</t>
  </si>
  <si>
    <t xml:space="preserve">Nombre o razón social del contratista.</t>
  </si>
  <si>
    <t xml:space="preserve">C2870</t>
  </si>
  <si>
    <t xml:space="preserve">contratista_tipo</t>
  </si>
  <si>
    <t xml:space="preserve">JURIDICA, NATURAL</t>
  </si>
  <si>
    <t xml:space="preserve">db/migrations/hiring/035_contrato_electronico.sql:126: Determina si en la legalización se exige ARL (EFDS-1164, criterio 2). Se guarda aquí porque es un dato del contratista al momento de contratar, no una casilla que alguien marque después. | Validación: IsIn(['NATURAL', 'JURIDICA'], {
    message: 'El contratista es persona NATURAL o JURIDICA',
  })</t>
  </si>
  <si>
    <t xml:space="preserve">Tipo de persona del contratista al momento de contratar: NATURAL o JURIDICA. Determina si en la legalización se exige ARL (EFDS-1164).</t>
  </si>
  <si>
    <t xml:space="preserve">código: db/migrations/hiring/035_contrato_electronico.sql:126</t>
  </si>
  <si>
    <t xml:space="preserve">C2871</t>
  </si>
  <si>
    <t xml:space="preserve">Mapeada en hiring-service/src/entities/contrato.entity.ts:238 (Contrato.generadoPor)</t>
  </si>
  <si>
    <t xml:space="preserve">C2872</t>
  </si>
  <si>
    <t xml:space="preserve">generado_at</t>
  </si>
  <si>
    <t xml:space="preserve">Mapeada en hiring-service/src/entities/contrato.entity.ts:241 (Contrato.generadoAt)</t>
  </si>
  <si>
    <t xml:space="preserve">C2873</t>
  </si>
  <si>
    <t xml:space="preserve">aceptado_at</t>
  </si>
  <si>
    <t xml:space="preserve">db/migrations/hiring/035_contrato_electronico.sql:142: La aceptación del proponente. Sin quién y cuándo, «el sistema registra la aceptación» no se sostiene ante una controversia: sería una casilla marcada.</t>
  </si>
  <si>
    <t xml:space="preserve">Fecha y hora en que el proponente aceptó el contrato.</t>
  </si>
  <si>
    <t xml:space="preserve">código: db/migrations/hiring/035_contrato_electronico.sql:142</t>
  </si>
  <si>
    <t xml:space="preserve">C2874</t>
  </si>
  <si>
    <t xml:space="preserve">aceptado_por</t>
  </si>
  <si>
    <t xml:space="preserve">Mapeada en hiring-service/src/entities/contrato.entity.ts:247 (Contrato.aceptadoPor) | Validación: IsNotEmpty({ message: 'Registra quién acepta el contrato en nombre del proponente' }), IsString, MaxLength(200)</t>
  </si>
  <si>
    <t xml:space="preserve">Persona que aceptó el contrato en nombre del proponente.</t>
  </si>
  <si>
    <t xml:space="preserve">nombre + varchar(200); el valor ACEPTADO viene de un CHECK según el estado</t>
  </si>
  <si>
    <t xml:space="preserve">¿Se guarda el nombre, el correo o el identificador de quien acepta?</t>
  </si>
  <si>
    <t xml:space="preserve">C2875</t>
  </si>
  <si>
    <t xml:space="preserve">aceptado_observacion</t>
  </si>
  <si>
    <t xml:space="preserve">Mapeada en hiring-service/src/entities/contrato.entity.ts:250 (Contrato.aceptadoObservacion)</t>
  </si>
  <si>
    <t xml:space="preserve">Observación registrada al aceptar el contrato.</t>
  </si>
  <si>
    <t xml:space="preserve">nombre + text + columnas vecinas aceptado_*</t>
  </si>
  <si>
    <t xml:space="preserve">C2876</t>
  </si>
  <si>
    <t xml:space="preserve">rechazado_at</t>
  </si>
  <si>
    <t xml:space="preserve">Mapeada en hiring-service/src/entities/contrato.entity.ts:253 (Contrato.rechazadoAt)</t>
  </si>
  <si>
    <t xml:space="preserve">Fecha y hora del rechazo.</t>
  </si>
  <si>
    <t xml:space="preserve">C2877</t>
  </si>
  <si>
    <t xml:space="preserve">Mapeada en hiring-service/src/entities/contrato.entity.ts:256 (Contrato.rechazadoPor) | Validación: IsNotEmpty({ message: 'Registra quién rechaza el contrato en nombre del proponente' }), IsString, MaxLength(200)</t>
  </si>
  <si>
    <t xml:space="preserve">C2878</t>
  </si>
  <si>
    <t xml:space="preserve">Mapeada en hiring-service/src/entities/contrato.entity.ts:259 (Contrato.motivoRechazo)</t>
  </si>
  <si>
    <t xml:space="preserve">C2879</t>
  </si>
  <si>
    <t xml:space="preserve">perfeccionado_at</t>
  </si>
  <si>
    <t xml:space="preserve">hiring-service/src/entities/contrato.entity.ts:263: Cuándo entró la segunda firma y el contrato quedó suscrito (EFDS-1162).</t>
  </si>
  <si>
    <t xml:space="preserve">Fecha y hora en que entró la segunda firma y el contrato quedó suscrito (EFDS-1162).</t>
  </si>
  <si>
    <t xml:space="preserve">código: hiring-service/src/entities/contrato.entity.ts:263</t>
  </si>
  <si>
    <t xml:space="preserve">C2880</t>
  </si>
  <si>
    <t xml:space="preserve">legalizado_at</t>
  </si>
  <si>
    <t xml:space="preserve">hiring-service/src/entities/contrato.entity.ts:281: Cuándo quedó legalizado (EFDS-1164). Se alcanza con todas las garantías aprobadas y, si el contratista es persona natural, la ARL registrada. Lo deriva el servicio.</t>
  </si>
  <si>
    <t xml:space="preserve">Fecha y hora en que el contrato quedó legalizado, con todas las garantías aprobadas y, si el contratista es persona natural, la ARL registrada. La calcula el servicio (EFDS-1164).</t>
  </si>
  <si>
    <t xml:space="preserve">código: hiring-service/src/entities/contrato.entity.ts:281</t>
  </si>
  <si>
    <t xml:space="preserve">C2881</t>
  </si>
  <si>
    <t xml:space="preserve">declaratorias_desiertas</t>
  </si>
  <si>
    <t xml:space="preserve">causal</t>
  </si>
  <si>
    <t xml:space="preserve">SIN_OFERTAS, SIN_OFERTAS_HABILITADAS</t>
  </si>
  <si>
    <t xml:space="preserve">db/migrations/hiring/041_declaratoria_desierta.sql:96: SIN_OFERTAS: la recepción cerró y no se presentó nadie. SIN_OFERTAS_HABILITADAS: se presentaron y el comité no habilitó a ninguna. Son dos caminos distintos del expediente y se sustentan con piezas distintas, por eso no es un solo "no hay ofertas habilitadas". | Validación: IsIn(CAUSALES_DESIERTA, {
    message: 'La causal es que no se presentó ninguna oferta o que ninguna quedó habilitada',
  }), IsNotEmpty({ message: 'Elige la causal que habilita contratar por esta modalidad' }), IsString, MaxLength(60)</t>
  </si>
  <si>
    <t xml:space="preserve">Causal de la declaratoria desierta: SIN_OFERTAS (la recepción cerró sin ofertas) o SIN_OFERTAS_HABILITADAS (el comité no habilitó ninguna de las presentadas) (EFDS-1160).</t>
  </si>
  <si>
    <t xml:space="preserve">código: db/migrations/hiring/041_declaratoria_desierta.sql:96</t>
  </si>
  <si>
    <t xml:space="preserve">C2882</t>
  </si>
  <si>
    <t xml:space="preserve">hiring-service/src/entities/declaratoria-desierta.entity.ts:47: La motivación del acto. Obligatoria: la declaratoria desierta es un acto administrativo motivado, y es lo que un tercero lee para entender por qué el proceso no terminó en contrato. | db/migrations/hiring/041_declaratoria_desierta.sql:101: La motivación del acto. Obligatoria: la declaratoria desierta es un acto administrativo motivado, no un botón, y es lo que un tercero va a leer para entender por qué el proceso no terminó en contrato. | Validación: IsNotEmpty({ message: 'Di por qué se anula el informe definitivo' }), IsNotEmpty({ message: 'Di por qué se anula el informe' }), IsNotEmpty({ message: 'Di por qué se anula el registro' }), IsNotEmpty({ message: 'Di por qué se anula la audiencia' }), IsNotEmpty({ message: 'Di por qué se declara desierto el proceso' }), IsNotEmpty({ message: 'Di por qué se revoca el acto de adjudicación' })</t>
  </si>
  <si>
    <t xml:space="preserve">Motivación del acto administrativo que declara desierto el proceso. Obligatoria.</t>
  </si>
  <si>
    <t xml:space="preserve">código: hiring-service/src/entities/declaratoria-desierta.entity.ts:47; db/migrations/hiring/041_declaratoria_desierta.sql:101</t>
  </si>
  <si>
    <t xml:space="preserve">C2883</t>
  </si>
  <si>
    <t xml:space="preserve">db/migrations/hiring/041_declaratoria_desierta.sql:105: Número y fecha de la resolución, como los trae el acto firmado. Mismo criterio del acto de adjudicación (040). | Validación: IsNotEmpty({ message: 'Di el número de la resolución' }), IsString, MaxLength(60)</t>
  </si>
  <si>
    <t xml:space="preserve">Número de la resolución que declara desierto el proceso, tal como figura en el acto firmado.</t>
  </si>
  <si>
    <t xml:space="preserve">código: db/migrations/hiring/041_declaratoria_desierta.sql:105</t>
  </si>
  <si>
    <t xml:space="preserve">C2884</t>
  </si>
  <si>
    <t xml:space="preserve">Mapeada en hiring-service/src/entities/declaratoria-desierta.entity.ts:53 (DeclaratoriaDesierta.fechaActo) | Validación: IsISO8601({ strict: true }, { message: 'La fecha del acto va como YYYY-MM-DD' })</t>
  </si>
  <si>
    <t xml:space="preserve">C2885</t>
  </si>
  <si>
    <t xml:space="preserve">ofertas_recibidas</t>
  </si>
  <si>
    <t xml:space="preserve">hiring-service/src/entities/declaratoria-desierta.entity.ts:70: Cuántas ofertas había el día del acto, fotografiadas como en los informes. | db/migrations/hiring/041_declaratoria_desierta.sql:124: Cuántas ofertas había cuando se declaró. Se fotografía, como hacen los dos informes (039 y 040): mañana pueden anularse oferentes y lo que importa es lo que era cierto el día del acto.</t>
  </si>
  <si>
    <t xml:space="preserve">Número de ofertas que había el día de la declaratoria, guardado como estaba en ese momento.</t>
  </si>
  <si>
    <t xml:space="preserve">código: hiring-service/src/entities/declaratoria-desierta.entity.ts:70; db/migrations/hiring/041_declaratoria_desierta.sql:124</t>
  </si>
  <si>
    <t xml:space="preserve">¿El CHECK exige cero ofertas cuando la causal es SIN_OFERTAS?</t>
  </si>
  <si>
    <t xml:space="preserve">C2886</t>
  </si>
  <si>
    <t xml:space="preserve">notificada_at</t>
  </si>
  <si>
    <t xml:space="preserve">db/migrations/hiring/041_declaratoria_desierta.sql:135: Notificación y publicación, cada una con su evidencia: la declaratoria se notifica y publica como el acto de adjudicación, y no hay integración con SECOP II. | Validación: IsISO8601({ strict: true }, { message: 'La fecha de notificación va en formato ISO 8601' }), IsOptional</t>
  </si>
  <si>
    <t xml:space="preserve">Fecha y hora de notificación de la declaratoria desierta; la notificación y la publicación se registran por separado, cada una con su evidencia.</t>
  </si>
  <si>
    <t xml:space="preserve">código: db/migrations/hiring/041_declaratoria_desierta.sql:135</t>
  </si>
  <si>
    <t xml:space="preserve">C2887</t>
  </si>
  <si>
    <t xml:space="preserve">publicada_at</t>
  </si>
  <si>
    <t xml:space="preserve">Mapeada en hiring-service/src/entities/declaratoria-desierta.entity.ts:85 (DeclaratoriaDesierta.publicadaAt)</t>
  </si>
  <si>
    <t xml:space="preserve">C2888</t>
  </si>
  <si>
    <t xml:space="preserve">REVOCADA, VIGENTE</t>
  </si>
  <si>
    <t xml:space="preserve">Mapeada en hiring-service/src/entities/declaratoria-desierta.entity.ts:92 (DeclaratoriaDesierta.estado)</t>
  </si>
  <si>
    <t xml:space="preserve">Estado del registro de declaratorias_desiertas.</t>
  </si>
  <si>
    <t xml:space="preserve">C2889</t>
  </si>
  <si>
    <t xml:space="preserve">declarada_por</t>
  </si>
  <si>
    <t xml:space="preserve">Mapeada en hiring-service/src/entities/declaratoria-desierta.entity.ts:95 (DeclaratoriaDesierta.declaradaPor)</t>
  </si>
  <si>
    <t xml:space="preserve">Usuario que registró la declaratoria desierta.</t>
  </si>
  <si>
    <t xml:space="preserve">C2890</t>
  </si>
  <si>
    <t xml:space="preserve">declarada_at</t>
  </si>
  <si>
    <t xml:space="preserve">Mapeada en hiring-service/src/entities/declaratoria-desierta.entity.ts:98 (DeclaratoriaDesierta.declaradaAt)</t>
  </si>
  <si>
    <t xml:space="preserve">Fecha y hora en que se registró la declaratoria desierta.</t>
  </si>
  <si>
    <t xml:space="preserve">C2891</t>
  </si>
  <si>
    <t xml:space="preserve">revocada_at</t>
  </si>
  <si>
    <t xml:space="preserve">db/migrations/hiring/041_declaratoria_desierta.sql:145: Revocar no borra, igual que el acto de adjudicación: la declaratoria pudo notificarse y publicarse, y hay terceros que la conocieron.</t>
  </si>
  <si>
    <t xml:space="preserve">Fecha y hora de revocación de la declaratoria desierta. Revocar no borra el registro.</t>
  </si>
  <si>
    <t xml:space="preserve">código: db/migrations/hiring/041_declaratoria_desierta.sql:145</t>
  </si>
  <si>
    <t xml:space="preserve">C2892</t>
  </si>
  <si>
    <t xml:space="preserve">revocada_por</t>
  </si>
  <si>
    <t xml:space="preserve">Mapeada en hiring-service/src/entities/declaratoria-desierta.entity.ts:104 (DeclaratoriaDesierta.revocadaPor)</t>
  </si>
  <si>
    <t xml:space="preserve">C2893</t>
  </si>
  <si>
    <t xml:space="preserve">Mapeada en hiring-service/src/entities/declaratoria-desierta.entity.ts:107 (DeclaratoriaDesierta.motivoRevocacion)</t>
  </si>
  <si>
    <t xml:space="preserve">C2894</t>
  </si>
  <si>
    <t xml:space="preserve">dias_no_habiles</t>
  </si>
  <si>
    <t xml:space="preserve">Mapeada en hiring-service/src/entities/dia-no-habil.entity.ts:20 (DiaNoHabil.descripcion) | Validación: IsNotEmpty({ message: 'Describe el entregable' }), IsNotEmpty({ message: 'Describe la pieza: una lista de archivos sin decir cuál es cuál no documenta nada' }), IsNotEmpty({ message: 'Describe qué acredita el soporte' }), IsOptional, IsString, MaxLength(1000)</t>
  </si>
  <si>
    <t xml:space="preserve">Descripción del registro de dias_no_habiles.</t>
  </si>
  <si>
    <t xml:space="preserve">C2895</t>
  </si>
  <si>
    <t xml:space="preserve">Mapeada en hiring-service/src/entities/documento.entity.ts:13 (Documento.numeral) | Validación: IsNotEmpty, IsOptional, IsString, MaxLength(20)</t>
  </si>
  <si>
    <t xml:space="preserve">Numeral de la actividad de la matriz de flujo a la que corresponde el documento.</t>
  </si>
  <si>
    <t xml:space="preserve">nombre + varchar(20) + uso de numeral en hiring.actividades</t>
  </si>
  <si>
    <t xml:space="preserve">C2896</t>
  </si>
  <si>
    <t xml:space="preserve">ADJUNTO, SNAPSHOT_FORMULARIO</t>
  </si>
  <si>
    <t xml:space="preserve">hiring-service/src/entities/documento.entity.ts:22: ADJUNTO: archivo en disco (archivo_url). SNAPSHOT_FORMULARIO: copia inmutable del formulario al enviarlo, que es lo que hace que el estudio previo quede "registrado como documento" en el expediente (criterio 1 del HU). | db/migrations/hiring/003_estudio_previo.sql:92: ADJUNTO: archivo subido. SNAPSHOT_FORMULARIO: copia inmutable del estudio previo al momento del envío — es lo que da por cumplido el criterio 1 ("registra el documento en el expediente electrónico"). | Validación: IsIn(TIPOS_CAMPO as unknown as string[]), IsIn(TIPOS_LIQUIDACION, {
    message: 'La liquidación es bilateral, de común acuerdo, o unilateral, por acto de la entidad',
  }), IsIn(TIPOS_REGLA as unknown as string[]), IsIn(TIPOS_SOPORTE, {
    message: 'El soporte es seguridad social, RUT, certificación bancaria u otro',
  }), IsIn(['GRABACION', 'OBSERVACION', 'ANEXO'], {
    message: 'Di qué es: una grabación, una observación con su respuesta, o un anexo',
  }), IsIn(['INFORME', 'ACTA', 'SOPORTE'], {
    message: 'El soporte es un informe, un acta u otro documento de la ejecución',
  })</t>
  </si>
  <si>
    <t xml:space="preserve">Tipo de documento del expediente: ADJUNTO (archivo subido, en archivo_url) o SNAPSHOT_FORMULARIO (copia inmutable del formulario del estudio previo al momento del envío).</t>
  </si>
  <si>
    <t xml:space="preserve">código: hiring-service/src/entities/documento.entity.ts:22; db/migrations/hiring/003_estudio_previo.sql:92</t>
  </si>
  <si>
    <t xml:space="preserve">C2897</t>
  </si>
  <si>
    <t xml:space="preserve">Mapeada en hiring-service/src/entities/documento.entity.ts:25 (Documento.nombre)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</si>
  <si>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del registro de documentos.</t>
  </si>
  <si>
    <t xml:space="preserve">C2898</t>
  </si>
  <si>
    <t xml:space="preserve">Mapeada en hiring-service/src/entities/documento.entity.ts:28 (Documento.archivoUrl)</t>
  </si>
  <si>
    <t xml:space="preserve">Ubicación del archivo adjunto en el almacenamiento.</t>
  </si>
  <si>
    <t xml:space="preserve">nombre + text; los valores ADJUNTO, SNAPSHOT_FORMULARIO vienen de un CHECK según el tipo</t>
  </si>
  <si>
    <t xml:space="preserve">¿Es obligatoria cuando el tipo es ADJUNTO, y es una URL pública o una ruta interna?</t>
  </si>
  <si>
    <t xml:space="preserve">C2899</t>
  </si>
  <si>
    <t xml:space="preserve">contenido_snapshot</t>
  </si>
  <si>
    <t xml:space="preserve">Mapeada en hiring-service/src/entities/documento.entity.ts:31 (Documento.contenidoSnapshot)</t>
  </si>
  <si>
    <t xml:space="preserve">Copia del contenido del formulario en el momento de generar el documento, en formato JSON.</t>
  </si>
  <si>
    <t xml:space="preserve">nombre + jsonb; los valores ADJUNTO, SNAPSHOT_FORMULARIO vienen de un CHECK según el tipo</t>
  </si>
  <si>
    <t xml:space="preserve">¿Es obligatoria cuando el tipo es SNAPSHOT_FORMULARIO?</t>
  </si>
  <si>
    <t xml:space="preserve">C2900</t>
  </si>
  <si>
    <t xml:space="preserve">Mapeada en hiring-service/src/entities/documento.entity.ts:34 (Documento.archivoNombreOriginal)</t>
  </si>
  <si>
    <t xml:space="preserve">C2901</t>
  </si>
  <si>
    <t xml:space="preserve">Mapeada en hiring-service/src/entities/documento.entity.ts:37 (Documento.archivoMimeType)</t>
  </si>
  <si>
    <t xml:space="preserve">Tipo MIME del archivo cargado (por ejemplo, application/pdf).</t>
  </si>
  <si>
    <t xml:space="preserve">nombre + varchar(120)</t>
  </si>
  <si>
    <t xml:space="preserve">C2902</t>
  </si>
  <si>
    <t xml:space="preserve">Mapeada en hiring-service/src/entities/documento.entity.ts:40 (Documento.archivoTamano)</t>
  </si>
  <si>
    <t xml:space="preserve">Tamaño del archivo cargado, en bytes.</t>
  </si>
  <si>
    <t xml:space="preserve">nombre + bigint</t>
  </si>
  <si>
    <t xml:space="preserve">¿La unidad es bytes?</t>
  </si>
  <si>
    <t xml:space="preserve">C2903</t>
  </si>
  <si>
    <t xml:space="preserve">hash_sha256</t>
  </si>
  <si>
    <t xml:space="preserve">hiring-service/src/entities/documento.entity.ts:44: Integridad probatoria: el expediente es prueba ante entes de control. | db/migrations/hiring/003_estudio_previo.sql:100: Integridad probatoria: el expediente es prueba ante entes de control</t>
  </si>
  <si>
    <t xml:space="preserve">Hash SHA-256 del contenido del documento, en 64 caracteres hexadecimales, para garantizar la integridad probatoria del expediente ante entes de control.</t>
  </si>
  <si>
    <t xml:space="preserve">código: hiring-service/src/entities/documento.entity.ts:44; db/migrations/hiring/003_estudio_previo.sql:100</t>
  </si>
  <si>
    <t xml:space="preserve">C2904</t>
  </si>
  <si>
    <t xml:space="preserve">Mapeada en hiring-service/src/entities/documento.entity.ts:47 (Documento.version) | Validación: IsInt, IsOptional, Min(1)</t>
  </si>
  <si>
    <t xml:space="preserve">C2905</t>
  </si>
  <si>
    <t xml:space="preserve">Mapeada en hiring-service/src/entities/documento.entity.ts:50 (Documento.subidoPor)</t>
  </si>
  <si>
    <t xml:space="preserve">C2906</t>
  </si>
  <si>
    <t xml:space="preserve">documentos_proceso</t>
  </si>
  <si>
    <t xml:space="preserve">ix_documentos_proceso_proceso, uq_documento_proceso_vigente</t>
  </si>
  <si>
    <t xml:space="preserve">Mapeada en hiring-service/src/entities/documento-proceso.entity.ts:19 (DocumentoProceso.numeral) | Validación: IsNotEmpty, IsOptional, IsString, MaxLength(20)</t>
  </si>
  <si>
    <t xml:space="preserve">Numeral de la actividad de la matriz de flujo a la que corresponde el documento del proceso.</t>
  </si>
  <si>
    <t xml:space="preserve">nombre + índices ix_documentos_proceso_proceso, uq_documento_proceso_vigente</t>
  </si>
  <si>
    <t xml:space="preserve">C2907</t>
  </si>
  <si>
    <t xml:space="preserve">uq_documento_proceso_vigente</t>
  </si>
  <si>
    <t xml:space="preserve">hiring-service/src/entities/documento-proceso.entity.ts:23: Código del requisito en documentos_requeridos. | Validación: IsNotEmpty, IsNotEmpty({ message: 'La tipología necesita un código' }), IsOptional, IsString, MaxLength(40), MaxLength(60)</t>
  </si>
  <si>
    <t xml:space="preserve">Código del requisito de documentos_requeridos que cubre el documento cargado por el proceso.</t>
  </si>
  <si>
    <t xml:space="preserve">código: hiring-service/src/entities/documento-proceso.entity.ts:23</t>
  </si>
  <si>
    <t xml:space="preserve">C2908</t>
  </si>
  <si>
    <t xml:space="preserve">Mapeada en hiring-service/src/entities/documento-proceso.entity.ts:29 (DocumentoProceso.cargadoPor)</t>
  </si>
  <si>
    <t xml:space="preserve">C2909</t>
  </si>
  <si>
    <t xml:space="preserve">db/migrations/hiring/019_documentos_del_proceso.sql:59: Un documento sustituido no se borra: el expediente es prueba ante entes de control, y saber que hubo una versión anterior es parte de lo que prueba.</t>
  </si>
  <si>
    <t xml:space="preserve">Fecha y hora de anulación del documento del proceso. Un documento sustituido no se borra: se anula y se carga otro, y la versión anterior queda en el expediente.</t>
  </si>
  <si>
    <t xml:space="preserve">código: db/migrations/hiring/019_documentos_del_proceso.sql:59</t>
  </si>
  <si>
    <t xml:space="preserve">C2910</t>
  </si>
  <si>
    <t xml:space="preserve">Mapeada en hiring-service/src/entities/documento-proceso.entity.ts:38 (DocumentoProceso.anuladoPor)</t>
  </si>
  <si>
    <t xml:space="preserve">C2911</t>
  </si>
  <si>
    <t xml:space="preserve">documentos_requeridos</t>
  </si>
  <si>
    <t xml:space="preserve">uq_documento_requerido</t>
  </si>
  <si>
    <t xml:space="preserve">hiring-service/src/entities/documento-requerido.entity.ts:25: Actividad de la matriz que lo exige, p. ej. '5.1'. | Validación: IsNotEmpty, IsOptional, IsString, MaxLength(20)</t>
  </si>
  <si>
    <t xml:space="preserve">Numeral de la actividad de la matriz de flujo que exige el documento (por ejemplo, 5.1).</t>
  </si>
  <si>
    <t xml:space="preserve">código: hiring-service/src/entities/documento-requerido.entity.ts:25</t>
  </si>
  <si>
    <t xml:space="preserve">C2912</t>
  </si>
  <si>
    <t xml:space="preserve">hiring-service/src/entities/documento-requerido.entity.ts:29: Identificador de negocio: AVISO_CONVOCATORIA, PROYECTO_PLIEGO… | Validación: IsNotEmpty, IsNotEmpty({ message: 'La tipología necesita un código' }), IsOptional, IsString, MaxLength(40), MaxLength(60)</t>
  </si>
  <si>
    <t xml:space="preserve">Código de negocio del documento requerido (por ejemplo, AVISO_CONVOCATORIA o PROYECTO_PLIEGO).</t>
  </si>
  <si>
    <t xml:space="preserve">código: hiring-service/src/entities/documento-requerido.entity.ts:29</t>
  </si>
  <si>
    <t xml:space="preserve">C2913</t>
  </si>
  <si>
    <t xml:space="preserve">Mapeada en hiring-service/src/entities/documento-requerido.entity.ts:32 (DocumentoRequerido.nombre)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</si>
  <si>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del registro de documentos_requeridos.</t>
  </si>
  <si>
    <t xml:space="preserve">C2914</t>
  </si>
  <si>
    <t xml:space="preserve">Mapeada en hiring-service/src/entities/documento-requerido.entity.ts:35 (DocumentoRequerido.descripcion) | Validación: IsNotEmpty({ message: 'Describe el entregable' }), IsNotEmpty({ message: 'Describe la pieza: una lista de archivos sin decir cuál es cuál no documenta nada' }), IsNotEmpty({ message: 'Describe qué acredita el soporte' }), IsOptional, IsString, MaxLength(1000)</t>
  </si>
  <si>
    <t xml:space="preserve">Descripción del registro de documentos_requeridos.</t>
  </si>
  <si>
    <t xml:space="preserve">C2915</t>
  </si>
  <si>
    <t xml:space="preserve">modalidades</t>
  </si>
  <si>
    <t xml:space="preserve">hiring-service/src/entities/documento-requerido.entity.ts:39: Códigos de modalidad a los que aplica; vacío = todas. | db/migrations/hiring/019_documentos_del_proceso.sql:29: Códigos de modalidad a las que aplica. Vacío = todas, misma convención que el resto del módulo. | Validación: IsArray, IsOptional, IsString({ each: true })</t>
  </si>
  <si>
    <t xml:space="preserve">Códigos de las modalidades de contratación en las que se exige el documento, como lista en formato JSON; una lista vacía significa que aplica a todas.</t>
  </si>
  <si>
    <t xml:space="preserve">código: hiring-service/src/entities/documento-requerido.entity.ts:39; db/migrations/hiring/019_documentos_del_proceso.sql:29</t>
  </si>
  <si>
    <t xml:space="preserve">C2916</t>
  </si>
  <si>
    <t xml:space="preserve">Mapeada en hiring-service/src/entities/documento-requerido.entity.ts:61 (DocumentoRequerido.obligatorio) | Validación: IsBoolean, IsOptional</t>
  </si>
  <si>
    <t xml:space="preserve">C2917</t>
  </si>
  <si>
    <t xml:space="preserve">Mapeada en hiring-service/src/entities/documento-requerido.entity.ts:71 (DocumentoRequerido.orden) | Validación: IsInt, IsOptional, Min(0), Min(1)</t>
  </si>
  <si>
    <t xml:space="preserve">C2918</t>
  </si>
  <si>
    <t xml:space="preserve">Mapeada en hiring-service/src/entities/documento-requerido.entity.ts:74 (DocumentoRequerido.activo) | Validación: IsBoolean, IsOptional</t>
  </si>
  <si>
    <t xml:space="preserve">C2919</t>
  </si>
  <si>
    <t xml:space="preserve">entregables_informe</t>
  </si>
  <si>
    <t xml:space="preserve">Mapeada en hiring-service/src/entities/informe-final.entity.ts:104 (EntregableInforme.descripcion) | Validación: IsNotEmpty({ message: 'Describe el entregable' }), IsNotEmpty({ message: 'Describe la pieza: una lista de archivos sin decir cuál es cuál no documenta nada' }), IsNotEmpty({ message: 'Describe qué acredita el soporte' }), IsOptional, IsString, MaxLength(1000)</t>
  </si>
  <si>
    <t xml:space="preserve">Descripción del registro de entregables_informe.</t>
  </si>
  <si>
    <t xml:space="preserve">C2920</t>
  </si>
  <si>
    <t xml:space="preserve">hiring-service/src/entities/informe-final.entity.ts:113: Cuándo se recibió. Nula cuando el entregable se pactó y no se cumplió: el informe final también sirve para decir qué faltó. | db/migrations/hiring/044_informe_final_de_ejecucion.sql:80: Cuándo se recibió. Nula cuando el entregable se pactó y no se cumplió: el informe final también sirve para decir qué faltó. | Validación: IsDateString({}, { message: 'La fecha de entrega debe tener el formato YYYY-MM-DD' }), IsOptional</t>
  </si>
  <si>
    <t xml:space="preserve">Fecha en que se recibió el entregable. Vacía cuando el entregable se pactó y no se cumplió.</t>
  </si>
  <si>
    <t xml:space="preserve">código: hiring-service/src/entities/informe-final.entity.ts:113; db/migrations/hiring/044_informe_final_de_ejecucion.sql:80</t>
  </si>
  <si>
    <t xml:space="preserve">C2921</t>
  </si>
  <si>
    <t xml:space="preserve">Mapeada en hiring-service/src/entities/informe-final.entity.ts:116 (EntregableInforme.observacion) | Validación: IsOptional, IsString, MaxLength(1000), MaxLength(2000), MaxLength(2000, { message: 'La observación del informe no puede pasar de 2000 caracteres' })</t>
  </si>
  <si>
    <t xml:space="preserve">C2922</t>
  </si>
  <si>
    <t xml:space="preserve">evidencias_evaluacion</t>
  </si>
  <si>
    <t xml:space="preserve">hiring-service/src/entities/evidencia-evaluacion.entity.ts:23: Qué es lo que se cargó: una lista de archivos sin decir cuál es cuál no sustenta nada. | db/migrations/hiring/038_evaluacion_por_fuera.sql:135: Qué es lo que se está cargando. Obligatoria: una lista de archivos sin decir cuál es cuál no sustenta nada. | Validación: IsNotEmpty({ message: 'Describe el entregable' }), IsNotEmpty({ message: 'Describe la pieza: una lista de archivos sin decir cuál es cuál no documenta nada' }), IsNotEmpty({ message: 'Describe qué acredita el soporte' }), IsOptional, IsString, MaxLength(1000)</t>
  </si>
  <si>
    <t xml:space="preserve">Descripción obligatoria de lo que se carga como evidencia de la evaluación del comité (por ejemplo, verificación jurídica, cuadro comparativo o acta de reunión) (EFDS-1157).</t>
  </si>
  <si>
    <t xml:space="preserve">código: hiring-service/src/entities/evidencia-evaluacion.entity.ts:23; db/migrations/hiring/038_evaluacion_por_fuera.sql:135; nota: ejemplos de la documentación de la entidad</t>
  </si>
  <si>
    <t xml:space="preserve">C2923</t>
  </si>
  <si>
    <t xml:space="preserve">cargada_por</t>
  </si>
  <si>
    <t xml:space="preserve">Mapeada en hiring-service/src/entities/evidencia-evaluacion.entity.ts:26 (EvidenciaEvaluacion.cargadaPor)</t>
  </si>
  <si>
    <t xml:space="preserve">C2924</t>
  </si>
  <si>
    <t xml:space="preserve">numero_expediente</t>
  </si>
  <si>
    <t xml:space="preserve">expedientes_numero_expediente_key</t>
  </si>
  <si>
    <t xml:space="preserve">Mapeada en hiring-service/src/entities/expediente.entity.ts:53 (Expediente.numeroExpediente)</t>
  </si>
  <si>
    <t xml:space="preserve">Número único del expediente contractual.</t>
  </si>
  <si>
    <t xml:space="preserve">C2925</t>
  </si>
  <si>
    <t xml:space="preserve">ABIERTO, ARCHIVADO</t>
  </si>
  <si>
    <t xml:space="preserve">ix_expedientes_estado</t>
  </si>
  <si>
    <t xml:space="preserve">Mapeada en hiring-service/src/entities/expediente.entity.ts:56 (Expediente.estado)</t>
  </si>
  <si>
    <t xml:space="preserve">Estado del registro de expedientes.</t>
  </si>
  <si>
    <t xml:space="preserve">C2926</t>
  </si>
  <si>
    <t xml:space="preserve">Mapeada en hiring-service/src/entities/expediente.entity.ts:59 (Expediente.fechaApertura)</t>
  </si>
  <si>
    <t xml:space="preserve">C2927</t>
  </si>
  <si>
    <t xml:space="preserve">archivado_at</t>
  </si>
  <si>
    <t xml:space="preserve">hiring-service/src/entities/expediente.entity.ts:64: ------------------------------------------------------------ archivo --</t>
  </si>
  <si>
    <t xml:space="preserve">Fecha y hora en que se archivó el expediente electrónico del proceso (RF-SIS-04).</t>
  </si>
  <si>
    <t xml:space="preserve">código: hiring-service/src/entities/expediente.entity.ts:64; nota: el comentario solo marca la sección de archivo</t>
  </si>
  <si>
    <t xml:space="preserve">¿La fecha corresponde al trámite del archivo documental en Active Document o al cierre del expediente en la plataforma?</t>
  </si>
  <si>
    <t xml:space="preserve">C2928</t>
  </si>
  <si>
    <t xml:space="preserve">archivado_por</t>
  </si>
  <si>
    <t xml:space="preserve">hiring-service/src/entities/expediente.entity.ts:67: ------------------------------------------------------------ archivo --</t>
  </si>
  <si>
    <t xml:space="preserve">Usuario que archivó el expediente.</t>
  </si>
  <si>
    <t xml:space="preserve">C2929</t>
  </si>
  <si>
    <t xml:space="preserve">radicado_active_document</t>
  </si>
  <si>
    <t xml:space="preserve">hiring-service/src/entities/expediente.entity.ts:81: El radicado que devuelve Active Document, transcrito. No hay integración (RF-SIS-04), igual que con SECOP II y KLIC en el resto del módulo: mientras no exista, es la única prueba de que el archivo documental se tramitó. | db/migrations/hiring/047_publicacion_acta_y_archivo.sql:132: El radicado que devuelve Active Document, transcrito. Mientras no exista la integración es la única prueba de que el archivo documental se tramitó. | Validación: IsOptional, IsString, MaxLength(120)</t>
  </si>
  <si>
    <t xml:space="preserve">Radicado que devuelve el sistema de gestión documental Active Document, transcrito manualmente porque no hay integración; es la prueba de que el archivo documental se tramitó (RF-SIS-04).</t>
  </si>
  <si>
    <t xml:space="preserve">código: hiring-service/src/entities/expediente.entity.ts:81; db/migrations/hiring/047_publicacion_acta_y_archivo.sql:132</t>
  </si>
  <si>
    <t xml:space="preserve">C2930</t>
  </si>
  <si>
    <t xml:space="preserve">observaciones_archivo</t>
  </si>
  <si>
    <t xml:space="preserve">hiring-service/src/entities/expediente.entity.ts:84: ------------------------------------------------------------ archivo --</t>
  </si>
  <si>
    <t xml:space="preserve">Observaciones registradas al archivar el expediente.</t>
  </si>
  <si>
    <t xml:space="preserve">C2931</t>
  </si>
  <si>
    <t xml:space="preserve">reabierto_at</t>
  </si>
  <si>
    <t xml:space="preserve">hiring-service/src/entities/expediente.entity.ts:90: La última reapertura; el historial completo vive en trazabilidad. | db/migrations/hiring/047_publicacion_acta_y_archivo.sql:137: La reapertura: un expediente archivado que hay que volver a mover. Se guarda la última, porque el historial completo vive en trazabilidad.</t>
  </si>
  <si>
    <t xml:space="preserve">Fecha y hora de la última reapertura del expediente archivado; el historial completo está en trazabilidad. Si tiene valor, motivo_reapertura es obligatorio.</t>
  </si>
  <si>
    <t xml:space="preserve">código: hiring-service/src/entities/expediente.entity.ts:90; db/migrations/hiring/047_publicacion_acta_y_archivo.sql:137</t>
  </si>
  <si>
    <t xml:space="preserve">C2932</t>
  </si>
  <si>
    <t xml:space="preserve">reabierto_por</t>
  </si>
  <si>
    <t xml:space="preserve">hiring-service/src/entities/expediente.entity.ts:93: ------------------------------------------------------------ archivo --</t>
  </si>
  <si>
    <t xml:space="preserve">Usuario que reabrió el expediente.</t>
  </si>
  <si>
    <t xml:space="preserve">C2933</t>
  </si>
  <si>
    <t xml:space="preserve">motivo_reapertura</t>
  </si>
  <si>
    <t xml:space="preserve">hiring-service/src/entities/expediente.entity.ts:96: ------------------------------------------------------------ archivo --</t>
  </si>
  <si>
    <t xml:space="preserve">Motivo de la reapertura del expediente.</t>
  </si>
  <si>
    <t xml:space="preserve">C2934</t>
  </si>
  <si>
    <t xml:space="preserve">firmas_contrato</t>
  </si>
  <si>
    <t xml:space="preserve">parte</t>
  </si>
  <si>
    <t xml:space="preserve">CONTRATISTA, ORDENADOR</t>
  </si>
  <si>
    <t xml:space="preserve">uq_firma_parte</t>
  </si>
  <si>
    <t xml:space="preserve">db/migrations/hiring/036_suscripcion_contrato.sql:25: Quién firma: la entidad o el contratista. Son las dos partes del vínculo y el contrato no se perfecciona hasta que están ambas. | Validación: IsIn(['ORDENADOR', 'CONTRATISTA'], {
    message: 'La parte que firma es ORDENADOR o CONTRATISTA',
  })</t>
  </si>
  <si>
    <t xml:space="preserve">Parte del contrato que firma: ORDENADOR (la entidad) o CONTRATISTA. El contrato no se perfecciona hasta que firman ambas (EFDS-1162).</t>
  </si>
  <si>
    <t xml:space="preserve">código: db/migrations/hiring/036_suscripcion_contrato.sql:25</t>
  </si>
  <si>
    <t xml:space="preserve">C2935</t>
  </si>
  <si>
    <t xml:space="preserve">firmante_nombre</t>
  </si>
  <si>
    <t xml:space="preserve">hiring-service/src/entities/firma-contrato.entity.ts:31: Quien firma. Se copia: la firma dice quién firmó ese día. | db/migrations/hiring/036_suscripcion_contrato.sql:30: Nombre de quien firma. Para el ordenador es quien ejerce la competencia ese día; para el contratista, su representante. Se copia y no se referencia por la misma razón que en el contrato: la firma dice quién firmó entonces. | Validación: IsNotEmpty({ message: 'Registra el nombre de quien firma' }), IsString, MaxLength(300)</t>
  </si>
  <si>
    <t xml:space="preserve">Nombre de quien firma, copiado al registrar: por el ordenador, quien ejerce la competencia ese día; por el contratista, su representante.</t>
  </si>
  <si>
    <t xml:space="preserve">código: hiring-service/src/entities/firma-contrato.entity.ts:31; db/migrations/hiring/036_suscripcion_contrato.sql:30</t>
  </si>
  <si>
    <t xml:space="preserve">C2936</t>
  </si>
  <si>
    <t xml:space="preserve">firmante_documento</t>
  </si>
  <si>
    <t xml:space="preserve">Mapeada en hiring-service/src/entities/firma-contrato.entity.ts:34 (FirmaContrato.firmanteDocumento) | Validación: IsOptional, IsString, MaxLength(40)</t>
  </si>
  <si>
    <t xml:space="preserve">Número del documento de identificación de la persona que firma.</t>
  </si>
  <si>
    <t xml:space="preserve">nombre + varchar(40)</t>
  </si>
  <si>
    <t xml:space="preserve">C2937</t>
  </si>
  <si>
    <t xml:space="preserve">hiring-service/src/entities/firma-contrato.entity.ts:41: La cuenta que registró la firma, que puede no ser la del firmante: el gestor registra la del contratista con su evidencia. | db/migrations/hiring/036_suscripcion_contrato.sql:35: La cuenta que registró la firma, que puede no ser la del firmante: el gestor registra la del contratista con su evidencia. Separarlas es lo que permite saber después quién firmó y quién lo anotó.</t>
  </si>
  <si>
    <t xml:space="preserve">Cuenta que registró la firma, que puede no ser la del firmante (por ejemplo, el gestor registra la del contratista con su evidencia).</t>
  </si>
  <si>
    <t xml:space="preserve">código: hiring-service/src/entities/firma-contrato.entity.ts:41; db/migrations/hiring/036_suscripcion_contrato.sql:35</t>
  </si>
  <si>
    <t xml:space="preserve">C2938</t>
  </si>
  <si>
    <t xml:space="preserve">fecha_firma</t>
  </si>
  <si>
    <t xml:space="preserve">hiring-service/src/entities/firma-contrato.entity.ts:45: La del acto, no la del registro. | db/migrations/hiring/036_suscripcion_contrato.sql:38: La del acto, no la del registro. | Validación: IsDateString({}, { message: 'La fecha de la firma debe tener el formato YYYY-MM-DD' }), IsISO8601</t>
  </si>
  <si>
    <t xml:space="preserve">Fecha del acto de firma, no la del registro. Formato YYYY-MM-DD.</t>
  </si>
  <si>
    <t xml:space="preserve">código: hiring-service/src/entities/firma-contrato.entity.ts:45; db/migrations/hiring/036_suscripcion_contrato.sql:38</t>
  </si>
  <si>
    <t xml:space="preserve">C2939</t>
  </si>
  <si>
    <t xml:space="preserve">hash_documento</t>
  </si>
  <si>
    <t xml:space="preserve">db/migrations/hiring/036_suscripcion_contrato.sql:45: Hash del documento firmado, para poder demostrar que no cambió después.</t>
  </si>
  <si>
    <t xml:space="preserve">Hash del documento firmado, en 64 caracteres hexadecimales, para demostrar que no cambió después de la firma.</t>
  </si>
  <si>
    <t xml:space="preserve">código: db/migrations/hiring/036_suscripcion_contrato.sql:45</t>
  </si>
  <si>
    <t xml:space="preserve">¿Se usa SHA-256, como en hiring.documentos?</t>
  </si>
  <si>
    <t xml:space="preserve">C2940</t>
  </si>
  <si>
    <t xml:space="preserve">garantias</t>
  </si>
  <si>
    <t xml:space="preserve">aseguradora</t>
  </si>
  <si>
    <t xml:space="preserve">Mapeada en hiring-service/src/entities/garantia.entity.ts:20 (Garantia.aseguradora) | Validación: IsNotEmpty({ message: 'Registra la aseguradora que expide la póliza' }), IsString, MaxLength(200)</t>
  </si>
  <si>
    <t xml:space="preserve">Nombre de la compañía aseguradora que expidió la póliza.</t>
  </si>
  <si>
    <t xml:space="preserve">C2941</t>
  </si>
  <si>
    <t xml:space="preserve">numero_poliza</t>
  </si>
  <si>
    <t xml:space="preserve">uq_garantia_poliza_vigente</t>
  </si>
  <si>
    <t xml:space="preserve">Mapeada en hiring-service/src/entities/garantia.entity.ts:23 (Garantia.numeroPoliza) | Validación: IsNotEmpty({ message: 'Registra el número de la póliza' }), IsString, MaxLength(80)</t>
  </si>
  <si>
    <t xml:space="preserve">Número de la póliza de garantía.</t>
  </si>
  <si>
    <t xml:space="preserve">nombre + índice uq_garantia_poliza_vigente</t>
  </si>
  <si>
    <t xml:space="preserve">C2942</t>
  </si>
  <si>
    <t xml:space="preserve">APROBADA, CARGADA, RECHAZADA</t>
  </si>
  <si>
    <t xml:space="preserve">Mapeada en hiring-service/src/entities/garantia.entity.ts:30 (Garantia.estado)</t>
  </si>
  <si>
    <t xml:space="preserve">Estado del registro de garantias.</t>
  </si>
  <si>
    <t xml:space="preserve">C2943</t>
  </si>
  <si>
    <t xml:space="preserve">Mapeada en hiring-service/src/entities/garantia.entity.ts:33 (Garantia.cargadaPor)</t>
  </si>
  <si>
    <t xml:space="preserve">C2944</t>
  </si>
  <si>
    <t xml:space="preserve">revisada_por</t>
  </si>
  <si>
    <t xml:space="preserve">db/migrations/hiring/037_polizas_garantias_arl.sql:67: La revisión que pide el criterio 1. Quién aprobó o rechazó y cuándo: es lo que separa una garantía revisada de una simplemente adjuntada.</t>
  </si>
  <si>
    <t xml:space="preserve">Usuario que aprobó o rechazó la garantía en su revisión.</t>
  </si>
  <si>
    <t xml:space="preserve">código: db/migrations/hiring/037_polizas_garantias_arl.sql:67</t>
  </si>
  <si>
    <t xml:space="preserve">C2945</t>
  </si>
  <si>
    <t xml:space="preserve">revisada_at</t>
  </si>
  <si>
    <t xml:space="preserve">Mapeada en hiring-service/src/entities/garantia.entity.ts:42 (Garantia.revisadaAt)</t>
  </si>
  <si>
    <t xml:space="preserve">C2946</t>
  </si>
  <si>
    <t xml:space="preserve">Mapeada en hiring-service/src/entities/garantia.entity.ts:45 (Garantia.motivoRechazo)</t>
  </si>
  <si>
    <t xml:space="preserve">C2947</t>
  </si>
  <si>
    <t xml:space="preserve">informes_definitivos</t>
  </si>
  <si>
    <t xml:space="preserve">Mapeada en hiring-service/src/entities/informe-definitivo.entity.ts:59 (InformeDefinitivo.resultado)</t>
  </si>
  <si>
    <t xml:space="preserve">Resultado de la evaluación definitiva, en formato JSON, congelado al generar el informe.</t>
  </si>
  <si>
    <t xml:space="preserve">¿Qué estructura tiene el JSON (oferentes, puntajes, orden de elegibilidad)?</t>
  </si>
  <si>
    <t xml:space="preserve">C2948</t>
  </si>
  <si>
    <t xml:space="preserve">db/migrations/hiring/040_adjudicacion.sql:171: Qué cambió respecto del preliminar: qué se aceptó y si el comité rectificó. Se guarda resuelto y no se deduce comparando dos jsonb a mano, porque es la pregunta que el expediente tiene que responder solo.</t>
  </si>
  <si>
    <t xml:space="preserve">Cambios del informe definitivo respecto del preliminar, en formato JSON: qué subsanaciones se aceptaron y si el comité rectificó. Se guarda resuelto (EFDS-1159).</t>
  </si>
  <si>
    <t xml:space="preserve">código: db/migrations/hiring/040_adjudicacion.sql:171</t>
  </si>
  <si>
    <t xml:space="preserve">¿Qué estructura tiene el JSON de cambios?</t>
  </si>
  <si>
    <t xml:space="preserve">C2949</t>
  </si>
  <si>
    <t xml:space="preserve">Mapeada en hiring-service/src/entities/informe-definitivo.entity.ts:65 (InformeDefinitivo.ofertasRecibidas)</t>
  </si>
  <si>
    <t xml:space="preserve">Número de ofertas recibidas en el proceso.</t>
  </si>
  <si>
    <t xml:space="preserve">nombre + integer con defecto 0</t>
  </si>
  <si>
    <t xml:space="preserve">C2950</t>
  </si>
  <si>
    <t xml:space="preserve">ANULADO, BORRADOR, PUBLICADO</t>
  </si>
  <si>
    <t xml:space="preserve">Mapeada en hiring-service/src/entities/informe-definitivo.entity.ts:68 (InformeDefinitivo.estado)</t>
  </si>
  <si>
    <t xml:space="preserve">Estado del registro de informes_definitivos.</t>
  </si>
  <si>
    <t xml:space="preserve">C2951</t>
  </si>
  <si>
    <t xml:space="preserve">Mapeada en hiring-service/src/entities/informe-definitivo.entity.ts:78 (InformeDefinitivo.generadoPor)</t>
  </si>
  <si>
    <t xml:space="preserve">C2952</t>
  </si>
  <si>
    <t xml:space="preserve">Mapeada en hiring-service/src/entities/informe-definitivo.entity.ts:81 (InformeDefinitivo.generadoAt)</t>
  </si>
  <si>
    <t xml:space="preserve">C2953</t>
  </si>
  <si>
    <t xml:space="preserve">publicado_por</t>
  </si>
  <si>
    <t xml:space="preserve">Mapeada en hiring-service/src/entities/informe-definitivo.entity.ts:84 (InformeDefinitivo.publicadoPor)</t>
  </si>
  <si>
    <t xml:space="preserve">C2954</t>
  </si>
  <si>
    <t xml:space="preserve">Mapeada en hiring-service/src/entities/informe-definitivo.entity.ts:87 (InformeDefinitivo.publicadoAt)</t>
  </si>
  <si>
    <t xml:space="preserve">C2955</t>
  </si>
  <si>
    <t xml:space="preserve">Mapeada en hiring-service/src/entities/informe-definitivo.entity.ts:90 (InformeDefinitivo.anuladoAt)</t>
  </si>
  <si>
    <t xml:space="preserve">C2956</t>
  </si>
  <si>
    <t xml:space="preserve">Mapeada en hiring-service/src/entities/informe-definitivo.entity.ts:93 (InformeDefinitivo.motivoAnulacion)</t>
  </si>
  <si>
    <t xml:space="preserve">C2957</t>
  </si>
  <si>
    <t xml:space="preserve">informes_evaluacion</t>
  </si>
  <si>
    <t xml:space="preserve">uq_informe_numero</t>
  </si>
  <si>
    <t xml:space="preserve">hiring-service/src/entities/informe-evaluacion.entity.ts:78: Consecutivo dentro del proceso: un informe anulado y su reemplazo. | db/migrations/hiring/039_traslado_y_subsanaciones.sql:75: Consecutivo dentro del proceso: si un informe se anula y se traslada otro, los dos quedan en el expediente y se distinguen por su número. | Validación: IsNotEmpty({ message: 'El contrato necesita el número con el que la entidad lo identifica' }), IsNotEmpty({ message: 'El número del CDP es obligatorio' }), IsNotEmpty({ message: 'El registro presupuestal necesita su número' }), IsNotEmpty({ message: 'Registra el número de la modificación' }), IsNotEmpty({ message: 'Registra el número de la resolución' }), IsNotEmpty({ message: 'Registra el número' })</t>
  </si>
  <si>
    <t xml:space="preserve">Número consecutivo del informe de evaluación dentro del proceso; distingue un informe anulado de su reemplazo.</t>
  </si>
  <si>
    <t xml:space="preserve">código: hiring-service/src/entities/informe-evaluacion.entity.ts:78; db/migrations/hiring/039_traslado_y_subsanaciones.sql:75</t>
  </si>
  <si>
    <t xml:space="preserve">C2958</t>
  </si>
  <si>
    <t xml:space="preserve">db/migrations/hiring/039_traslado_y_subsanaciones.sql:91: El resultado tal como estaba al generarlo: la ganadora, su valoración, la justificación, las evidencias que la sustentan y las ofertas recibidas. En jsonb y no leyéndolo por la FK a propósito. La FK dice cuál resultado se trasladó; el jsonb dice cómo se veía ese día. Si el comité rectifica —y rectif</t>
  </si>
  <si>
    <t xml:space="preserve">Resultado de la evaluación tal como estaba al generar el informe, en formato JSON: la oferta ganadora, su valoración, la justificación, las evidencias y las ofertas recibidas. No cambia si el comité rectifica después (EFDS-1158).</t>
  </si>
  <si>
    <t xml:space="preserve">código: db/migrations/hiring/039_traslado_y_subsanaciones.sql:91</t>
  </si>
  <si>
    <t xml:space="preserve">C2959</t>
  </si>
  <si>
    <t xml:space="preserve">hiring-service/src/entities/informe-evaluacion.entity.ts:102: Cuántas ofertas había recibido el proceso al generarlo. Sale del resultado, pero se guarda aparte porque es la pregunta que decide si el proceso sigue o se declara desierto, y no se responde escarbando un jsonb. No es "habilitadas": quién queda habilitado lo decide el comité por fuera y la plataform | db/migrations/hiring/039_traslado_y_subsanaciones.sql:98: Cuántas ofertas había recibido el proceso al generarlo. Sale del resultado, pero se guarda aparte porque es la pregunta que decide si el proceso sigue o se declara desierto (EFDS-1160), y no se responde escarbando un jsonb. No es "habilitadas": quién queda habilitado lo decide el comité por fuera y </t>
  </si>
  <si>
    <t xml:space="preserve">Número de ofertas recibidas por el proceso al generar el informe; no son las habilitadas. Decide si el proceso sigue o se declara desierto (EFDS-1160).</t>
  </si>
  <si>
    <t xml:space="preserve">código: hiring-service/src/entities/informe-evaluacion.entity.ts:102; db/migrations/hiring/039_traslado_y_subsanaciones.sql:98</t>
  </si>
  <si>
    <t xml:space="preserve">C2960</t>
  </si>
  <si>
    <t xml:space="preserve">observacion_entidad</t>
  </si>
  <si>
    <t xml:space="preserve">hiring-service/src/entities/informe-evaluacion.entity.ts:110: Lo que la entidad advierte sobre el informe, aparte de lo que trajo el comité. Columna propia y no dentro del jsonb: el jsonb es la copia de lo que dijo el comité, y esto lo dice la entidad. | db/migrations/hiring/039_traslado_y_subsanaciones.sql:104: Lo que la entidad quiera advertir sobre el informe, aparte de lo que trajo el comité: una modalidad sin puntaje, una oferta retirada. Va en columna propia y no dentro del jsonb porque el jsonb es la copia de lo que dijo el comité, y esto lo dice la entidad.</t>
  </si>
  <si>
    <t xml:space="preserve">Advertencia de la entidad sobre el informe, distinta de lo que reportó el comité (por ejemplo, una modalidad sin puntaje o una oferta retirada).</t>
  </si>
  <si>
    <t xml:space="preserve">código: hiring-service/src/entities/informe-evaluacion.entity.ts:110; db/migrations/hiring/039_traslado_y_subsanaciones.sql:104</t>
  </si>
  <si>
    <t xml:space="preserve">¿La observación se publica con el informe o es interna?</t>
  </si>
  <si>
    <t xml:space="preserve">C2961</t>
  </si>
  <si>
    <t xml:space="preserve">ANULADO, BORRADOR, CERRADO, TRASLADADO</t>
  </si>
  <si>
    <t xml:space="preserve">Mapeada en hiring-service/src/entities/informe-evaluacion.entity.ts:113 (InformeEvaluacion.estado)</t>
  </si>
  <si>
    <t xml:space="preserve">Estado del registro de informes_evaluacion.</t>
  </si>
  <si>
    <t xml:space="preserve">C2962</t>
  </si>
  <si>
    <t xml:space="preserve">Mapeada en hiring-service/src/entities/informe-evaluacion.entity.ts:123 (InformeEvaluacion.generadoPor)</t>
  </si>
  <si>
    <t xml:space="preserve">C2963</t>
  </si>
  <si>
    <t xml:space="preserve">Mapeada en hiring-service/src/entities/informe-evaluacion.entity.ts:126 (InformeEvaluacion.generadoAt)</t>
  </si>
  <si>
    <t xml:space="preserve">C2964</t>
  </si>
  <si>
    <t xml:space="preserve">trasladado_por</t>
  </si>
  <si>
    <t xml:space="preserve">Mapeada en hiring-service/src/entities/informe-evaluacion.entity.ts:129 (InformeEvaluacion.trasladadoPor)</t>
  </si>
  <si>
    <t xml:space="preserve">Usuario que dio traslado del informe de evaluación.</t>
  </si>
  <si>
    <t xml:space="preserve">C2965</t>
  </si>
  <si>
    <t xml:space="preserve">trasladado_at</t>
  </si>
  <si>
    <t xml:space="preserve">Mapeada en hiring-service/src/entities/informe-evaluacion.entity.ts:132 (InformeEvaluacion.trasladadoAt)</t>
  </si>
  <si>
    <t xml:space="preserve">Fecha y hora en que se dio traslado del informe de evaluación.</t>
  </si>
  <si>
    <t xml:space="preserve">nombre + timestamptz; los valores CERRADO, TRASLADADO vienen de un CHECK según el estado</t>
  </si>
  <si>
    <t xml:space="preserve">¿Es obligatoria cuando el estado es TRASLADADO o CERRADO?</t>
  </si>
  <si>
    <t xml:space="preserve">C2966</t>
  </si>
  <si>
    <t xml:space="preserve">plazo_dias_habiles</t>
  </si>
  <si>
    <t xml:space="preserve">hiring-service/src/entities/informe-evaluacion.entity.ts:136: Plazo aplicado, congelado al trasladar. | db/migrations/hiring/039_traslado_y_subsanaciones.sql:123: Se congelan el plazo aplicado y su vencimiento en vez de recalcularlos en cada consulta, igual que en las recepciones de ofertas (024): si mañana se corrige el plazo de la modalidad, los traslados en curso conservan el suyo.</t>
  </si>
  <si>
    <t xml:space="preserve">Plazo de traslado aplicado, en días hábiles, fijado al trasladar el informe; no cambia si después se corrige el plazo de la modalidad.</t>
  </si>
  <si>
    <t xml:space="preserve">código: hiring-service/src/entities/informe-evaluacion.entity.ts:136; db/migrations/hiring/039_traslado_y_subsanaciones.sql:123</t>
  </si>
  <si>
    <t xml:space="preserve">C2967</t>
  </si>
  <si>
    <t xml:space="preserve">vence_el</t>
  </si>
  <si>
    <t xml:space="preserve">hiring-service/src/entities/informe-evaluacion.entity.ts:145: Hasta cuándo se reciben subsanaciones, sin hora. A diferencia del plazo de ofertas, este término se cuenta en días hábiles y vence al final del día: `YYYY-MM-DD` como el resto de plazos del módulo. | db/migrations/hiring/039_traslado_y_subsanaciones.sql:126: Solo día, sin hora, a diferencia del plazo de ofertas: el término de traslado se cuenta en días hábiles y vence al final del día.</t>
  </si>
  <si>
    <t xml:space="preserve">Fecha hasta la que se reciben subsanaciones; el término se cuenta en días hábiles y vence al final del día. Se fija al trasladar el informe.</t>
  </si>
  <si>
    <t xml:space="preserve">código: hiring-service/src/entities/informe-evaluacion.entity.ts:145; db/migrations/hiring/039_traslado_y_subsanaciones.sql:126,123</t>
  </si>
  <si>
    <t xml:space="preserve">C2968</t>
  </si>
  <si>
    <t xml:space="preserve">Mapeada en hiring-service/src/entities/informe-evaluacion.entity.ts:148 (InformeEvaluacion.cerradoPor)</t>
  </si>
  <si>
    <t xml:space="preserve">C2969</t>
  </si>
  <si>
    <t xml:space="preserve">Mapeada en hiring-service/src/entities/informe-evaluacion.entity.ts:151 (InformeEvaluacion.cerradoAt)</t>
  </si>
  <si>
    <t xml:space="preserve">C2970</t>
  </si>
  <si>
    <t xml:space="preserve">nota_cierre</t>
  </si>
  <si>
    <t xml:space="preserve">hiring-service/src/entities/informe-evaluacion.entity.ts:158: Lo que no cabe en las respuestas: que nadie presentó nada, o que el comité rectificó a raíz de una subsanación aceptada. | db/migrations/hiring/039_traslado_y_subsanaciones.sql:132: Lo que no cabe en las respuestas: que nadie presento nada, o que el comite rectifico a raiz de una subsanacion aceptada.</t>
  </si>
  <si>
    <t xml:space="preserve">Nota del cierre del traslado con lo que no cabe en las respuestas, por ejemplo, que nadie presentó subsanaciones o que el comité rectificó a raíz de una subsanación aceptada.</t>
  </si>
  <si>
    <t xml:space="preserve">código: hiring-service/src/entities/informe-evaluacion.entity.ts:158; db/migrations/hiring/039_traslado_y_subsanaciones.sql:132</t>
  </si>
  <si>
    <t xml:space="preserve">C2971</t>
  </si>
  <si>
    <t xml:space="preserve">Mapeada en hiring-service/src/entities/informe-evaluacion.entity.ts:161 (InformeEvaluacion.anuladoAt)</t>
  </si>
  <si>
    <t xml:space="preserve">C2972</t>
  </si>
  <si>
    <t xml:space="preserve">Mapeada en hiring-service/src/entities/informe-evaluacion.entity.ts:164 (InformeEvaluacion.motivoAnulacion)</t>
  </si>
  <si>
    <t xml:space="preserve">C2973</t>
  </si>
  <si>
    <t xml:space="preserve">informes_finales</t>
  </si>
  <si>
    <t xml:space="preserve">db/migrations/hiring/044_informe_final_de_ejecucion.sql:24: La del informe, no la del registro. | Validación: IsDateString({}, { message: 'La fecha del informe debe tener el formato YYYY-MM-DD' })</t>
  </si>
  <si>
    <t xml:space="preserve">Fecha del informe final de ejecución, no la del registro (EFDS-1171).</t>
  </si>
  <si>
    <t xml:space="preserve">código: db/migrations/hiring/044_informe_final_de_ejecucion.sql:24</t>
  </si>
  <si>
    <t xml:space="preserve">C2974</t>
  </si>
  <si>
    <t xml:space="preserve">hiring-service/src/entities/informe-final.entity.ts:65: Lo que el supervisor concluye sobre la ejecución. Va aparte del documento porque es lo que la liquidación lee sin abrir el archivo. | db/migrations/hiring/044_informe_final_de_ejecucion.sql:28: Lo que el supervisor concluye sobre la ejecución. Va aparte del documento porque es lo que la liquidación lee sin abrir el PDF. | Validación: IsNotEmpty({ message: 'Escribe la conclusión sobre la ejecución del contrato' }), IsString, MaxLength(4000), MinLength(20, {
    message: 'La conclusión sustenta la liquidación: resume cómo se ejecutó el contrato',
  })</t>
  </si>
  <si>
    <t xml:space="preserve">Conclusión del supervisor sobre la ejecución del contrato; es lo que la liquidación consulta sin abrir el documento. Entre 20 y 4.000 caracteres.</t>
  </si>
  <si>
    <t xml:space="preserve">código: hiring-service/src/entities/informe-final.entity.ts:65; db/migrations/hiring/044_informe_final_de_ejecucion.sql:28; nota: longitudes de las validaciones DTO</t>
  </si>
  <si>
    <t xml:space="preserve">C2975</t>
  </si>
  <si>
    <t xml:space="preserve">Mapeada en hiring-service/src/entities/informe-final.entity.ts:68 (InformeFinal.balance)</t>
  </si>
  <si>
    <t xml:space="preserve">Balance de la ejecución del contrato, en formato JSON, congelado al elaborar el informe.</t>
  </si>
  <si>
    <t xml:space="preserve">¿Qué conceptos incluye el JSON (valor ejecutado, pagos, saldos, obligaciones)?</t>
  </si>
  <si>
    <t xml:space="preserve">C2976</t>
  </si>
  <si>
    <t xml:space="preserve">Mapeada en hiring-service/src/entities/informe-final.entity.ts:71 (InformeFinal.estado)</t>
  </si>
  <si>
    <t xml:space="preserve">Estado del registro de informes_finales.</t>
  </si>
  <si>
    <t xml:space="preserve">C2977</t>
  </si>
  <si>
    <t xml:space="preserve">Mapeada en hiring-service/src/entities/informe-final.entity.ts:74 (InformeFinal.elaboradoPor)</t>
  </si>
  <si>
    <t xml:space="preserve">Usuario que elaboró el informe final.</t>
  </si>
  <si>
    <t xml:space="preserve">¿Se guarda el nombre, el correo o el identificador del supervisor?</t>
  </si>
  <si>
    <t xml:space="preserve">C2978</t>
  </si>
  <si>
    <t xml:space="preserve">Mapeada en hiring-service/src/entities/informe-final.entity.ts:80 (InformeFinal.anuladoAt)</t>
  </si>
  <si>
    <t xml:space="preserve">C2979</t>
  </si>
  <si>
    <t xml:space="preserve">Mapeada en hiring-service/src/entities/informe-final.entity.ts:83 (InformeFinal.anuladoPor)</t>
  </si>
  <si>
    <t xml:space="preserve">C2980</t>
  </si>
  <si>
    <t xml:space="preserve">Mapeada en hiring-service/src/entities/informe-final.entity.ts:86 (InformeFinal.motivoAnulacion)</t>
  </si>
  <si>
    <t xml:space="preserve">C2981</t>
  </si>
  <si>
    <t xml:space="preserve">limitaciones_mipyme</t>
  </si>
  <si>
    <t xml:space="preserve">limitado</t>
  </si>
  <si>
    <t xml:space="preserve">hiring-service/src/entities/limitacion-mipyme.entity.ts:25: Lo que la entidad resolvió. | db/migrations/hiring/017_observaciones_y_mipyme.sql:117: Lo que la entidad decidió. | Validación: IsBoolean({ message: 'Indica si la convocatoria queda limitada' })</t>
  </si>
  <si>
    <t xml:space="preserve">Indica si la entidad decidió limitar la convocatoria a MIPYME; puede diferir del resultado del cálculo del sistema (EFDS-1151).</t>
  </si>
  <si>
    <t xml:space="preserve">código: hiring-service/src/entities/limitacion-mipyme.entity.ts:25; db/migrations/hiring/017_observaciones_y_mipyme.sql:117</t>
  </si>
  <si>
    <t xml:space="preserve">C2982</t>
  </si>
  <si>
    <t xml:space="preserve">manifestaciones_contadas</t>
  </si>
  <si>
    <t xml:space="preserve">hiring-service/src/entities/limitacion-mipyme.entity.ts:35: Todo lo que entró en el cálculo queda congelado: si mañana se corrigen los parámetros, esta decisión debe seguir explicándose con los que regían. | db/migrations/hiring/017_observaciones_y_mipyme.sql:127: Se congela todo lo que entró en el cálculo. Si mañana se corrigen los parámetros, esta decisión debe seguir explicándose con los que regían el día en que se tomó.</t>
  </si>
  <si>
    <t xml:space="preserve">Número de manifestaciones de interés de MIPYME que entraron en el cálculo, guardado como estaba el día de la decisión. No puede ser negativo.</t>
  </si>
  <si>
    <t xml:space="preserve">código: hiring-service/src/entities/limitacion-mipyme.entity.ts:35; db/migrations/hiring/017_observaciones_y_mipyme.sql:127</t>
  </si>
  <si>
    <t xml:space="preserve">C2983</t>
  </si>
  <si>
    <t xml:space="preserve">valor_proceso</t>
  </si>
  <si>
    <t xml:space="preserve">hiring-service/src/entities/limitacion-mipyme.entity.ts:38: Todo lo que entró en el cálculo queda congelado: si mañana se corrigen los parámetros, esta decisión debe seguir explicándose con los que regían.</t>
  </si>
  <si>
    <t xml:space="preserve">Valor del proceso de contratación usado en el cálculo de la limitación a MIPYME, tal como regía al momento de la decisión (EFDS-1151).</t>
  </si>
  <si>
    <t xml:space="preserve">código: hiring-service/src/entities/limitacion-mipyme.entity.ts:38</t>
  </si>
  <si>
    <t xml:space="preserve">C2984</t>
  </si>
  <si>
    <t xml:space="preserve">tope_valor_aplicado</t>
  </si>
  <si>
    <t xml:space="preserve">hiring-service/src/entities/limitacion-mipyme.entity.ts:48: Todo lo que entró en el cálculo queda congelado: si mañana se corrigen los parámetros, esta decisión debe seguir explicándose con los que regían.</t>
  </si>
  <si>
    <t xml:space="preserve">Tope de valor aplicado en el cálculo de la limitación a MIPYME, tal como regía al momento de la decisión (EFDS-1151).</t>
  </si>
  <si>
    <t xml:space="preserve">código: hiring-service/src/entities/limitacion-mipyme.entity.ts:48</t>
  </si>
  <si>
    <t xml:space="preserve">¿En qué unidad se expresa el tope: la indicada en unidad_tope_aplicada?</t>
  </si>
  <si>
    <t xml:space="preserve">C2985</t>
  </si>
  <si>
    <t xml:space="preserve">unidad_tope_aplicada</t>
  </si>
  <si>
    <t xml:space="preserve">hiring-service/src/entities/limitacion-mipyme.entity.ts:58: Todo lo que entró en el cálculo queda congelado: si mañana se corrigen los parámetros, esta decisión debe seguir explicándose con los que regían.</t>
  </si>
  <si>
    <t xml:space="preserve">Unidad en que se expresa el tope de valor aplicado en el cálculo, tal como regía al momento de la decisión (EFDS-1151).</t>
  </si>
  <si>
    <t xml:space="preserve">código: hiring-service/src/entities/limitacion-mipyme.entity.ts:58</t>
  </si>
  <si>
    <t xml:space="preserve">¿Qué valores admite la unidad (por ejemplo, USD o SMMLV)?</t>
  </si>
  <si>
    <t xml:space="preserve">C2986</t>
  </si>
  <si>
    <t xml:space="preserve">minimo_manifestaciones</t>
  </si>
  <si>
    <t xml:space="preserve">hiring-service/src/entities/limitacion-mipyme.entity.ts:79: Todo lo que entró en el cálculo queda congelado: si mañana se corrigen los parámetros, esta decisión debe seguir explicándose con los que regían.</t>
  </si>
  <si>
    <t xml:space="preserve">Número mínimo de manifestaciones de interés exigido en el cálculo de la limitación a MIPYME, tal como regía al momento de la decisión (EFDS-1151).</t>
  </si>
  <si>
    <t xml:space="preserve">código: hiring-service/src/entities/limitacion-mipyme.entity.ts:79</t>
  </si>
  <si>
    <t xml:space="preserve">C2987</t>
  </si>
  <si>
    <t xml:space="preserve">hiring-service/src/entities/limitacion-mipyme.entity.ts:83: Obligatorio cuando la decisión se aparta del cálculo. | db/migrations/hiring/017_observaciones_y_mipyme.sql:135: Obligatorio cuando la decisión se aparta del cálculo: apartarse es legítimo, hacerlo sin dejar constancia no. | Validación: IsNotEmpty({ message: 'Di por qué se anula el informe definitivo' }), IsNotEmpty({ message: 'Di por qué se anula el informe' }), IsNotEmpty({ message: 'Di por qué se anula el registro' }), IsNotEmpty({ message: 'Di por qué se anula la audiencia' }), IsNotEmpty({ message: 'Di por qué se declara desierto el proceso' }), IsNotEmpty({ message: 'Di por qué se revoca el acto de adjudicación' })</t>
  </si>
  <si>
    <t xml:space="preserve">Motivo de la decisión sobre la limitación a MIPYME; es obligatorio cuando la decisión se aparta del cálculo del sistema.</t>
  </si>
  <si>
    <t xml:space="preserve">código: hiring-service/src/entities/limitacion-mipyme.entity.ts:83; db/migrations/hiring/017_observaciones_y_mipyme.sql:135</t>
  </si>
  <si>
    <t xml:space="preserve">C2988</t>
  </si>
  <si>
    <t xml:space="preserve">documento_id</t>
  </si>
  <si>
    <t xml:space="preserve">hiring-service/src/entities/limitacion-mipyme.entity.ts:87: Acto administrativo que sustenta la decisión. | db/migrations/hiring/017_observaciones_y_mipyme.sql:138: Acto administrativo que sustenta la decisión.</t>
  </si>
  <si>
    <t xml:space="preserve">Identificador del acto administrativo que sustenta la decisión de limitar o no la convocatoria a MIPYME.</t>
  </si>
  <si>
    <t xml:space="preserve">código: hiring-service/src/entities/limitacion-mipyme.entity.ts:87; db/migrations/hiring/017_observaciones_y_mipyme.sql:138</t>
  </si>
  <si>
    <t xml:space="preserve">¿El identificador hace referencia a hiring.documentos?</t>
  </si>
  <si>
    <t xml:space="preserve">C2989</t>
  </si>
  <si>
    <t xml:space="preserve">decidido_por</t>
  </si>
  <si>
    <t xml:space="preserve">hiring-service/src/entities/limitacion-mipyme.entity.ts:90: Todo lo que entró en el cálculo queda congelado: si mañana se corrigen los parámetros, esta decisión debe seguir explicándose con los que regían.</t>
  </si>
  <si>
    <t xml:space="preserve">Usuario que tomó la decisión de limitar o no la convocatoria a MIPYME.</t>
  </si>
  <si>
    <t xml:space="preserve">nombre + tipo + documentación de la entidad</t>
  </si>
  <si>
    <t xml:space="preserve">C2990</t>
  </si>
  <si>
    <t xml:space="preserve">decidido_at</t>
  </si>
  <si>
    <t xml:space="preserve">hiring-service/src/entities/limitacion-mipyme.entity.ts:93: Todo lo que entró en el cálculo queda congelado: si mañana se corrigen los parámetros, esta decisión debe seguir explicándose con los que regían.</t>
  </si>
  <si>
    <t xml:space="preserve">Fecha y hora de la decisión de limitar o no la convocatoria a MIPYME. Por defecto, la fecha y hora de creación del registro.</t>
  </si>
  <si>
    <t xml:space="preserve">C2991</t>
  </si>
  <si>
    <t xml:space="preserve">manifestaciones_mipyme</t>
  </si>
  <si>
    <t xml:space="preserve">Mapeada en hiring-service/src/entities/manifestacion-mipyme.entity.ts:17 (ManifestacionMipyme.nombre)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</si>
  <si>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del registro de manifestaciones_mipyme.</t>
  </si>
  <si>
    <t xml:space="preserve">C2992</t>
  </si>
  <si>
    <t xml:space="preserve">idx_manifestacion_unica_por_proceso</t>
  </si>
  <si>
    <t xml:space="preserve">hiring-service/src/entities/manifestacion-mipyme.entity.ts:25: Obligatoria, a diferencia de la de una observación: sin identificación no hay forma de saber si dos manifestaciones son de la misma empresa, y el conteo inflado cambiaría la decisión. | db/migrations/hiring/017_observaciones_y_mipyme.sql:94: Obligatoria, a diferencia de la observación: de contar cuántas MIPYME distintas manifestaron interés depende que la convocatoria se limite, y sin identificación no hay forma de saber si dos son la misma. | Validación: IsNotEmpty({ message: 'Indica el NIT o documento del oferente' }), IsNotEmpty({ message: 'La identificación es obligatoria para no contar dos veces la misma' }), IsOptional, IsString, MaxLength(40), MaxLength(60)</t>
  </si>
  <si>
    <t xml:space="preserve">Número de identificación (NIT o documento) de la MIPYME que manifiesta interés. Obligatorio para no contar dos veces la misma empresa.</t>
  </si>
  <si>
    <t xml:space="preserve">código: hiring-service/src/entities/manifestacion-mipyme.entity.ts:25; db/migrations/hiring/017_observaciones_y_mipyme.sql:94</t>
  </si>
  <si>
    <t xml:space="preserve">C2993</t>
  </si>
  <si>
    <t xml:space="preserve">Mapeada en hiring-service/src/entities/manifestacion-mipyme.entity.ts:28 (ManifestacionMipyme.fechaPresentacion) | Validación: IsISO8601({ strict: true }, { message: 'La fecha de presentación va como YYYY-MM-DD' }), IsISO8601({ strict: true }, { message: 'La fecha debe tener formato YYYY-MM-DD' })</t>
  </si>
  <si>
    <t xml:space="preserve">C2994</t>
  </si>
  <si>
    <t xml:space="preserve">Mapeada en hiring-service/src/entities/manifestacion-mipyme.entity.ts:31 (ManifestacionMipyme.documentoId)</t>
  </si>
  <si>
    <t xml:space="preserve">Identificador del documento con la manifestación de interés presentada.</t>
  </si>
  <si>
    <t xml:space="preserve">¿Hace referencia a hiring.documentos?</t>
  </si>
  <si>
    <t xml:space="preserve">C2995</t>
  </si>
  <si>
    <t xml:space="preserve">Mapeada en hiring-service/src/entities/manifestacion-mipyme.entity.ts:34 (ManifestacionMipyme.registradoPor)</t>
  </si>
  <si>
    <t xml:space="preserve">C2996</t>
  </si>
  <si>
    <t xml:space="preserve">miembros_comite</t>
  </si>
  <si>
    <t xml:space="preserve">persona_id</t>
  </si>
  <si>
    <t xml:space="preserve">ix_miembros_persona, uq_miembro_rol</t>
  </si>
  <si>
    <t xml:space="preserve">hiring-service/src/entities/miembro-comite.entity.ts:20: `id_person` de auth.personas, sin llave foránea: ese esquema es de otro equipo. Es lo que permite enlazar la cuenta que evalúa —`auth.user. id_person`— con la persona que el memorando designó. | db/migrations/hiring/025_comite_evaluador.sql:86: `id_person` de auth.personas, SIN llave foránea a propósito: ese esquema es de otro equipo y una FK entre esquemas ataría nuestras migraciones a las suyas. Se guarda el identificador para poder enlazar la cuenta que evalúa (auth.user.id_person) con la persona designada. | Validación: IsUUID('4', { message: 'Cada miembro se identifica con el id de la persona del directorio' }), IsUUID('4', { message: 'El supervisor se identifica con el id de la persona del directorio' })</t>
  </si>
  <si>
    <t xml:space="preserve">Identificador (id_person) de auth.personas de la persona designada en el comité evaluador, sin llave foránea; permite enlazarla con la cuenta que evalúa (auth.user.id_person).</t>
  </si>
  <si>
    <t xml:space="preserve">código: hiring-service/src/entities/miembro-comite.entity.ts:20; db/migrations/hiring/025_comite_evaluador.sql:86</t>
  </si>
  <si>
    <t xml:space="preserve">C2997</t>
  </si>
  <si>
    <t xml:space="preserve">hiring-service/src/entities/miembro-comite.entity.ts:29: Copia del nombre al momento de designar. El memorando nombró a esa persona ese día: si mañana el directorio corrige el nombre, el expediente tiene que seguir diciendo lo que el acto dijo. | db/migrations/hiring/025_comite_evaluador.sql:90: Copia del nombre al momento de designar. El memorando nombró a esa persona ese día: si mañana el directorio corrige el nombre, el expediente tiene que seguir diciendo lo que el acto dijo.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</si>
  <si>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del miembro del comité, copiado al momento de la designación tal como figura en el memorando.</t>
  </si>
  <si>
    <t xml:space="preserve">código: hiring-service/src/entities/miembro-comite.entity.ts:29; db/migrations/hiring/025_comite_evaluador.sql:90</t>
  </si>
  <si>
    <t xml:space="preserve">C2998</t>
  </si>
  <si>
    <t xml:space="preserve">FINANCIERO, JURIDICO, TECNICO</t>
  </si>
  <si>
    <t xml:space="preserve">uq_miembro_rol</t>
  </si>
  <si>
    <t xml:space="preserve">Mapeada en hiring-service/src/entities/miembro-comite.entity.ts:32 (MiembroComite.rol) | Validación: IsIn(['JURIDICO', 'FINANCIERO', 'TECNICO'], {
    message: 'El rol del miembro es JURIDICO, FINANCIERO o TECNICO',
  })</t>
  </si>
  <si>
    <t xml:space="preserve">Dimensión de evaluación a cargo del integrante. Valores permitidos: FINANCIERO, JURIDICO, TECNICO.</t>
  </si>
  <si>
    <t xml:space="preserve">valores permitidos del CHECK + descripción de la tabla</t>
  </si>
  <si>
    <t xml:space="preserve">C2999</t>
  </si>
  <si>
    <t xml:space="preserve">Mapeada en hiring-service/src/entities/modalidad.entity.ts:15 (Modalidad.nombre)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</si>
  <si>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del registro de modalidades.</t>
  </si>
  <si>
    <t xml:space="preserve">C3000</t>
  </si>
  <si>
    <t xml:space="preserve">hiring-service/src/entities/modalidad.entity.ts:19: Orden de la columna en la matriz; conserva su lectura. | db/migrations/hiring/007_modalidad_proceso.sql:26: Orden de la columna en la matriz de flujo; conserva su lectura. | Validación: IsInt, IsOptional, Min(0), Min(1)</t>
  </si>
  <si>
    <t xml:space="preserve">Posición de la modalidad como columna en la matriz de flujo; define el orden de lectura de las columnas.</t>
  </si>
  <si>
    <t xml:space="preserve">código: hiring-service/src/entities/modalidad.entity.ts:19; db/migrations/hiring/007_modalidad_proceso.sql:26 (coinciden)</t>
  </si>
  <si>
    <t xml:space="preserve">C3001</t>
  </si>
  <si>
    <t xml:space="preserve">hiring-service/src/entities/modalidad.entity.ts:23: Las derogadas dejan de ofrecerse sin romper los procesos que las usan. | db/migrations/hiring/007_modalidad_proceso.sql:29: Las modalidades derogadas dejan de ofrecerse sin romper los procesos que ya las usan. | Validación: IsBoolean, IsOptional</t>
  </si>
  <si>
    <t xml:space="preserve">Indica si la modalidad de selección se sigue ofreciendo. Las modalidades derogadas se desactivan sin afectar los procesos que ya las usan.</t>
  </si>
  <si>
    <t xml:space="preserve">código: hiring-service/src/entities/modalidad.entity.ts:23; db/migrations/hiring/007_modalidad_proceso.sql:29 (coinciden)</t>
  </si>
  <si>
    <t xml:space="preserve">C3002</t>
  </si>
  <si>
    <t xml:space="preserve">modificaciones_contrato</t>
  </si>
  <si>
    <t xml:space="preserve">ACLARATORIO, ADICION, CESION, JURIDICA, NATURAL, PRORROGA, REANUDACION, SUSPENSION, TERMINACION_ANTICIPADA</t>
  </si>
  <si>
    <t xml:space="preserve">ix_modificaciones_aprobadas, ix_modificaciones_tipo_estado</t>
  </si>
  <si>
    <t xml:space="preserve">db/migrations/hiring/049_modificaciones_contractuales.sql:66: Los siete tipos que lista la matriz. Solo ADICION tiene implementación hoy; los demás se declaran para que EFDS-1177 y EFDS-1178 no tengan que migrar el CHECK ni reinventar los códigos. | Validación: IsIn(TIPOS_CAMPO as unknown as string[]), IsIn(TIPOS_LIQUIDACION, {
    message: 'La liquidación es bilateral, de común acuerdo, o unilateral, por acto de la entidad',
  }), IsIn(TIPOS_REGLA as unknown as string[]), IsIn(TIPOS_SOPORTE, {
    message: 'El soporte es seguridad social, RUT, certificación bancaria u otro',
  }), IsIn(['GRABACION', 'OBSERVACION', 'ANEXO'], {
    message: 'Di qué es: una grabación, una observación con su respuesta, o un anexo',
  }), IsIn(['INFORME', 'ACTA', 'SOPORTE'], {
    message: 'El soporte es un informe, un acta u otro documento de la ejecución',
  })</t>
  </si>
  <si>
    <t xml:space="preserve">Tipo de modificación contractual, según los tipos que lista la matriz de flujo. A la fecha del código solo ADICION tiene implementación; los demás quedan declarados para historias posteriores (EFDS-1177, EFDS-1178).</t>
  </si>
  <si>
    <t xml:space="preserve">código: db/migrations/hiring/049_modificaciones_contractuales.sql:66</t>
  </si>
  <si>
    <t xml:space="preserve">C3003</t>
  </si>
  <si>
    <t xml:space="preserve">db/migrations/hiring/049_modificaciones_contractuales.sql:69: El consecutivo con el que la entidad la identifica, y cuándo se suscribió. | Validación: IsNotEmpty({ message: 'El contrato necesita el número con el que la entidad lo identifica' }), IsNotEmpty({ message: 'El número del CDP es obligatorio' }), IsNotEmpty({ message: 'El registro presupuestal necesita su número' }), IsNotEmpty({ message: 'Registra el número de la modificación' }), IsNotEmpty({ message: 'Registra el número de la resolución' }), IsNotEmpty({ message: 'Registra el número' })</t>
  </si>
  <si>
    <t xml:space="preserve">Consecutivo con el que la entidad identifica la modificación contractual.</t>
  </si>
  <si>
    <t xml:space="preserve">código: db/migrations/hiring/049_modificaciones_contractuales.sql:69</t>
  </si>
  <si>
    <t xml:space="preserve">C3004</t>
  </si>
  <si>
    <t xml:space="preserve">fecha_suscripcion</t>
  </si>
  <si>
    <t xml:space="preserve">Mapeada en hiring-service/src/entities/modificacion-contrato.entity.ts:66 (ModificacionContrato.fechaSuscripcion) | Validación: IsDateString({}, { message: 'La fecha de suscripción debe tener el formato YYYY-MM-DD' })</t>
  </si>
  <si>
    <t xml:space="preserve">Fecha de suscripción.</t>
  </si>
  <si>
    <t xml:space="preserve">C3005</t>
  </si>
  <si>
    <t xml:space="preserve">hiring-service/src/entities/modificacion-contrato.entity.ts:70: Por qué se modifica. Lo primero que un ente de control pregunta. | Validación: IsNotEmpty({ message: 'Explica por qué el comité eligió esa oferta' }), IsNotEmpty({ message: 'Justifica la adición' }), IsNotEmpty({ message: 'Justifica la modificación' }), IsOptional, IsString, MaxLength(2000)</t>
  </si>
  <si>
    <t xml:space="preserve">Justificación de la modificación contractual: por qué se modifica el contrato.</t>
  </si>
  <si>
    <t xml:space="preserve">código: hiring-service/src/entities/modificacion-contrato.entity.ts:70</t>
  </si>
  <si>
    <t xml:space="preserve">C3006</t>
  </si>
  <si>
    <t xml:space="preserve">APROBADA, EN_TRAMITE, RECHAZADA, REVOCADA</t>
  </si>
  <si>
    <t xml:space="preserve">ix_modificaciones_tipo_estado</t>
  </si>
  <si>
    <t xml:space="preserve">db/migrations/hiring/049_modificaciones_contractuales.sql:85: EN_TRAMITE → APROBADA → REVOCADA, o RECHAZADA como salida temprana.</t>
  </si>
  <si>
    <t xml:space="preserve">Estado de la modificación contractual. Flujo: EN_TRAMITE → APROBADA → REVOCADA; RECHAZADA es una salida temprana desde EN_TRAMITE.</t>
  </si>
  <si>
    <t xml:space="preserve">código: db/migrations/hiring/049_modificaciones_contractuales.sql:85</t>
  </si>
  <si>
    <t xml:space="preserve">C3007</t>
  </si>
  <si>
    <t xml:space="preserve">valor_adicionado</t>
  </si>
  <si>
    <t xml:space="preserve">hiring-service/src/entities/modificacion-contrato.entity.ts:94: ------------------------------------------------ lo propio de la adición -- | Validación: IsNumber({}, { message: 'El valor de la adición debe ser un número' }), IsPositive({ message: 'El valor de la adición debe ser mayor que cero' })</t>
  </si>
  <si>
    <t xml:space="preserve">Valor que se adiciona al contrato con una modificación de tipo ADICION; debe ser mayor que cero. Un CHECK lo relaciona con el tipo de modificación.</t>
  </si>
  <si>
    <t xml:space="preserve">código: hiring-service/src/entities/modificacion-contrato.entity.ts:94 (sección «lo propio de la adición»); validaciones DTO</t>
  </si>
  <si>
    <t xml:space="preserve">¿El valor está en pesos colombianos y es obligatorio solo cuando el tipo es ADICION?</t>
  </si>
  <si>
    <t xml:space="preserve">C3008</t>
  </si>
  <si>
    <t xml:space="preserve">valor_contrato_antes</t>
  </si>
  <si>
    <t xml:space="preserve">hiring-service/src/entities/modificacion-contrato.entity.ts:111: El valor del contrato antes y después, y el tope con el que se juzgó. Congelado con el criterio del resto del módulo: si mañana entra otra adición —o cambia el parámetro—, esta sigue explicando sobre qué se calculó. | db/migrations/hiring/049_modificaciones_contractuales.sql:100: El valor del contrato antes y después, congelado. Con el criterio del resto del módulo: si mañana entra otra adición, esta sigue diciendo sobre qué valor se calculó y con qué tope se juzgó.</t>
  </si>
  <si>
    <t xml:space="preserve">Valor del contrato antes de aplicar la modificación, congelado al registrarla para conservar sobre qué valor se calculó, aunque luego entren otras adiciones o cambien los parámetros.</t>
  </si>
  <si>
    <t xml:space="preserve">código: hiring-service/src/entities/modificacion-contrato.entity.ts:111; db/migrations/hiring/049_modificaciones_contractuales.sql:100</t>
  </si>
  <si>
    <t xml:space="preserve">C3009</t>
  </si>
  <si>
    <t xml:space="preserve">valor_contrato_despues</t>
  </si>
  <si>
    <t xml:space="preserve">hiring-service/src/entities/modificacion-contrato.entity.ts:114: ------------------------------------------------ lo propio de la adición --</t>
  </si>
  <si>
    <t xml:space="preserve">Valor del contrato después de la adición.</t>
  </si>
  <si>
    <t xml:space="preserve">código: hiring-service/src/entities/modificacion-contrato.entity.ts:114</t>
  </si>
  <si>
    <t xml:space="preserve">C3010</t>
  </si>
  <si>
    <t xml:space="preserve">tope_porcentaje</t>
  </si>
  <si>
    <t xml:space="preserve">hiring-service/src/entities/modificacion-contrato.entity.ts:117: ------------------------------------------------ lo propio de la adición --</t>
  </si>
  <si>
    <t xml:space="preserve">Porcentaje máximo de adición aplicado sobre el valor del contrato.</t>
  </si>
  <si>
    <t xml:space="preserve">código: hiring-service/src/entities/modificacion-contrato.entity.ts:117</t>
  </si>
  <si>
    <t xml:space="preserve">¿Es el tope legal de adición (50 % del valor inicial) u otro tope configurado?</t>
  </si>
  <si>
    <t xml:space="preserve">C3011</t>
  </si>
  <si>
    <t xml:space="preserve">hiring-service/src/entities/modificacion-contrato.entity.ts:205: ------------------------------------------------ lo propio de la adición --</t>
  </si>
  <si>
    <t xml:space="preserve">Usuario que solicitó la modificación contractual.</t>
  </si>
  <si>
    <t xml:space="preserve">C3012</t>
  </si>
  <si>
    <t xml:space="preserve">aprobada_por</t>
  </si>
  <si>
    <t xml:space="preserve">hiring-service/src/entities/modificacion-contrato.entity.ts:211: ------------------------------------------------ lo propio de la adición --</t>
  </si>
  <si>
    <t xml:space="preserve">Usuario que aprobó la modificación contractual.</t>
  </si>
  <si>
    <t xml:space="preserve">C3013</t>
  </si>
  <si>
    <t xml:space="preserve">aprobada_at</t>
  </si>
  <si>
    <t xml:space="preserve">hiring-service/src/entities/modificacion-contrato.entity.ts:214: ------------------------------------------------ lo propio de la adición --</t>
  </si>
  <si>
    <t xml:space="preserve">Fecha y hora de aprobación de la modificación contractual.</t>
  </si>
  <si>
    <t xml:space="preserve">C3014</t>
  </si>
  <si>
    <t xml:space="preserve">hiring-service/src/entities/modificacion-contrato.entity.ts:217: ------------------------------------------------ lo propio de la adición --</t>
  </si>
  <si>
    <t xml:space="preserve">Fecha y hora de revocación de la modificación contractual.</t>
  </si>
  <si>
    <t xml:space="preserve">C3015</t>
  </si>
  <si>
    <t xml:space="preserve">hiring-service/src/entities/modificacion-contrato.entity.ts:220: ------------------------------------------------ lo propio de la adición --</t>
  </si>
  <si>
    <t xml:space="preserve">Usuario que revocó la modificación contractual.</t>
  </si>
  <si>
    <t xml:space="preserve">C3016</t>
  </si>
  <si>
    <t xml:space="preserve">hiring-service/src/entities/modificacion-contrato.entity.ts:223: ------------------------------------------------ lo propio de la adición --</t>
  </si>
  <si>
    <t xml:space="preserve">Motivo de la revocación de la modificación contractual.</t>
  </si>
  <si>
    <t xml:space="preserve">C3017</t>
  </si>
  <si>
    <t xml:space="preserve">plazo_dias_antes</t>
  </si>
  <si>
    <t xml:space="preserve">hiring-service/src/entities/modificacion-contrato.entity.ts:133: El plazo antes y despues, en dias. Mismo criterio que el valor en la adicion: `contratos.plazo_dias` dice cuanto es hoy, y esto dice que hizo cada modificacion. Sin el «antes» no se puede revocar sin adivinar.</t>
  </si>
  <si>
    <t xml:space="preserve">Plazo del contrato en días antes de la modificación. Se conserva para poder revocar la modificación y devolver el plazo anterior; contratos.plazo_dias guarda el plazo vigente.</t>
  </si>
  <si>
    <t xml:space="preserve">código: hiring-service/src/entities/modificacion-contrato.entity.ts:133</t>
  </si>
  <si>
    <t xml:space="preserve">¿Los días son calendario o hábiles?</t>
  </si>
  <si>
    <t xml:space="preserve">C3018</t>
  </si>
  <si>
    <t xml:space="preserve">plazo_dias_despues</t>
  </si>
  <si>
    <t xml:space="preserve">hiring-service/src/entities/modificacion-contrato.entity.ts:136: ------------------------------------------------ lo propio de la adición --</t>
  </si>
  <si>
    <t xml:space="preserve">Plazo del contrato en días después de la modificación.</t>
  </si>
  <si>
    <t xml:space="preserve">nombre + tipo + columnas vecinas (plazo_dias_antes, dias_prorroga)</t>
  </si>
  <si>
    <t xml:space="preserve">¿Se diligencia solo en prórrogas, como plazo_dias_antes + dias_prorroga?</t>
  </si>
  <si>
    <t xml:space="preserve">C3019</t>
  </si>
  <si>
    <t xml:space="preserve">suspension_desde</t>
  </si>
  <si>
    <t xml:space="preserve">hiring-service/src/entities/modificacion-contrato.entity.ts:141: ------------------------------------------------ lo propio de la adición -- | Validación: IsDateString({}, { message: 'La fecha de suspensión va en formato AAAA-MM-DD' })</t>
  </si>
  <si>
    <t xml:space="preserve">Fecha de inicio de la suspensión del contrato, en formato AAAA-MM-DD.</t>
  </si>
  <si>
    <t xml:space="preserve">nombre + tipo + columnas vecinas (suspension_hasta) + validación IsDateString</t>
  </si>
  <si>
    <t xml:space="preserve">C3020</t>
  </si>
  <si>
    <t xml:space="preserve">suspension_hasta</t>
  </si>
  <si>
    <t xml:space="preserve">hiring-service/src/entities/modificacion-contrato.entity.ts:145: Fecha prevista. Puede faltar: hay suspensiones indefinidas. | Validación: IsDateString({}, { message: 'La fecha prevista va en formato AAAA-MM-DD' }), IsOptional</t>
  </si>
  <si>
    <t xml:space="preserve">Fecha prevista de fin de la suspensión del contrato. Admite nulos porque hay suspensiones indefinidas. Un CHECK la relaciona con el tipo SUSPENSION.</t>
  </si>
  <si>
    <t xml:space="preserve">código: hiring-service/src/entities/modificacion-contrato.entity.ts:145</t>
  </si>
  <si>
    <t xml:space="preserve">¿Debe ser posterior a suspension_desde cuando se diligencia?</t>
  </si>
  <si>
    <t xml:space="preserve">C3021</t>
  </si>
  <si>
    <t xml:space="preserve">reanudada_el</t>
  </si>
  <si>
    <t xml:space="preserve">hiring-service/src/entities/modificacion-contrato.entity.ts:153: Cuando se reanuda de verdad, que manda sobre la fecha prevista. | Validación: IsDateString({}, { message: 'La fecha de reanudación va en formato AAAA-MM-DD' })</t>
  </si>
  <si>
    <t xml:space="preserve">Fecha en que efectivamente se reanuda el contrato suspendido; prevalece sobre la fecha prevista de fin de la suspensión. Un CHECK la relaciona con el tipo REANUDACION.</t>
  </si>
  <si>
    <t xml:space="preserve">código: hiring-service/src/entities/modificacion-contrato.entity.ts:153</t>
  </si>
  <si>
    <t xml:space="preserve">¿Es obligatoria solo cuando el tipo de modificación es REANUDACION?</t>
  </si>
  <si>
    <t xml:space="preserve">C3022</t>
  </si>
  <si>
    <t xml:space="preserve">cedente_documento</t>
  </si>
  <si>
    <t xml:space="preserve">hiring-service/src/entities/modificacion-contrato.entity.ts:159: Quien era el contratista. `contratos` se queda con el cesionario.</t>
  </si>
  <si>
    <t xml:space="preserve">Número de documento de identificación del cedente, es decir, del contratista anterior en una cesión del contrato. La tabla contratos queda con los datos del cesionario.</t>
  </si>
  <si>
    <t xml:space="preserve">código: hiring-service/src/entities/modificacion-contrato.entity.ts:159</t>
  </si>
  <si>
    <t xml:space="preserve">C3023</t>
  </si>
  <si>
    <t xml:space="preserve">cedente_nombre</t>
  </si>
  <si>
    <t xml:space="preserve">hiring-service/src/entities/modificacion-contrato.entity.ts:162: ------------------------------------------------ lo propio de la adición --</t>
  </si>
  <si>
    <t xml:space="preserve">Nombre del cedente en la cesión del contrato.</t>
  </si>
  <si>
    <t xml:space="preserve">C3024</t>
  </si>
  <si>
    <t xml:space="preserve">cedente_tipo</t>
  </si>
  <si>
    <t xml:space="preserve">hiring-service/src/entities/modificacion-contrato.entity.ts:166: De el depende la ARL: revocar sin devolverlo dejaria la exigencia torcida. | db/migrations/hiring/052_prorroga_y_demas_modificaciones.sql:89: El tipo de persona tambien: de el depende la ARL (EFDS-1164), asi que revocar la cesion sin devolverlo dejaria al contrato exigiendo o eximiendo una afiliacion que no corresponde.</t>
  </si>
  <si>
    <t xml:space="preserve">Tipo de persona del cedente en una cesión del contrato. Se conserva porque de él depende la exigencia de afiliación a ARL (EFDS-1164) y debe restaurarse si se revoca la cesión.</t>
  </si>
  <si>
    <t xml:space="preserve">código: hiring-service/src/entities/modificacion-contrato.entity.ts:166; db/migrations/hiring/052_prorroga_y_demas_modificaciones.sql:89</t>
  </si>
  <si>
    <t xml:space="preserve">¿Los valores posibles son NATURAL y JURIDICA, igual que en cesionario_tipo?</t>
  </si>
  <si>
    <t xml:space="preserve">C3025</t>
  </si>
  <si>
    <t xml:space="preserve">cesionario_documento</t>
  </si>
  <si>
    <t xml:space="preserve">hiring-service/src/entities/modificacion-contrato.entity.ts:169: ------------------------------------------------ lo propio de la adición -- | Validación: IsNotEmpty({ message: 'Registra el documento del cesionario' }), IsString, MaxLength(40)</t>
  </si>
  <si>
    <t xml:space="preserve">Número del documento de identificación del cesionario en la cesión del contrato.</t>
  </si>
  <si>
    <t xml:space="preserve">nombre + tipo + columnas vecinas + validación</t>
  </si>
  <si>
    <t xml:space="preserve">C3026</t>
  </si>
  <si>
    <t xml:space="preserve">cesionario_nombre</t>
  </si>
  <si>
    <t xml:space="preserve">hiring-service/src/entities/modificacion-contrato.entity.ts:172: ------------------------------------------------ lo propio de la adición -- | Validación: IsNotEmpty({ message: 'Registra el nombre del cesionario' }), IsString, MaxLength(300)</t>
  </si>
  <si>
    <t xml:space="preserve">Nombre del cesionario en la cesión del contrato.</t>
  </si>
  <si>
    <t xml:space="preserve">C3027</t>
  </si>
  <si>
    <t xml:space="preserve">cesionario_tipo</t>
  </si>
  <si>
    <t xml:space="preserve">hiring-service/src/entities/modificacion-contrato.entity.ts:175: ------------------------------------------------ lo propio de la adición -- | Validación: IsIn(['NATURAL', 'JURIDICA'], {
    message: 'El cesionario es persona natural o jurídica',
  })</t>
  </si>
  <si>
    <t xml:space="preserve">Tipo de persona del cesionario. Valores permitidos: NATURAL, JURIDICA.</t>
  </si>
  <si>
    <t xml:space="preserve">valores permitidos del CHECK + validación IsIn</t>
  </si>
  <si>
    <t xml:space="preserve">C3028</t>
  </si>
  <si>
    <t xml:space="preserve">terminacion_el</t>
  </si>
  <si>
    <t xml:space="preserve">hiring-service/src/entities/modificacion-contrato.entity.ts:191: Desde cuando el contrato deja de ejecutarse; no es la fecha de la firma. | Validación: IsDateString({}, { message: 'La fecha de terminación va en formato AAAA-MM-DD' })</t>
  </si>
  <si>
    <t xml:space="preserve">Fecha desde la cual el contrato deja de ejecutarse por terminación anticipada; no corresponde a la fecha de firma. Un CHECK la relaciona con el tipo TERMINACION_ANTICIPADA y las causales MUTUO_ACUERDO y UNILATERAL.</t>
  </si>
  <si>
    <t xml:space="preserve">código: hiring-service/src/entities/modificacion-contrato.entity.ts:191</t>
  </si>
  <si>
    <t xml:space="preserve">¿Es obligatoria solo cuando el tipo es TERMINACION_ANTICIPADA?</t>
  </si>
  <si>
    <t xml:space="preserve">C3029</t>
  </si>
  <si>
    <t xml:space="preserve">estado_contrato_antes</t>
  </si>
  <si>
    <t xml:space="preserve">hiring-service/src/entities/modificacion-contrato.entity.ts:202: El estado que el contrato tenia antes. Mismo criterio que el valor y el plazo «antes»: revocar devuelve lo guardado y no lo deducido. Un contrato suspendido puede terminarse —es el desenlace tipico de una suspension que no se supera— y revocar eso tiene que devolverlo a SUSPENDIDO, no a EJECUCION.</t>
  </si>
  <si>
    <t xml:space="preserve">Estado que tenía el contrato antes de aplicar la modificación. Se guarda para que, al revocarla, el contrato vuelva a ese estado (por ejemplo, SUSPENDIDO en lugar de EJECUCION).</t>
  </si>
  <si>
    <t xml:space="preserve">código: hiring-service/src/entities/modificacion-contrato.entity.ts:202</t>
  </si>
  <si>
    <t xml:space="preserve">¿Qué valores toma además de SUSPENDIDO y EJECUCION?</t>
  </si>
  <si>
    <t xml:space="preserve">C3030</t>
  </si>
  <si>
    <t xml:space="preserve">observaciones_pliego</t>
  </si>
  <si>
    <t xml:space="preserve">Mapeada en hiring-service/src/entities/observacion-pliego.entity.ts:25 (ObservacionPliego.presentadoPor) | Validación: IsNotEmpty({ message: 'Di quién presenta el escrito' }), IsNotEmpty({ message: 'Indica quién presentó la observación' }), IsString, MaxLength(200)</t>
  </si>
  <si>
    <t xml:space="preserve">Nombre de la persona o empresa interesada que presenta la observación al proyecto de pliego.</t>
  </si>
  <si>
    <t xml:space="preserve">nombre + varchar(200) + vecina identificacion + descripción de la tabla</t>
  </si>
  <si>
    <t xml:space="preserve">C3031</t>
  </si>
  <si>
    <t xml:space="preserve">hiring-service/src/entities/observacion-pliego.entity.ts:29: Opcional: una observación anónima igual hay que responderla. | db/migrations/hiring/017_observaciones_y_mipyme.sql:30: NIT o cédula. Opcional: una observación anónima sigue siendo una observación y la entidad igual debe responderla. | Validación: IsNotEmpty({ message: 'Indica el NIT o documento del oferente' }), IsNotEmpty({ message: 'La identificación es obligatoria para no contar dos veces la misma' }), IsOptional, IsString, MaxLength(40), MaxLength(60)</t>
  </si>
  <si>
    <t xml:space="preserve">NIT o cédula de quien presenta la observación al proyecto de pliego. Opcional: las observaciones anónimas también se registran y se responden.</t>
  </si>
  <si>
    <t xml:space="preserve">código: db/migrations/hiring/017_observaciones_y_mipyme.sql:30; hiring-service/src/entities/observacion-pliego.entity.ts:29</t>
  </si>
  <si>
    <t xml:space="preserve">C3032</t>
  </si>
  <si>
    <t xml:space="preserve">hiring-service/src/entities/observacion-pliego.entity.ts:36: Fecha en que el interesado la presentó, no la del registro: es la que decide si llegó en término. | db/migrations/hiring/017_observaciones_y_mipyme.sql:34: Fecha en que el interesado la presentó, no la del registro: es la que decide si llegó en término, y el gestor la transcribe días después. | Validación: IsISO8601({ strict: true }, { message: 'La fecha de presentación va como YYYY-MM-DD' }), IsISO8601({ strict: true }, { message: 'La fecha debe tener formato YYYY-MM-DD' })</t>
  </si>
  <si>
    <t xml:space="preserve">Fecha en que el interesado presentó la observación, no la de su registro en la plataforma; determina si llegó en término.</t>
  </si>
  <si>
    <t xml:space="preserve">código: hiring-service/src/entities/observacion-pliego.entity.ts:36; db/migrations/hiring/017_observaciones_y_mipyme.sql:34</t>
  </si>
  <si>
    <t xml:space="preserve">C3033</t>
  </si>
  <si>
    <t xml:space="preserve">Mapeada en hiring-service/src/entities/observacion-pliego.entity.ts:39 (ObservacionPliego.asunto) | Validación: IsNotEmpty({ message: 'El asunto es obligatorio' }), IsNotEmpty({ message: 'Ponle un asunto: es lo que se lee en la lista' }), IsString, MaxLength(300)</t>
  </si>
  <si>
    <t xml:space="preserve">Asunto de la observación.</t>
  </si>
  <si>
    <t xml:space="preserve">C3034</t>
  </si>
  <si>
    <t xml:space="preserve">Mapeada en hiring-service/src/entities/observacion-pliego.entity.ts:42 (ObservacionPliego.contenido) | Validación: IsNotEmpty({ message: 'El contenido de la observación es obligatorio' }), IsNotEmpty({ message: 'Transcribe lo que presentó el oferente' }), IsString, MinLength(10, { message: 'El contenido tiene que decir qué presentó el oferente' })</t>
  </si>
  <si>
    <t xml:space="preserve">Texto de la observación presentada al proyecto de pliego.</t>
  </si>
  <si>
    <t xml:space="preserve">nombre + text not null + descripción de la tabla</t>
  </si>
  <si>
    <t xml:space="preserve">C3035</t>
  </si>
  <si>
    <t xml:space="preserve">db/migrations/hiring/017_observaciones_y_mipyme.sql:49: Soporte de la observación tal como llegó. Opcional: puede haberse recibido por un canal que no deja documento.</t>
  </si>
  <si>
    <t xml:space="preserve">Referencia al documento soporte de la observación tal como llegó (hiring.documentos.id); relación sin llave foránea declarada. Opcional, porque la observación puede llegar por un canal que no deja documento.</t>
  </si>
  <si>
    <t xml:space="preserve">código: db/migrations/hiring/017_observaciones_y_mipyme.sql:49</t>
  </si>
  <si>
    <t xml:space="preserve">C3036</t>
  </si>
  <si>
    <t xml:space="preserve">Mapeada en hiring-service/src/entities/observacion-pliego.entity.ts:56 (ObservacionPliego.registradoPor)</t>
  </si>
  <si>
    <t xml:space="preserve">C3037</t>
  </si>
  <si>
    <t xml:space="preserve">db/migrations/hiring/017_observaciones_y_mipyme.sql:53: ---- respuesta de la entidad | Validación: IsNotEmpty({ message: 'Escribe la respuesta: es la que se le notifica al oferente' }), IsNotEmpty({ message: 'La respuesta no puede ir vacía' }), IsString, MinLength(10, { message: 'La respuesta tiene que sustentarse, no basta con aceptar o negar' })</t>
  </si>
  <si>
    <t xml:space="preserve">Respuesta de la entidad a la observación, que se notifica al oferente. Se registra junto con respondida_at y modifico_pliego: las tres quedan vacías o las tres diligenciadas.</t>
  </si>
  <si>
    <t xml:space="preserve">código: db/migrations/hiring/017_observaciones_y_mipyme.sql:53 (sección «respuesta de la entidad»); validaciones DTO</t>
  </si>
  <si>
    <t xml:space="preserve">C3038</t>
  </si>
  <si>
    <t xml:space="preserve">respondida_por</t>
  </si>
  <si>
    <t xml:space="preserve">Mapeada en hiring-service/src/entities/observacion-pliego.entity.ts:62 (ObservacionPliego.respondidaPor)</t>
  </si>
  <si>
    <t xml:space="preserve">Usuario que registró la respuesta a la observación.</t>
  </si>
  <si>
    <t xml:space="preserve">nombre + varchar(160) + patrón *_por</t>
  </si>
  <si>
    <t xml:space="preserve">C3039</t>
  </si>
  <si>
    <t xml:space="preserve">respondida_at</t>
  </si>
  <si>
    <t xml:space="preserve">Mapeada en hiring-service/src/entities/observacion-pliego.entity.ts:65 (ObservacionPliego.respondidaAt)</t>
  </si>
  <si>
    <t xml:space="preserve">Fecha y hora en que se respondió la observación. Se registra junto con respuesta y modifico_pliego.</t>
  </si>
  <si>
    <t xml:space="preserve">nombre + timestamptz + CHECK conjunto con respuesta</t>
  </si>
  <si>
    <t xml:space="preserve">C3040</t>
  </si>
  <si>
    <t xml:space="preserve">modifico_pliego</t>
  </si>
  <si>
    <t xml:space="preserve">hiring-service/src/entities/observacion-pliego.entity.ts:72: Si la observación llevó a cambiar el pliego. Es lo que justifica una adenda posterior y lo que muestra que la observación sirvió de algo. | db/migrations/hiring/017_observaciones_y_mipyme.sql:58: Si la observación llevó a cambiar el pliego. Es el dato que justifica una adenda posterior (EFDS-1154) y el que muestra que la observación sirvió. | Validación: IsBoolean({ message: 'Indica si la observación modificó el pliego' })</t>
  </si>
  <si>
    <t xml:space="preserve">Indica si la observación llevó a cambiar el pliego; sustenta una adenda posterior (EFDS-1154).</t>
  </si>
  <si>
    <t xml:space="preserve">código: hiring-service/src/entities/observacion-pliego.entity.ts:72; db/migrations/hiring/017_observaciones_y_mipyme.sql:58</t>
  </si>
  <si>
    <t xml:space="preserve">C3041</t>
  </si>
  <si>
    <t xml:space="preserve">oferentes</t>
  </si>
  <si>
    <t xml:space="preserve">ix_oferentes_recepcion, uq_oferente_numero</t>
  </si>
  <si>
    <t xml:space="preserve">hiring-service/src/entities/oferente.entity.ts:20: Consecutivo dentro de la recepción: la lista publicada numera por llegada. | db/migrations/hiring/024_recepcion_de_ofertas.sql:128: Consecutivo dentro de la recepción: la lista publicada numera las ofertas por orden de llegada, y ese número es relativo al proceso, no global. | Validación: IsNotEmpty({ message: 'El contrato necesita el número con el que la entidad lo identifica' }), IsNotEmpty({ message: 'El número del CDP es obligatorio' }), IsNotEmpty({ message: 'El registro presupuestal necesita su número' }), IsNotEmpty({ message: 'Registra el número de la modificación' }), IsNotEmpty({ message: 'Registra el número de la resolución' }), IsNotEmpty({ message: 'Registra el número' })</t>
  </si>
  <si>
    <t xml:space="preserve">Consecutivo de la oferta dentro de la recepción, por orden de llegada; es relativo al proceso y es el que numera la lista publicada de oferentes.</t>
  </si>
  <si>
    <t xml:space="preserve">código: hiring-service/src/entities/oferente.entity.ts:20; db/migrations/hiring/024_recepcion_de_ofertas.sql:128</t>
  </si>
  <si>
    <t xml:space="preserve">C3042</t>
  </si>
  <si>
    <t xml:space="preserve">Mapeada en hiring-service/src/entities/oferente.entity.ts:23 (Oferente.nombre)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</si>
  <si>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del registro de oferentes.</t>
  </si>
  <si>
    <t xml:space="preserve">C3043</t>
  </si>
  <si>
    <t xml:space="preserve">uq_oferente_identificacion</t>
  </si>
  <si>
    <t xml:space="preserve">Mapeada en hiring-service/src/entities/oferente.entity.ts:26 (Oferente.identificacion) | Validación: IsNotEmpty({ message: 'Indica el NIT o documento del oferente' }), IsNotEmpty({ message: 'La identificación es obligatoria para no contar dos veces la misma' }), IsOptional, IsString, MaxLength(40), MaxLength(60)</t>
  </si>
  <si>
    <t xml:space="preserve">C3044</t>
  </si>
  <si>
    <t xml:space="preserve">Mapeada en hiring-service/src/entities/oferente.entity.ts:53 (Oferente.registradoPor)</t>
  </si>
  <si>
    <t xml:space="preserve">C3045</t>
  </si>
  <si>
    <t xml:space="preserve">pagos_contrato</t>
  </si>
  <si>
    <t xml:space="preserve">uq_pago_numero</t>
  </si>
  <si>
    <t xml:space="preserve">hiring-service/src/entities/pago-contrato.entity.ts:40: Consecutivo dentro del contrato: «el pago 3». Lo lleva el servicio. | db/migrations/hiring/043_tramite_de_pagos.sql:25: Consecutivo dentro del contrato: «el pago 3 de 8». Lo lleva el servicio, que es quien sabe cuántos hay; una secuencia global no diría nada útil. | Validación: IsNotEmpty({ message: 'El contrato necesita el número con el que la entidad lo identifica' }), IsNotEmpty({ message: 'El número del CDP es obligatorio' }), IsNotEmpty({ message: 'El registro presupuestal necesita su número' }), IsNotEmpty({ message: 'Registra el número de la modificación' }), IsNotEmpty({ message: 'Registra el número de la resolución' }), IsNotEmpty({ message: 'Registra el número' })</t>
  </si>
  <si>
    <t xml:space="preserve">Consecutivo de la cuenta de cobro dentro del contrato (por ejemplo, «el pago 3 de 8»). Lo asigna el servicio.</t>
  </si>
  <si>
    <t xml:space="preserve">código: hiring-service/src/entities/pago-contrato.entity.ts:40; db/migrations/hiring/043_tramite_de_pagos.sql:25</t>
  </si>
  <si>
    <t xml:space="preserve">C3046</t>
  </si>
  <si>
    <t xml:space="preserve">periodo_desde</t>
  </si>
  <si>
    <t xml:space="preserve">hiring-service/src/entities/pago-contrato.entity.ts:49: Periodo que se cobra. Rango y no un mes suelto: los contratos de obra cobran por avance y los de prestación por periodo. | db/migrations/hiring/043_tramite_de_pagos.sql:29: Periodo que se cobra. Va como rango y no como un mes suelto porque los contratos de obra cobran por avance y los de prestación por periodo. | Validación: IsDateString({}, { message: 'El inicio del periodo debe tener el formato YYYY-MM-DD' }), IsOptional</t>
  </si>
  <si>
    <t xml:space="preserve">Fecha de inicio del periodo que se cobra en la cuenta de cobro, expresado como rango con periodo_hasta. No puede ser posterior a periodo_hasta.</t>
  </si>
  <si>
    <t xml:space="preserve">código: hiring-service/src/entities/pago-contrato.entity.ts:49; db/migrations/hiring/043_tramite_de_pagos.sql:29</t>
  </si>
  <si>
    <t xml:space="preserve">C3047</t>
  </si>
  <si>
    <t xml:space="preserve">periodo_hasta</t>
  </si>
  <si>
    <t xml:space="preserve">Mapeada en hiring-service/src/entities/pago-contrato.entity.ts:52 (PagoContrato.periodoHasta) | Validación: IsDateString({}, { message: 'El fin del periodo debe tener el formato YYYY-MM-DD' }), IsOptional</t>
  </si>
  <si>
    <t xml:space="preserve">Fecha de fin del periodo que cubre la cuenta de cobro. No puede ser anterior a periodo_desde.</t>
  </si>
  <si>
    <t xml:space="preserve">nombre + tipo date + CHECK periodo_hasta &gt;= periodo_desde</t>
  </si>
  <si>
    <t xml:space="preserve">C3048</t>
  </si>
  <si>
    <t xml:space="preserve">hiring-service/src/entities/pago-contrato.entity.ts:56: `numeric` llega como string del driver; el transformer lo vuelve número. | Validación: IsNumber({ maxDecimalPlaces: 2 }, { message: 'El salario debe ser un número' }), IsNumber({ maxDecimalPlaces: 2 }, { message: 'El valor debe ser un número' }), IsNumber({}, { message: 'El valor cobrado debe ser un número' }), IsNumber({}, { message: 'El valor comprometido debe ser un número' }), IsNumber({}, { message: 'El valor debe ser un número' }), IsNumber({}, { message: 'El valor del contrato debe ser un número' })</t>
  </si>
  <si>
    <t xml:space="preserve">Valor cobrado en la cuenta de cobro. Debe ser mayor que cero.</t>
  </si>
  <si>
    <t xml:space="preserve">código: hiring-service/src/entities/pago-contrato.entity.ts:56 (solo conversión numérica); validaciones DTO</t>
  </si>
  <si>
    <t xml:space="preserve">C3049</t>
  </si>
  <si>
    <t xml:space="preserve">ANULADO, AVALADO, DEVUELTO, RADICADO, TRAMITADO</t>
  </si>
  <si>
    <t xml:space="preserve">ix_pagos_estado</t>
  </si>
  <si>
    <t xml:space="preserve">Mapeada en hiring-service/src/entities/pago-contrato.entity.ts:74 (PagoContrato.estado)</t>
  </si>
  <si>
    <t xml:space="preserve">Estado del registro de pagos_contrato.</t>
  </si>
  <si>
    <t xml:space="preserve">C3050</t>
  </si>
  <si>
    <t xml:space="preserve">radicado_at</t>
  </si>
  <si>
    <t xml:space="preserve">Mapeada en hiring-service/src/entities/pago-contrato.entity.ts:77 (PagoContrato.radicadoAt)</t>
  </si>
  <si>
    <t xml:space="preserve">Fecha y hora de la radicación.</t>
  </si>
  <si>
    <t xml:space="preserve">C3051</t>
  </si>
  <si>
    <t xml:space="preserve">radicado_por</t>
  </si>
  <si>
    <t xml:space="preserve">Mapeada en hiring-service/src/entities/pago-contrato.entity.ts:80 (PagoContrato.radicadoPor)</t>
  </si>
  <si>
    <t xml:space="preserve">Usuario que realizó la radicación.</t>
  </si>
  <si>
    <t xml:space="preserve">C3052</t>
  </si>
  <si>
    <t xml:space="preserve">avalado_at</t>
  </si>
  <si>
    <t xml:space="preserve">hiring-service/src/entities/pago-contrato.entity.ts:89: Quién avaló, no solo que se avaló. Es la responsabilidad del supervisor la que respalda el pago, y el expediente tiene que poder nombrarla. | db/migrations/hiring/043_tramite_de_pagos.sql:46: El aval del supervisor. Se guarda quién lo dio y no solo que se dio: es su responsabilidad la que respalda el pago.</t>
  </si>
  <si>
    <t xml:space="preserve">Fecha y hora en que el supervisor avaló la cuenta de cobro. Se registra junto con quién dio el aval. Un CHECK la relaciona con el estado TRAMITADO.</t>
  </si>
  <si>
    <t xml:space="preserve">código: hiring-service/src/entities/pago-contrato.entity.ts:89; db/migrations/hiring/043_tramite_de_pagos.sql:46</t>
  </si>
  <si>
    <t xml:space="preserve">¿Debe estar diligenciada cuando el estado es TRAMITADO?</t>
  </si>
  <si>
    <t xml:space="preserve">C3053</t>
  </si>
  <si>
    <t xml:space="preserve">avalado_por</t>
  </si>
  <si>
    <t xml:space="preserve">Mapeada en hiring-service/src/entities/pago-contrato.entity.ts:92 (PagoContrato.avaladoPor)</t>
  </si>
  <si>
    <t xml:space="preserve">Usuario que avaló la cuenta de cobro.</t>
  </si>
  <si>
    <t xml:space="preserve">nombre + varchar(200) + vecina avalado_at</t>
  </si>
  <si>
    <t xml:space="preserve">¿Guarda el nombre, el correo o el identificador del usuario (por ejemplo, el supervisor)?</t>
  </si>
  <si>
    <t xml:space="preserve">C3054</t>
  </si>
  <si>
    <t xml:space="preserve">observacion_aval</t>
  </si>
  <si>
    <t xml:space="preserve">Mapeada en hiring-service/src/entities/pago-contrato.entity.ts:95 (PagoContrato.observacionAval)</t>
  </si>
  <si>
    <t xml:space="preserve">Observación registrada al avalar la cuenta de cobro.</t>
  </si>
  <si>
    <t xml:space="preserve">nombre + text + vecinas avalado_*</t>
  </si>
  <si>
    <t xml:space="preserve">C3055</t>
  </si>
  <si>
    <t xml:space="preserve">devuelto_at</t>
  </si>
  <si>
    <t xml:space="preserve">Mapeada en hiring-service/src/entities/pago-contrato.entity.ts:98 (PagoContrato.devueltoAt)</t>
  </si>
  <si>
    <t xml:space="preserve">Fecha y hora en que se devolvió la cuenta de cobro. Un CHECK la relaciona con el estado DEVUELTO.</t>
  </si>
  <si>
    <t xml:space="preserve">nombre + timestamptz + CHECK con estado DEVUELTO + vecina motivo_devolucion</t>
  </si>
  <si>
    <t xml:space="preserve">C3056</t>
  </si>
  <si>
    <t xml:space="preserve">devuelto_por</t>
  </si>
  <si>
    <t xml:space="preserve">Mapeada en hiring-service/src/entities/pago-contrato.entity.ts:101 (PagoContrato.devueltoPor)</t>
  </si>
  <si>
    <t xml:space="preserve">Usuario que devolvió la cuenta de cobro.</t>
  </si>
  <si>
    <t xml:space="preserve">nombre + varchar(200) + vecina devuelto_at</t>
  </si>
  <si>
    <t xml:space="preserve">C3057</t>
  </si>
  <si>
    <t xml:space="preserve">motivo_devolucion</t>
  </si>
  <si>
    <t xml:space="preserve">Mapeada en hiring-service/src/entities/pago-contrato.entity.ts:104 (PagoContrato.motivoDevolucion)</t>
  </si>
  <si>
    <t xml:space="preserve">Motivo de la devolución.</t>
  </si>
  <si>
    <t xml:space="preserve">C3058</t>
  </si>
  <si>
    <t xml:space="preserve">tramitado_at</t>
  </si>
  <si>
    <t xml:space="preserve">db/migrations/hiring/043_tramite_de_pagos.sql:56: Con qué referencia lo tramitó la Dirección Financiera. Es el número que permite encontrar el pago fuera de la plataforma.</t>
  </si>
  <si>
    <t xml:space="preserve">Fecha y hora en que la Dirección Financiera tramitó el pago de la cuenta de cobro. Un CHECK la relaciona con el estado TRAMITADO.</t>
  </si>
  <si>
    <t xml:space="preserve">código: db/migrations/hiring/043_tramite_de_pagos.sql:56 (el comentario describe la referencia del trámite)</t>
  </si>
  <si>
    <t xml:space="preserve">C3059</t>
  </si>
  <si>
    <t xml:space="preserve">tramitado_por</t>
  </si>
  <si>
    <t xml:space="preserve">Mapeada en hiring-service/src/entities/pago-contrato.entity.ts:110 (PagoContrato.tramitadoPor)</t>
  </si>
  <si>
    <t xml:space="preserve">Usuario que tramitó la cuenta de cobro.</t>
  </si>
  <si>
    <t xml:space="preserve">nombre + varchar(200) + vecina tramitado_at</t>
  </si>
  <si>
    <t xml:space="preserve">C3060</t>
  </si>
  <si>
    <t xml:space="preserve">referencia_pago</t>
  </si>
  <si>
    <t xml:space="preserve">hiring-service/src/entities/pago-contrato.entity.ts:114: Con qué referencia lo tramitó Financiera: es cómo se encuentra fuera. | Validación: IsNotEmpty({ message: 'Registra la referencia con la que se tramitó el pago' }), IsString, MaxLength(120)</t>
  </si>
  <si>
    <t xml:space="preserve">Referencia con la que la Dirección Financiera tramitó el pago; permite ubicar el pago fuera de la plataforma.</t>
  </si>
  <si>
    <t xml:space="preserve">código: hiring-service/src/entities/pago-contrato.entity.ts:114; db/migrations/hiring/043_tramite_de_pagos.sql:56</t>
  </si>
  <si>
    <t xml:space="preserve">C3061</t>
  </si>
  <si>
    <t xml:space="preserve">Mapeada en hiring-service/src/entities/pago-contrato.entity.ts:117 (PagoContrato.anuladoAt)</t>
  </si>
  <si>
    <t xml:space="preserve">C3062</t>
  </si>
  <si>
    <t xml:space="preserve">Mapeada en hiring-service/src/entities/pago-contrato.entity.ts:120 (PagoContrato.anuladoPor)</t>
  </si>
  <si>
    <t xml:space="preserve">C3063</t>
  </si>
  <si>
    <t xml:space="preserve">Mapeada en hiring-service/src/entities/pago-contrato.entity.ts:123 (PagoContrato.motivoAnulacion)</t>
  </si>
  <si>
    <t xml:space="preserve">C3064</t>
  </si>
  <si>
    <t xml:space="preserve">parametros_alerta</t>
  </si>
  <si>
    <t xml:space="preserve">Valor vigente del parámetro de alerta. Debe estar entre minimo y maximo.</t>
  </si>
  <si>
    <t xml:space="preserve">nombre + integer + CHECK con minimo y maximo + descripción de la tabla</t>
  </si>
  <si>
    <t xml:space="preserve">¿La unidad depende de la clave (días para plazos, hora para el aviso diario)?</t>
  </si>
  <si>
    <t xml:space="preserve">C3065</t>
  </si>
  <si>
    <t xml:space="preserve">minimo</t>
  </si>
  <si>
    <t xml:space="preserve">db/migrations/hiring/076_plazos_de_las_alertas.sql:22: Los límites viven en la fila y no en el código: la pantalla los lee para decirle a quien edita qué admite, y el servicio los usa para rechazar.</t>
  </si>
  <si>
    <t xml:space="preserve">Valor mínimo que admite el parámetro de alerta. La pantalla lo muestra a quien edita y el servicio lo usa para rechazar valores fuera del rango.</t>
  </si>
  <si>
    <t xml:space="preserve">código: db/migrations/hiring/076_plazos_de_las_alertas.sql:22</t>
  </si>
  <si>
    <t xml:space="preserve">C3066</t>
  </si>
  <si>
    <t xml:space="preserve">maximo</t>
  </si>
  <si>
    <t xml:space="preserve">Valor máximo permitido para el parámetro.</t>
  </si>
  <si>
    <t xml:space="preserve">nombre + integer + CHECK valor &lt;= maximo</t>
  </si>
  <si>
    <t xml:space="preserve">C3067</t>
  </si>
  <si>
    <t xml:space="preserve">Descripción del registro de parametros_alerta.</t>
  </si>
  <si>
    <t xml:space="preserve">C3068</t>
  </si>
  <si>
    <t xml:space="preserve">parametros_mipyme</t>
  </si>
  <si>
    <t xml:space="preserve">Mapeada en hiring-service/src/entities/parametro-mipyme.entity.ts:26 (ParametroMipyme.valor) | Validación: IsNumber({ maxDecimalPlaces: 2 }, { message: 'El salario debe ser un número' }), IsNumber({ maxDecimalPlaces: 2 }, { message: 'El valor debe ser un número' }), IsNumber({}, { message: 'El valor cobrado debe ser un número' }), IsNumber({}, { message: 'El valor comprometido debe ser un número' }), IsNumber({}, { message: 'El valor debe ser un número' }), IsNumber({}, { message: 'El valor del contrato debe ser un número' })</t>
  </si>
  <si>
    <t xml:space="preserve">Valor de la condición que habilita la limitación a MIPYME, expresado en la unidad indicada. Debe ser mayor que cero.</t>
  </si>
  <si>
    <t xml:space="preserve">nombre + numeric + CHECK valor &gt; 0 + vecina unidad</t>
  </si>
  <si>
    <t xml:space="preserve">C3069</t>
  </si>
  <si>
    <t xml:space="preserve">unidad</t>
  </si>
  <si>
    <t xml:space="preserve">PESOS, SMMLV</t>
  </si>
  <si>
    <t xml:space="preserve">hiring-service/src/entities/parametro-mipyme.entity.ts:30: Nula en el mínimo de manifestaciones, que es un conteo sin unidad. | db/migrations/hiring/017_observaciones_y_mipyme.sql:168: SMMLV o PESOS para el tope; nula para el conteo, que no tiene unidad. | Validación: IsIn(['SMMLV', 'PESOS'], { message: 'La unidad debe ser SMMLV o PESOS' }), IsOptional</t>
  </si>
  <si>
    <t xml:space="preserve">Unidad en que se expresa el valor del parámetro: SMMLV o PESOS para el tope; nula para el mínimo de manifestaciones, que es un conteo.</t>
  </si>
  <si>
    <t xml:space="preserve">código: hiring-service/src/entities/parametro-mipyme.entity.ts:30; db/migrations/hiring/017_observaciones_y_mipyme.sql:168</t>
  </si>
  <si>
    <t xml:space="preserve">C3070</t>
  </si>
  <si>
    <t xml:space="preserve">Mapeada en hiring-service/src/entities/parametro-mipyme.entity.ts:33 (ParametroMipyme.descripcion) | Validación: IsNotEmpty({ message: 'Describe el entregable' }), IsNotEmpty({ message: 'Describe la pieza: una lista de archivos sin decir cuál es cuál no documenta nada' }), IsNotEmpty({ message: 'Describe qué acredita el soporte' }), IsOptional, IsString, MaxLength(1000)</t>
  </si>
  <si>
    <t xml:space="preserve">Descripción del registro de parametros_mipyme.</t>
  </si>
  <si>
    <t xml:space="preserve">C3071</t>
  </si>
  <si>
    <t xml:space="preserve">hiring-service/src/entities/parametro-mipyme.entity.ts:41: De dónde sale la cifra. Importa especialmente en el tope: el decreto lo expresa en dólares y su equivalente aquí es una derivación, no un dato oficial. | Validación: IsOptional, IsString</t>
  </si>
  <si>
    <t xml:space="preserve">Origen de la cifra del parámetro. En el tope, el decreto lo expresa en dólares y el valor registrado es una equivalencia derivada.</t>
  </si>
  <si>
    <t xml:space="preserve">código: hiring-service/src/entities/parametro-mipyme.entity.ts:41</t>
  </si>
  <si>
    <t xml:space="preserve">C3072</t>
  </si>
  <si>
    <t xml:space="preserve">hiring-service/src/entities/parametro-mipyme.entity.ts:45: False mientras la Dirección de Contratación no confirme la cifra. | db/migrations/hiring/017_observaciones_y_mipyme.sql:172: False mientras la Dirección de Contratación no confirme la cifra. | Validación: IsBoolean, IsOptional</t>
  </si>
  <si>
    <t xml:space="preserve">Indica si la Dirección de Contratación confirmó la cifra del parámetro; es falso mientras no se confirme.</t>
  </si>
  <si>
    <t xml:space="preserve">código: hiring-service/src/entities/parametro-mipyme.entity.ts:45; db/migrations/hiring/017_observaciones_y_mipyme.sql:172</t>
  </si>
  <si>
    <t xml:space="preserve">C3073</t>
  </si>
  <si>
    <t xml:space="preserve">participaciones_proceso</t>
  </si>
  <si>
    <t xml:space="preserve">papel</t>
  </si>
  <si>
    <t xml:space="preserve">ABOGADO, CONTRATACION, FINANCIERA</t>
  </si>
  <si>
    <t xml:space="preserve">ix_participaciones_papel_vigente, uq_participacion_vigente</t>
  </si>
  <si>
    <t xml:space="preserve">Mapeada en hiring-service/src/entities/participacion-proceso.entity.ts:46 (ParticipacionProceso.papel)</t>
  </si>
  <si>
    <t xml:space="preserve">Papel de la persona en el proceso. Valores permitidos: ABOGADO, CONTRATACION, FINANCIERA.</t>
  </si>
  <si>
    <t xml:space="preserve">valores permitidos del CHECK + índice uq_participacion_vigente</t>
  </si>
  <si>
    <t xml:space="preserve">C3074</t>
  </si>
  <si>
    <t xml:space="preserve">hiring-service/src/entities/participacion-proceso.entity.ts:50: `id_user` de auth."user", que es lo que el JWT trae en `sub`. | db/migrations/hiring/064_quien_esta_en_el_proceso.sql:40: `id_user` de auth."user", que es lo que el JWT trae en `sub`. Sin llave foránea a propósito, por el mismo criterio de la 038: ese esquema es de otro equipo y una FK entre esquemas ataría nuestras migraciones a las suyas. | Validación: IsUUID('4', { message: 'El abogado se identifica con el id de su cuenta' })</t>
  </si>
  <si>
    <t xml:space="preserve">Identificador de la cuenta de usuario asignada al proceso (id_user de auth."user", el valor que el token JWT trae en sub). Sin llave foránea declarada, por tratarse de un esquema de otro equipo.</t>
  </si>
  <si>
    <t xml:space="preserve">código: hiring-service/src/entities/participacion-proceso.entity.ts:50; db/migrations/hiring/064_quien_esta_en_el_proceso.sql:40</t>
  </si>
  <si>
    <t xml:space="preserve">C3075</t>
  </si>
  <si>
    <t xml:space="preserve">hiring-service/src/entities/participacion-proceso.entity.ts:60: El `username` de la cuenta. Es el identificador que usan los listados: `procesos.created_by` guarda ese mismo username, así que «los que radiqué o los que me tocan» se responde comparando lo mismo en los dos lados. | db/migrations/hiring/064_quien_esta_en_el_proceso.sql:46: El `username` de la cuenta. Es la columna que de verdad usan los listados: `procesos.created_by` guarda ese mismo username, así que preguntar «los que radiqué o los que me tocan» se responde comparando lo mismo en los dos lados. Se guardan los dos identificadores porque el token trae ambos y ninguno</t>
  </si>
  <si>
    <t xml:space="preserve">Nombre de usuario (username) de la cuenta asignada al proceso. Es el identificador que usan los listados y coincide con el que guarda procesos.created_by.</t>
  </si>
  <si>
    <t xml:space="preserve">código: hiring-service/src/entities/participacion-proceso.entity.ts:60; db/migrations/hiring/064_quien_esta_en_el_proceso.sql:46</t>
  </si>
  <si>
    <t xml:space="preserve">C3076</t>
  </si>
  <si>
    <t xml:space="preserve">hiring-service/src/entities/participacion-proceso.entity.ts:64: `id_person` del directorio; nulo si la cuenta no tiene persona enlazada. | db/migrations/hiring/064_quien_esta_en_el_proceso.sql:50: `id_person` del directorio, para enlazar la cuenta con la persona cuando haga falta mostrar cargo o dependencia. Nulo si la cuenta no tiene persona. | Validación: IsUUID('4', { message: 'Cada miembro se identifica con el id de la persona del directorio' }), IsUUID('4', { message: 'El supervisor se identifica con el id de la persona del directorio' })</t>
  </si>
  <si>
    <t xml:space="preserve">Identificador de la persona en el directorio (id_person) asociada a la cuenta asignada; permite mostrar cargo o dependencia. Nulo si la cuenta no tiene persona enlazada.</t>
  </si>
  <si>
    <t xml:space="preserve">código: hiring-service/src/entities/participacion-proceso.entity.ts:64; db/migrations/hiring/064_quien_esta_en_el_proceso.sql:50</t>
  </si>
  <si>
    <t xml:space="preserve">C3077</t>
  </si>
  <si>
    <t xml:space="preserve">hiring-service/src/entities/participacion-proceso.entity.ts:68: Copia del nombre al entrar: el reparto se hizo sobre esa persona ese día. | db/migrations/hiring/064_quien_esta_en_el_proceso.sql:52: Copia del nombre al entrar: el reparto se hizo sobre esa persona ese día.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</si>
  <si>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 la persona asignada al proceso, copiado en el momento de la asignación.</t>
  </si>
  <si>
    <t xml:space="preserve">código: hiring-service/src/entities/participacion-proceso.entity.ts:68; db/migrations/hiring/064_quien_esta_en_el_proceso.sql:52</t>
  </si>
  <si>
    <t xml:space="preserve">C3078</t>
  </si>
  <si>
    <t xml:space="preserve">Mapeada en hiring-service/src/entities/participacion-proceso.entity.ts:71 (ParticipacionProceso.cargo) | Validación: IsOptional, IsString, MaxLength(200)</t>
  </si>
  <si>
    <t xml:space="preserve">Cargo de la persona asignada al proceso.</t>
  </si>
  <si>
    <t xml:space="preserve">C3079</t>
  </si>
  <si>
    <t xml:space="preserve">Mapeada en hiring-service/src/entities/participacion-proceso.entity.ts:74 (ParticipacionProceso.email) | Validación: IsEmail({}, { message: 'El correo del supervisor no tiene un formato válido' }), IsOptional, MaxLength(200)</t>
  </si>
  <si>
    <t xml:space="preserve">C3080</t>
  </si>
  <si>
    <t xml:space="preserve">hiring-service/src/entities/participacion-proceso.entity.ts:83: Quién lo puso ahí. En el papel `CONTRATACION` es la propia persona: el proceso no se lo entrega nadie, lo toma de la bandeja compartida. | db/migrations/hiring/064_quien_esta_en_el_proceso.sql:58: Quién lo puso ahí. En el papel CONTRATACION es la propia persona: el proceso no se lo entrega nadie, lo toma de la bandeja compartida.</t>
  </si>
  <si>
    <t xml:space="preserve">Usuario que asignó a la persona al proceso. En el papel CONTRATACION es la misma persona, que toma el proceso de la bandeja compartida.</t>
  </si>
  <si>
    <t xml:space="preserve">código: hiring-service/src/entities/participacion-proceso.entity.ts:83; db/migrations/hiring/064_quien_esta_en_el_proceso.sql:58</t>
  </si>
  <si>
    <t xml:space="preserve">C3081</t>
  </si>
  <si>
    <t xml:space="preserve">asignado_at</t>
  </si>
  <si>
    <t xml:space="preserve">Mapeada en hiring-service/src/entities/participacion-proceso.entity.ts:86 (ParticipacionProceso.asignadoAt)</t>
  </si>
  <si>
    <t xml:space="preserve">C3082</t>
  </si>
  <si>
    <t xml:space="preserve">RELEVADO, VIGENTE</t>
  </si>
  <si>
    <t xml:space="preserve">Mapeada en hiring-service/src/entities/participacion-proceso.entity.ts:89 (ParticipacionProceso.estado)</t>
  </si>
  <si>
    <t xml:space="preserve">Estado del registro de participaciones_proceso.</t>
  </si>
  <si>
    <t xml:space="preserve">C3083</t>
  </si>
  <si>
    <t xml:space="preserve">relevado_at</t>
  </si>
  <si>
    <t xml:space="preserve">Mapeada en hiring-service/src/entities/participacion-proceso.entity.ts:95 (ParticipacionProceso.relevadoAt)</t>
  </si>
  <si>
    <t xml:space="preserve">Fecha y hora en que la persona fue relevada del proceso. Un CHECK la relaciona con el estado RELEVADO.</t>
  </si>
  <si>
    <t xml:space="preserve">nombre + timestamptz + CHECK con estado RELEVADO + vecina motivo_relevo</t>
  </si>
  <si>
    <t xml:space="preserve">C3084</t>
  </si>
  <si>
    <t xml:space="preserve">relevado_por</t>
  </si>
  <si>
    <t xml:space="preserve">Mapeada en hiring-service/src/entities/participacion-proceso.entity.ts:98 (ParticipacionProceso.relevadoPor)</t>
  </si>
  <si>
    <t xml:space="preserve">Usuario que registró el relevo.</t>
  </si>
  <si>
    <t xml:space="preserve">nombre + varchar(200) + vecina relevado_at</t>
  </si>
  <si>
    <t xml:space="preserve">C3085</t>
  </si>
  <si>
    <t xml:space="preserve">motivo_relevo</t>
  </si>
  <si>
    <t xml:space="preserve">Mapeada en hiring-service/src/entities/participacion-proceso.entity.ts:101 (ParticipacionProceso.motivoRelevo)</t>
  </si>
  <si>
    <t xml:space="preserve">Motivo del relevo.</t>
  </si>
  <si>
    <t xml:space="preserve">C3086</t>
  </si>
  <si>
    <t xml:space="preserve">piezas_audiencia</t>
  </si>
  <si>
    <t xml:space="preserve">ANEXO, GRABACION, OBSERVACION</t>
  </si>
  <si>
    <t xml:space="preserve">db/migrations/hiring/040_adjudicacion.sql:95: GRABACION es el registro audiovisual; OBSERVACION, lo que se planteó en la audiencia y su respuesta; ANEXO, todo lo demás que la entidad quiera dejar. | Validación: IsIn(TIPOS_CAMPO as unknown as string[]), IsIn(TIPOS_LIQUIDACION, {
    message: 'La liquidación es bilateral, de común acuerdo, o unilateral, por acto de la entidad',
  }), IsIn(TIPOS_REGLA as unknown as string[]), IsIn(TIPOS_SOPORTE, {
    message: 'El soporte es seguridad social, RUT, certificación bancaria u otro',
  }), IsIn(['GRABACION', 'OBSERVACION', 'ANEXO'], {
    message: 'Di qué es: una grabación, una observación con su respuesta, o un anexo',
  }), IsIn(['INFORME', 'ACTA', 'SOPORTE'], {
    message: 'El soporte es un informe, un acta u otro documento de la ejecución',
  })</t>
  </si>
  <si>
    <t xml:space="preserve">Tipo de pieza que documenta la audiencia además del acta: GRABACION (registro audiovisual), OBSERVACION (lo planteado en la audiencia y su respuesta) o ANEXO (otro documento que la entidad quiera dejar).</t>
  </si>
  <si>
    <t xml:space="preserve">código: db/migrations/hiring/040_adjudicacion.sql:95</t>
  </si>
  <si>
    <t xml:space="preserve">C3087</t>
  </si>
  <si>
    <t xml:space="preserve">Mapeada en hiring-service/src/entities/audiencia-adjudicacion.entity.ts:89 (PiezaAudiencia.descripcion) | Validación: IsNotEmpty({ message: 'Describe el entregable' }), IsNotEmpty({ message: 'Describe la pieza: una lista de archivos sin decir cuál es cuál no documenta nada' }), IsNotEmpty({ message: 'Describe qué acredita el soporte' }), IsOptional, IsString, MaxLength(1000)</t>
  </si>
  <si>
    <t xml:space="preserve">Descripción del registro de piezas_audiencia.</t>
  </si>
  <si>
    <t xml:space="preserve">C3088</t>
  </si>
  <si>
    <t xml:space="preserve">Mapeada en hiring-service/src/entities/audiencia-adjudicacion.entity.ts:92 (PiezaAudiencia.cargadaPor)</t>
  </si>
  <si>
    <t xml:space="preserve">C3089</t>
  </si>
  <si>
    <t xml:space="preserve">plantillas</t>
  </si>
  <si>
    <t xml:space="preserve">uq_plantilla_codigo_version</t>
  </si>
  <si>
    <t xml:space="preserve">hiring-service/src/entities/plantilla.entity.ts:17: Código del SIG, p. ej. BS-FO-047. | db/migrations/hiring/006_estudio_previo_documental.sql:25: Código del Sistema Integrado de Gestión (Isolución) | Validación: IsNotEmpty, IsNotEmpty({ message: 'La tipología necesita un código' }), IsOptional, IsString, MaxLength(40), MaxLength(60)</t>
  </si>
  <si>
    <t xml:space="preserve">Código del formato en el Sistema Integrado de Gestión (Isolución), por ejemplo BS-FO-047.</t>
  </si>
  <si>
    <t xml:space="preserve">código: hiring-service/src/entities/plantilla.entity.ts:17; db/migrations/hiring/006_estudio_previo_documental.sql:25</t>
  </si>
  <si>
    <t xml:space="preserve">C3090</t>
  </si>
  <si>
    <t xml:space="preserve">character varying(400)</t>
  </si>
  <si>
    <t xml:space="preserve">Mapeada en hiring-service/src/entities/plantilla.entity.ts:20 (Plantilla.nombre)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</si>
  <si>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del registro de plantillas.</t>
  </si>
  <si>
    <t xml:space="preserve">C3091</t>
  </si>
  <si>
    <t xml:space="preserve">idx_plantillas_numeral</t>
  </si>
  <si>
    <t xml:space="preserve">Mapeada en hiring-service/src/entities/plantilla.entity.ts:23 (Plantilla.numeral) | Validación: IsNotEmpty, IsOptional, IsString, MaxLength(20)</t>
  </si>
  <si>
    <t xml:space="preserve">Numeral de la actividad del proceso de contratación al que corresponde la plantilla.</t>
  </si>
  <si>
    <t xml:space="preserve">nombre + varchar(20) + índice + uso de numeral en proceso_actividades</t>
  </si>
  <si>
    <t xml:space="preserve">¿El numeral corresponde a la actividad del procedimiento (por ejemplo, 3.7) o al código del formato del SIG?</t>
  </si>
  <si>
    <t xml:space="preserve">C3092</t>
  </si>
  <si>
    <t xml:space="preserve">Mapeada en hiring-service/src/entities/plantilla.entity.ts:26 (Plantilla.version) | Validación: IsInt, IsOptional, Min(1)</t>
  </si>
  <si>
    <t xml:space="preserve">C3093</t>
  </si>
  <si>
    <t xml:space="preserve">Mapeada en hiring-service/src/entities/plantilla.entity.ts:29 (Plantilla.fechaAprobacion) | Validación: IsOptional, IsString</t>
  </si>
  <si>
    <t xml:space="preserve">C3094</t>
  </si>
  <si>
    <t xml:space="preserve">hiring-service/src/entities/plantilla.entity.ts:33: Modalidades a las que aplica el formato; vacío = todas. | db/migrations/hiring/006_estudio_previo_documental.sql:31: Modalidades a las que aplica el formato; vacío = todas | Validación: IsArray, IsOptional, IsString({ each: true })</t>
  </si>
  <si>
    <t xml:space="preserve">Modalidades de contratación a las que aplica el formato, en formato JSON (lista). Una lista vacía significa que aplica a todas.</t>
  </si>
  <si>
    <t xml:space="preserve">código: hiring-service/src/entities/plantilla.entity.ts:33; db/migrations/hiring/006_estudio_previo_documental.sql:31</t>
  </si>
  <si>
    <t xml:space="preserve">C3095</t>
  </si>
  <si>
    <t xml:space="preserve">Mapeada en hiring-service/src/entities/plantilla.entity.ts:36 (Plantilla.archivoUrl)</t>
  </si>
  <si>
    <t xml:space="preserve">URL del archivo de la plantilla.</t>
  </si>
  <si>
    <t xml:space="preserve">C3096</t>
  </si>
  <si>
    <t xml:space="preserve">Mapeada en hiring-service/src/entities/plantilla.entity.ts:39 (Plantilla.activo) | Validación: IsBoolean, IsOptional</t>
  </si>
  <si>
    <t xml:space="preserve">C3097</t>
  </si>
  <si>
    <t xml:space="preserve">plazo_publicacion_acta</t>
  </si>
  <si>
    <t xml:space="preserve">Mapeada en hiring-service/src/entities/publicacion-acta.entity.ts:78 (PlazoPublicacionActa.diasHabiles) | Validación: IsInt({ message: 'El plazo debe ser un número entero de días' }), Max(365, { message: 'Un plazo de publicidad de más de un año no es plausible' }), Min(1, { message: 'El plazo debe ser de al menos un día hábil' })</t>
  </si>
  <si>
    <t xml:space="preserve">Número de días hábiles.</t>
  </si>
  <si>
    <t xml:space="preserve">C3098</t>
  </si>
  <si>
    <t xml:space="preserve">hiring-service/src/entities/publicacion-acta.entity.ts:82: De dónde sale la cifra: norma o acta que la respalda. | Validación: IsOptional, IsString</t>
  </si>
  <si>
    <t xml:space="preserve">Origen de la cifra del plazo para publicar el acta: norma o acta que la respalda.</t>
  </si>
  <si>
    <t xml:space="preserve">código: hiring-service/src/entities/publicacion-acta.entity.ts:82</t>
  </si>
  <si>
    <t xml:space="preserve">C3099</t>
  </si>
  <si>
    <t xml:space="preserve">hiring-service/src/entities/publicacion-acta.entity.ts:86: False mientras la Dirección de Contratación no valide el número. | Validación: IsBoolean, IsOptional</t>
  </si>
  <si>
    <t xml:space="preserve">Indica si la Dirección de Contratación validó el plazo para publicar el acta; es falso mientras no se valide.</t>
  </si>
  <si>
    <t xml:space="preserve">código: hiring-service/src/entities/publicacion-acta.entity.ts:86</t>
  </si>
  <si>
    <t xml:space="preserve">C3100</t>
  </si>
  <si>
    <t xml:space="preserve">actualizado_at</t>
  </si>
  <si>
    <t xml:space="preserve">Mapeada en hiring-service/src/entities/publicacion-acta.entity.ts:89 (PlazoPublicacionActa.actualizadoAt)</t>
  </si>
  <si>
    <t xml:space="preserve">C3101</t>
  </si>
  <si>
    <t xml:space="preserve">plazo_publicacion_contrato</t>
  </si>
  <si>
    <t xml:space="preserve">Mapeada en hiring-service/src/entities/publicacion-contrato.entity.ts:64 (PlazoPublicacionContrato.diasHabiles) | Validación: IsInt({ message: 'El plazo debe ser un número entero de días' }), Max(365, { message: 'Un plazo de publicidad de más de un año no es plausible' }), Min(1, { message: 'El plazo debe ser de al menos un día hábil' })</t>
  </si>
  <si>
    <t xml:space="preserve">C3102</t>
  </si>
  <si>
    <t xml:space="preserve">hiring-service/src/entities/publicacion-contrato.entity.ts:68: De dónde sale la cifra: norma o acta que la respalda. | Validación: IsOptional, IsString</t>
  </si>
  <si>
    <t xml:space="preserve">Origen de la cifra del plazo para publicar el contrato: norma o acta que la respalda.</t>
  </si>
  <si>
    <t xml:space="preserve">código: hiring-service/src/entities/publicacion-contrato.entity.ts:68</t>
  </si>
  <si>
    <t xml:space="preserve">C3103</t>
  </si>
  <si>
    <t xml:space="preserve">hiring-service/src/entities/publicacion-contrato.entity.ts:72: False mientras la Dirección de Contratación no valide el número. | db/migrations/hiring/040_publicacion_contrato.sql:29: False mientras la Dirección de Contratación no valide el número: un plazo sin confirmar se muestra advertido, no como si fuera cierto. | Validación: IsBoolean, IsOptional</t>
  </si>
  <si>
    <t xml:space="preserve">Indica si la Dirección de Contratación validó el plazo para publicar el contrato; es falso mientras no se valide, y un plazo sin confirmar se muestra con advertencia.</t>
  </si>
  <si>
    <t xml:space="preserve">código: hiring-service/src/entities/publicacion-contrato.entity.ts:72; db/migrations/hiring/040_publicacion_contrato.sql:29</t>
  </si>
  <si>
    <t xml:space="preserve">C3104</t>
  </si>
  <si>
    <t xml:space="preserve">Mapeada en hiring-service/src/entities/publicacion-contrato.entity.ts:75 (PlazoPublicacionContrato.actualizadoAt)</t>
  </si>
  <si>
    <t xml:space="preserve">C3105</t>
  </si>
  <si>
    <t xml:space="preserve">plazos_ofertas</t>
  </si>
  <si>
    <t xml:space="preserve">Mapeada en hiring-service/src/entities/plazo-ofertas.entity.ts:18 (PlazoOfertas.diasHabiles) | Validación: IsInt({ message: 'El plazo debe ser un número entero de días' }), Max(365, { message: 'Un plazo de publicidad de más de un año no es plausible' }), Min(1, { message: 'El plazo debe ser de al menos un día hábil' })</t>
  </si>
  <si>
    <t xml:space="preserve">C3106</t>
  </si>
  <si>
    <t xml:space="preserve">hiring-service/src/entities/plazo-ofertas.entity.ts:22: De dónde sale el número, con el mismo criterio de los plazos de publicidad. | db/migrations/hiring/024_recepcion_de_ofertas.sql:47: De dónde sale el número, con el mismo criterio de la 016. | Validación: IsOptional, IsString</t>
  </si>
  <si>
    <t xml:space="preserve">Origen del número de días del plazo de recepción de ofertas: norma o acta que lo respalda.</t>
  </si>
  <si>
    <t xml:space="preserve">código: hiring-service/src/entities/plazo-ofertas.entity.ts:22; db/migrations/hiring/024_recepcion_de_ofertas.sql:47 (remiten al criterio de los plazos de publicidad)</t>
  </si>
  <si>
    <t xml:space="preserve">C3107</t>
  </si>
  <si>
    <t xml:space="preserve">hiring-service/src/entities/plazo-ofertas.entity.ts:31: False mientras la Dirección de Contratación no confirme el plazo. Todos entran sin confirmar: la historia da por supuesto que el proceso tiene plazo de ofertas vigente, pero no dice de cuánto ni quién lo fija. | db/migrations/hiring/024_recepcion_de_ofertas.sql:49: False mientras la Dirección de Contratación no confirme el plazo. | Validación: IsBoolean, IsOptional</t>
  </si>
  <si>
    <t xml:space="preserve">Indica si la Dirección de Contratación confirmó el plazo de recepción de ofertas; es falso mientras no se confirme, y los plazos se cargan sin confirmar.</t>
  </si>
  <si>
    <t xml:space="preserve">código: hiring-service/src/entities/plazo-ofertas.entity.ts:31; db/migrations/hiring/024_recepcion_de_ofertas.sql:49</t>
  </si>
  <si>
    <t xml:space="preserve">C3108</t>
  </si>
  <si>
    <t xml:space="preserve">plazos_publicacion</t>
  </si>
  <si>
    <t xml:space="preserve">Mapeada en hiring-service/src/entities/plazo-publicacion.entity.ts:16 (PlazoPublicacion.diasHabiles) | Validación: IsInt({ message: 'El plazo debe ser un número entero de días' }), Max(365, { message: 'Un plazo de publicidad de más de un año no es plausible' }), Min(1, { message: 'El plazo debe ser de al menos un día hábil' })</t>
  </si>
  <si>
    <t xml:space="preserve">C3109</t>
  </si>
  <si>
    <t xml:space="preserve">hiring-service/src/entities/plazo-publicacion.entity.ts:23: De dónde sale el número. Sin esto, dentro de un año nadie sabrá si el 5 vino del decreto o de un supuesto del equipo. | db/migrations/hiring/016_publicacion_pliego.sql:53: De dónde sale el número. Sin esto, dentro de un año nadie sabrá si el 5 vino del decreto o de un supuesto del equipo. | Validación: IsOptional, IsString</t>
  </si>
  <si>
    <t xml:space="preserve">Origen del número de días del plazo de publicidad del proyecto de pliego (por ejemplo, el decreto o un supuesto del equipo).</t>
  </si>
  <si>
    <t xml:space="preserve">código: hiring-service/src/entities/plazo-publicacion.entity.ts:23; db/migrations/hiring/016_publicacion_pliego.sql:53</t>
  </si>
  <si>
    <t xml:space="preserve">C3110</t>
  </si>
  <si>
    <t xml:space="preserve">hiring-service/src/entities/plazo-publicacion.entity.ts:27: False mientras la Dirección de Contratación no confirme el plazo. | db/migrations/hiring/016_publicacion_pliego.sql:55: False mientras la Dirección de Contratación no confirme el plazo. | Validación: IsBoolean, IsOptional</t>
  </si>
  <si>
    <t xml:space="preserve">Indica si la Dirección de Contratación confirmó el plazo de publicidad del proyecto de pliego; es falso mientras no se confirme.</t>
  </si>
  <si>
    <t xml:space="preserve">código: hiring-service/src/entities/plazo-publicacion.entity.ts:27; db/migrations/hiring/016_publicacion_pliego.sql:55</t>
  </si>
  <si>
    <t xml:space="preserve">C3111</t>
  </si>
  <si>
    <t xml:space="preserve">plazos_traslado</t>
  </si>
  <si>
    <t xml:space="preserve">Mapeada en hiring-service/src/entities/plazo-traslado.entity.ts:21 (PlazoTraslado.diasHabiles) | Validación: IsInt({ message: 'El plazo debe ser un número entero de días' }), Max(365, { message: 'Un plazo de publicidad de más de un año no es plausible' }), Min(1, { message: 'El plazo debe ser de al menos un día hábil' })</t>
  </si>
  <si>
    <t xml:space="preserve">C3112</t>
  </si>
  <si>
    <t xml:space="preserve">Mapeada en hiring-service/src/entities/plazo-traslado.entity.ts:24 (PlazoTraslado.fundamento) | Validación: IsOptional, IsString</t>
  </si>
  <si>
    <t xml:space="preserve">Fundamento normativo del plazo.</t>
  </si>
  <si>
    <t xml:space="preserve">nombre + text + vecinas dias_habiles y confirmado</t>
  </si>
  <si>
    <t xml:space="preserve">¿Guarda la norma o el texto que sustenta el plazo?</t>
  </si>
  <si>
    <t xml:space="preserve">C3113</t>
  </si>
  <si>
    <t xml:space="preserve">hiring-service/src/entities/plazo-traslado.entity.ts:33: False mientras la Dirección de Contratación no confirme el plazo. Todos entran sin confirmar: RF-PUB-08 dice "traslado con plazos por modalidad" y no cifra ninguno. Ver EFDS-1467. | db/migrations/hiring/039_traslado_y_subsanaciones.sql:37: False mientras la Dirección de Contratación no confirme el plazo. | Validación: IsBoolean, IsOptional</t>
  </si>
  <si>
    <t xml:space="preserve">Indica si la Dirección de Contratación confirmó el plazo de traslado del informe de evaluación; es falso mientras no se confirme, y los plazos se cargan sin confirmar (RF-PUB-08, EFDS-1467).</t>
  </si>
  <si>
    <t xml:space="preserve">código: hiring-service/src/entities/plazo-traslado.entity.ts:33; db/migrations/hiring/039_traslado_y_subsanaciones.sql:37</t>
  </si>
  <si>
    <t xml:space="preserve">C3114</t>
  </si>
  <si>
    <t xml:space="preserve">proceso_actividades</t>
  </si>
  <si>
    <t xml:space="preserve">uq_proceso_numeral</t>
  </si>
  <si>
    <t xml:space="preserve">Mapeada en hiring-service/src/entities/proceso-actividad.entity.ts:36 (ProcesoActividad.numeral) | Validación: IsNotEmpty, IsOptional, IsString, MaxLength(20)</t>
  </si>
  <si>
    <t xml:space="preserve">Numeral de la actividad dentro del procedimiento de contratación. Es único por proceso.</t>
  </si>
  <si>
    <t xml:space="preserve">nombre + varchar(20) + índice uq_proceso_numeral</t>
  </si>
  <si>
    <t xml:space="preserve">C3115</t>
  </si>
  <si>
    <t xml:space="preserve">APROBADO, BORRADOR, DEVUELTO, EN_REVISION, NEGADO, NO_APLICA</t>
  </si>
  <si>
    <t xml:space="preserve">Mapeada en hiring-service/src/entities/proceso-actividad.entity.ts:39 (ProcesoActividad.estado)</t>
  </si>
  <si>
    <t xml:space="preserve">Estado del registro de proceso_actividades.</t>
  </si>
  <si>
    <t xml:space="preserve">C3116</t>
  </si>
  <si>
    <t xml:space="preserve">hiring-service/src/entities/proceso-actividad.entity.ts:43: Valores del formulario, con la forma que define campos_formulario. | Validación: IsObject, IsOptional</t>
  </si>
  <si>
    <t xml:space="preserve">Valores del formulario diligenciado en la actividad, en formato JSON, con la estructura que define campos_formulario.</t>
  </si>
  <si>
    <t xml:space="preserve">código: hiring-service/src/entities/proceso-actividad.entity.ts:43</t>
  </si>
  <si>
    <t xml:space="preserve">C3117</t>
  </si>
  <si>
    <t xml:space="preserve">hiring-service/src/entities/proceso-actividad.entity.ts:47: Optimistic lock: se incrementa en cada guardado. | db/migrations/hiring/003_estudio_previo.sql:53: Optimistic lock: se incrementa en cada guardado; el cliente manda la versión que leyó y un desfase responde 409 en vez de pisar cambios. | Validación: IsInt, IsOptional, Min(1)</t>
  </si>
  <si>
    <t xml:space="preserve">Versión del registro para control de concurrencia optimista: se incrementa en cada guardado y, si la versión que envía el cliente no coincide, la operación se rechaza (409) en lugar de sobrescribir cambios.</t>
  </si>
  <si>
    <t xml:space="preserve">código: hiring-service/src/entities/proceso-actividad.entity.ts:47; db/migrations/hiring/003_estudio_previo.sql:53</t>
  </si>
  <si>
    <t xml:space="preserve">C3118</t>
  </si>
  <si>
    <t xml:space="preserve">Mapeada en hiring-service/src/entities/proceso-actividad.entity.ts:50 (ProcesoActividad.enviadoPor)</t>
  </si>
  <si>
    <t xml:space="preserve">C3119</t>
  </si>
  <si>
    <t xml:space="preserve">enviado_at</t>
  </si>
  <si>
    <t xml:space="preserve">Mapeada en hiring-service/src/entities/proceso-actividad.entity.ts:66 (ProcesoActividad.enviadoAt)</t>
  </si>
  <si>
    <t xml:space="preserve">Fecha y hora del envío.</t>
  </si>
  <si>
    <t xml:space="preserve">C3120</t>
  </si>
  <si>
    <t xml:space="preserve">Mapeada en hiring-service/src/entities/proceso-actividad.entity.ts:69 (ProcesoActividad.revisadoPor)</t>
  </si>
  <si>
    <t xml:space="preserve">C3121</t>
  </si>
  <si>
    <t xml:space="preserve">revisado_at</t>
  </si>
  <si>
    <t xml:space="preserve">Mapeada en hiring-service/src/entities/proceso-actividad.entity.ts:72 (ProcesoActividad.revisadoAt)</t>
  </si>
  <si>
    <t xml:space="preserve">C3122</t>
  </si>
  <si>
    <t xml:space="preserve">documento_requerido</t>
  </si>
  <si>
    <t xml:space="preserve">Indica si el registro está documento requerido.</t>
  </si>
  <si>
    <t xml:space="preserve">C3123</t>
  </si>
  <si>
    <t xml:space="preserve">procesos</t>
  </si>
  <si>
    <t xml:space="preserve">procesos_radicado_key</t>
  </si>
  <si>
    <t xml:space="preserve">Mapeada en hiring-service/src/entities/proceso.entity.ts:22 (Proceso.radicado) | Validación: IsOptional, IsString, MaxLength(120)</t>
  </si>
  <si>
    <t xml:space="preserve">Número de radicado del proceso de contratación. Es único.</t>
  </si>
  <si>
    <t xml:space="preserve">nombre + varchar(60) + restricción única</t>
  </si>
  <si>
    <t xml:space="preserve">C3124</t>
  </si>
  <si>
    <t xml:space="preserve">Mapeada en hiring-service/src/entities/proceso.entity.ts:39 (Proceso.objeto) | Validación: IsNotEmpty({ message: 'Describe qué modifica la adenda' }), IsNotEmpty({ message: 'El objeto del proceso es obligatorio' }), IsOptional, IsString, MaxLength(2000), MaxLength(4000)</t>
  </si>
  <si>
    <t xml:space="preserve">Objeto del proceso de contratación.</t>
  </si>
  <si>
    <t xml:space="preserve">nombre + text not null + contexto de contratación</t>
  </si>
  <si>
    <t xml:space="preserve">C3125</t>
  </si>
  <si>
    <t xml:space="preserve">hiring-service/src/entities/proceso.entity.ts:91: Etapa de la matriz de flujo. Este HU trabaja siempre sobre la 3. | db/migrations/hiring/003_estudio_previo.sql:25: Materializa el "Dado: proceso en etapa de Estudios Previos" del criterio 1</t>
  </si>
  <si>
    <t xml:space="preserve">Etapa del proceso en la matriz de flujo. El valor por defecto 3 corresponde a la etapa de Estudios Previos.</t>
  </si>
  <si>
    <t xml:space="preserve">código: hiring-service/src/entities/proceso.entity.ts:91; db/migrations/hiring/003_estudio_previo.sql:25</t>
  </si>
  <si>
    <t xml:space="preserve">¿Qué representa cada número de etapa de la matriz de flujo?</t>
  </si>
  <si>
    <t xml:space="preserve">C3126</t>
  </si>
  <si>
    <t xml:space="preserve">Mapeada en hiring-service/src/entities/proceso.entity.ts:104 (Proceso.fechaRadicacion) | Validación: IsISO8601({ strict: true },
    { message: 'La radicación debe llevar fecha y hora en ISO 8601, por ejemplo 2026-09-01T09:35:00-05:00' },)</t>
  </si>
  <si>
    <t xml:space="preserve">C3127</t>
  </si>
  <si>
    <t xml:space="preserve">publicaciones_acta</t>
  </si>
  <si>
    <t xml:space="preserve">destino</t>
  </si>
  <si>
    <t xml:space="preserve">SECOP_II, WEB_ESAP</t>
  </si>
  <si>
    <t xml:space="preserve">uq_publicacion_acta_destino</t>
  </si>
  <si>
    <t xml:space="preserve">db/migrations/hiring/047_publicacion_acta_y_archivo.sql:69: Mismo par de destinos que la publicación del contrato y por la misma razón: la historia dice SECOP II y la matriz habla de la página web de la ESAP. | Validación: IsIn(['SECOP_II', 'WEB_ESAP'], {
    message: 'El destino de la publicación es SECOP_II o WEB_ESAP',
  }), IsIn(['SECOP_II', 'WEB_ESAP'], { message: 'El destino debe ser SECOP_II o WEB_ESAP' })</t>
  </si>
  <si>
    <t xml:space="preserve">Medio donde se publica el acta de liquidación: SECOP_II o WEB_ESAP (página web de la ESAP). Se registra el sitio de cada publicación.</t>
  </si>
  <si>
    <t xml:space="preserve">código: db/migrations/hiring/047_publicacion_acta_y_archivo.sql:69</t>
  </si>
  <si>
    <t xml:space="preserve">C3128</t>
  </si>
  <si>
    <t xml:space="preserve">hiring-service/src/entities/publicacion-acta.entity.ts:39: La real, no la del registro: es la que cuenta para el plazo. | db/migrations/hiring/047_publicacion_acta_y_archivo.sql:73: La real, no la del registro: es la que cuenta para el plazo. Alguien puede registrar el lunes lo que publicó el viernes. | Validación: IsDateString({}, { message: 'La fecha de publicación debe tener el formato YYYY-MM-DD' }), IsISO8601({ strict: true }, { message: 'La fecha debe tener formato YYYY-MM-DD' })</t>
  </si>
  <si>
    <t xml:space="preserve">Fecha real de publicación del acta de liquidación, no la de su registro en la plataforma; es la que cuenta para el plazo.</t>
  </si>
  <si>
    <t xml:space="preserve">código: hiring-service/src/entities/publicacion-acta.entity.ts:39; db/migrations/hiring/047_publicacion_acta_y_archivo.sql:73</t>
  </si>
  <si>
    <t xml:space="preserve">C3129</t>
  </si>
  <si>
    <t xml:space="preserve">hiring-service/src/entities/publicacion-acta.entity.ts:43: Congelado al registrar: si mañana cambia el parámetro, esta no se mueve. | db/migrations/hiring/047_publicacion_acta_y_archivo.sql:77: Plazo vigente el día del registro, congelado. Si mañana cambia el parámetro, esta publicación se siguió juzgando con el de su momento.</t>
  </si>
  <si>
    <t xml:space="preserve">Plazo en días hábiles vigente el día del registro, congelado: si después cambia el parámetro, la publicación conserva el plazo con que se juzgó.</t>
  </si>
  <si>
    <t xml:space="preserve">código: hiring-service/src/entities/publicacion-acta.entity.ts:43; db/migrations/hiring/047_publicacion_acta_y_archivo.sql:77</t>
  </si>
  <si>
    <t xml:space="preserve">C3130</t>
  </si>
  <si>
    <t xml:space="preserve">Mapeada en hiring-service/src/entities/publicacion-acta.entity.ts:46 (PublicacionActa.fechaLimite)</t>
  </si>
  <si>
    <t xml:space="preserve">C3131</t>
  </si>
  <si>
    <t xml:space="preserve">secop_numero</t>
  </si>
  <si>
    <t xml:space="preserve">Mapeada en hiring-service/src/entities/publicacion-acta.entity.ts:49 (PublicacionActa.secopNumero) | Validación: IsOptional, IsString, MaxLength(60), MaxLength(80)</t>
  </si>
  <si>
    <t xml:space="preserve">Número asignado en SECOP II a la publicación.</t>
  </si>
  <si>
    <t xml:space="preserve">nombre + varchar(80) + vecina secop_url</t>
  </si>
  <si>
    <t xml:space="preserve">¿Es obligatorio cuando el destino es SECOP_II?</t>
  </si>
  <si>
    <t xml:space="preserve">C3132</t>
  </si>
  <si>
    <t xml:space="preserve">Mapeada en hiring-service/src/entities/publicacion-acta.entity.ts:52 (PublicacionActa.secopUrl) | Validación: IsOptional, IsUrl({ protocols: ['http', 'https'], require_protocol: true },
    { message: 'El enlace de SECOP II debe ser una URL válida' },), IsUrl({}, { message: 'El enlace de SECOP II no es una URL válida' }), IsUrl({}, { message: 'El enlace de la publicación debe ser una URL válida' }), IsUrl({}, { message: 'El enlace de la publicación no tiene un formato válido' }), IsUrl({}, { message: 'El enlace debe ser una URL válida' })</t>
  </si>
  <si>
    <t xml:space="preserve">URL de la publicación en SECOP II.</t>
  </si>
  <si>
    <t xml:space="preserve">nombre + tipo text + vecina secop_numero</t>
  </si>
  <si>
    <t xml:space="preserve">C3133</t>
  </si>
  <si>
    <t xml:space="preserve">Mapeada en hiring-service/src/entities/publicacion-acta.entity.ts:59 (PublicacionActa.publicadoPor)</t>
  </si>
  <si>
    <t xml:space="preserve">C3134</t>
  </si>
  <si>
    <t xml:space="preserve">publicaciones_contrato</t>
  </si>
  <si>
    <t xml:space="preserve">uq_publicacion_contrato_destino</t>
  </si>
  <si>
    <t xml:space="preserve">db/migrations/hiring/040_publicacion_contrato.sql:58: Dónde se publicó. La historia dice SECOP II y la matriz dice la página web de la ESAP: se registra el sitio en vez de suponer cuál de las dos manda. | Validación: IsIn(['SECOP_II', 'WEB_ESAP'], {
    message: 'El destino de la publicación es SECOP_II o WEB_ESAP',
  }), IsIn(['SECOP_II', 'WEB_ESAP'], { message: 'El destino debe ser SECOP_II o WEB_ESAP' })</t>
  </si>
  <si>
    <t xml:space="preserve">Medio donde se publica el contrato: SECOP_II o WEB_ESAP (página web de la ESAP).</t>
  </si>
  <si>
    <t xml:space="preserve">código: db/migrations/hiring/040_publicacion_contrato.sql:58</t>
  </si>
  <si>
    <t xml:space="preserve">C3135</t>
  </si>
  <si>
    <t xml:space="preserve">hiring-service/src/entities/publicacion-contrato.entity.ts:25: La real, no la del registro: es la que cuenta para el plazo. | db/migrations/hiring/040_publicacion_contrato.sql:62: Fecha real de la publicación, no la del registro: es la que cuenta para el plazo. Alguien puede registrar el lunes lo que publicó el viernes. | Validación: IsDateString({}, { message: 'La fecha de publicación debe tener el formato YYYY-MM-DD' }), IsISO8601({ strict: true }, { message: 'La fecha debe tener formato YYYY-MM-DD' })</t>
  </si>
  <si>
    <t xml:space="preserve">Fecha real de publicación del contrato, no la de su registro en la plataforma; es la que cuenta para el plazo.</t>
  </si>
  <si>
    <t xml:space="preserve">código: hiring-service/src/entities/publicacion-contrato.entity.ts:25; db/migrations/hiring/040_publicacion_contrato.sql:62</t>
  </si>
  <si>
    <t xml:space="preserve">C3136</t>
  </si>
  <si>
    <t xml:space="preserve">hiring-service/src/entities/publicacion-contrato.entity.ts:29: Congelado al registrar: si mañana cambia el parámetro, esta no se mueve. | db/migrations/hiring/040_publicacion_contrato.sql:66: Plazo vigente el día del registro, congelado. Si mañana cambia el parámetro, esta publicación se siguió juzgando con el de su momento.</t>
  </si>
  <si>
    <t xml:space="preserve">código: hiring-service/src/entities/publicacion-contrato.entity.ts:29; db/migrations/hiring/040_publicacion_contrato.sql:66</t>
  </si>
  <si>
    <t xml:space="preserve">C3137</t>
  </si>
  <si>
    <t xml:space="preserve">Mapeada en hiring-service/src/entities/publicacion-contrato.entity.ts:32 (PublicacionContrato.fechaLimite)</t>
  </si>
  <si>
    <t xml:space="preserve">C3138</t>
  </si>
  <si>
    <t xml:space="preserve">Mapeada en hiring-service/src/entities/publicacion-contrato.entity.ts:35 (PublicacionContrato.secopNumero) | Validación: IsOptional, IsString, MaxLength(60), MaxLength(80)</t>
  </si>
  <si>
    <t xml:space="preserve">C3139</t>
  </si>
  <si>
    <t xml:space="preserve">Mapeada en hiring-service/src/entities/publicacion-contrato.entity.ts:38 (PublicacionContrato.secopUrl) | Validación: IsOptional, IsUrl({ protocols: ['http', 'https'], require_protocol: true },
    { message: 'El enlace de SECOP II debe ser una URL válida' },), IsUrl({}, { message: 'El enlace de SECOP II no es una URL válida' }), IsUrl({}, { message: 'El enlace de la publicación debe ser una URL válida' }), IsUrl({}, { message: 'El enlace de la publicación no tiene un formato válido' }), IsUrl({}, { message: 'El enlace debe ser una URL válida' })</t>
  </si>
  <si>
    <t xml:space="preserve">C3140</t>
  </si>
  <si>
    <t xml:space="preserve">Mapeada en hiring-service/src/entities/publicacion-contrato.entity.ts:45 (PublicacionContrato.publicadoPor)</t>
  </si>
  <si>
    <t xml:space="preserve">C3141</t>
  </si>
  <si>
    <t xml:space="preserve">publicaciones_modificacion</t>
  </si>
  <si>
    <t xml:space="preserve">hiring-service/src/entities/modificacion-contrato.entity.ts:269: La real, no la del registro. | Validación: IsDateString({}, { message: 'La fecha de publicación debe tener el formato YYYY-MM-DD' }), IsISO8601({ strict: true }, { message: 'La fecha debe tener formato YYYY-MM-DD' })</t>
  </si>
  <si>
    <t xml:space="preserve">Fecha real de publicación de la modificación contractual en SECOP II, no la de su registro en la plataforma (RF-MOD-05).</t>
  </si>
  <si>
    <t xml:space="preserve">código: hiring-service/src/entities/modificacion-contrato.entity.ts:269</t>
  </si>
  <si>
    <t xml:space="preserve">C3142</t>
  </si>
  <si>
    <t xml:space="preserve">Mapeada en hiring-service/src/entities/modificacion-contrato.entity.ts:272 (PublicacionModificacion.secopNumero) | Validación: IsOptional, IsString, MaxLength(60), MaxLength(80)</t>
  </si>
  <si>
    <t xml:space="preserve">Número asignado en SECOP II a la publicación de la modificación.</t>
  </si>
  <si>
    <t xml:space="preserve">nombre + varchar(80) + descripción de la tabla</t>
  </si>
  <si>
    <t xml:space="preserve">¿Corresponde al número del proceso o al de la publicación de la modificación en SECOP II?</t>
  </si>
  <si>
    <t xml:space="preserve">C3143</t>
  </si>
  <si>
    <t xml:space="preserve">Mapeada en hiring-service/src/entities/modificacion-contrato.entity.ts:275 (PublicacionModificacion.secopUrl) | Validación: IsOptional, IsUrl({ protocols: ['http', 'https'], require_protocol: true },
    { message: 'El enlace de SECOP II debe ser una URL válida' },), IsUrl({}, { message: 'El enlace de SECOP II no es una URL válida' }), IsUrl({}, { message: 'El enlace de la publicación debe ser una URL válida' }), IsUrl({}, { message: 'El enlace de la publicación no tiene un formato válido' }), IsUrl({}, { message: 'El enlace debe ser una URL válida' })</t>
  </si>
  <si>
    <t xml:space="preserve">URL de la publicación de la modificación en SECOP II.</t>
  </si>
  <si>
    <t xml:space="preserve">nombre + tipo text + descripción de la tabla</t>
  </si>
  <si>
    <t xml:space="preserve">C3144</t>
  </si>
  <si>
    <t xml:space="preserve">Mapeada en hiring-service/src/entities/modificacion-contrato.entity.ts:282 (PublicacionModificacion.publicadaPor)</t>
  </si>
  <si>
    <t xml:space="preserve">C3145</t>
  </si>
  <si>
    <t xml:space="preserve">publicaciones_pliego</t>
  </si>
  <si>
    <t xml:space="preserve">idx_publicacion_vencimiento</t>
  </si>
  <si>
    <t xml:space="preserve">Mapeada en hiring-service/src/entities/publicacion-pliego.entity.ts:40 (PublicacionPliego.fechaVencimiento)</t>
  </si>
  <si>
    <t xml:space="preserve">C3146</t>
  </si>
  <si>
    <t xml:space="preserve">db/migrations/hiring/016_publicacion_pliego.sql:129: Datos del proceso en SECOP II. Se capturan a mano porque no hay integración; el enlace es lo que permite verificar la publicación desde el expediente sin salir a buscarla. | Validación: IsOptional, IsString, MaxLength(60), MaxLength(80)</t>
  </si>
  <si>
    <t xml:space="preserve">Número del proceso en SECOP II asociado a la publicación del proyecto de pliego; se digita a mano porque no hay integración con SECOP II.</t>
  </si>
  <si>
    <t xml:space="preserve">código: db/migrations/hiring/016_publicacion_pliego.sql:129 (comentario común a los datos del proceso en SECOP II)</t>
  </si>
  <si>
    <t xml:space="preserve">¿Corresponde al número del proceso en SECOP II o a un identificador propio de la publicación?</t>
  </si>
  <si>
    <t xml:space="preserve">C3147</t>
  </si>
  <si>
    <t xml:space="preserve">hiring-service/src/entities/publicacion-pliego.entity.ts:47: Permite verificar la publicación desde el expediente sin ir a buscarla. | Validación: IsOptional, IsUrl({ protocols: ['http', 'https'], require_protocol: true },
    { message: 'El enlace de SECOP II debe ser una URL válida' },), IsUrl({}, { message: 'El enlace de SECOP II no es una URL válida' }), IsUrl({}, { message: 'El enlace de la publicación debe ser una URL válida' }), IsUrl({}, { message: 'El enlace de la publicación no tiene un formato válido' }), IsUrl({}, { message: 'El enlace debe ser una URL válida' })</t>
  </si>
  <si>
    <t xml:space="preserve">URL de la publicación del proyecto de pliego en SECOP II; permite verificar la publicación desde el expediente.</t>
  </si>
  <si>
    <t xml:space="preserve">código: hiring-service/src/entities/publicacion-pliego.entity.ts:47</t>
  </si>
  <si>
    <t xml:space="preserve">C3148</t>
  </si>
  <si>
    <t xml:space="preserve">hiring-service/src/entities/publicacion-pliego.entity.ts:57: La evidencia de que el pliego se publicó, obligatoria. Sin integración con SECOP II el soporte es lo único que sostiene el registro, y el registro arranca un plazo legal. No se admite publicación sin evidencia: corregirla es anularla y volver a registrarla. | db/migrations/hiring/016_publicacion_pliego.sql:139: La evidencia de que el pliego se publicó, obligatoria. Sin integración con SECOP II, la plataforma no puede comprobar por su cuenta que la publicación ocurrió: el soporte es lo único que la sostiene. Un registro sin evidencia sería una afirmación sin respaldo que además arranca un plazo legal, así q</t>
  </si>
  <si>
    <t xml:space="preserve">Referencia al documento que evidencia la publicación del pliego (hiring.documentos.id); relación sin llave foránea declarada. Es obligatoria: no se admite una publicación sin evidencia.</t>
  </si>
  <si>
    <t xml:space="preserve">código: hiring-service/src/entities/publicacion-pliego.entity.ts:57; db/migrations/hiring/016_publicacion_pliego.sql:139</t>
  </si>
  <si>
    <t xml:space="preserve">C3149</t>
  </si>
  <si>
    <t xml:space="preserve">Mapeada en hiring-service/src/entities/publicacion-pliego.entity.ts:60 (PublicacionPliego.publicadoPor)</t>
  </si>
  <si>
    <t xml:space="preserve">C3150</t>
  </si>
  <si>
    <t xml:space="preserve">hiring-service/src/entities/publicacion-pliego.entity.ts:67: Una publicación con la fecha equivocada no se borra: se anula y se registra la correcta. Cada una conserva su evidencia y queda el rastro. | db/migrations/hiring/016_publicacion_pliego.sql:146: Una publicación registrada con la fecha equivocada no se borra: se anula y se registra la correcta. Así cada una conserva su propia evidencia y el expediente guarda el rastro de la corrección.</t>
  </si>
  <si>
    <t xml:space="preserve">Fecha y hora en que se anuló la publicación. Una publicación con datos errados no se borra: se anula y se registra la correcta, y cada una conserva su evidencia.</t>
  </si>
  <si>
    <t xml:space="preserve">código: hiring-service/src/entities/publicacion-pliego.entity.ts:67; db/migrations/hiring/016_publicacion_pliego.sql:146</t>
  </si>
  <si>
    <t xml:space="preserve">C3151</t>
  </si>
  <si>
    <t xml:space="preserve">Mapeada en hiring-service/src/entities/publicacion-pliego.entity.ts:70 (PublicacionPliego.anuladaPor)</t>
  </si>
  <si>
    <t xml:space="preserve">C3152</t>
  </si>
  <si>
    <t xml:space="preserve">Mapeada en hiring-service/src/entities/publicacion-pliego.entity.ts:73 (PublicacionPliego.motivoAnulacion)</t>
  </si>
  <si>
    <t xml:space="preserve">C3153</t>
  </si>
  <si>
    <t xml:space="preserve">recepciones_ofertas</t>
  </si>
  <si>
    <t xml:space="preserve">hiring-service/src/entities/recepcion-ofertas.entity.ts:38: Plazo aplicado, congelado al fijarse. Nulo cuando la modalidad no tiene plazo parametrizado y el vencimiento se fijó a mano en la apertura. | db/migrations/hiring/024_recepcion_de_ofertas.sql:95: Se congelan el plazo aplicado y su vencimiento en vez de recalcularlos en cada consulta, igual que en publicaciones_pliego (016): si mañana se corrige el plazo de la modalidad, los procesos ya abiertos conservan el suyo. Nulo cuando la modalidad no tiene plazo parametrizado y la fecha se fijó a mano</t>
  </si>
  <si>
    <t xml:space="preserve">Plazo en días hábiles aplicado a la recepción de ofertas, congelado al fijarse. Nulo cuando la modalidad no tiene plazo parametrizado y el vencimiento se fijó a mano en la apertura.</t>
  </si>
  <si>
    <t xml:space="preserve">código: hiring-service/src/entities/recepcion-ofertas.entity.ts:38; db/migrations/hiring/024_recepcion_de_ofertas.sql:95</t>
  </si>
  <si>
    <t xml:space="preserve">C3154</t>
  </si>
  <si>
    <t xml:space="preserve">ABIERTA, CERRADA</t>
  </si>
  <si>
    <t xml:space="preserve">Mapeada en hiring-service/src/entities/recepcion-ofertas.entity.ts:41 (RecepcionOfertas.estado)</t>
  </si>
  <si>
    <t xml:space="preserve">Estado del registro de recepciones_ofertas.</t>
  </si>
  <si>
    <t xml:space="preserve">C3155</t>
  </si>
  <si>
    <t xml:space="preserve">cerrada_at</t>
  </si>
  <si>
    <t xml:space="preserve">hiring-service/src/entities/recepcion-ofertas.entity.ts:45: Cuándo se cerró; es la fecha con la que queda publicada la lista.</t>
  </si>
  <si>
    <t xml:space="preserve">Fecha y hora de cierre de la recepción de ofertas; es la fecha con la que se publica la lista de oferentes.</t>
  </si>
  <si>
    <t xml:space="preserve">código: hiring-service/src/entities/recepcion-ofertas.entity.ts:45</t>
  </si>
  <si>
    <t xml:space="preserve">C3156</t>
  </si>
  <si>
    <t xml:space="preserve">Mapeada en hiring-service/src/entities/recepcion-ofertas.entity.ts:48 (RecepcionOfertas.cerradaPor)</t>
  </si>
  <si>
    <t xml:space="preserve">C3157</t>
  </si>
  <si>
    <t xml:space="preserve">registros_actividad</t>
  </si>
  <si>
    <t xml:space="preserve">Mapeada en hiring-service/src/entities/registro-actividad.entity.ts:35 (RegistroActividad.nota) | Validación: IsNotEmpty({ message: 'La nota de trazabilidad es obligatoria' }), IsOptional, IsString, MaxLength(2000), MaxLength(4000), MinLength(10, { message: 'La nota debe explicar qué pasó, no solo dejar constancia' })</t>
  </si>
  <si>
    <t xml:space="preserve">Nota que describe la actividad registrada.</t>
  </si>
  <si>
    <t xml:space="preserve">C3158</t>
  </si>
  <si>
    <t xml:space="preserve">hiring-service/src/entities/registro-actividad.entity.ts:42: Lo propio de cada actividad: el sí/no del sorteo, el radicado de la 3.3. | Validación: IsObject, IsOptional</t>
  </si>
  <si>
    <t xml:space="preserve">Datos propios de cada actividad registrada, en formato JSON (por ejemplo, el resultado sí/no del sorteo o el radicado de la actividad 3.3).</t>
  </si>
  <si>
    <t xml:space="preserve">código: hiring-service/src/entities/registro-actividad.entity.ts:42</t>
  </si>
  <si>
    <t xml:space="preserve">¿Hay un esquema documentado del JSON por numeral de actividad?</t>
  </si>
  <si>
    <t xml:space="preserve">C3159</t>
  </si>
  <si>
    <t xml:space="preserve">Mapeada en hiring-service/src/entities/registro-actividad.entity.ts:45 (RegistroActividad.estado)</t>
  </si>
  <si>
    <t xml:space="preserve">Estado del registro de registros_actividad.</t>
  </si>
  <si>
    <t xml:space="preserve">C3160</t>
  </si>
  <si>
    <t xml:space="preserve">Mapeada en hiring-service/src/entities/registro-actividad.entity.ts:48 (RegistroActividad.registradoPor)</t>
  </si>
  <si>
    <t xml:space="preserve">C3161</t>
  </si>
  <si>
    <t xml:space="preserve">registrado_at</t>
  </si>
  <si>
    <t xml:space="preserve">Mapeada en hiring-service/src/entities/registro-actividad.entity.ts:51 (RegistroActividad.registradoAt)</t>
  </si>
  <si>
    <t xml:space="preserve">C3162</t>
  </si>
  <si>
    <t xml:space="preserve">Mapeada en hiring-service/src/entities/registro-actividad.entity.ts:54 (RegistroActividad.anuladoAt)</t>
  </si>
  <si>
    <t xml:space="preserve">C3163</t>
  </si>
  <si>
    <t xml:space="preserve">Mapeada en hiring-service/src/entities/registro-actividad.entity.ts:57 (RegistroActividad.anuladoPor)</t>
  </si>
  <si>
    <t xml:space="preserve">C3164</t>
  </si>
  <si>
    <t xml:space="preserve">Mapeada en hiring-service/src/entities/registro-actividad.entity.ts:60 (RegistroActividad.motivoAnulacion)</t>
  </si>
  <si>
    <t xml:space="preserve">C3165</t>
  </si>
  <si>
    <t xml:space="preserve">registros_presupuestales</t>
  </si>
  <si>
    <t xml:space="preserve">hiring-service/src/entities/registro-presupuestal.entity.ts:34: Lo asigna la Financiera al expedir; no existe mientras está solicitado. | db/migrations/hiring/039_registro_presupuestal.sql:26: El número lo asigna la Financiera al expedirlo, así que no existe mientras el RP está apenas solicitado. Mismo criterio que el CDP. | Validación: IsNotEmpty({ message: 'El contrato necesita el número con el que la entidad lo identifica' }), IsNotEmpty({ message: 'El número del CDP es obligatorio' }), IsNotEmpty({ message: 'El registro presupuestal necesita su número' }), IsNotEmpty({ message: 'Registra el número de la modificación' }), IsNotEmpty({ message: 'Registra el número de la resolución' }), IsNotEmpty({ message: 'Registra el número' })</t>
  </si>
  <si>
    <t xml:space="preserve">Número del registro presupuestal, que asigna la Dirección Financiera al expedirlo; es nulo mientras el registro está solicitado.</t>
  </si>
  <si>
    <t xml:space="preserve">código: hiring-service/src/entities/registro-presupuestal.entity.ts:34; db/migrations/hiring/039_registro_presupuestal.sql:26</t>
  </si>
  <si>
    <t xml:space="preserve">C3166</t>
  </si>
  <si>
    <t xml:space="preserve">hiring-service/src/entities/registro-presupuestal.entity.ts:41: `numeric` llega como string desde el driver; el transformer lo devuelve como número para que la comparación con el valor del contrato no compare cadenas. | Validación: IsNumber({ maxDecimalPlaces: 2 }, { message: 'El salario debe ser un número' }), IsNumber({ maxDecimalPlaces: 2 }, { message: 'El valor debe ser un número' }), IsNumber({}, { message: 'El valor cobrado debe ser un número' }), IsNumber({}, { message: 'El valor comprometido debe ser un número' }), IsNumber({}, { message: 'El valor debe ser un número' }), IsNumber({}, { message: 'El valor del contrato debe ser un número' })</t>
  </si>
  <si>
    <t xml:space="preserve">Valor del registro presupuestal; se compara con el valor del contrato. Un CHECK lo relaciona con el estado EXPEDIDO.</t>
  </si>
  <si>
    <t xml:space="preserve">código: hiring-service/src/entities/registro-presupuestal.entity.ts:41 (conversión numérica para comparar con el valor del contrato)</t>
  </si>
  <si>
    <t xml:space="preserve">C3167</t>
  </si>
  <si>
    <t xml:space="preserve">rubro</t>
  </si>
  <si>
    <t xml:space="preserve">Mapeada en hiring-service/src/entities/registro-presupuestal.entity.ts:53 (RegistroPresupuestal.rubro) | Validación: IsNotEmpty({ message: 'Registra el rubro presupuestal' }), IsOptional, IsString, MaxLength(160)</t>
  </si>
  <si>
    <t xml:space="preserve">Rubro presupuestal que afecta el registro.</t>
  </si>
  <si>
    <t xml:space="preserve">nombre + varchar(160) + contexto presupuestal</t>
  </si>
  <si>
    <t xml:space="preserve">¿Guarda el código del rubro, su nombre o ambos?</t>
  </si>
  <si>
    <t xml:space="preserve">C3168</t>
  </si>
  <si>
    <t xml:space="preserve">Mapeada en hiring-service/src/entities/registro-presupuestal.entity.ts:56 (RegistroPresupuestal.fechaExpedicion) | Validación: IsDateString({}, { message: 'La fecha de expedición debe tener el formato YYYY-MM-DD' }), IsISO8601({ strict: true }, { message: 'La fecha debe tener formato YYYY-MM-DD' })</t>
  </si>
  <si>
    <t xml:space="preserve">C3169</t>
  </si>
  <si>
    <t xml:space="preserve">hiring-service/src/entities/registro-presupuestal.entity.ts:60: Vigencia fiscal a la que se imputa. Un RP no cruza vigencias. | db/migrations/hiring/039_registro_presupuestal.sql:31: Vigencia fiscal a la que se imputa. Un RP no cruza vigencias. | Validación: IsInt, IsInt({ message: 'La vigencia debe ser un año' }), IsInt({ message: 'La vigencia fiscal es un ano' }), IsInt({ message: 'La vigencia fiscal se expresa en años' }), IsOptional, Max(2100)</t>
  </si>
  <si>
    <t xml:space="preserve">Año de la vigencia fiscal a la que se imputa el registro presupuestal. Un registro presupuestal no cruza vigencias.</t>
  </si>
  <si>
    <t xml:space="preserve">código: hiring-service/src/entities/registro-presupuestal.entity.ts:60; db/migrations/hiring/039_registro_presupuestal.sql:31</t>
  </si>
  <si>
    <t xml:space="preserve">C3170</t>
  </si>
  <si>
    <t xml:space="preserve">db/migrations/hiring/039_registro_presupuestal.sql:36: SOLICITADO → VERIFICADO → EXPEDIDO ↘ RECHAZADO (no hay disponibilidad para comprometer) ANULADO cubre el RP que se deja sin efecto después de expedido.</t>
  </si>
  <si>
    <t xml:space="preserve">Estado del registro presupuestal. Flujo: SOLICITADO → VERIFICADO → EXPEDIDO; RECHAZADO cuando no hay disponibilidad para comprometer; ANULADO cuando se deja sin efecto después de expedido.</t>
  </si>
  <si>
    <t xml:space="preserve">código: db/migrations/hiring/039_registro_presupuestal.sql:36</t>
  </si>
  <si>
    <t xml:space="preserve">C3171</t>
  </si>
  <si>
    <t xml:space="preserve">hiring-service/src/entities/registro-presupuestal.entity.ts:67: Por qué se rechazó. Sin esto, quien solicita no sabe qué corregir. | db/migrations/hiring/039_registro_presupuestal.sql:40: Por qué la Financiera lo rechazó. Sin esto, quien solicita no sabe si corregir el rubro, esperar o revisar el valor. | Validación: IsNotEmpty({ message: 'El motivo del rechazo es obligatorio' }), IsNotEmpty({ message: 'Explica por qué se rechaza el registro presupuestal' }), IsNotEmpty({ message: 'Explica por qué se rechaza' }), IsOptional, IsString, MaxLength(1000)</t>
  </si>
  <si>
    <t xml:space="preserve">Motivo por el que la Dirección Financiera rechazó el registro presupuestal.</t>
  </si>
  <si>
    <t xml:space="preserve">código: hiring-service/src/entities/registro-presupuestal.entity.ts:67; db/migrations/hiring/039_registro_presupuestal.sql:40</t>
  </si>
  <si>
    <t xml:space="preserve">C3172</t>
  </si>
  <si>
    <t xml:space="preserve">Mapeada en hiring-service/src/entities/registro-presupuestal.entity.ts:73 (RegistroPresupuestal.solicitadoPor)</t>
  </si>
  <si>
    <t xml:space="preserve">C3173</t>
  </si>
  <si>
    <t xml:space="preserve">Mapeada en hiring-service/src/entities/registro-presupuestal.entity.ts:76 (RegistroPresupuestal.solicitadoAt)</t>
  </si>
  <si>
    <t xml:space="preserve">C3174</t>
  </si>
  <si>
    <t xml:space="preserve">Mapeada en hiring-service/src/entities/registro-presupuestal.entity.ts:79 (RegistroPresupuestal.expedidoPor)</t>
  </si>
  <si>
    <t xml:space="preserve">Usuario o funcionario que expidió el registro presupuestal.</t>
  </si>
  <si>
    <t xml:space="preserve">nombre + varchar(200) + patrón *_por</t>
  </si>
  <si>
    <t xml:space="preserve">C3175</t>
  </si>
  <si>
    <t xml:space="preserve">reglas_actividad</t>
  </si>
  <si>
    <t xml:space="preserve">BLOQUEA_AVANCE, CAMPO_OBLIGATORIO, DOCUMENTO_REQUERIDO, EXIGE_APROBACION, EXIGE_FIRMA, PLAZO_MINIMO, RANGO_VALOR, REGLA_DERIVADA</t>
  </si>
  <si>
    <t xml:space="preserve">uq_regla_vigente</t>
  </si>
  <si>
    <t xml:space="preserve">Mapeada en hiring-service/src/entities/regla-actividad.entity.ts:60 (ReglaActividad.tipo) | Validación: IsIn(TIPOS_CAMPO as unknown as string[]), IsIn(TIPOS_LIQUIDACION, {
    message: 'La liquidación es bilateral, de común acuerdo, o unilateral, por acto de la entidad',
  }), IsIn(TIPOS_REGLA as unknown as string[]), IsIn(TIPOS_SOPORTE, {
    message: 'El soporte es seguridad social, RUT, certificación bancaria u otro',
  }), IsIn(['GRABACION', 'OBSERVACION', 'ANEXO'], {
    message: 'Di qué es: una grabación, una observación con su respuesta, o un anexo',
  }), IsIn(['INFORME', 'ACTA', 'SOPORTE'], {
    message: 'El soporte es un informe, un acta u otro documento de la ejecución',
  })</t>
  </si>
  <si>
    <t xml:space="preserve">Tipo del registro de reglas_actividad.</t>
  </si>
  <si>
    <t xml:space="preserve">C3176</t>
  </si>
  <si>
    <t xml:space="preserve">config</t>
  </si>
  <si>
    <t xml:space="preserve">hiring-service/src/entities/regla-actividad.entity.ts:67: Detalle de la condición. Su forma depende del tipo: un umbral necesita `max`, un plazo necesita `dias`, un campo obligatorio necesita `codigo`. | Validación: IsObject</t>
  </si>
  <si>
    <t xml:space="preserve">Detalle de la condición de la regla, en formato JSON. Su estructura depende del tipo de regla: un umbral lleva max, un plazo lleva dias y un campo obligatorio lleva codigo.</t>
  </si>
  <si>
    <t xml:space="preserve">código: hiring-service/src/entities/regla-actividad.entity.ts:67</t>
  </si>
  <si>
    <t xml:space="preserve">¿En qué se diferencia config de la columna condiciones?</t>
  </si>
  <si>
    <t xml:space="preserve">C3177</t>
  </si>
  <si>
    <t xml:space="preserve">hiring-service/src/entities/regla-actividad.entity.ts:88: Lo que ve el gestor cuando la regla no se cumple. | db/migrations/hiring/026_reglas_actividad.sql:36: Mensaje que ve el gestor cuando la regla no se cumple. En la tabla y no en el código porque el texto lo redacta Contratación, no desarrollo. | Validación: IsOptional, IsString</t>
  </si>
  <si>
    <t xml:space="preserve">Mensaje que ve el gestor cuando la regla no se cumple. Lo redacta la Dirección de Contratación.</t>
  </si>
  <si>
    <t xml:space="preserve">código: hiring-service/src/entities/regla-actividad.entity.ts:88; db/migrations/hiring/026_reglas_actividad.sql:36</t>
  </si>
  <si>
    <t xml:space="preserve">C3178</t>
  </si>
  <si>
    <t xml:space="preserve">idx_reglas_actividad_vigentes</t>
  </si>
  <si>
    <t xml:space="preserve">db/migrations/hiring/026_reglas_actividad.sql:39: Orden en que se evalúan y se muestran los incumplimientos. | Validación: IsInt, IsOptional, Min(0), Min(1)</t>
  </si>
  <si>
    <t xml:space="preserve">Orden en que se evalúan las reglas y se muestran sus incumplimientos.</t>
  </si>
  <si>
    <t xml:space="preserve">código: db/migrations/hiring/026_reglas_actividad.sql:39</t>
  </si>
  <si>
    <t xml:space="preserve">C3179</t>
  </si>
  <si>
    <t xml:space="preserve">vigente_desde</t>
  </si>
  <si>
    <t xml:space="preserve">db/migrations/hiring/026_reglas_actividad.sql:45: Vigencia: un proceso aprobado en enero debe poder auditarse con las reglas de enero. Sin esto, corregir un umbral reescribiría la historia de lo ya aprobado y una auditoría posterior encontraría incumplimientos que no existían al momento de decidir.</t>
  </si>
  <si>
    <t xml:space="preserve">Fecha y hora desde la cual la regla está vigente; por defecto, la fecha de creación. Permite auditar cada proceso con las reglas vigentes al momento de su aprobación.</t>
  </si>
  <si>
    <t xml:space="preserve">código: db/migrations/hiring/026_reglas_actividad.sql:45</t>
  </si>
  <si>
    <t xml:space="preserve">C3180</t>
  </si>
  <si>
    <t xml:space="preserve">vigente_hasta</t>
  </si>
  <si>
    <t xml:space="preserve">hiring-service/src/entities/regla-actividad.entity.ts:101: Una regla derogada se cierra en vez de borrarse: un proceso aprobado bajo ella debe poder auditarse con las reglas que estaban vigentes entonces.</t>
  </si>
  <si>
    <t xml:space="preserve">Fecha y hora hasta la cual la regla está vigente; vacía si sigue vigente y posterior a vigente_desde. Una regla derogada se cierra con esta fecha en lugar de borrarse.</t>
  </si>
  <si>
    <t xml:space="preserve">código: hiring-service/src/entities/regla-actividad.entity.ts:101</t>
  </si>
  <si>
    <t xml:space="preserve">C3181</t>
  </si>
  <si>
    <t xml:space="preserve">conector</t>
  </si>
  <si>
    <t xml:space="preserve">AND, OR</t>
  </si>
  <si>
    <t xml:space="preserve">hiring-service/src/entities/regla-actividad.entity.ts:84: Como se combinan las condiciones entre si. | db/migrations/hiring/029_reglas_condicionales.sql:25: Como se combinan las condiciones. Con una sola condicion da igual, pero guardarlo evita que el evaluador tenga que suponerlo. | Validación: IsIn(['AND', 'OR']), IsOptional</t>
  </si>
  <si>
    <t xml:space="preserve">Operador lógico con que se combinan entre sí las condiciones de la regla: AND u OR. Por defecto, AND.</t>
  </si>
  <si>
    <t xml:space="preserve">código: hiring-service/src/entities/regla-actividad.entity.ts:84; db/migrations/hiring/029_reglas_condicionales.sql:25</t>
  </si>
  <si>
    <t xml:space="preserve">C3182</t>
  </si>
  <si>
    <t xml:space="preserve">resoluciones_sancionatorias</t>
  </si>
  <si>
    <t xml:space="preserve">APERTURA, DECISION</t>
  </si>
  <si>
    <t xml:space="preserve">uq_resolucion_por_tipo_y_caso</t>
  </si>
  <si>
    <t xml:space="preserve">Mapeada en hiring-service/src/entities/actuacion-sancionatoria.entity.ts:105 (ResolucionSancionatoria.tipo) | Validación: IsIn(TIPOS_CAMPO as unknown as string[]), IsIn(TIPOS_LIQUIDACION, {
    message: 'La liquidación es bilateral, de común acuerdo, o unilateral, por acto de la entidad',
  }), IsIn(TIPOS_REGLA as unknown as string[]), IsIn(TIPOS_SOPORTE, {
    message: 'El soporte es seguridad social, RUT, certificación bancaria u otro',
  }), IsIn(['GRABACION', 'OBSERVACION', 'ANEXO'], {
    message: 'Di qué es: una grabación, una observación con su respuesta, o un anexo',
  }), IsIn(['INFORME', 'ACTA', 'SOPORTE'], {
    message: 'El soporte es un informe, un acta u otro documento de la ejecución',
  })</t>
  </si>
  <si>
    <t xml:space="preserve">Tipo del registro de resoluciones_sancionatorias.</t>
  </si>
  <si>
    <t xml:space="preserve">C3183</t>
  </si>
  <si>
    <t xml:space="preserve">Mapeada en hiring-service/src/entities/actuacion-sancionatoria.entity.ts:108 (ResolucionSancionatoria.numero) | Validación: IsNotEmpty({ message: 'El contrato necesita el número con el que la entidad lo identifica' }), IsNotEmpty({ message: 'El número del CDP es obligatorio' }), IsNotEmpty({ message: 'El registro presupuestal necesita su número' }), IsNotEmpty({ message: 'Registra el número de la modificación' }), IsNotEmpty({ message: 'Registra el número de la resolución' }), IsNotEmpty({ message: 'Registra el número' })</t>
  </si>
  <si>
    <t xml:space="preserve">C3184</t>
  </si>
  <si>
    <t xml:space="preserve">ix_resoluciones_sancionatorias_caso</t>
  </si>
  <si>
    <t xml:space="preserve">Mapeada en hiring-service/src/entities/actuacion-sancionatoria.entity.ts:111 (ResolucionSancionatoria.fechaExpedicion) | Validación: IsDateString({}, { message: 'La fecha de expedición debe tener el formato YYYY-MM-DD' }), IsISO8601({ strict: true }, { message: 'La fecha debe tener formato YYYY-MM-DD' })</t>
  </si>
  <si>
    <t xml:space="preserve">C3185</t>
  </si>
  <si>
    <t xml:space="preserve">valor_sancion</t>
  </si>
  <si>
    <t xml:space="preserve">hiring-service/src/entities/actuacion-sancionatoria.entity.ts:121: La multa o la cláusula penal, cuando la decisión las impone. | db/migrations/hiring/056_tramite_sancionatorio.sql:133: La multa o la cláusula penal, cuando la decisión las impone. Opcional porque un incumplimiento puede declararse sin sanción pecuniaria. | Validación: IsNumber({}, { message: 'El valor de la sanción debe ser un número' }), IsPositive({ message: 'El valor de la sanción debe ser mayor que cero' })</t>
  </si>
  <si>
    <t xml:space="preserve">Valor de la multa o de la cláusula penal, cuando la decisión las impone. Opcional, porque un incumplimiento puede declararse sin sanción pecuniaria. Un CHECK lo relaciona con el sentido de la decisión (DECLARA_CADUCIDAD, DECLARA_INCUMPLIMIENTO).</t>
  </si>
  <si>
    <t xml:space="preserve">código: hiring-service/src/entities/actuacion-sancionatoria.entity.ts:121; db/migrations/hiring/056_tramite_sancionatorio.sql:133</t>
  </si>
  <si>
    <t xml:space="preserve">C3186</t>
  </si>
  <si>
    <t xml:space="preserve">hiring-service/src/entities/actuacion-sancionatoria.entity.ts:131: A dónde vuelve el contrato si la resolución se revoca. Mismo criterio que la terminación anticipada: revocar devuelve lo guardado y no lo deducido. Solo lo escribe la caducidad, que es la única que mueve el estado del contrato. | db/migrations/hiring/056_tramite_sancionatorio.sql:138: A dónde vuelve el contrato si la resolución se revoca. Mismo criterio que la terminación anticipada (053): revocar devuelve lo guardado y no lo deducido.</t>
  </si>
  <si>
    <t xml:space="preserve">Estado al que vuelve el contrato si se revoca la resolución. Solo lo registra la declaratoria de caducidad, única decisión que cambia el estado del contrato.</t>
  </si>
  <si>
    <t xml:space="preserve">código: hiring-service/src/entities/actuacion-sancionatoria.entity.ts:131; db/migrations/hiring/056_tramite_sancionatorio.sql:138</t>
  </si>
  <si>
    <t xml:space="preserve">¿Qué valores de estado del contrato puede tomar?</t>
  </si>
  <si>
    <t xml:space="preserve">C3187</t>
  </si>
  <si>
    <t xml:space="preserve">notificada_el</t>
  </si>
  <si>
    <t xml:space="preserve">hiring-service/src/entities/actuacion-sancionatoria.entity.ts:141: Hechos posteriores a la expedición. Se registran, no se calculan: ninguna fuente del proyecto dice cuántos días corren entre uno y otro, y contar términos inventados sería peor que no contarlos. | db/migrations/hiring/056_tramite_sancionatorio.sql:142: Hechos posteriores a la expedición. No se calculan términos con ellos: ninguna fuente del proyecto dice cuántos días corren. | Validación: IsDateString({}, { message: 'La fecha de notificación debe tener el formato YYYY-MM-DD' })</t>
  </si>
  <si>
    <t xml:space="preserve">Fecha de notificación de la resolución, posterior a su expedición. Se registra; no se usa para calcular términos.</t>
  </si>
  <si>
    <t xml:space="preserve">código: hiring-service/src/entities/actuacion-sancionatoria.entity.ts:141; db/migrations/hiring/056_tramite_sancionatorio.sql:142</t>
  </si>
  <si>
    <t xml:space="preserve">C3188</t>
  </si>
  <si>
    <t xml:space="preserve">firme_el</t>
  </si>
  <si>
    <t xml:space="preserve">Mapeada en hiring-service/src/entities/actuacion-sancionatoria.entity.ts:144 (ResolucionSancionatoria.firmeEl) | Validación: IsDateString({}, { message: 'La fecha de firmeza debe tener el formato YYYY-MM-DD' }), IsOptional</t>
  </si>
  <si>
    <t xml:space="preserve">Fecha en que la resolución quedó en firme. Requiere fecha de notificación y no puede ser anterior a ella.</t>
  </si>
  <si>
    <t xml:space="preserve">nombre + tipo date + CHECK firme_el &gt;= notificada_el</t>
  </si>
  <si>
    <t xml:space="preserve">C3189</t>
  </si>
  <si>
    <t xml:space="preserve">expedida_por</t>
  </si>
  <si>
    <t xml:space="preserve">Mapeada en hiring-service/src/entities/actuacion-sancionatoria.entity.ts:147 (ResolucionSancionatoria.expedidaPor)</t>
  </si>
  <si>
    <t xml:space="preserve">Usuario o funcionario que expidió la resolución.</t>
  </si>
  <si>
    <t xml:space="preserve">C3190</t>
  </si>
  <si>
    <t xml:space="preserve">Mapeada en hiring-service/src/entities/actuacion-sancionatoria.entity.ts:153 (ResolucionSancionatoria.revocadaAt)</t>
  </si>
  <si>
    <t xml:space="preserve">C3191</t>
  </si>
  <si>
    <t xml:space="preserve">Mapeada en hiring-service/src/entities/actuacion-sancionatoria.entity.ts:156 (ResolucionSancionatoria.revocadaPor)</t>
  </si>
  <si>
    <t xml:space="preserve">C3192</t>
  </si>
  <si>
    <t xml:space="preserve">Mapeada en hiring-service/src/entities/actuacion-sancionatoria.entity.ts:159 (ResolucionSancionatoria.motivoRevocacion)</t>
  </si>
  <si>
    <t xml:space="preserve">C3193</t>
  </si>
  <si>
    <t xml:space="preserve">resultados_evaluacion</t>
  </si>
  <si>
    <t xml:space="preserve">puntaje_obtenido</t>
  </si>
  <si>
    <t xml:space="preserve">numeric(6,2)</t>
  </si>
  <si>
    <t xml:space="preserve">hiring-service/src/entities/resultado-evaluacion.entity.ts:44: La nota de la ganadora y sobre cuánto se dio. Nulas cuando la modalidad no puntúa —en mínima cuantía suele bastar con el menor precio que cumple—, y siempre las dos juntas: un 85 sin saber sobre cuánto no dice nada. | db/migrations/hiring/038_evaluacion_por_fuera.sql:68: La valoración, tal como la reporta el comité. Nulos permitidos porque no toda modalidad puntúa: en mínima cuantía suele bastar con el menor precio que cumple, sin nota. Cuando vienen, vienen los dos: un 85 sin saber sobre cuánto no dice nada. | Validación: IsNumber({ maxDecimalPlaces: 2 }, { message: 'El puntaje obtenido debe ser un número' }), IsOptional, Min(0, { message: 'El puntaje obtenido no puede ser negativo' })</t>
  </si>
  <si>
    <t xml:space="preserve">Puntaje obtenido por la oferta ganadora, tal como lo reporta el comité evaluador. Se registra junto con puntaje_maximo, no puede ser negativo y es nulo cuando la modalidad no asigna puntaje (por ejemplo, mínima cuantía).</t>
  </si>
  <si>
    <t xml:space="preserve">código: hiring-service/src/entities/resultado-evaluacion.entity.ts:44; db/migrations/hiring/038_evaluacion_por_fuera.sql:68</t>
  </si>
  <si>
    <t xml:space="preserve">C3194</t>
  </si>
  <si>
    <t xml:space="preserve">puntaje_maximo</t>
  </si>
  <si>
    <t xml:space="preserve">Mapeada en hiring-service/src/entities/resultado-evaluacion.entity.ts:47 (ResultadoEvaluacion.puntajeMaximo) | Validación: IsNumber({ maxDecimalPlaces: 2 }, { message: 'El puntaje máximo debe ser un número' }), IsOptional, Min(0.01, { message: 'El puntaje máximo tiene que ser mayor que cero' })</t>
  </si>
  <si>
    <t xml:space="preserve">Puntaje máximo posible en la evaluación. Se registra junto con puntaje_obtenido y debe ser mayor que cero.</t>
  </si>
  <si>
    <t xml:space="preserve">nombre + numeric(6,2) + CHECK con puntaje_obtenido</t>
  </si>
  <si>
    <t xml:space="preserve">C3195</t>
  </si>
  <si>
    <t xml:space="preserve">valor_evaluado</t>
  </si>
  <si>
    <t xml:space="preserve">hiring-service/src/entities/resultado-evaluacion.entity.ts:57: El valor por el que se evalúa la ganadora. Aparte del `valorOfertado` de la oferta porque puede no coincidir: una corrección aritmética del comité cambia la cifra que se adjudica sin reescribir lo que el oferente presentó. | db/migrations/hiring/038_evaluacion_por_fuera.sql:75: El valor por el que se evalúa la ganadora. Suele ser el `valor_ofertado` de la oferta, y se guarda aparte porque puede no serlo: una corrección aritmética del comité cambia la cifra que se adjudica sin reescribir lo que el oferente presentó. | Validación: IsNumber({ maxDecimalPlaces: 2 }, { message: 'El valor evaluado debe ser un número' }), IsOptional, Min(0.01, { message: 'El valor evaluado tiene que ser mayor que cero' })</t>
  </si>
  <si>
    <t xml:space="preserve">Valor por el que se evalúa la oferta ganadora; debe ser mayor que cero. Suele coincidir con el valor ofertado, pero puede diferir por una corrección aritmética del comité.</t>
  </si>
  <si>
    <t xml:space="preserve">código: hiring-service/src/entities/resultado-evaluacion.entity.ts:57; db/migrations/hiring/038_evaluacion_por_fuera.sql:75</t>
  </si>
  <si>
    <t xml:space="preserve">C3196</t>
  </si>
  <si>
    <t xml:space="preserve">hiring-service/src/entities/resultado-evaluacion.entity.ts:61: Por qué esa y no otra: es lo que el traslado del informe le muestra a los demás. | db/migrations/hiring/038_evaluacion_por_fuera.sql:79: Por qué esa y no otra. Obligatoria: es lo que el traslado del informe (6.4) le tiene que poder mostrar a los demás oferentes. | Validación: IsNotEmpty({ message: 'Explica por qué el comité eligió esa oferta' }), IsNotEmpty({ message: 'Justifica la adición' }), IsNotEmpty({ message: 'Justifica la modificación' }), IsOptional, IsString, MaxLength(2000)</t>
  </si>
  <si>
    <t xml:space="preserve">Justificación del comité evaluador para elegir la oferta ganadora; se muestra a los demás oferentes en el traslado del informe (actividad 6.4).</t>
  </si>
  <si>
    <t xml:space="preserve">código: hiring-service/src/entities/resultado-evaluacion.entity.ts:61; db/migrations/hiring/038_evaluacion_por_fuera.sql:79</t>
  </si>
  <si>
    <t xml:space="preserve">C3197</t>
  </si>
  <si>
    <t xml:space="preserve">RECTIFICADO, VIGENTE</t>
  </si>
  <si>
    <t xml:space="preserve">Mapeada en hiring-service/src/entities/resultado-evaluacion.entity.ts:64 (ResultadoEvaluacion.estado)</t>
  </si>
  <si>
    <t xml:space="preserve">Estado del registro de resultados_evaluacion.</t>
  </si>
  <si>
    <t xml:space="preserve">C3198</t>
  </si>
  <si>
    <t xml:space="preserve">Mapeada en hiring-service/src/entities/resultado-evaluacion.entity.ts:67 (ResultadoEvaluacion.registradoPor)</t>
  </si>
  <si>
    <t xml:space="preserve">C3199</t>
  </si>
  <si>
    <t xml:space="preserve">Mapeada en hiring-service/src/entities/resultado-evaluacion.entity.ts:70 (ResultadoEvaluacion.registradoAt)</t>
  </si>
  <si>
    <t xml:space="preserve">C3200</t>
  </si>
  <si>
    <t xml:space="preserve">rectificado_at</t>
  </si>
  <si>
    <t xml:space="preserve">Mapeada en hiring-service/src/entities/resultado-evaluacion.entity.ts:73 (ResultadoEvaluacion.rectificadoAt)</t>
  </si>
  <si>
    <t xml:space="preserve">Fecha y hora en que se rectificó el resultado de la evaluación. Un CHECK la relaciona con el estado RECTIFICADO.</t>
  </si>
  <si>
    <t xml:space="preserve">nombre + timestamptz + CHECK con estado RECTIFICADO + vecina motivo_rectificacion</t>
  </si>
  <si>
    <t xml:space="preserve">C3201</t>
  </si>
  <si>
    <t xml:space="preserve">rectificado_por</t>
  </si>
  <si>
    <t xml:space="preserve">Mapeada en hiring-service/src/entities/resultado-evaluacion.entity.ts:76 (ResultadoEvaluacion.rectificadoPor)</t>
  </si>
  <si>
    <t xml:space="preserve">Usuario que rectificó el resultado.</t>
  </si>
  <si>
    <t xml:space="preserve">nombre + varchar(200) + vecina rectificado_at</t>
  </si>
  <si>
    <t xml:space="preserve">C3202</t>
  </si>
  <si>
    <t xml:space="preserve">motivo_rectificacion</t>
  </si>
  <si>
    <t xml:space="preserve">Mapeada en hiring-service/src/entities/resultado-evaluacion.entity.ts:79 (ResultadoEvaluacion.motivoRectificacion)</t>
  </si>
  <si>
    <t xml:space="preserve">Motivo de la rectificación.</t>
  </si>
  <si>
    <t xml:space="preserve">C3203</t>
  </si>
  <si>
    <t xml:space="preserve">revisiones</t>
  </si>
  <si>
    <t xml:space="preserve">APROBADO, DEVUELTO, NEGADO</t>
  </si>
  <si>
    <t xml:space="preserve">Mapeada en hiring-service/src/entities/revision.entity.ts:26 (Revision.decision) | Validación: IsIn(DECISIONES_COMITE, {
    message: 'El comité aprueba, aprueba con condiciones, observa o rechaza',
  })</t>
  </si>
  <si>
    <t xml:space="preserve">Decisión de la revisión de la actividad. Valores permitidos: APROBADO, DEVUELTO, NEGADO.</t>
  </si>
  <si>
    <t xml:space="preserve">C3204</t>
  </si>
  <si>
    <t xml:space="preserve">hiring-service/src/entities/revision.entity.ts:30: Obligatorio salvo al aprobar: sin motivo nadie sabe qué corregir, ni por qué se negó. | Validación: IsNotEmpty({ message: 'El motivo del rechazo es obligatorio' }), IsNotEmpty({ message: 'Explica por qué se rechaza el registro presupuestal' }), IsNotEmpty({ message: 'Explica por qué se rechaza' }), IsOptional, IsString, MaxLength(1000)</t>
  </si>
  <si>
    <t xml:space="preserve">Motivo de la decisión del revisor sobre la actividad. Obligatorio salvo cuando se aprueba.</t>
  </si>
  <si>
    <t xml:space="preserve">código: hiring-service/src/entities/revision.entity.ts:30</t>
  </si>
  <si>
    <t xml:space="preserve">C3205</t>
  </si>
  <si>
    <t xml:space="preserve">version_revisada</t>
  </si>
  <si>
    <t xml:space="preserve">hiring-service/src/entities/revision.entity.ts:34: Versión sobre la que se pronunció el revisor. | db/migrations/hiring/005_revision_estudio_previo.sql:35: Versión de la actividad revisada: permite saber sobre qué contenido se pronunció el revisor, aunque el gestor lo haya corregido después.</t>
  </si>
  <si>
    <t xml:space="preserve">Número de versión de la actividad sobre la que se pronunció el revisor, aunque el gestor la haya corregido después.</t>
  </si>
  <si>
    <t xml:space="preserve">código: hiring-service/src/entities/revision.entity.ts:34; db/migrations/hiring/005_revision_estudio_previo.sql:35</t>
  </si>
  <si>
    <t xml:space="preserve">C3206</t>
  </si>
  <si>
    <t xml:space="preserve">Mapeada en hiring-service/src/entities/revision.entity.ts:37 (Revision.revisadoPor)</t>
  </si>
  <si>
    <t xml:space="preserve">C3207</t>
  </si>
  <si>
    <t xml:space="preserve">revisado_por_id</t>
  </si>
  <si>
    <t xml:space="preserve">Mapeada en hiring-service/src/entities/revision.entity.ts:40 (Revision.revisadoPorId)</t>
  </si>
  <si>
    <t xml:space="preserve">nombre + varchar(120) + vecina revisado_por</t>
  </si>
  <si>
    <t xml:space="preserve">¿A qué tabla corresponde el identificador (auth."user", Keycloak u otro)?</t>
  </si>
  <si>
    <t xml:space="preserve">C3208</t>
  </si>
  <si>
    <t xml:space="preserve">seguimientos_contrato</t>
  </si>
  <si>
    <t xml:space="preserve">ACTA, INFORME, SOPORTE</t>
  </si>
  <si>
    <t xml:space="preserve">db/migrations/hiring/050_seguimiento_ejecucion.sql:28: Qué clase de soporte es. INFORME y ACTA son los que nombra la historia; SOPORTE recoge el resto —una certificación, una comunicación— sin obligar a inventar una categoría por cada documento que aparezca. | Validación: IsIn(TIPOS_CAMPO as unknown as string[]), IsIn(TIPOS_LIQUIDACION, {
    message: 'La liquidación es bilateral, de común acuerdo, o unilateral, por acto de la entidad',
  }), IsIn(TIPOS_REGLA as unknown as string[]), IsIn(TIPOS_SOPORTE, {
    message: 'El soporte es seguridad social, RUT, certificación bancaria u otro',
  }), IsIn(['GRABACION', 'OBSERVACION', 'ANEXO'], {
    message: 'Di qué es: una grabación, una observación con su respuesta, o un anexo',
  }), IsIn(['INFORME', 'ACTA', 'SOPORTE'], {
    message: 'El soporte es un informe, un acta u otro documento de la ejecución',
  })</t>
  </si>
  <si>
    <t xml:space="preserve">Clase de soporte del seguimiento a la ejecución: INFORME, ACTA o SOPORTE (otros documentos, como certificaciones o comunicaciones).</t>
  </si>
  <si>
    <t xml:space="preserve">código: db/migrations/hiring/050_seguimiento_ejecucion.sql:28</t>
  </si>
  <si>
    <t xml:space="preserve">C3209</t>
  </si>
  <si>
    <t xml:space="preserve">hiring-service/src/entities/seguimiento-contrato.entity.ts:32: Qué acredita: un archivo sin explicación obliga a abrirlo para saberlo. | db/migrations/hiring/050_seguimiento_ejecucion.sql:32: Qué acredita. Se pide siempre: un archivo sin explicación obliga a abrirlo para saber si es el que se busca. | Validación: IsNotEmpty({ message: 'Describe el entregable' }), IsNotEmpty({ message: 'Describe la pieza: una lista de archivos sin decir cuál es cuál no documenta nada' }), IsNotEmpty({ message: 'Describe qué acredita el soporte' }), IsOptional, IsString, MaxLength(1000)</t>
  </si>
  <si>
    <t xml:space="preserve">Descripción de lo que acredita el soporte del seguimiento. Es obligatoria.</t>
  </si>
  <si>
    <t xml:space="preserve">código: hiring-service/src/entities/seguimiento-contrato.entity.ts:32; db/migrations/hiring/050_seguimiento_ejecucion.sql:32</t>
  </si>
  <si>
    <t xml:space="preserve">C3210</t>
  </si>
  <si>
    <t xml:space="preserve">hiring-service/src/entities/seguimiento-contrato.entity.ts:36: Qué lapso cubre. Nulo cuando el soporte es de un hecho puntual. | db/migrations/hiring/050_seguimiento_ejecucion.sql:36: Qué periodo de la ejecución cubre. Nulo cuando el soporte no cubre un lapso sino un hecho puntual. | Validación: IsDateString({}, { message: 'El inicio del periodo debe tener el formato YYYY-MM-DD' }), IsOptional</t>
  </si>
  <si>
    <t xml:space="preserve">Fecha de inicio del periodo de la ejecución que cubre el soporte. Se registra junto con periodo_hasta, no puede ser posterior a ella y es nula cuando el soporte corresponde a un hecho puntual.</t>
  </si>
  <si>
    <t xml:space="preserve">código: hiring-service/src/entities/seguimiento-contrato.entity.ts:36; db/migrations/hiring/050_seguimiento_ejecucion.sql:36</t>
  </si>
  <si>
    <t xml:space="preserve">C3211</t>
  </si>
  <si>
    <t xml:space="preserve">Mapeada en hiring-service/src/entities/seguimiento-contrato.entity.ts:39 (SeguimientoContrato.periodoHasta) | Validación: IsDateString({}, { message: 'El fin del periodo debe tener el formato YYYY-MM-DD' }), IsOptional</t>
  </si>
  <si>
    <t xml:space="preserve">Fecha de fin del periodo que cubre el seguimiento. Se registra junto con periodo_desde.</t>
  </si>
  <si>
    <t xml:space="preserve">nombre + tipo date + CHECK con periodo_desde</t>
  </si>
  <si>
    <t xml:space="preserve">C3212</t>
  </si>
  <si>
    <t xml:space="preserve">fecha_soporte</t>
  </si>
  <si>
    <t xml:space="preserve">ix_seguimientos_contrato</t>
  </si>
  <si>
    <t xml:space="preserve">hiring-service/src/entities/seguimiento-contrato.entity.ts:46: La del soporte, no la del registro: un informe de enero se puede cargar en febrero y sigue siendo de enero. | db/migrations/hiring/050_seguimiento_ejecucion.sql:41: La fecha del soporte, no la del registro: un informe de enero se puede cargar en febrero y sigue siendo de enero. | Validación: IsDateString({}, { message: 'La fecha del soporte debe tener el formato YYYY-MM-DD' })</t>
  </si>
  <si>
    <t xml:space="preserve">Fecha del soporte, no la de su registro en la plataforma (un informe de enero cargado en febrero conserva la fecha de enero).</t>
  </si>
  <si>
    <t xml:space="preserve">código: hiring-service/src/entities/seguimiento-contrato.entity.ts:46; db/migrations/hiring/050_seguimiento_ejecucion.sql:41</t>
  </si>
  <si>
    <t xml:space="preserve">C3213</t>
  </si>
  <si>
    <t xml:space="preserve">db/migrations/hiring/050_seguimiento_ejecucion.sql:48: Quién lo cargó y en calidad de qué: el supervisor de entonces puede no ser el de ahora, y el expediente tiene que decir quién respondía ese día.</t>
  </si>
  <si>
    <t xml:space="preserve">Usuario que cargó el soporte del seguimiento; el expediente conserva quién respondía ese día.</t>
  </si>
  <si>
    <t xml:space="preserve">código: db/migrations/hiring/050_seguimiento_ejecucion.sql:48</t>
  </si>
  <si>
    <t xml:space="preserve">¿En qué columna se guarda la calidad en que actuó quien cargó el soporte?</t>
  </si>
  <si>
    <t xml:space="preserve">C3214</t>
  </si>
  <si>
    <t xml:space="preserve">sesiones_comite_contratacion</t>
  </si>
  <si>
    <t xml:space="preserve">ix_sesiones_comite_proceso</t>
  </si>
  <si>
    <t xml:space="preserve">hiring-service/src/entities/comite-contratacion.entity.ts:77: La de la sesión, que no es la de la transcripción. | db/migrations/hiring/071_comite_de_contratacion.sql:69: La fecha de la sesión, que no es la de la transcripción: el comité sesiona en la Dirección y esto se registra después. | Validación: IsISO8601({ strict: true }, { message: 'La fecha de la sesión no es válida' }), IsISO8601({ strict: true }, { message: 'La fecha va en formato AAAA-MM-DD' })</t>
  </si>
  <si>
    <t xml:space="preserve">Fecha de la sesión del comité de contratación, no la de su registro en la plataforma.</t>
  </si>
  <si>
    <t xml:space="preserve">código: hiring-service/src/entities/comite-contratacion.entity.ts:77; db/migrations/hiring/071_comite_de_contratacion.sql:69</t>
  </si>
  <si>
    <t xml:space="preserve">C3215</t>
  </si>
  <si>
    <t xml:space="preserve">APROBADO, APROBADO_CON_CONDICIONES, OBSERVADO, RECHAZADO</t>
  </si>
  <si>
    <t xml:space="preserve">Mapeada en hiring-service/src/entities/comite-contratacion.entity.ts:80 (SesionComiteContratacion.decision) | Validación: IsIn(DECISIONES_COMITE, {
    message: 'El comité aprueba, aprueba con condiciones, observa o rechaza',
  })</t>
  </si>
  <si>
    <t xml:space="preserve">Decisión del comité en la sesión. Valores permitidos: APROBADO, APROBADO_CON_CONDICIONES, OBSERVADO, RECHAZADO.</t>
  </si>
  <si>
    <t xml:space="preserve">C3216</t>
  </si>
  <si>
    <t xml:space="preserve">condiciones</t>
  </si>
  <si>
    <t xml:space="preserve">hiring-service/src/entities/comite-contratacion.entity.ts:84: A qué queda sujeta la aprobación condicionada. | db/migrations/hiring/071_comite_de_contratacion.sql:72: A qué queda sujeta la aprobación condicionada. | Validación: IsArray, IsOptional, IsString, MaxLength(2000), MinLength(10, { message: 'Di a que queda condicionada la aprobación' })</t>
  </si>
  <si>
    <t xml:space="preserve">Condiciones a las que queda sujeta la aprobación condicionada del comité. Un CHECK la relaciona con la decisión APROBADO_CON_CONDICIONES.</t>
  </si>
  <si>
    <t xml:space="preserve">código: hiring-service/src/entities/comite-contratacion.entity.ts:84; db/migrations/hiring/071_comite_de_contratacion.sql:72</t>
  </si>
  <si>
    <t xml:space="preserve">C3217</t>
  </si>
  <si>
    <t xml:space="preserve">Mapeada en hiring-service/src/entities/comite-contratacion.entity.ts:101 (SesionComiteContratacion.registradoPor)</t>
  </si>
  <si>
    <t xml:space="preserve">C3218</t>
  </si>
  <si>
    <t xml:space="preserve">registrado_por_id</t>
  </si>
  <si>
    <t xml:space="preserve">Mapeada en hiring-service/src/entities/comite-contratacion.entity.ts:104 (SesionComiteContratacion.registradoPorId)</t>
  </si>
  <si>
    <t xml:space="preserve">Identificador del usuario que registró la sesión.</t>
  </si>
  <si>
    <t xml:space="preserve">nombre + varchar(120) + vecina registrado_por</t>
  </si>
  <si>
    <t xml:space="preserve">C3219</t>
  </si>
  <si>
    <t xml:space="preserve">smmlv</t>
  </si>
  <si>
    <t xml:space="preserve">Mapeada en hiring-service/src/entities/smmlv.entity.ts:21 (Smmlv.valor) | Validación: IsNumber({ maxDecimalPlaces: 2 }, { message: 'El salario debe ser un número' }), IsNumber({ maxDecimalPlaces: 2 }, { message: 'El valor debe ser un número' }), IsNumber({}, { message: 'El valor cobrado debe ser un número' }), IsNumber({}, { message: 'El valor comprometido debe ser un número' }), IsNumber({}, { message: 'El valor debe ser un número' }), IsNumber({}, { message: 'El valor del contrato debe ser un número' })</t>
  </si>
  <si>
    <t xml:space="preserve">Valor del salario mínimo mensual legal vigente del año, en pesos colombianos. Debe ser mayor que cero.</t>
  </si>
  <si>
    <t xml:space="preserve">nombre + numeric + CHECK &gt; 0 + descripción de la tabla</t>
  </si>
  <si>
    <t xml:space="preserve">C3220</t>
  </si>
  <si>
    <t xml:space="preserve">hiring-service/src/entities/smmlv.entity.ts:25: Mientras sea false, el valor es un supuesto y no un dato verificado. | db/migrations/hiring/009_umbrales_modalidad.sql:33: Mientras esté en false, el valor es un supuesto del equipo de desarrollo. | Validación: IsBoolean, IsOptional</t>
  </si>
  <si>
    <t xml:space="preserve">Indica si el valor del salario mínimo está verificado; mientras sea falso, el valor es un supuesto del equipo de desarrollo.</t>
  </si>
  <si>
    <t xml:space="preserve">código: hiring-service/src/entities/smmlv.entity.ts:25; db/migrations/hiring/009_umbrales_modalidad.sql:33</t>
  </si>
  <si>
    <t xml:space="preserve">C3221</t>
  </si>
  <si>
    <t xml:space="preserve">sobres_economicos</t>
  </si>
  <si>
    <t xml:space="preserve">valor_ofertado</t>
  </si>
  <si>
    <t xml:space="preserve">hiring-service/src/entities/sobre-economico.entity.ts:30: Lo que traía el sobre. Se guarda aquí y no se pisa `oferentes.valor_ofertado` porque son dos hechos distintos: lo que el oferente declaró al presentarse y lo que resultó al abrir el sobre. Que coincidan es lo normal; que no coincidan es justamente lo que hay que poder ver. | db/migrations/hiring/040_adjudicacion.sql:127: Lo que traía el sobre. Se guarda aquí y no se pisa `oferentes.valor_ofertado` porque son dos hechos distintos: lo que el oferente declaró al presentarse y lo que resultó al abrir el sobre en audiencia. Que coincidan es lo normal; que no coincidan es justamente lo que hay que poder ver. | Validación: IsNumber({ maxDecimalPlaces: 2 }, { message: 'El valor de la oferta debe ser un número' }), IsNumber({ maxDecimalPlaces: 2 }, { message: 'El valor del sobre debe ser un número' }), Min(0, { message: 'El valor de la oferta no puede ser negativo' }), Min(0.01, { message: 'El valor del sobre tiene que ser mayor que cero' })</t>
  </si>
  <si>
    <t xml:space="preserve">Valor que traía el sobre económico al abrirse en audiencia; debe ser mayor que cero. Se guarda aparte del valor declarado en oferentes.valor_ofertado para poder comparar ambos.</t>
  </si>
  <si>
    <t xml:space="preserve">código: hiring-service/src/entities/sobre-economico.entity.ts:30; db/migrations/hiring/040_adjudicacion.sql:127</t>
  </si>
  <si>
    <t xml:space="preserve">C3222</t>
  </si>
  <si>
    <t xml:space="preserve">Mapeada en hiring-service/src/entities/sobre-economico.entity.ts:37 (SobreEconomico.observacion) | Validación: IsOptional, IsString, MaxLength(1000), MaxLength(2000), MaxLength(2000, { message: 'La observación del informe no puede pasar de 2000 caracteres' })</t>
  </si>
  <si>
    <t xml:space="preserve">C3223</t>
  </si>
  <si>
    <t xml:space="preserve">Mapeada en hiring-service/src/entities/sobre-economico.entity.ts:40 (SobreEconomico.abiertoPor)</t>
  </si>
  <si>
    <t xml:space="preserve">Usuario que abrió el sobre económico en la audiencia.</t>
  </si>
  <si>
    <t xml:space="preserve">nombre + varchar(200) + vecina abierto_at</t>
  </si>
  <si>
    <t xml:space="preserve">C3224</t>
  </si>
  <si>
    <t xml:space="preserve">abierto_at</t>
  </si>
  <si>
    <t xml:space="preserve">Mapeada en hiring-service/src/entities/sobre-economico.entity.ts:43 (SobreEconomico.abiertoAt)</t>
  </si>
  <si>
    <t xml:space="preserve">Fecha y hora de apertura del sobre económico. Por defecto, la fecha del registro.</t>
  </si>
  <si>
    <t xml:space="preserve">C3225</t>
  </si>
  <si>
    <t xml:space="preserve">soportes_pago</t>
  </si>
  <si>
    <t xml:space="preserve">CERTIFICACION_BANCARIA, OTRO, RUT, SEGURIDAD_SOCIAL</t>
  </si>
  <si>
    <t xml:space="preserve">db/migrations/hiring/043_tramite_de_pagos.sql:111: Qué es lo que se adjunta. Los dos primeros son los que Click evitaría pedir; mientras no exista, se piden y quedan registrados como lo que son. | Validación: IsIn(TIPOS_CAMPO as unknown as string[]), IsIn(TIPOS_LIQUIDACION, {
    message: 'La liquidación es bilateral, de común acuerdo, o unilateral, por acto de la entidad',
  }), IsIn(TIPOS_REGLA as unknown as string[]), IsIn(TIPOS_SOPORTE, {
    message: 'El soporte es seguridad social, RUT, certificación bancaria u otro',
  }), IsIn(['GRABACION', 'OBSERVACION', 'ANEXO'], {
    message: 'Di qué es: una grabación, una observación con su respuesta, o un anexo',
  }), IsIn(['INFORME', 'ACTA', 'SOPORTE'], {
    message: 'El soporte es un informe, un acta u otro documento de la ejecución',
  })</t>
  </si>
  <si>
    <t xml:space="preserve">Tipo de documento que acompaña la cuenta de cobro: SEGURIDAD_SOCIAL, RUT, CERTIFICACION_BANCARIA u OTRO.</t>
  </si>
  <si>
    <t xml:space="preserve">código: db/migrations/hiring/043_tramite_de_pagos.sql:111; validaciones DTO</t>
  </si>
  <si>
    <t xml:space="preserve">C3226</t>
  </si>
  <si>
    <t xml:space="preserve">Mapeada en hiring-service/src/entities/pago-contrato.entity.ts:165 (SoportePago.descripcion) | Validación: IsNotEmpty({ message: 'Describe el entregable' }), IsNotEmpty({ message: 'Describe la pieza: una lista de archivos sin decir cuál es cuál no documenta nada' }), IsNotEmpty({ message: 'Describe qué acredita el soporte' }), IsOptional, IsString, MaxLength(1000)</t>
  </si>
  <si>
    <t xml:space="preserve">Descripción del registro de soportes_pago.</t>
  </si>
  <si>
    <t xml:space="preserve">C3227</t>
  </si>
  <si>
    <t xml:space="preserve">Mapeada en hiring-service/src/entities/pago-contrato.entity.ts:168 (SoportePago.cargadoPor)</t>
  </si>
  <si>
    <t xml:space="preserve">C3228</t>
  </si>
  <si>
    <t xml:space="preserve">subsanaciones</t>
  </si>
  <si>
    <t xml:space="preserve">OBSERVACION, SUBSANACION</t>
  </si>
  <si>
    <t xml:space="preserve">db/migrations/hiring/039_traslado_y_subsanaciones.sql:178: SUBSANACION aporta lo que faltaba y puede cambiar la habilitación; OBSERVACION cuestiona la evaluación, propia o de otro. No son lo mismo y no se responden igual: guardarlas en una sola etiqueta obligaría a adivinar. | Validación: IsIn(TIPOS_CAMPO as unknown as string[]), IsIn(TIPOS_LIQUIDACION, {
    message: 'La liquidación es bilateral, de común acuerdo, o unilateral, por acto de la entidad',
  }), IsIn(TIPOS_REGLA as unknown as string[]), IsIn(TIPOS_SOPORTE, {
    message: 'El soporte es seguridad social, RUT, certificación bancaria u otro',
  }), IsIn(['GRABACION', 'OBSERVACION', 'ANEXO'], {
    message: 'Di qué es: una grabación, una observación con su respuesta, o un anexo',
  }), IsIn(['INFORME', 'ACTA', 'SOPORTE'], {
    message: 'El soporte es un informe, un acta u otro documento de la ejecución',
  })</t>
  </si>
  <si>
    <t xml:space="preserve">Tipo de lo presentado por el oferente durante el traslado del informe: SUBSANACION (aporta lo que faltaba y puede cambiar la habilitación) u OBSERVACION (cuestiona la evaluación, propia o de otro oferente).</t>
  </si>
  <si>
    <t xml:space="preserve">código: db/migrations/hiring/039_traslado_y_subsanaciones.sql:178</t>
  </si>
  <si>
    <t xml:space="preserve">C3229</t>
  </si>
  <si>
    <t xml:space="preserve">Mapeada en hiring-service/src/entities/subsanacion.entity.ts:37 (Subsanacion.presentadoPor) | Validación: IsNotEmpty({ message: 'Di quién presenta el escrito' }), IsNotEmpty({ message: 'Indica quién presentó la observación' }), IsString, MaxLength(200)</t>
  </si>
  <si>
    <t xml:space="preserve">Nombre de quien presenta la subsanación u observación.</t>
  </si>
  <si>
    <t xml:space="preserve">nombre + varchar(200) + descripción de la tabla</t>
  </si>
  <si>
    <t xml:space="preserve">C3230</t>
  </si>
  <si>
    <t xml:space="preserve">Mapeada en hiring-service/src/entities/subsanacion.entity.ts:40 (Subsanacion.identificacion) | Validación: IsNotEmpty({ message: 'Indica el NIT o documento del oferente' }), IsNotEmpty({ message: 'La identificación es obligatoria para no contar dos veces la misma' }), IsOptional, IsString, MaxLength(40), MaxLength(60)</t>
  </si>
  <si>
    <t xml:space="preserve">C3231</t>
  </si>
  <si>
    <t xml:space="preserve">hiring-service/src/entities/subsanacion.entity.ts:47: Cuándo lo presentó el oferente, no cuándo se registró: es la que decide si llegó en término, y el gestor puede transcribirlo días después. | db/migrations/hiring/039_traslado_y_subsanaciones.sql:185: La fecha en que el oferente lo presentó, no la del registro: es la que decide si llegó en término, y el gestor puede transcribirlo días después. | Validación: IsISO8601({ strict: true }, { message: 'La fecha de presentación va como YYYY-MM-DD' }), IsISO8601({ strict: true }, { message: 'La fecha debe tener formato YYYY-MM-DD' })</t>
  </si>
  <si>
    <t xml:space="preserve">Fecha en que el oferente presentó la subsanación u observación, no la de su registro; determina si llegó en término.</t>
  </si>
  <si>
    <t xml:space="preserve">código: hiring-service/src/entities/subsanacion.entity.ts:47; db/migrations/hiring/039_traslado_y_subsanaciones.sql:185</t>
  </si>
  <si>
    <t xml:space="preserve">C3232</t>
  </si>
  <si>
    <t xml:space="preserve">extemporanea</t>
  </si>
  <si>
    <t xml:space="preserve">hiring-service/src/entities/subsanacion.entity.ts:57: Resuelto al registrar y no calculado al consultar, por la misma razón que el vencimiento se congela. Extemporáneo **no** significa rechazado: quien decide si lo acepta es la entidad, y el sistema no puede borrar el hecho de que el oferente presentó. | db/migrations/hiring/039_traslado_y_subsanaciones.sql:193: Se guarda resuelto y no se calcula al consultar, por la misma razón que el vencimiento se congela: si el plazo del informe se corrige, lo que ya se calificó de extemporáneo no puede cambiar de estado solo. Extemporáneo NO significa rechazado: la entidad decide si lo acepta, y el sistema no puede bor</t>
  </si>
  <si>
    <t xml:space="preserve">Indica si la subsanación u observación se presentó fuera de término. Se calcula al registrar y queda fija. No implica rechazo: la entidad decide si la acepta.</t>
  </si>
  <si>
    <t xml:space="preserve">código: hiring-service/src/entities/subsanacion.entity.ts:57; db/migrations/hiring/039_traslado_y_subsanaciones.sql:193</t>
  </si>
  <si>
    <t xml:space="preserve">C3233</t>
  </si>
  <si>
    <t xml:space="preserve">Mapeada en hiring-service/src/entities/subsanacion.entity.ts:60 (Subsanacion.asunto) | Validación: IsNotEmpty({ message: 'El asunto es obligatorio' }), IsNotEmpty({ message: 'Ponle un asunto: es lo que se lee en la lista' }), IsString, MaxLength(300)</t>
  </si>
  <si>
    <t xml:space="preserve">Asunto de la subsanación u observación.</t>
  </si>
  <si>
    <t xml:space="preserve">C3234</t>
  </si>
  <si>
    <t xml:space="preserve">Mapeada en hiring-service/src/entities/subsanacion.entity.ts:63 (Subsanacion.contenido) | Validación: IsNotEmpty({ message: 'El contenido de la observación es obligatorio' }), IsNotEmpty({ message: 'Transcribe lo que presentó el oferente' }), IsString, MinLength(10, { message: 'El contenido tiene que decir qué presentó el oferente' })</t>
  </si>
  <si>
    <t xml:space="preserve">Texto de la subsanación u observación presentada por el oferente.</t>
  </si>
  <si>
    <t xml:space="preserve">C3235</t>
  </si>
  <si>
    <t xml:space="preserve">db/migrations/hiring/039_traslado_y_subsanaciones.sql:201: La respuesta de la entidad. La matriz pide documento por dimensión —jurídico, financiero y técnico—, así que la respuesta puede traer el suyo. | Validación: IsNotEmpty({ message: 'Escribe la respuesta: es la que se le notifica al oferente' }), IsNotEmpty({ message: 'La respuesta no puede ir vacía' }), IsString, MinLength(10, { message: 'La respuesta tiene que sustentarse, no basta con aceptar o negar' })</t>
  </si>
  <si>
    <t xml:space="preserve">Respuesta de la entidad a la subsanación u observación, que se notifica al oferente. Es obligatoria cuando se registra la decisión (aceptada) y la fecha de respuesta.</t>
  </si>
  <si>
    <t xml:space="preserve">código: db/migrations/hiring/039_traslado_y_subsanaciones.sql:201; validaciones DTO</t>
  </si>
  <si>
    <t xml:space="preserve">C3236</t>
  </si>
  <si>
    <t xml:space="preserve">aceptada</t>
  </si>
  <si>
    <t xml:space="preserve">hiring-service/src/entities/subsanacion.entity.ts:80: Nulo mientras no se responde. True: se aceptó, y el comité puede corregir su juicio con lo aportado. | db/migrations/hiring/039_traslado_y_subsanaciones.sql:205: Nulo mientras no se responde. True: se aceptó, y el comité puede corregir su juicio con lo aportado. | Validación: IsBoolean({ message: 'Di si se acepta o no lo presentado' })</t>
  </si>
  <si>
    <t xml:space="preserve">Decisión de la entidad sobre lo presentado: nulo mientras no se responde; verdadero si se aceptó, caso en que el comité puede corregir su evaluación con lo aportado.</t>
  </si>
  <si>
    <t xml:space="preserve">código: hiring-service/src/entities/subsanacion.entity.ts:80; db/migrations/hiring/039_traslado_y_subsanaciones.sql:205</t>
  </si>
  <si>
    <t xml:space="preserve">C3237</t>
  </si>
  <si>
    <t xml:space="preserve">Mapeada en hiring-service/src/entities/subsanacion.entity.ts:83 (Subsanacion.respondidaPor)</t>
  </si>
  <si>
    <t xml:space="preserve">Usuario que registró la respuesta.</t>
  </si>
  <si>
    <t xml:space="preserve">nombre + varchar(120) + vecina respondida_at</t>
  </si>
  <si>
    <t xml:space="preserve">C3238</t>
  </si>
  <si>
    <t xml:space="preserve">Mapeada en hiring-service/src/entities/subsanacion.entity.ts:86 (Subsanacion.respondidaAt)</t>
  </si>
  <si>
    <t xml:space="preserve">Fecha y hora de la respuesta. Se registra junto con aceptada.</t>
  </si>
  <si>
    <t xml:space="preserve">nombre + timestamptz + CHECK con aceptada</t>
  </si>
  <si>
    <t xml:space="preserve">C3239</t>
  </si>
  <si>
    <t xml:space="preserve">Mapeada en hiring-service/src/entities/subsanacion.entity.ts:89 (Subsanacion.registradoPor)</t>
  </si>
  <si>
    <t xml:space="preserve">C3240</t>
  </si>
  <si>
    <t xml:space="preserve">supervisiones_contrato</t>
  </si>
  <si>
    <t xml:space="preserve">hiring-service/src/entities/supervision-contrato.entity.ts:32: La del acto, no la del registro: es cuando la entidad designó. | db/migrations/hiring/038_designacion_supervisor.sql:24: La del acto, no la del registro: es cuando la entidad designó. | Validación: IsDateString({}, { message: 'La fecha de designación debe tener el formato YYYY-MM-DD' })</t>
  </si>
  <si>
    <t xml:space="preserve">Fecha del acto administrativo de designación del supervisor, no la de su registro.</t>
  </si>
  <si>
    <t xml:space="preserve">código: hiring-service/src/entities/supervision-contrato.entity.ts:32; db/migrations/hiring/038_designacion_supervisor.sql:24</t>
  </si>
  <si>
    <t xml:space="preserve">C3241</t>
  </si>
  <si>
    <t xml:space="preserve">ix_supervisiones_persona</t>
  </si>
  <si>
    <t xml:space="preserve">hiring-service/src/entities/supervision-contrato.entity.ts:36: `id_person` de auth.personas; sin FK porque ese esquema es de otro equipo. | db/migrations/hiring/038_designacion_supervisor.sql:29: `id_person` de auth.personas, SIN llave foránea a propósito: ese esquema es de otro equipo y una FK entre esquemas ataría nuestras migraciones a las suyas. Se guarda para poder enlazar después la cuenta con la persona. | Validación: IsUUID('4', { message: 'Cada miembro se identifica con el id de la persona del directorio' }), IsUUID('4', { message: 'El supervisor se identifica con el id de la persona del directorio' })</t>
  </si>
  <si>
    <t xml:space="preserve">Identificador de la persona designada como supervisora (id_person de auth.personas). Sin llave foránea declarada, por tratarse de un esquema de otro equipo.</t>
  </si>
  <si>
    <t xml:space="preserve">código: hiring-service/src/entities/supervision-contrato.entity.ts:36; db/migrations/hiring/038_designacion_supervisor.sql:29</t>
  </si>
  <si>
    <t xml:space="preserve">C3242</t>
  </si>
  <si>
    <t xml:space="preserve">hiring-service/src/entities/supervision-contrato.entity.ts:40: Copia del nombre al designar: el acto nombró a esa persona ese día. | db/migrations/hiring/038_designacion_supervisor.sql:33: Copia del nombre al designar. El acto nombró a esa persona ese día: si mañana el directorio corrige el nombre, el expediente debe seguir diciendo lo que el acto dijo.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</si>
  <si>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del supervisor, copiado al momento de la designación; conserva el nombre que registró el acto aunque luego cambie en el directorio.</t>
  </si>
  <si>
    <t xml:space="preserve">código: hiring-service/src/entities/supervision-contrato.entity.ts:40; db/migrations/hiring/038_designacion_supervisor.sql:33</t>
  </si>
  <si>
    <t xml:space="preserve">C3243</t>
  </si>
  <si>
    <t xml:space="preserve">Mapeada en hiring-service/src/entities/supervision-contrato.entity.ts:43 (SupervisionContrato.cargo) | Validación: IsOptional, IsString, MaxLength(200)</t>
  </si>
  <si>
    <t xml:space="preserve">Cargo del supervisor designado.</t>
  </si>
  <si>
    <t xml:space="preserve">C3244</t>
  </si>
  <si>
    <t xml:space="preserve">Mapeada en hiring-service/src/entities/supervision-contrato.entity.ts:46 (SupervisionContrato.email) | Validación: IsEmail({}, { message: 'El correo del supervisor no tiene un formato válido' }), IsOptional, MaxLength(200)</t>
  </si>
  <si>
    <t xml:space="preserve">C3245</t>
  </si>
  <si>
    <t xml:space="preserve">Mapeada en hiring-service/src/entities/supervision-contrato.entity.ts:49 (SupervisionContrato.designadoPor)</t>
  </si>
  <si>
    <t xml:space="preserve">Usuario o funcionario que designó al supervisor.</t>
  </si>
  <si>
    <t xml:space="preserve">¿Guarda el nombre del ordenador del gasto, el usuario que registró la designación u otro?</t>
  </si>
  <si>
    <t xml:space="preserve">C3246</t>
  </si>
  <si>
    <t xml:space="preserve">Mapeada en hiring-service/src/entities/supervision-contrato.entity.ts:52 (SupervisionContrato.estado)</t>
  </si>
  <si>
    <t xml:space="preserve">Estado del registro de supervisiones_contrato.</t>
  </si>
  <si>
    <t xml:space="preserve">C3247</t>
  </si>
  <si>
    <t xml:space="preserve">alerta_enviada_at</t>
  </si>
  <si>
    <t xml:space="preserve">hiring-service/src/entities/supervision-contrato.entity.ts:65: Cuándo se le avisó de su designación. Nulo mientras el aviso siga pendiente. El módulo no envía correos todavía, y marcarlo como enviado sin haberlo enviado dejaría al supervisor sin enterarse y al expediente afirmando lo contrario. | db/migrations/hiring/038_designacion_supervisor.sql:48: «Y que se le alerte al supervisor», dice la matriz en 8.2. El módulo de contratación no envía correos todavía, así que se registra que el aviso está pendiente en vez de darlo por hecho: cuando exista notificaciones, esta columna dice a quién falta avisar. Marcarlo como enviado sin haberlo enviado de</t>
  </si>
  <si>
    <t xml:space="preserve">Fecha y hora en que se avisó al supervisor de su designación (matriz, actividad 8.2). Es nula mientras el aviso esté pendiente; a la fecha del código el módulo no envía correos.</t>
  </si>
  <si>
    <t xml:space="preserve">código: hiring-service/src/entities/supervision-contrato.entity.ts:65; db/migrations/hiring/038_designacion_supervisor.sql:48</t>
  </si>
  <si>
    <t xml:space="preserve">C3248</t>
  </si>
  <si>
    <t xml:space="preserve">Mapeada en hiring-service/src/entities/supervision-contrato.entity.ts:68 (SupervisionContrato.relevadoAt)</t>
  </si>
  <si>
    <t xml:space="preserve">Fecha y hora en que el supervisor fue relevado. Un CHECK la relaciona con el estado RELEVADO.</t>
  </si>
  <si>
    <t xml:space="preserve">C3249</t>
  </si>
  <si>
    <t xml:space="preserve">Mapeada en hiring-service/src/entities/supervision-contrato.entity.ts:71 (SupervisionContrato.relevadoPor)</t>
  </si>
  <si>
    <t xml:space="preserve">Usuario que registró el relevo del supervisor.</t>
  </si>
  <si>
    <t xml:space="preserve">C3250</t>
  </si>
  <si>
    <t xml:space="preserve">Mapeada en hiring-service/src/entities/supervision-contrato.entity.ts:74 (SupervisionContrato.motivoRelevo)</t>
  </si>
  <si>
    <t xml:space="preserve">C3251</t>
  </si>
  <si>
    <t xml:space="preserve">suscripciones_acta_inicio</t>
  </si>
  <si>
    <t xml:space="preserve">hiring-service/src/entities/suscripcion-acta-inicio.entity.ts:24: Cuándo firmaron las dos partes, que no es cuándo se cargó. | hiring-service/db/migrations/089_acta_de_inicio_separada_de_la_reunion.sql:28: Cuándo firmaron las dos partes, que no es cuándo se cargó. | Validación: IsDateString({}, { message: 'La fecha de suscripción debe tener el formato YYYY-MM-DD' })</t>
  </si>
  <si>
    <t xml:space="preserve">Fecha en que las dos partes firmaron el acta de inicio, no la fecha en que se cargó.</t>
  </si>
  <si>
    <t xml:space="preserve">código: hiring-service/src/entities/suscripcion-acta-inicio.entity.ts:24; hiring-service/db/migrations/089_acta_de_inicio_separada_de_la_reunion.sql:28</t>
  </si>
  <si>
    <t xml:space="preserve">C3252</t>
  </si>
  <si>
    <t xml:space="preserve">Mapeada en hiring-service/src/entities/suscripcion-acta-inicio.entity.ts:30 (SuscripcionActaInicio.registradoPor)</t>
  </si>
  <si>
    <t xml:space="preserve">C3253</t>
  </si>
  <si>
    <t xml:space="preserve">tipologias_contrato</t>
  </si>
  <si>
    <t xml:space="preserve">Mapeada en hiring-service/src/entities/tipologia-contrato.entity.ts:15 (TipologiaContrato.nombre)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</si>
  <si>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del registro de tipologias_contrato.</t>
  </si>
  <si>
    <t xml:space="preserve">C3254</t>
  </si>
  <si>
    <t xml:space="preserve">Mapeada en hiring-service/src/entities/tipologia-contrato.entity.ts:18 (TipologiaContrato.descripcion) | Validación: IsNotEmpty({ message: 'Describe el entregable' }), IsNotEmpty({ message: 'Describe la pieza: una lista de archivos sin decir cuál es cuál no documenta nada' }), IsNotEmpty({ message: 'Describe qué acredita el soporte' }), IsOptional, IsString, MaxLength(1000)</t>
  </si>
  <si>
    <t xml:space="preserve">Descripción del registro de tipologias_contrato.</t>
  </si>
  <si>
    <t xml:space="preserve">C3255</t>
  </si>
  <si>
    <t xml:space="preserve">numeral_formato</t>
  </si>
  <si>
    <t xml:space="preserve">hiring-service/src/entities/tipologia-contrato.entity.ts:22: Numeral de la matriz cuyo formato del SIG hace de minuta. | db/migrations/hiring/035_contrato_electronico.sql:38: Numeral de la matriz cuyo formato del SIG sirve de minuta. Sin llave foránea a hiring.plantillas: el formato puede no estar cargado todavía y eso no debe impedir que la tipología exista.</t>
  </si>
  <si>
    <t xml:space="preserve">Numeral de la matriz cuyo formato del SIG sirve de minuta para la tipología de contrato; por defecto, 8.1. Remite a la biblioteca de formatos (hiring.plantillas) sin llave foránea declarada, porque el formato puede no estar cargado aún.</t>
  </si>
  <si>
    <t xml:space="preserve">código: hiring-service/src/entities/tipologia-contrato.entity.ts:22; db/migrations/hiring/035_contrato_electronico.sql:38</t>
  </si>
  <si>
    <t xml:space="preserve">C3256</t>
  </si>
  <si>
    <t xml:space="preserve">exige_garantias</t>
  </si>
  <si>
    <t xml:space="preserve">hiring-service/src/entities/tipologia-contrato.entity.ts:26: Si la tipología exige garantías. Lo consume la legalización (EFDS-1164). | db/migrations/hiring/035_contrato_electronico.sql:42: Si la tipología exige garantías. Lo consumirá EFDS-1164; se declara aquí porque es un atributo de la tipología, no de la legalización. | Validación: IsBoolean, IsOptional</t>
  </si>
  <si>
    <t xml:space="preserve">Indica si la tipología de contrato exige garantías; lo usa la legalización del contrato (EFDS-1164).</t>
  </si>
  <si>
    <t xml:space="preserve">código: hiring-service/src/entities/tipologia-contrato.entity.ts:26; db/migrations/hiring/035_contrato_electronico.sql:42</t>
  </si>
  <si>
    <t xml:space="preserve">C3257</t>
  </si>
  <si>
    <t xml:space="preserve">Mapeada en hiring-service/src/entities/tipologia-contrato.entity.ts:29 (TipologiaContrato.activo) | Validación: IsBoolean, IsOptional</t>
  </si>
  <si>
    <t xml:space="preserve">C3258</t>
  </si>
  <si>
    <t xml:space="preserve">Mapeada en hiring-service/src/entities/tipologia-contrato.entity.ts:32 (TipologiaContrato.orden) | Validación: IsInt, IsOptional, Min(0), Min(1)</t>
  </si>
  <si>
    <t xml:space="preserve">C3259</t>
  </si>
  <si>
    <t xml:space="preserve">tipos_amparo</t>
  </si>
  <si>
    <t xml:space="preserve">Mapeada en hiring-service/src/entities/amparo.entity.ts:51 (TipoAmparo.nombre)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</si>
  <si>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del registro de tipos_amparo.</t>
  </si>
  <si>
    <t xml:space="preserve">C3260</t>
  </si>
  <si>
    <t xml:space="preserve">Mapeada en hiring-service/src/entities/amparo.entity.ts:54 (TipoAmparo.descripcion) | Validación: IsNotEmpty({ message: 'Describe el entregable' }), IsNotEmpty({ message: 'Describe la pieza: una lista de archivos sin decir cuál es cuál no documenta nada' }), IsNotEmpty({ message: 'Describe qué acredita el soporte' }), IsOptional, IsString, MaxLength(1000)</t>
  </si>
  <si>
    <t xml:space="preserve">Descripción del registro de tipos_amparo.</t>
  </si>
  <si>
    <t xml:space="preserve">C3261</t>
  </si>
  <si>
    <t xml:space="preserve">Mapeada en hiring-service/src/entities/amparo.entity.ts:57 (TipoAmparo.activo) | Validación: IsBoolean, IsOptional</t>
  </si>
  <si>
    <t xml:space="preserve">C3262</t>
  </si>
  <si>
    <t xml:space="preserve">Mapeada en hiring-service/src/entities/amparo.entity.ts:60 (TipoAmparo.orden) | Validación: IsInt, IsOptional, Min(0), Min(1)</t>
  </si>
  <si>
    <t xml:space="preserve">C3263</t>
  </si>
  <si>
    <t xml:space="preserve">tope_adicion</t>
  </si>
  <si>
    <t xml:space="preserve">porcentaje</t>
  </si>
  <si>
    <t xml:space="preserve">Mapeada en hiring-service/src/entities/modificacion-contrato.entity.ts:240 (TopeAdicion.porcentaje)</t>
  </si>
  <si>
    <t xml:space="preserve">Porcentaje máximo de adición sobre el valor inicial del contrato. Mayor que 0 y hasta 100.</t>
  </si>
  <si>
    <t xml:space="preserve">nombre + numeric(5,2) + CHECK 0 &lt; porcentaje &lt;= 100 + descripción de la tabla</t>
  </si>
  <si>
    <t xml:space="preserve">C3264</t>
  </si>
  <si>
    <t xml:space="preserve">Mapeada en hiring-service/src/entities/modificacion-contrato.entity.ts:243 (TopeAdicion.fundamento) | Validación: IsOptional, IsString</t>
  </si>
  <si>
    <t xml:space="preserve">Fundamento normativo del tope de adición.</t>
  </si>
  <si>
    <t xml:space="preserve">nombre + text + vecina confirmado</t>
  </si>
  <si>
    <t xml:space="preserve">¿Guarda la norma o el texto que sustenta el tope?</t>
  </si>
  <si>
    <t xml:space="preserve">C3265</t>
  </si>
  <si>
    <t xml:space="preserve">hiring-service/src/entities/modificacion-contrato.entity.ts:247: False mientras la Dirección de Contratación no ratifique la cifra. | db/migrations/hiring/049_modificaciones_contractuales.sql:40: False mientras la Dirección de Contratación no lo ratifique: la cifra sale de la ley, pero ninguna fuente del proyecto la menciona. | Validación: IsBoolean, IsOptional</t>
  </si>
  <si>
    <t xml:space="preserve">Indica si la Dirección de Contratación ratificó la cifra del tope legal de la adición; es falso mientras no se ratifique.</t>
  </si>
  <si>
    <t xml:space="preserve">código: hiring-service/src/entities/modificacion-contrato.entity.ts:247; db/migrations/hiring/049_modificaciones_contractuales.sql:40</t>
  </si>
  <si>
    <t xml:space="preserve">C3266</t>
  </si>
  <si>
    <t xml:space="preserve">Mapeada en hiring-service/src/entities/modificacion-contrato.entity.ts:250 (TopeAdicion.actualizadoAt)</t>
  </si>
  <si>
    <t xml:space="preserve">C3267</t>
  </si>
  <si>
    <t xml:space="preserve">trazabilidad</t>
  </si>
  <si>
    <t xml:space="preserve">Mapeada en hiring-service/src/entities/trazabilidad.entity.ts:89 (Trazabilidad.entidad)</t>
  </si>
  <si>
    <t xml:space="preserve">Nombre del tipo de registro afectado por la acción (por ejemplo, la tabla o el objeto del proceso).</t>
  </si>
  <si>
    <t xml:space="preserve">nombre + varchar(80) + vecina entidad_id + tabla de trazabilidad</t>
  </si>
  <si>
    <t xml:space="preserve">¿Guarda el nombre de la tabla o un nombre funcional del objeto?</t>
  </si>
  <si>
    <t xml:space="preserve">C3268</t>
  </si>
  <si>
    <t xml:space="preserve">Mapeada en hiring-service/src/entities/trazabilidad.entity.ts:92 (Trazabilidad.entidadId)</t>
  </si>
  <si>
    <t xml:space="preserve">nombre + uuid + vecina entidad</t>
  </si>
  <si>
    <t xml:space="preserve">C3269</t>
  </si>
  <si>
    <t xml:space="preserve">Mapeada en hiring-service/src/entities/trazabilidad.entity.ts:95 (Trazabilidad.accion) | Validación: IsIn(ACCIONES as unknown as string[], { message: 'La acción es ver, editar, aprobar o decidir' })</t>
  </si>
  <si>
    <t xml:space="preserve">Acción realizada sobre el registro.</t>
  </si>
  <si>
    <t xml:space="preserve">nombre + varchar(60)</t>
  </si>
  <si>
    <t xml:space="preserve">¿Qué valores toma (por ejemplo, CREAR, ENVIAR, APROBAR)?</t>
  </si>
  <si>
    <t xml:space="preserve">C3270</t>
  </si>
  <si>
    <t xml:space="preserve">Mapeada en hiring-service/src/entities/trazabilidad.entity.ts:98 (Trazabilidad.detalle)</t>
  </si>
  <si>
    <t xml:space="preserve">Detalle de la acción, en formato JSON.</t>
  </si>
  <si>
    <t xml:space="preserve">nombre + jsonb</t>
  </si>
  <si>
    <t xml:space="preserve">¿Qué estructura tiene (por ejemplo, valores antes y después)?</t>
  </si>
  <si>
    <t xml:space="preserve">C3271</t>
  </si>
  <si>
    <t xml:space="preserve">Mapeada en hiring-service/src/entities/trazabilidad.entity.ts:101 (Trazabilidad.usuarioId) | Validación: IsUUID('4', { message: 'El abogado se identifica con el id de su cuenta' })</t>
  </si>
  <si>
    <t xml:space="preserve">Identificador del usuario que hizo la acción.</t>
  </si>
  <si>
    <t xml:space="preserve">nombre + varchar(120) + vecina usuario_nombre</t>
  </si>
  <si>
    <t xml:space="preserve">C3272</t>
  </si>
  <si>
    <t xml:space="preserve">Mapeada en hiring-service/src/entities/trazabilidad.entity.ts:104 (Trazabilidad.usuarioNombre)</t>
  </si>
  <si>
    <t xml:space="preserve">Nombre del usuario que hizo la acción.</t>
  </si>
  <si>
    <t xml:space="preserve">nombre + varchar(200) + vecina usuario_id</t>
  </si>
  <si>
    <t xml:space="preserve">C3273</t>
  </si>
  <si>
    <t xml:space="preserve">umbrales_comite_contratacion</t>
  </si>
  <si>
    <t xml:space="preserve">db/migrations/hiring/071_comite_de_contratacion.sql:35: Por encima de este valor el proceso pasa por comité; por debajo, no. | Validación: IsNumber({ maxDecimalPlaces: 2 }, { message: 'El salario debe ser un número' }), IsNumber({ maxDecimalPlaces: 2 }, { message: 'El valor debe ser un número' }), IsNumber({}, { message: 'El valor cobrado debe ser un número' }), IsNumber({}, { message: 'El valor comprometido debe ser un número' }), IsNumber({}, { message: 'El valor debe ser un número' }), IsNumber({}, { message: 'El valor del contrato debe ser un número' })</t>
  </si>
  <si>
    <t xml:space="preserve">Cuantía por encima de la cual el proceso pasa por el comité de contratación, expresada en la unidad indicada; por debajo no pasa. Debe ser mayor que cero.</t>
  </si>
  <si>
    <t xml:space="preserve">código: db/migrations/hiring/071_comite_de_contratacion.sql:35</t>
  </si>
  <si>
    <t xml:space="preserve">¿Un valor exactamente igual al umbral pasa por el comité («mayor que» o «mayor o igual que»)?</t>
  </si>
  <si>
    <t xml:space="preserve">C3274</t>
  </si>
  <si>
    <t xml:space="preserve">hiring-service/src/entities/comite-contratacion.entity.ts:49: En SMMLV, como los umbrales de modalidad: el salario cambia cada año por decreto y una cifra en pesos quedaría vieja en enero. | Validación: IsIn(['SMMLV', 'PESOS'], { message: 'La unidad debe ser SMMLV o PESOS' }), IsOptional</t>
  </si>
  <si>
    <t xml:space="preserve">Unidad en que se expresa el valor del umbral: SMMLV o PESOS. Por defecto, SMMLV, para que el umbral siga el salario mínimo de cada año.</t>
  </si>
  <si>
    <t xml:space="preserve">código: hiring-service/src/entities/comite-contratacion.entity.ts:49</t>
  </si>
  <si>
    <t xml:space="preserve">C3275</t>
  </si>
  <si>
    <t xml:space="preserve">hiring-service/src/entities/comite-contratacion.entity.ts:53: De dónde sale la cifra, para poder leerla junto al número al validarla. | db/migrations/hiring/071_comite_de_contratacion.sql:39: De dónde sale la cifra, como en `parametros_mipyme`: importa poder leer el fundamento junto al número cuando alguien venga a validarlo. | Validación: IsOptional, IsString</t>
  </si>
  <si>
    <t xml:space="preserve">Origen de la cifra del umbral, para leerlo junto al valor al validarlo.</t>
  </si>
  <si>
    <t xml:space="preserve">código: hiring-service/src/entities/comite-contratacion.entity.ts:53; db/migrations/hiring/071_comite_de_contratacion.sql:39</t>
  </si>
  <si>
    <t xml:space="preserve">C3276</t>
  </si>
  <si>
    <t xml:space="preserve">hiring-service/src/entities/comite-contratacion.entity.ts:57: False mientras la Dirección de Contratación no confirme la cifra. | Validación: IsBoolean, IsOptional</t>
  </si>
  <si>
    <t xml:space="preserve">Indica si la Dirección de Contratación confirmó la cifra del umbral; es falso mientras no se confirme.</t>
  </si>
  <si>
    <t xml:space="preserve">código: hiring-service/src/entities/comite-contratacion.entity.ts:57</t>
  </si>
  <si>
    <t xml:space="preserve">C3277</t>
  </si>
  <si>
    <t xml:space="preserve">umbrales_modalidad</t>
  </si>
  <si>
    <t xml:space="preserve">limite_inferior</t>
  </si>
  <si>
    <t xml:space="preserve">db/migrations/hiring/009_umbrales_modalidad.sql:72: Intervalo semiabierto [inferior, superior): el límite superior pertenece al tramo siguiente. Así dos umbrales contiguos no se solapan en el valor exacto de la frontera, que es el borde que más se equivoca. NULL en inferior = sin piso; NULL en superior = sin techo. | Validación: IsNumber({ maxDecimalPlaces: 2 }, { message: 'El límite inferior debe ser un número' }), Min(0, { message: 'El límite inferior no puede ser negativo' })</t>
  </si>
  <si>
    <t xml:space="preserve">Límite inferior del rango de cuantía de la modalidad, en la unidad indicada. El intervalo es semiabierto [inferior, superior): el límite inferior está incluido y el superior pertenece al tramo siguiente. Nulo significa sin piso; debe registrarse al menos uno de los dos límites.</t>
  </si>
  <si>
    <t xml:space="preserve">código: db/migrations/hiring/009_umbrales_modalidad.sql:72</t>
  </si>
  <si>
    <t xml:space="preserve">C3278</t>
  </si>
  <si>
    <t xml:space="preserve">limite_superior</t>
  </si>
  <si>
    <t xml:space="preserve">Mapeada en hiring-service/src/entities/umbral-modalidad.entity.ts:45 (UmbralModalidad.limiteSuperior) | Validación: IsNumber({ maxDecimalPlaces: 2 }, { message: 'El límite superior debe ser un número' }), Min(0, { message: 'El límite superior no puede ser negativo' })</t>
  </si>
  <si>
    <t xml:space="preserve">Límite superior del rango de cuantía de la modalidad, en la unidad indicada. Vacío si el rango no tiene tope.</t>
  </si>
  <si>
    <t xml:space="preserve">nombre + numeric + CHECK con limite_inferior</t>
  </si>
  <si>
    <t xml:space="preserve">¿El límite superior es inclusivo o exclusivo?</t>
  </si>
  <si>
    <t xml:space="preserve">C3279</t>
  </si>
  <si>
    <t xml:space="preserve">hiring-service/src/entities/umbral-modalidad.entity.ts:59: SMMLV para lo que la ley define en salarios (Ley 1150 de 2007), PESOS para los topes que la entidad fije en cifra cerrada. | Validación: IsIn(['SMMLV', 'PESOS'], { message: 'La unidad debe ser SMMLV o PESOS' }), IsOptional</t>
  </si>
  <si>
    <t xml:space="preserve">Unidad en que se expresan los límites: SMMLV para lo que la ley define en salarios (Ley 1150 de 2007) o PESOS para topes que la entidad fije en cifra cerrada. Por defecto, SMMLV.</t>
  </si>
  <si>
    <t xml:space="preserve">código: hiring-service/src/entities/umbral-modalidad.entity.ts:59</t>
  </si>
  <si>
    <t xml:space="preserve">C3280</t>
  </si>
  <si>
    <t xml:space="preserve">idx_umbral_vigencia</t>
  </si>
  <si>
    <t xml:space="preserve">db/migrations/hiring/009_umbrales_modalidad.sql:80: Un umbral no se edita: se cierra y se abre otro. Los procesos ya creados deben poder explicarse con las reglas que estaban vigentes ese día. | Validación: IsDateString({}, { message: 'La vigencia debe tener el formato YYYY-MM-DD' }), IsISO8601({ strict: true }, { message: 'La vigencia debe tener formato YYYY-MM-DD' }), IsOptional</t>
  </si>
  <si>
    <t xml:space="preserve">Fecha desde la cual rige el umbral; por defecto, la fecha del registro. Los umbrales no se editan: se cierra el vigente y se abre otro.</t>
  </si>
  <si>
    <t xml:space="preserve">código: db/migrations/hiring/009_umbrales_modalidad.sql:80</t>
  </si>
  <si>
    <t xml:space="preserve">C3281</t>
  </si>
  <si>
    <t xml:space="preserve">hiring-service/src/entities/umbral-modalidad.entity.ts:66: Null mientras el umbral esté vigente. | Validación: IsDateString({}, { message: 'La vigencia debe tener el formato YYYY-MM-DD' })</t>
  </si>
  <si>
    <t xml:space="preserve">Fecha hasta la cual rige el umbral. Nula mientras esté vigente; no puede ser anterior a vigencia_desde.</t>
  </si>
  <si>
    <t xml:space="preserve">código: hiring-service/src/entities/umbral-modalidad.entity.ts:66</t>
  </si>
  <si>
    <t xml:space="preserve">C3282</t>
  </si>
  <si>
    <t xml:space="preserve">hiring-service/src/entities/umbral-modalidad.entity.ts:70: False mientras la Dirección de Contratación no confirme la cifra. | db/migrations/hiring/009_umbrales_modalidad.sql:84: False mientras la Dirección de Contratación no confirme la cifra. | Validación: IsBoolean, IsOptional</t>
  </si>
  <si>
    <t xml:space="preserve">código: hiring-service/src/entities/umbral-modalidad.entity.ts:70; db/migrations/hiring/009_umbrales_modalidad.sql:84</t>
  </si>
  <si>
    <t xml:space="preserve">C3283</t>
  </si>
  <si>
    <t xml:space="preserve">analistas_viaticos</t>
  </si>
  <si>
    <t xml:space="preserve">Mapeada en travel-expenses-service/src/entities/analista.entity.ts:45 (AnalistaEntity.email) | Validación: IsEmail, IsString, Length(1, 150)</t>
  </si>
  <si>
    <t xml:space="preserve">C3284</t>
  </si>
  <si>
    <t xml:space="preserve">Mapeada en travel-expenses-service/src/entities/analista.entity.ts:48 (AnalistaEntity.telefono)</t>
  </si>
  <si>
    <t xml:space="preserve">C3285</t>
  </si>
  <si>
    <t xml:space="preserve">Mapeada en travel-expenses-service/src/entities/analista.entity.ts:51 (AnalistaEntity.cargo) | Validación: IsOptional, IsString</t>
  </si>
  <si>
    <t xml:space="preserve">Cargo del analista del Grupo de Viáticos.</t>
  </si>
  <si>
    <t xml:space="preserve">¿Es texto libre o viene del catálogo de cargos de talento humano?</t>
  </si>
  <si>
    <t xml:space="preserve">C3286</t>
  </si>
  <si>
    <t xml:space="preserve">comisionados</t>
  </si>
  <si>
    <t xml:space="preserve">numero_documento</t>
  </si>
  <si>
    <t xml:space="preserve">comisionados_numero_documento_key, idx_comisionados_numero_documento</t>
  </si>
  <si>
    <t xml:space="preserve">Mapeada en travel-expenses-service/src/entities/comisionado.entity.ts:16 (ComisionadoEntity.numeroDocumento) | Validación: IsString, Length(1, 20)</t>
  </si>
  <si>
    <t xml:space="preserve">Número del documento de identidad del comisionado. Es único.</t>
  </si>
  <si>
    <t xml:space="preserve">nombre + índice único</t>
  </si>
  <si>
    <t xml:space="preserve">C3287</t>
  </si>
  <si>
    <t xml:space="preserve">Mapeada en travel-expenses-service/src/entities/comisionado.entity.ts:25 (ComisionadoEntity.primerNombre) | Validación: IsString, Length(1, 100)</t>
  </si>
  <si>
    <t xml:space="preserve">Primer nombre del comisionado.</t>
  </si>
  <si>
    <t xml:space="preserve">C3288</t>
  </si>
  <si>
    <t xml:space="preserve">Mapeada en travel-expenses-service/src/entities/comisionado.entity.ts:28 (ComisionadoEntity.segundoNombre) | Validación: IsOptional, IsString, Length(1, 100)</t>
  </si>
  <si>
    <t xml:space="preserve">Segundo nombre del comisionado.</t>
  </si>
  <si>
    <t xml:space="preserve">C3289</t>
  </si>
  <si>
    <t xml:space="preserve">Mapeada en travel-expenses-service/src/entities/comisionado.entity.ts:36 (ComisionadoEntity.primerApellido) | Validación: IsString, Length(1, 100)</t>
  </si>
  <si>
    <t xml:space="preserve">Primer apellido del comisionado.</t>
  </si>
  <si>
    <t xml:space="preserve">C3290</t>
  </si>
  <si>
    <t xml:space="preserve">Mapeada en travel-expenses-service/src/entities/comisionado.entity.ts:39 (ComisionadoEntity.segundoApellido) | Validación: IsOptional, IsString, Length(1, 100)</t>
  </si>
  <si>
    <t xml:space="preserve">Segundo apellido del comisionado.</t>
  </si>
  <si>
    <t xml:space="preserve">C3291</t>
  </si>
  <si>
    <t xml:space="preserve">Mapeada en travel-expenses-service/src/entities/comisionado.entity.ts:47 (ComisionadoEntity.email) | Validación: IsEmail, IsString, Length(1, 150)</t>
  </si>
  <si>
    <t xml:space="preserve">C3292</t>
  </si>
  <si>
    <t xml:space="preserve">telefono_contacto</t>
  </si>
  <si>
    <t xml:space="preserve">Mapeada en travel-expenses-service/src/entities/comisionado.entity.ts:50 (ComisionadoEntity.telefonoContacto) | Validación: IsString, Length(1, 150)</t>
  </si>
  <si>
    <t xml:space="preserve">Teléfono de contacto del comisionado.</t>
  </si>
  <si>
    <t xml:space="preserve">nombre + longitud 150</t>
  </si>
  <si>
    <t xml:space="preserve">¿Puede contener varios números en el mismo campo? ¿Con qué separador?</t>
  </si>
  <si>
    <t xml:space="preserve">C3293</t>
  </si>
  <si>
    <t xml:space="preserve">tipo_comisionado</t>
  </si>
  <si>
    <t xml:space="preserve">CONTRATISTA, DOCENTE, ESTUDIANTE, FUNCIONARIO, INVESTIGADOR</t>
  </si>
  <si>
    <t xml:space="preserve">Mapeada en travel-expenses-service/src/entities/comisionado.entity.ts:53 (ComisionadoEntity.tipoComisionado) | Validación: IsEnum(TipoComisionadoLiquidacion), IsIn(['FUNCIONARIO', 'CONTRATISTA', 'DOCENTE', 'ESTUDIANTE', 'INVESTIGADOR']), IsString, Length(1, 50)</t>
  </si>
  <si>
    <t xml:space="preserve">Tipo de vinculación del comisionado con la ESAP. Valores permitidos: CONTRATISTA, DOCENTE, ESTUDIANTE, FUNCIONARIO, INVESTIGADOR.</t>
  </si>
  <si>
    <t xml:space="preserve">valores permitidos</t>
  </si>
  <si>
    <t xml:space="preserve">C3294</t>
  </si>
  <si>
    <t xml:space="preserve">origen_datos</t>
  </si>
  <si>
    <t xml:space="preserve">ESAP, HUMANO, SECOP</t>
  </si>
  <si>
    <t xml:space="preserve">Mapeada en travel-expenses-service/src/entities/comisionado.entity.ts:63 (ComisionadoEntity.origenDatos) | Validación: IsIn(['HUMANO', 'SECOP', 'ESAP']), IsString</t>
  </si>
  <si>
    <t xml:space="preserve">Fuente de la que se obtuvieron los datos del comisionado. Valores permitidos: ESAP, HUMANO, SECOP.</t>
  </si>
  <si>
    <t xml:space="preserve">valores permitidos + nombre</t>
  </si>
  <si>
    <t xml:space="preserve">¿HUMANO corresponde al sistema de talento humano o a registro manual?</t>
  </si>
  <si>
    <t xml:space="preserve">C3295</t>
  </si>
  <si>
    <t xml:space="preserve">autorizacion_habeas_data</t>
  </si>
  <si>
    <t xml:space="preserve">Mapeada en travel-expenses-service/src/entities/comisionado.entity.ts:66 (ComisionadoEntity.autorizacionHabeasData) | Validación: IsBoolean, IsOptional</t>
  </si>
  <si>
    <t xml:space="preserve">Indica si aplica: autorización habeas data.</t>
  </si>
  <si>
    <t xml:space="preserve">C3296</t>
  </si>
  <si>
    <t xml:space="preserve">fecha_autorizacion_habeas_data</t>
  </si>
  <si>
    <t xml:space="preserve">Mapeada en travel-expenses-service/src/entities/comisionado.entity.ts:69 (ComisionadoEntity.fechaAutorizacionHabeasData)</t>
  </si>
  <si>
    <t xml:space="preserve">Fecha de autorización habeas data.</t>
  </si>
  <si>
    <t xml:space="preserve">C3297</t>
  </si>
  <si>
    <t xml:space="preserve">ip_registro_habeas_data</t>
  </si>
  <si>
    <t xml:space="preserve">Mapeada en travel-expenses-service/src/entities/comisionado.entity.ts:76 (ComisionadoEntity.ipRegistroHabeasData) | Validación: IsOptional, IsString</t>
  </si>
  <si>
    <t xml:space="preserve">Dirección IP desde la que se registró la autorización de tratamiento de datos personales (habeas data). Admite IPv4 e IPv6.</t>
  </si>
  <si>
    <t xml:space="preserve">nombre + longitud 45 + columnas vecinas autorizacion_habeas_data, fecha_autorizacion_habeas_data</t>
  </si>
  <si>
    <t xml:space="preserve">C3298</t>
  </si>
  <si>
    <t xml:space="preserve">config_campos_formulario</t>
  </si>
  <si>
    <t xml:space="preserve">config_campos_formulario_clave_key, idx_config_campos_clave</t>
  </si>
  <si>
    <t xml:space="preserve">Mapeada en travel-expenses-service/src/entities/config/campo-formulario.entity.ts:35 (CampoFormularioEntity.clave) | Validación: IsString, Length(1, 100)</t>
  </si>
  <si>
    <t xml:space="preserve">Identificador único del campo del formulario.</t>
  </si>
  <si>
    <t xml:space="preserve">nombre + índice único + tabla de configuración de campos</t>
  </si>
  <si>
    <t xml:space="preserve">C3299</t>
  </si>
  <si>
    <t xml:space="preserve">Mapeada en travel-expenses-service/src/entities/config/campo-formulario.entity.ts:38 (CampoFormularioEntity.etiqueta) | Validación: IsOptional, IsString, Length(1, 200)</t>
  </si>
  <si>
    <t xml:space="preserve">Texto que se muestra como rótulo del campo en el formulario.</t>
  </si>
  <si>
    <t xml:space="preserve">nombre + tabla de configuración de formulario</t>
  </si>
  <si>
    <t xml:space="preserve">C3300</t>
  </si>
  <si>
    <t xml:space="preserve">tipo_campo</t>
  </si>
  <si>
    <t xml:space="preserve">Mapeada en travel-expenses-service/src/entities/config/campo-formulario.entity.ts:41 (CampoFormularioEntity.tipoCampo)</t>
  </si>
  <si>
    <t xml:space="preserve">Tipo de control del campo en el formulario (por ejemplo, texto, fecha o lista).</t>
  </si>
  <si>
    <t xml:space="preserve">¿Qué valores admite (text, date, select…)?</t>
  </si>
  <si>
    <t xml:space="preserve">C3301</t>
  </si>
  <si>
    <t xml:space="preserve">placeholder</t>
  </si>
  <si>
    <t xml:space="preserve">Mapeada en travel-expenses-service/src/entities/config/campo-formulario.entity.ts:44 (CampoFormularioEntity.placeholder) | Validación: IsOptional, IsString, Length(0, 200)</t>
  </si>
  <si>
    <t xml:space="preserve">Texto de ayuda que se muestra dentro del campo vacío.</t>
  </si>
  <si>
    <t xml:space="preserve">C3302</t>
  </si>
  <si>
    <t xml:space="preserve">Mapeada en travel-expenses-service/src/entities/config/campo-formulario.entity.ts:47 (CampoFormularioEntity.opciones)</t>
  </si>
  <si>
    <t xml:space="preserve">Opciones disponibles para campos de selección, en formato JSON.</t>
  </si>
  <si>
    <t xml:space="preserve">¿Cuál es la estructura del JSON (lista de valores, pares valor-etiqueta)?</t>
  </si>
  <si>
    <t xml:space="preserve">C3303</t>
  </si>
  <si>
    <t xml:space="preserve">idx_config_campos_grupo_orden</t>
  </si>
  <si>
    <t xml:space="preserve">Mapeada en travel-expenses-service/src/entities/config/campo-formulario.entity.ts:50 (CampoFormularioEntity.grupo)</t>
  </si>
  <si>
    <t xml:space="preserve">Grupo o sección del formulario a la que pertenece el campo.</t>
  </si>
  <si>
    <t xml:space="preserve">nombre + índice con orden</t>
  </si>
  <si>
    <t xml:space="preserve">¿Qué grupos existen y cómo se muestran?</t>
  </si>
  <si>
    <t xml:space="preserve">C3304</t>
  </si>
  <si>
    <t xml:space="preserve">Mapeada en travel-expenses-service/src/entities/config/campo-formulario.entity.ts:53 (CampoFormularioEntity.orden) | Validación: IsInt, IsOptional, Max(1000), Min(0)</t>
  </si>
  <si>
    <t xml:space="preserve">C3305</t>
  </si>
  <si>
    <t xml:space="preserve">Mapeada en travel-expenses-service/src/entities/config/campo-formulario.entity.ts:56 (CampoFormularioEntity.activo) | Validación: IsBoolean, IsOptional</t>
  </si>
  <si>
    <t xml:space="preserve">C3306</t>
  </si>
  <si>
    <t xml:space="preserve">config_jornada_laboral</t>
  </si>
  <si>
    <t xml:space="preserve">config_jornada_laboral_codigo_key, idx_config_jornada_laboral_codigo</t>
  </si>
  <si>
    <t xml:space="preserve">Mapeada en travel-expenses-service/src/entities/config/config-jornada-laboral.entity.ts:17 (ConfigJornadaLaboralEntity.codigo) | Validación: IsNotEmpty, IsString</t>
  </si>
  <si>
    <t xml:space="preserve">Código del registro de config_jornada_laboral. Único en la tabla.</t>
  </si>
  <si>
    <t xml:space="preserve">C3307</t>
  </si>
  <si>
    <t xml:space="preserve">Mapeada en travel-expenses-service/src/entities/config/config-jornada-laboral.entity.ts:26 (ConfigJornadaLaboralEntity.nombre) | Validación: IsNotEmpty, IsOptional, IsString, Length(2, 100)</t>
  </si>
  <si>
    <t xml:space="preserve">Nombre del registro de config_jornada_laboral.</t>
  </si>
  <si>
    <t xml:space="preserve">C3308</t>
  </si>
  <si>
    <t xml:space="preserve">character varying(5)</t>
  </si>
  <si>
    <t xml:space="preserve">Mapeada en travel-expenses-service/src/entities/config/config-jornada-laboral.entity.ts:34 (ConfigJornadaLaboralEntity.horaInicio)</t>
  </si>
  <si>
    <t xml:space="preserve">Hora de inicio de la jornada laboral, en formato HH:MM.</t>
  </si>
  <si>
    <t xml:space="preserve">nombre + varchar(5) + defecto '08:00'</t>
  </si>
  <si>
    <t xml:space="preserve">C3309</t>
  </si>
  <si>
    <t xml:space="preserve">Mapeada en travel-expenses-service/src/entities/config/config-jornada-laboral.entity.ts:42 (ConfigJornadaLaboralEntity.horaFin)</t>
  </si>
  <si>
    <t xml:space="preserve">Hora de fin de la jornada laboral, en formato HH:MM.</t>
  </si>
  <si>
    <t xml:space="preserve">nombre + varchar(5) + defecto '16:30'</t>
  </si>
  <si>
    <t xml:space="preserve">C3310</t>
  </si>
  <si>
    <t xml:space="preserve">dias_laborales</t>
  </si>
  <si>
    <t xml:space="preserve">travel-expenses-service/src/entities/config/config-jornada-laboral.entity.ts:55: Días hábiles o laborales de la semana: 0 = Domingo, 1 = Lunes, 2 = Martes, 3 = Miércoles, 4 = Jueves, 5 = Viernes, 6 = Sábado Por defecto: [1, 2, 3, 4, 5] (Lunes a Viernes) | Validación: IsArray, IsOptional</t>
  </si>
  <si>
    <t xml:space="preserve">Días hábiles de la semana, en formato JSON (lista de números: 0 = domingo, 1 = lunes … 6 = sábado). Por defecto, [1, 2, 3, 4, 5] (lunes a viernes).</t>
  </si>
  <si>
    <t xml:space="preserve">código: travel-expenses-service/src/entities/config/config-jornada-laboral.entity.ts:55 (corrige la numeración de la propuesta anterior)</t>
  </si>
  <si>
    <t xml:space="preserve">C3311</t>
  </si>
  <si>
    <t xml:space="preserve">dias_anticipacion_minima</t>
  </si>
  <si>
    <t xml:space="preserve">travel-expenses-service/src/entities/config/config-jornada-laboral.entity.ts:66: Días hábiles mínimos requeridos de anticipación para radicar una comisión ordinaria (RF-EXT-001). Por defecto: 14 días hábiles. | Validación: IsInt, IsOptional, Max(90), Min(1)</t>
  </si>
  <si>
    <t xml:space="preserve">Días hábiles mínimos de anticipación para radicar una comisión ordinaria (RF-EXT-001). Por defecto, 14.</t>
  </si>
  <si>
    <t xml:space="preserve">código: travel-expenses-service/src/entities/config/config-jornada-laboral.entity.ts:66</t>
  </si>
  <si>
    <t xml:space="preserve">¿Qué ocurre con una solicitud radicada sin la anticipación mínima?</t>
  </si>
  <si>
    <t xml:space="preserve">C3312</t>
  </si>
  <si>
    <t xml:space="preserve">dias_umbral_avance</t>
  </si>
  <si>
    <t xml:space="preserve">travel-expenses-service/src/entities/config/config-jornada-laboral.entity.ts:77: Días hábiles de umbral para determinar expedición de RP como anticipo (AVANCE) vs RECONOCIMIENTO_POSTERIOR (RF-PRE-003). Por defecto: 5 días hábiles. | Validación: IsInt, IsOptional, Max(90), Min(1)</t>
  </si>
  <si>
    <t xml:space="preserve">Días hábiles de umbral para determinar si el registro presupuestal se expide como anticipo (AVANCE) o como RECONOCIMIENTO_POSTERIOR (RF-PRE-003). Por defecto, 5.</t>
  </si>
  <si>
    <t xml:space="preserve">código: travel-expenses-service/src/entities/config/config-jornada-laboral.entity.ts:77</t>
  </si>
  <si>
    <t xml:space="preserve">¿Cómo se compara el umbral con la solicitud: por días hábiles entre la radicación y el inicio de la comisión u otro criterio?</t>
  </si>
  <si>
    <t xml:space="preserve">C3313</t>
  </si>
  <si>
    <t xml:space="preserve">idx_config_jornada_laboral_activo</t>
  </si>
  <si>
    <t xml:space="preserve">Mapeada en travel-expenses-service/src/entities/config/config-jornada-laboral.entity.ts:84 (ConfigJornadaLaboralEntity.activo) | Validación: IsBoolean, IsOptional</t>
  </si>
  <si>
    <t xml:space="preserve">C3314</t>
  </si>
  <si>
    <t xml:space="preserve">Mapeada en travel-expenses-service/src/entities/config/config-jornada-laboral.entity.ts:91 (ConfigJornadaLaboralEntity.descripcion) | Validación: IsOptional, IsString, Length(0, 255)</t>
  </si>
  <si>
    <t xml:space="preserve">Descripción del registro de config_jornada_laboral.</t>
  </si>
  <si>
    <t xml:space="preserve">C3315</t>
  </si>
  <si>
    <t xml:space="preserve">config_legalizacion</t>
  </si>
  <si>
    <t xml:space="preserve">Mapeada en travel-expenses-service/src/modules/legalizacion/entities/config-legalizacion.entity.ts:23 (ConfigLegalizacionEntity.plazoDiasHabiles)</t>
  </si>
  <si>
    <t xml:space="preserve">Plazo en días hábiles.</t>
  </si>
  <si>
    <t xml:space="preserve">C3316</t>
  </si>
  <si>
    <t xml:space="preserve">dias_aviso_por_vencer</t>
  </si>
  <si>
    <t xml:space="preserve">Mapeada en travel-expenses-service/src/modules/legalizacion/entities/config-legalizacion.entity.ts:26 (ConfigLegalizacionEntity.diasAvisoPorVencer)</t>
  </si>
  <si>
    <t xml:space="preserve">Días antes del vencimiento del plazo de legalización en que se envía el aviso. No puede ser negativo.</t>
  </si>
  <si>
    <t xml:space="preserve">nombre + defecto 2 + CHECK &gt;= 0 + descripción de la tabla</t>
  </si>
  <si>
    <t xml:space="preserve">¿Son días hábiles, como el plazo?</t>
  </si>
  <si>
    <t xml:space="preserve">C3317</t>
  </si>
  <si>
    <t xml:space="preserve">Mapeada en travel-expenses-service/src/modules/legalizacion/entities/config-legalizacion.entity.ts:32 (ConfigLegalizacionEntity.activo) | Validación: IsBoolean, IsOptional</t>
  </si>
  <si>
    <t xml:space="preserve">C3318</t>
  </si>
  <si>
    <t xml:space="preserve">actualizado_por_id</t>
  </si>
  <si>
    <t xml:space="preserve">Mapeada en travel-expenses-service/src/modules/legalizacion/entities/config-legalizacion.entity.ts:35 (ConfigLegalizacionEntity.actualizadoPorId)</t>
  </si>
  <si>
    <t xml:space="preserve">Identificador del usuario que actualizó por última vez la configuración.</t>
  </si>
  <si>
    <t xml:space="preserve">patrón *_por_id + tipo uuid</t>
  </si>
  <si>
    <t xml:space="preserve">¿Referencia a auth."user" o a auth.personas?</t>
  </si>
  <si>
    <t xml:space="preserve">C3319</t>
  </si>
  <si>
    <t xml:space="preserve">config_legalizacion_documentos</t>
  </si>
  <si>
    <t xml:space="preserve">tipo_requisito</t>
  </si>
  <si>
    <t xml:space="preserve">OBLIGATORIO, OPCIONAL</t>
  </si>
  <si>
    <t xml:space="preserve">Mapeada en travel-expenses-service/src/modules/legalizacion/entities/config-legalizacion-documento.entity.ts:31 (ConfigLegalizacionDocumentoEntity.tipoRequisito)</t>
  </si>
  <si>
    <t xml:space="preserve">Indica si el soporte es obligatorio u opcional para legalizar. Valores permitidos: OBLIGATORIO, OPCIONAL.</t>
  </si>
  <si>
    <t xml:space="preserve">valores permitidos + descripción de la tabla</t>
  </si>
  <si>
    <t xml:space="preserve">C3320</t>
  </si>
  <si>
    <t xml:space="preserve">Mapeada en travel-expenses-service/src/modules/legalizacion/entities/config-legalizacion-documento.entity.ts:37 (ConfigLegalizacionDocumentoEntity.orden) | Validación: IsInt, IsOptional, Max(1000), Min(0)</t>
  </si>
  <si>
    <t xml:space="preserve">C3321</t>
  </si>
  <si>
    <t xml:space="preserve">Mapeada en travel-expenses-service/src/modules/legalizacion/entities/config-legalizacion-documento.entity.ts:40 (ConfigLegalizacionDocumentoEntity.activo) | Validación: IsBoolean, IsOptional</t>
  </si>
  <si>
    <t xml:space="preserve">C3322</t>
  </si>
  <si>
    <t xml:space="preserve">config_tipo_comisionado</t>
  </si>
  <si>
    <t xml:space="preserve">config_tipo_comisionado_tipo_comisionado_key, idx_config_tipo_comisionado_tipo</t>
  </si>
  <si>
    <t xml:space="preserve">Mapeada en travel-expenses-service/src/entities/config/config-tipo-comisionado.entity.ts:21 (ConfigTipoComisionadoEntity.tipoComisionado) | Validación: IsEnum(TipoComisionadoLiquidacion), IsIn(['FUNCIONARIO', 'CONTRATISTA', 'DOCENTE', 'ESTUDIANTE', 'INVESTIGADOR']), IsString, Length(1, 50)</t>
  </si>
  <si>
    <t xml:space="preserve">Tipo de comisionado al que aplica la configuración. Es único.</t>
  </si>
  <si>
    <t xml:space="preserve">nombre + índice único + tipo_comisionado de comisionados</t>
  </si>
  <si>
    <t xml:space="preserve">C3323</t>
  </si>
  <si>
    <t xml:space="preserve">codigo_formulario</t>
  </si>
  <si>
    <t xml:space="preserve">idx_config_tipo_comisionado_codigo_formulario</t>
  </si>
  <si>
    <t xml:space="preserve">Mapeada en travel-expenses-service/src/entities/config/config-tipo-comisionado.entity.ts:29 (ConfigTipoComisionadoEntity.codigoFormulario) | Validación: IsOptional, IsString, Length(1, 50)</t>
  </si>
  <si>
    <t xml:space="preserve">Código del formulario de solicitud que usa el tipo de comisionado.</t>
  </si>
  <si>
    <t xml:space="preserve">¿Dónde se definen los códigos de formulario?</t>
  </si>
  <si>
    <t xml:space="preserve">C3324</t>
  </si>
  <si>
    <t xml:space="preserve">campos_obligatorios</t>
  </si>
  <si>
    <t xml:space="preserve">Mapeada en travel-expenses-service/src/entities/config/config-tipo-comisionado.entity.ts:32 (ConfigTipoComisionadoEntity.camposObligatorios) | Validación: IsArray, IsOptional, IsString({ each: true })</t>
  </si>
  <si>
    <t xml:space="preserve">Lista de campos obligatorios del formulario para el tipo de comisionado, en formato JSON.</t>
  </si>
  <si>
    <t xml:space="preserve">nombre + tipo jsonb + defecto []</t>
  </si>
  <si>
    <t xml:space="preserve">¿La lista contiene las claves de config_campos_formulario?</t>
  </si>
  <si>
    <t xml:space="preserve">C3325</t>
  </si>
  <si>
    <t xml:space="preserve">campos_opcionales</t>
  </si>
  <si>
    <t xml:space="preserve">Mapeada en travel-expenses-service/src/entities/config/config-tipo-comisionado.entity.ts:35 (ConfigTipoComisionadoEntity.camposOpcionales) | Validación: IsArray, IsOptional, IsString({ each: true })</t>
  </si>
  <si>
    <t xml:space="preserve">Lista de campos opcionales del formulario para el tipo de comisionado, en formato JSON.</t>
  </si>
  <si>
    <t xml:space="preserve">C3326</t>
  </si>
  <si>
    <t xml:space="preserve">campos_ocultos</t>
  </si>
  <si>
    <t xml:space="preserve">Mapeada en travel-expenses-service/src/entities/config/config-tipo-comisionado.entity.ts:38 (ConfigTipoComisionadoEntity.camposOcultos) | Validación: IsArray, IsOptional, IsString({ each: true })</t>
  </si>
  <si>
    <t xml:space="preserve">Lista de campos que no se muestran en el formulario para el tipo de comisionado, en formato JSON.</t>
  </si>
  <si>
    <t xml:space="preserve">C3327</t>
  </si>
  <si>
    <t xml:space="preserve">Mapeada en travel-expenses-service/src/entities/config/config-tipo-comisionado.entity.ts:41 (ConfigTipoComisionadoEntity.activo) | Validación: IsBoolean, IsOptional</t>
  </si>
  <si>
    <t xml:space="preserve">C3328</t>
  </si>
  <si>
    <t xml:space="preserve">config_tipo_comisionado_documentos</t>
  </si>
  <si>
    <t xml:space="preserve">Mapeada en travel-expenses-service/src/entities/config/config-tipo-comisionado-documento.entity.ts:41 (ConfigTipoComisionadoDocumentoEntity.tipoRequisito)</t>
  </si>
  <si>
    <t xml:space="preserve">Indica si el documento de soporte es obligatorio u opcional para el tipo de comisionado. Valores permitidos: OBLIGATORIO, OPCIONAL.</t>
  </si>
  <si>
    <t xml:space="preserve">valores permitidos + columnas vecinas</t>
  </si>
  <si>
    <t xml:space="preserve">C3329</t>
  </si>
  <si>
    <t xml:space="preserve">configuraciones_globales</t>
  </si>
  <si>
    <t xml:space="preserve">Valor del parámetro de configuración identificado por la clave, guardado como texto.</t>
  </si>
  <si>
    <t xml:space="preserve">nombre + tipo text + columna vecina clave</t>
  </si>
  <si>
    <t xml:space="preserve">¿Hay valores con formato JSON o numérico que se convierten en la aplicación?</t>
  </si>
  <si>
    <t xml:space="preserve">C3330</t>
  </si>
  <si>
    <t xml:space="preserve">Descripción del registro de configuraciones_globales.</t>
  </si>
  <si>
    <t xml:space="preserve">C3331</t>
  </si>
  <si>
    <t xml:space="preserve">documentos_soporte</t>
  </si>
  <si>
    <t xml:space="preserve">CDP, CERT_BANCARIA, CONTRATO_SECOP, RUT, SEGURIDAD_SOCIAL</t>
  </si>
  <si>
    <t xml:space="preserve">Mapeada en travel-expenses-service/src/entities/documento-soporte.entity.ts:25 (DocumentoSoporteEntity.tipoDocumento) | Validación: IsString, Length(1, 50)</t>
  </si>
  <si>
    <t xml:space="preserve">Tipo de documento de soporte de la solicitud. Valores permitidos: CDP, CERT_BANCARIA, CONTRATO_SECOP, RUT, SEGURIDAD_SOCIAL.</t>
  </si>
  <si>
    <t xml:space="preserve">C3332</t>
  </si>
  <si>
    <t xml:space="preserve">Mapeada en travel-expenses-service/src/entities/documento-soporte.entity.ts:28 (DocumentoSoporteEntity.nombreArchivoOriginal) | Validación: IsOptional, IsString</t>
  </si>
  <si>
    <t xml:space="preserve">Nombre del archivo tal como lo cargó el usuario.</t>
  </si>
  <si>
    <t xml:space="preserve">nombre + columna vecina nombre_archivo_seguro</t>
  </si>
  <si>
    <t xml:space="preserve">C3333</t>
  </si>
  <si>
    <t xml:space="preserve">nombre_archivo_seguro</t>
  </si>
  <si>
    <t xml:space="preserve">Mapeada en travel-expenses-service/src/entities/documento-soporte.entity.ts:31 (DocumentoSoporteEntity.nombreArchivoSeguro) | Validación: IsOptional, IsString</t>
  </si>
  <si>
    <t xml:space="preserve">Nombre con el que se guarda el archivo en el repositorio, generado por el sistema.</t>
  </si>
  <si>
    <t xml:space="preserve">nombre + columna vecina nombre_archivo_original</t>
  </si>
  <si>
    <t xml:space="preserve">¿Cómo se genera el nombre (UUID, hash)?</t>
  </si>
  <si>
    <t xml:space="preserve">C3334</t>
  </si>
  <si>
    <t xml:space="preserve">url_repositorio</t>
  </si>
  <si>
    <t xml:space="preserve">character varying(512)</t>
  </si>
  <si>
    <t xml:space="preserve">Mapeada en travel-expenses-service/src/entities/documento-soporte.entity.ts:34 (DocumentoSoporteEntity.urlRepositorio) | Validación: IsOptional, IsString</t>
  </si>
  <si>
    <t xml:space="preserve">URL o ruta del archivo en el repositorio documental.</t>
  </si>
  <si>
    <t xml:space="preserve">nombre + longitud 512</t>
  </si>
  <si>
    <t xml:space="preserve">¿Qué repositorio se usa y la URL es pública o interna?</t>
  </si>
  <si>
    <t xml:space="preserve">C3335</t>
  </si>
  <si>
    <t xml:space="preserve">Mapeada en travel-expenses-service/src/entities/documento-soporte.entity.ts:37 (DocumentoSoporteEntity.tipoMime) | Validación: IsOptional, IsString, Length(1, 100)</t>
  </si>
  <si>
    <t xml:space="preserve">nombre + defecto application/pdf</t>
  </si>
  <si>
    <t xml:space="preserve">C3336</t>
  </si>
  <si>
    <t xml:space="preserve">escalas_viaticos</t>
  </si>
  <si>
    <t xml:space="preserve">decreto_vigente</t>
  </si>
  <si>
    <t xml:space="preserve">Mapeada en travel-expenses-service/src/entities/liquidation/escala-viatico.entity.ts:21 (EscalaViaticoEntity.decretoVigente) | Validación: IsOptional, IsString, Length(1, 50)</t>
  </si>
  <si>
    <t xml:space="preserve">Decreto que fija la escala de viáticos.</t>
  </si>
  <si>
    <t xml:space="preserve">nombre + tabla de escalas</t>
  </si>
  <si>
    <t xml:space="preserve">C3337</t>
  </si>
  <si>
    <t xml:space="preserve">ano_vigencia</t>
  </si>
  <si>
    <t xml:space="preserve">idx_escalas_ano_vigencia</t>
  </si>
  <si>
    <t xml:space="preserve">Mapeada en travel-expenses-service/src/entities/liquidation/escala-viatico.entity.ts:24 (EscalaViaticoEntity.anoVigencia) | Validación: IsNumber, IsOptional, Max(2100), Min(2000)</t>
  </si>
  <si>
    <t xml:space="preserve">Año de vigencia de la escala de viáticos.</t>
  </si>
  <si>
    <t xml:space="preserve">nombre + tipo integer + índice</t>
  </si>
  <si>
    <t xml:space="preserve">C3338</t>
  </si>
  <si>
    <t xml:space="preserve">rango_minimo</t>
  </si>
  <si>
    <t xml:space="preserve">idx_escalas_rango</t>
  </si>
  <si>
    <t xml:space="preserve">Mapeada en travel-expenses-service/src/entities/liquidation/escala-viatico.entity.ts:27 (EscalaViaticoEntity.rangoMinimo) | Validación: IsNumber, IsOptional, Min(0)</t>
  </si>
  <si>
    <t xml:space="preserve">Límite inferior del rango de ingreso (asignación básica) al que aplica la tarifa, en pesos colombianos.</t>
  </si>
  <si>
    <t xml:space="preserve">nombre + tipo numeric + índice con rango_maximo + columna tarifa_diaria</t>
  </si>
  <si>
    <t xml:space="preserve">¿El rango es sobre el salario básico mensual? ¿El límite es inclusivo?</t>
  </si>
  <si>
    <t xml:space="preserve">C3339</t>
  </si>
  <si>
    <t xml:space="preserve">rango_maximo</t>
  </si>
  <si>
    <t xml:space="preserve">Mapeada en travel-expenses-service/src/entities/liquidation/escala-viatico.entity.ts:30 (EscalaViaticoEntity.rangoMaximo) | Validación: IsNumber, IsOptional, Min(0)</t>
  </si>
  <si>
    <t xml:space="preserve">Límite superior del rango de ingreso (asignación básica) al que aplica la tarifa, en pesos colombianos.</t>
  </si>
  <si>
    <t xml:space="preserve">nombre + tipo numeric + índice con rango_minimo + columna tarifa_diaria</t>
  </si>
  <si>
    <t xml:space="preserve">C3340</t>
  </si>
  <si>
    <t xml:space="preserve">tarifa_diaria</t>
  </si>
  <si>
    <t xml:space="preserve">Mapeada en travel-expenses-service/src/entities/liquidation/escala-viatico.entity.ts:33 (EscalaViaticoEntity.tarifaDiaria) | Validación: IsNumber, IsOptional, Min(0)</t>
  </si>
  <si>
    <t xml:space="preserve">Valor diario de viáticos para el rango, en pesos colombianos.</t>
  </si>
  <si>
    <t xml:space="preserve">nombre + tipo numeric + tabla de escalas</t>
  </si>
  <si>
    <t xml:space="preserve">¿Confirmar que el valor está en pesos colombianos?</t>
  </si>
  <si>
    <t xml:space="preserve">C3341</t>
  </si>
  <si>
    <t xml:space="preserve">idx_escalas_activo</t>
  </si>
  <si>
    <t xml:space="preserve">Mapeada en travel-expenses-service/src/entities/liquidation/escala-viatico.entity.ts:36 (EscalaViaticoEntity.activo) | Validación: IsBoolean, IsOptional</t>
  </si>
  <si>
    <t xml:space="preserve">C3342</t>
  </si>
  <si>
    <t xml:space="preserve">excepciones_autorizadas_tiquetes</t>
  </si>
  <si>
    <t xml:space="preserve">solicitud_id</t>
  </si>
  <si>
    <t xml:space="preserve">idx_excep_tiquetes_solicitud</t>
  </si>
  <si>
    <t xml:space="preserve">Mapeada en travel-expenses-service/src/entities/tickets/excepcion-tiquete.entity.ts:26 (ExcepcionTiqueteEntity.solicitudId) | Validación: IsOptional, IsString, IsUUID</t>
  </si>
  <si>
    <t xml:space="preserve">Identificador de la solicitud de comisión a la que aplica la excepción.</t>
  </si>
  <si>
    <t xml:space="preserve">nombre + tipo uuid + índice + tabla solicitudes_comision</t>
  </si>
  <si>
    <t xml:space="preserve">C3343</t>
  </si>
  <si>
    <t xml:space="preserve">PRESUPUESTO_AGOTADO, RUTA_CORTA</t>
  </si>
  <si>
    <t xml:space="preserve">idx_excep_tiquetes_tipo</t>
  </si>
  <si>
    <t xml:space="preserve">travel-expenses-service/src/entities/tickets/excepcion-tiquete.entity.ts:32: 'RUTA_CORTA' | 'PRESUPUESTO_AGOTADO' | Validación: IsIn(['RUTA_CORTA', 'PRESUPUESTO_AGOTADO'])</t>
  </si>
  <si>
    <t xml:space="preserve">Restricción de tiquetes que se exceptúa: RUTA_CORTA o PRESUPUESTO_AGOTADO (RF-LIQ-003, RF-LIQ-004).</t>
  </si>
  <si>
    <t xml:space="preserve">código: travel-expenses-service/src/entities/tickets/excepcion-tiquete.entity.ts:32; documentación de la entidad</t>
  </si>
  <si>
    <t xml:space="preserve">C3344</t>
  </si>
  <si>
    <t xml:space="preserve">autorizado_por</t>
  </si>
  <si>
    <t xml:space="preserve">DIRECTOR_NACIONAL, SINDICATO</t>
  </si>
  <si>
    <t xml:space="preserve">travel-expenses-service/src/entities/tickets/excepcion-tiquete.entity.ts:38: 'DIRECTOR_NACIONAL' | 'SINDICATO' | Validación: IsIn(['DIRECTOR_NACIONAL', 'SINDICATO'])</t>
  </si>
  <si>
    <t xml:space="preserve">Instancia que autoriza la excepción de tiquetes: DIRECTOR_NACIONAL o SINDICATO.</t>
  </si>
  <si>
    <t xml:space="preserve">código: travel-expenses-service/src/entities/tickets/excepcion-tiquete.entity.ts:38</t>
  </si>
  <si>
    <t xml:space="preserve">C3345</t>
  </si>
  <si>
    <t xml:space="preserve">numero_documento_soporte</t>
  </si>
  <si>
    <t xml:space="preserve">Mapeada en travel-expenses-service/src/entities/tickets/excepcion-tiquete.entity.ts:41 (ExcepcionTiqueteEntity.numeroDocumentoSoporte) | Validación: IsString, Length(1, 100)</t>
  </si>
  <si>
    <t xml:space="preserve">Número del documento que soporta la autorización de la excepción.</t>
  </si>
  <si>
    <t xml:space="preserve">nombre + columna vecina documento_soporte_url</t>
  </si>
  <si>
    <t xml:space="preserve">¿Qué tipo de documento es (resolución, acta, oficio)?</t>
  </si>
  <si>
    <t xml:space="preserve">C3346</t>
  </si>
  <si>
    <t xml:space="preserve">documento_soporte_url</t>
  </si>
  <si>
    <t xml:space="preserve">Mapeada en travel-expenses-service/src/entities/tickets/excepcion-tiquete.entity.ts:44 (ExcepcionTiqueteEntity.documentoSoporteUrl) | Validación: IsOptional, IsString, Length(1, 500)</t>
  </si>
  <si>
    <t xml:space="preserve">URL o ruta del documento que soporta la excepción.</t>
  </si>
  <si>
    <t xml:space="preserve">nombre + columna vecina numero_documento_soporte</t>
  </si>
  <si>
    <t xml:space="preserve">C3347</t>
  </si>
  <si>
    <t xml:space="preserve">Mapeada en travel-expenses-service/src/entities/tickets/excepcion-tiquete.entity.ts:52 (ExcepcionTiqueteEntity.comentarios) | Validación: IsOptional, IsString, Length(1, 1000)</t>
  </si>
  <si>
    <t xml:space="preserve">Comentarios sobre la excepción autorizada.</t>
  </si>
  <si>
    <t xml:space="preserve">C3348</t>
  </si>
  <si>
    <t xml:space="preserve">legalizacion_reversiones</t>
  </si>
  <si>
    <t xml:space="preserve">APROBADA, PENDIENTE, RECHAZADA</t>
  </si>
  <si>
    <t xml:space="preserve">Mapeada en travel-expenses-service/src/modules/legalizacion/entities/legalizacion-reversion.entity.ts:24 (LegalizacionReversionEntity.estado)</t>
  </si>
  <si>
    <t xml:space="preserve">Estado del registro de legalizacion_reversiones.</t>
  </si>
  <si>
    <t xml:space="preserve">C3349</t>
  </si>
  <si>
    <t xml:space="preserve">Mapeada en travel-expenses-service/src/modules/legalizacion/entities/legalizacion-reversion.entity.ts:27 (LegalizacionReversionEntity.motivo) | Validación: IsNotEmpty, IsString, Length(1, 1000)</t>
  </si>
  <si>
    <t xml:space="preserve">Motivo de la solicitud de reversión. Debe tener al menos 10 caracteres.</t>
  </si>
  <si>
    <t xml:space="preserve">nombre + CHECK length &gt;= 10</t>
  </si>
  <si>
    <t xml:space="preserve">C3350</t>
  </si>
  <si>
    <t xml:space="preserve">solicitada_por_id</t>
  </si>
  <si>
    <t xml:space="preserve">Mapeada en travel-expenses-service/src/modules/legalizacion/entities/legalizacion-reversion.entity.ts:30 (LegalizacionReversionEntity.solicitadaPorId)</t>
  </si>
  <si>
    <t xml:space="preserve">Identificador del usuario que solicita la reversión.</t>
  </si>
  <si>
    <t xml:space="preserve">patrón *_por_id + tipo uuid + CHECK que lo distingue de resuelta_por_id</t>
  </si>
  <si>
    <t xml:space="preserve">¿Referencia a auth."user"?</t>
  </si>
  <si>
    <t xml:space="preserve">C3351</t>
  </si>
  <si>
    <t xml:space="preserve">solicitada_en</t>
  </si>
  <si>
    <t xml:space="preserve">idx_legalizacion_reversiones_pendientes</t>
  </si>
  <si>
    <t xml:space="preserve">Mapeada en travel-expenses-service/src/modules/legalizacion/entities/legalizacion-reversion.entity.ts:33 (LegalizacionReversionEntity.solicitadaEn)</t>
  </si>
  <si>
    <t xml:space="preserve">C3352</t>
  </si>
  <si>
    <t xml:space="preserve">resuelta_por_id</t>
  </si>
  <si>
    <t xml:space="preserve">Mapeada en travel-expenses-service/src/modules/legalizacion/entities/legalizacion-reversion.entity.ts:36 (LegalizacionReversionEntity.resueltaPorId)</t>
  </si>
  <si>
    <t xml:space="preserve">Identificador del usuario que resuelve la reversión. Debe ser distinto de quien la solicitó.</t>
  </si>
  <si>
    <t xml:space="preserve">patrón *_por_id + CHECK resuelta_por_id &lt;&gt; solicitada_por_id + descripción de la tabla (los valores permitidos listados corresponden a estado)</t>
  </si>
  <si>
    <t xml:space="preserve">C3353</t>
  </si>
  <si>
    <t xml:space="preserve">resuelta_en</t>
  </si>
  <si>
    <t xml:space="preserve">Mapeada en travel-expenses-service/src/modules/legalizacion/entities/legalizacion-reversion.entity.ts:39 (LegalizacionReversionEntity.resueltaEn)</t>
  </si>
  <si>
    <t xml:space="preserve">Fecha y hora en que se resolvió la reversión.</t>
  </si>
  <si>
    <t xml:space="preserve">patrón *_en + tipo timestamptz (los valores permitidos listados corresponden a estado)</t>
  </si>
  <si>
    <t xml:space="preserve">C3354</t>
  </si>
  <si>
    <t xml:space="preserve">observacion_resolucion</t>
  </si>
  <si>
    <t xml:space="preserve">Mapeada en travel-expenses-service/src/modules/legalizacion/entities/legalizacion-reversion.entity.ts:42 (LegalizacionReversionEntity.observacionResolucion)</t>
  </si>
  <si>
    <t xml:space="preserve">Observación registrada al resolver la reversión.</t>
  </si>
  <si>
    <t xml:space="preserve">nombre + tipo text (los valores permitidos listados corresponden a estado)</t>
  </si>
  <si>
    <t xml:space="preserve">¿Es obligatoria cuando la reversión se rechaza?</t>
  </si>
  <si>
    <t xml:space="preserve">C3355</t>
  </si>
  <si>
    <t xml:space="preserve">legalizacion_revisiones</t>
  </si>
  <si>
    <t xml:space="preserve">Mapeada en travel-expenses-service/src/modules/legalizacion/entities/legalizacion-revision.entity.ts:30 (LegalizacionRevisionEntity.soporteId)</t>
  </si>
  <si>
    <t xml:space="preserve">Identificador del soporte de legalización revisado, cuando la acción recae sobre un soporte.</t>
  </si>
  <si>
    <t xml:space="preserve">nombre + tabla legalizacion_soportes + acciones SOPORTE_APROBADO, SOPORTE_RECHAZADO</t>
  </si>
  <si>
    <t xml:space="preserve">¿Referencia a legalizacion_soportes.id?</t>
  </si>
  <si>
    <t xml:space="preserve">C3356</t>
  </si>
  <si>
    <t xml:space="preserve">APROBACION, DEVOLUCION, EXPORTACION_SIIF, REGISTRO_SIIF_Y_CIERRE, REVERSION_APROBADA, REVERSION_RECHAZADA, REVERSION_SOLICITADA, SOPORTE_APROBADO, SOPORTE_RECHAZADO</t>
  </si>
  <si>
    <t xml:space="preserve">Mapeada en travel-expenses-service/src/modules/legalizacion/entities/legalizacion-revision.entity.ts:33 (LegalizacionRevisionEntity.accion)</t>
  </si>
  <si>
    <t xml:space="preserve">Acción registrada en la revisión de la legalización. Valores permitidos: APROBACION, DEVOLUCION, EXPORTACION_SIIF, REGISTRO_SIIF_Y_CIERRE, REVERSION_APROBADA, REVERSION_RECHAZADA, REVERSION_SOLICITADA, SOPORTE_APROBADO, SOPORTE_RECHAZADO.</t>
  </si>
  <si>
    <t xml:space="preserve">C3357</t>
  </si>
  <si>
    <t xml:space="preserve">Mapeada en travel-expenses-service/src/modules/legalizacion/entities/legalizacion-revision.entity.ts:36 (LegalizacionRevisionEntity.observacion)</t>
  </si>
  <si>
    <t xml:space="preserve">C3358</t>
  </si>
  <si>
    <t xml:space="preserve">Mapeada en travel-expenses-service/src/modules/legalizacion/entities/legalizacion-revision.entity.ts:39 (LegalizacionRevisionEntity.detalle)</t>
  </si>
  <si>
    <t xml:space="preserve">Información adicional de la acción, en formato JSON.</t>
  </si>
  <si>
    <t xml:space="preserve">¿Qué estructura tiene el JSON según la acción?</t>
  </si>
  <si>
    <t xml:space="preserve">C3359</t>
  </si>
  <si>
    <t xml:space="preserve">Mapeada en travel-expenses-service/src/modules/legalizacion/entities/legalizacion-revision.entity.ts:42 (LegalizacionRevisionEntity.usuarioId)</t>
  </si>
  <si>
    <t xml:space="preserve">nombre + tipo uuid + descripción de la tabla (quién)</t>
  </si>
  <si>
    <t xml:space="preserve">C3360</t>
  </si>
  <si>
    <t xml:space="preserve">legalizacion_soportes</t>
  </si>
  <si>
    <t xml:space="preserve">Mapeada en travel-expenses-service/src/modules/legalizacion/entities/legalizacion-soporte.entity.ts:28 (LegalizacionSoporteEntity.nombreArchivoOriginal) | Validación: IsOptional, IsString</t>
  </si>
  <si>
    <t xml:space="preserve">Nombre del archivo PDF tal como lo cargó el usuario.</t>
  </si>
  <si>
    <t xml:space="preserve">C3361</t>
  </si>
  <si>
    <t xml:space="preserve">ruta_relativa</t>
  </si>
  <si>
    <t xml:space="preserve">Mapeada en travel-expenses-service/src/modules/legalizacion/entities/legalizacion-soporte.entity.ts:31 (LegalizacionSoporteEntity.rutaRelativa)</t>
  </si>
  <si>
    <t xml:space="preserve">Ruta relativa del archivo en el almacenamiento.</t>
  </si>
  <si>
    <t xml:space="preserve">¿Relativa a qué directorio o repositorio?</t>
  </si>
  <si>
    <t xml:space="preserve">C3362</t>
  </si>
  <si>
    <t xml:space="preserve">Mapeada en travel-expenses-service/src/modules/legalizacion/entities/legalizacion-soporte.entity.ts:34 (LegalizacionSoporteEntity.tamanoBytes)</t>
  </si>
  <si>
    <t xml:space="preserve">C3363</t>
  </si>
  <si>
    <t xml:space="preserve">Mapeada en travel-expenses-service/src/modules/legalizacion/entities/legalizacion-soporte.entity.ts:37 (LegalizacionSoporteEntity.sha256)</t>
  </si>
  <si>
    <t xml:space="preserve">Huella SHA-256 del archivo, en hexadecimal (64 caracteres).</t>
  </si>
  <si>
    <t xml:space="preserve">C3364</t>
  </si>
  <si>
    <t xml:space="preserve">Mapeada en travel-expenses-service/src/modules/legalizacion/entities/legalizacion-soporte.entity.ts:40 (LegalizacionSoporteEntity.cargadoPorId)</t>
  </si>
  <si>
    <t xml:space="preserve">Identificador del usuario que cargó el soporte.</t>
  </si>
  <si>
    <t xml:space="preserve">C3365</t>
  </si>
  <si>
    <t xml:space="preserve">revision</t>
  </si>
  <si>
    <t xml:space="preserve">APROBADO, RECHAZADO</t>
  </si>
  <si>
    <t xml:space="preserve">travel-expenses-service/src/modules/legalizacion/entities/legalizacion-soporte.entity.ts:48: --- EFDS-1310: revisión del analista (migración 451) ---</t>
  </si>
  <si>
    <t xml:space="preserve">Resultado de la revisión del soporte de la legalización por parte del analista: APROBADO o RECHAZADO (EFDS-1310).</t>
  </si>
  <si>
    <t xml:space="preserve">código: travel-expenses-service/src/modules/legalizacion/entities/legalizacion-soporte.entity.ts:48 (encabezado de sección)</t>
  </si>
  <si>
    <t xml:space="preserve">¿El valor nulo significa que el soporte aún no ha sido revisado?</t>
  </si>
  <si>
    <t xml:space="preserve">C3366</t>
  </si>
  <si>
    <t xml:space="preserve">observacion_revision</t>
  </si>
  <si>
    <t xml:space="preserve">travel-expenses-service/src/modules/legalizacion/entities/legalizacion-soporte.entity.ts:51: --- EFDS-1310: revisión del analista (migración 451) ---</t>
  </si>
  <si>
    <t xml:space="preserve">Observación del analista en la revisión del soporte (EFDS-1310).</t>
  </si>
  <si>
    <t xml:space="preserve">código: legalizacion-soporte.entity.ts:51</t>
  </si>
  <si>
    <t xml:space="preserve">C3367</t>
  </si>
  <si>
    <t xml:space="preserve">travel-expenses-service/src/modules/legalizacion/entities/legalizacion-soporte.entity.ts:54: --- EFDS-1310: revisión del analista (migración 451) ---</t>
  </si>
  <si>
    <t xml:space="preserve">Identificador del analista que revisó el soporte (EFDS-1310).</t>
  </si>
  <si>
    <t xml:space="preserve">código: legalizacion-soporte.entity.ts:54</t>
  </si>
  <si>
    <t xml:space="preserve">C3368</t>
  </si>
  <si>
    <t xml:space="preserve">travel-expenses-service/src/modules/legalizacion/entities/legalizacion-soporte.entity.ts:57: --- EFDS-1310: revisión del analista (migración 451) ---</t>
  </si>
  <si>
    <t xml:space="preserve">Fecha y hora en que el analista revisó el soporte (EFDS-1310).</t>
  </si>
  <si>
    <t xml:space="preserve">código: legalizacion-soporte.entity.ts:57</t>
  </si>
  <si>
    <t xml:space="preserve">C3369</t>
  </si>
  <si>
    <t xml:space="preserve">legalizaciones_comision</t>
  </si>
  <si>
    <t xml:space="preserve">modalidad_pago</t>
  </si>
  <si>
    <t xml:space="preserve">Mapeada en travel-expenses-service/src/modules/legalizacion/entities/legalizacion-comision.entity.ts:21 (LegalizacionComisionEntity.modalidadPago) | Validación: IsIn(['AVANCE', 'RECONOCIMIENTO_POSTERIOR'], {
    message: 'La modalidad de pago debe ser AVANCE o RECONOCIMIENTO_POSTERIOR.',
  }), IsOptional, IsString</t>
  </si>
  <si>
    <t xml:space="preserve">Modalidad de pago de la comisión, que determina las reglas de legalización.</t>
  </si>
  <si>
    <t xml:space="preserve">nombre + config_legalizacion por modalidad de pago</t>
  </si>
  <si>
    <t xml:space="preserve">¿Qué valores admite (AVANCE, …)? ¿Se copia de solicitudes_comision?</t>
  </si>
  <si>
    <t xml:space="preserve">C3370</t>
  </si>
  <si>
    <t xml:space="preserve">estado_disparador</t>
  </si>
  <si>
    <t xml:space="preserve">Mapeada en travel-expenses-service/src/modules/legalizacion/entities/legalizacion-comision.entity.ts:24 (LegalizacionComisionEntity.estadoDisparador)</t>
  </si>
  <si>
    <t xml:space="preserve">Estado de la solicitud que inicia el plazo de legalización.</t>
  </si>
  <si>
    <t xml:space="preserve">nombre + descripción de config_legalizacion (disparador)</t>
  </si>
  <si>
    <t xml:space="preserve">¿Qué estados se usan como disparador?</t>
  </si>
  <si>
    <t xml:space="preserve">C3371</t>
  </si>
  <si>
    <t xml:space="preserve">fecha_disparo</t>
  </si>
  <si>
    <t xml:space="preserve">Mapeada en travel-expenses-service/src/modules/legalizacion/entities/legalizacion-comision.entity.ts:27 (LegalizacionComisionEntity.fechaDisparo)</t>
  </si>
  <si>
    <t xml:space="preserve">Fecha de disparo.</t>
  </si>
  <si>
    <t xml:space="preserve">C3372</t>
  </si>
  <si>
    <t xml:space="preserve">Mapeada en travel-expenses-service/src/modules/legalizacion/entities/legalizacion-comision.entity.ts:33 (LegalizacionComisionEntity.plazoDiasHabiles)</t>
  </si>
  <si>
    <t xml:space="preserve">C3373</t>
  </si>
  <si>
    <t xml:space="preserve">hora_corte</t>
  </si>
  <si>
    <t xml:space="preserve">Mapeada en travel-expenses-service/src/modules/legalizacion/entities/legalizacion-comision.entity.ts:36 (LegalizacionComisionEntity.horaCorte)</t>
  </si>
  <si>
    <t xml:space="preserve">Hora límite del último día del plazo de legalización, en formato HH:MM.</t>
  </si>
  <si>
    <t xml:space="preserve">nombre + varchar(5) + config_legalizacion</t>
  </si>
  <si>
    <t xml:space="preserve">¿Se copia de config_legalizacion al crear la legalización?</t>
  </si>
  <si>
    <t xml:space="preserve">C3374</t>
  </si>
  <si>
    <t xml:space="preserve">idx_legalizaciones_fecha_limite_abiertas</t>
  </si>
  <si>
    <t xml:space="preserve">Mapeada en travel-expenses-service/src/modules/legalizacion/entities/legalizacion-comision.entity.ts:39 (LegalizacionComisionEntity.fechaLimite)</t>
  </si>
  <si>
    <t xml:space="preserve">C3375</t>
  </si>
  <si>
    <t xml:space="preserve">enviada_por_id</t>
  </si>
  <si>
    <t xml:space="preserve">Mapeada en travel-expenses-service/src/modules/legalizacion/entities/legalizacion-comision.entity.ts:48 (LegalizacionComisionEntity.enviadaPorId)</t>
  </si>
  <si>
    <t xml:space="preserve">Identificador del usuario que envió la legalización a revisión. Se registra junto con fecha_envio.</t>
  </si>
  <si>
    <t xml:space="preserve">patrón *_por_id + CHECK con fecha_envio</t>
  </si>
  <si>
    <t xml:space="preserve">C3376</t>
  </si>
  <si>
    <t xml:space="preserve">notificado_por_vencer_en</t>
  </si>
  <si>
    <t xml:space="preserve">Mapeada en travel-expenses-service/src/modules/legalizacion/entities/legalizacion-comision.entity.ts:51 (LegalizacionComisionEntity.notificadoPorVencerEn)</t>
  </si>
  <si>
    <t xml:space="preserve">Fecha y hora en que se notificó que el plazo de legalización estaba por vencer.</t>
  </si>
  <si>
    <t xml:space="preserve">nombre + tipo timestamptz + config_legalizacion.dias_aviso_por_vencer</t>
  </si>
  <si>
    <t xml:space="preserve">C3377</t>
  </si>
  <si>
    <t xml:space="preserve">notificado_vencido_en</t>
  </si>
  <si>
    <t xml:space="preserve">Mapeada en travel-expenses-service/src/modules/legalizacion/entities/legalizacion-comision.entity.ts:54 (LegalizacionComisionEntity.notificadoVencidoEn)</t>
  </si>
  <si>
    <t xml:space="preserve">Fecha y hora en que se notificó que el plazo de legalización venció.</t>
  </si>
  <si>
    <t xml:space="preserve">nombre + tipo timestamptz</t>
  </si>
  <si>
    <t xml:space="preserve">C3378</t>
  </si>
  <si>
    <t xml:space="preserve">revision_aprobada_en</t>
  </si>
  <si>
    <t xml:space="preserve">travel-expenses-service/src/modules/legalizacion/entities/legalizacion-comision.entity.ts:59: --- EFDS-1310: revisión, registro SIIF y cierre (migración 451) ---</t>
  </si>
  <si>
    <t xml:space="preserve">Fecha y hora en que se aprobó la revisión de la legalización de la comisión (EFDS-1310). Es obligatoria para cerrarla.</t>
  </si>
  <si>
    <t xml:space="preserve">código: travel-expenses-service/src/modules/legalizacion/entities/legalizacion-comision.entity.ts:59 (encabezado de sección)</t>
  </si>
  <si>
    <t xml:space="preserve">C3379</t>
  </si>
  <si>
    <t xml:space="preserve">revision_aprobada_por_id</t>
  </si>
  <si>
    <t xml:space="preserve">travel-expenses-service/src/modules/legalizacion/entities/legalizacion-comision.entity.ts:62: --- EFDS-1310: revisión, registro SIIF y cierre (migración 451) ---</t>
  </si>
  <si>
    <t xml:space="preserve">Identificador del usuario que aprobó la revisión de la legalización (EFDS-1310).</t>
  </si>
  <si>
    <t xml:space="preserve">código: legalizacion-comision.entity.ts:62 + nombre</t>
  </si>
  <si>
    <t xml:space="preserve">C3380</t>
  </si>
  <si>
    <t xml:space="preserve">devuelta_por_id</t>
  </si>
  <si>
    <t xml:space="preserve">travel-expenses-service/src/modules/legalizacion/entities/legalizacion-comision.entity.ts:69: --- EFDS-1310: revisión, registro SIIF y cierre (migración 451) ---</t>
  </si>
  <si>
    <t xml:space="preserve">Identificador del usuario que devolvió la legalización (EFDS-1310).</t>
  </si>
  <si>
    <t xml:space="preserve">código: legalizacion-comision.entity.ts:69 + nombre</t>
  </si>
  <si>
    <t xml:space="preserve">C3381</t>
  </si>
  <si>
    <t xml:space="preserve">observacion_devolucion</t>
  </si>
  <si>
    <t xml:space="preserve">travel-expenses-service/src/modules/legalizacion/entities/legalizacion-comision.entity.ts:72: --- EFDS-1310: revisión, registro SIIF y cierre (migración 451) ---</t>
  </si>
  <si>
    <t xml:space="preserve">Observación registrada al devolver la legalización (EFDS-1310).</t>
  </si>
  <si>
    <t xml:space="preserve">código: legalizacion-comision.entity.ts:72 + nombre</t>
  </si>
  <si>
    <t xml:space="preserve">C3382</t>
  </si>
  <si>
    <t xml:space="preserve">numero_devoluciones</t>
  </si>
  <si>
    <t xml:space="preserve">travel-expenses-service/src/modules/legalizacion/entities/legalizacion-comision.entity.ts:75: --- EFDS-1310: revisión, registro SIIF y cierre (migración 451) ---</t>
  </si>
  <si>
    <t xml:space="preserve">Número de veces que se ha devuelto la legalización. Por defecto, 0 (EFDS-1310).</t>
  </si>
  <si>
    <t xml:space="preserve">código: legalizacion-comision.entity.ts:75 + nombre</t>
  </si>
  <si>
    <t xml:space="preserve">C3383</t>
  </si>
  <si>
    <t xml:space="preserve">siif_exportado_en</t>
  </si>
  <si>
    <t xml:space="preserve">travel-expenses-service/src/modules/legalizacion/entities/legalizacion-comision.entity.ts:78: --- EFDS-1310: revisión, registro SIIF y cierre (migración 451) ---</t>
  </si>
  <si>
    <t xml:space="preserve">Fecha y hora de exportación de la legalización al SIIF (EFDS-1310).</t>
  </si>
  <si>
    <t xml:space="preserve">código: legalizacion-comision.entity.ts:78 + nombre</t>
  </si>
  <si>
    <t xml:space="preserve">C3384</t>
  </si>
  <si>
    <t xml:space="preserve">siif_exportado_por_id</t>
  </si>
  <si>
    <t xml:space="preserve">travel-expenses-service/src/modules/legalizacion/entities/legalizacion-comision.entity.ts:81: --- EFDS-1310: revisión, registro SIIF y cierre (migración 451) ---</t>
  </si>
  <si>
    <t xml:space="preserve">Identificador del usuario que exportó la legalización al SIIF (EFDS-1310).</t>
  </si>
  <si>
    <t xml:space="preserve">código: legalizacion-comision.entity.ts:81 + nombre</t>
  </si>
  <si>
    <t xml:space="preserve">C3385</t>
  </si>
  <si>
    <t xml:space="preserve">numero_registro_siif</t>
  </si>
  <si>
    <t xml:space="preserve">travel-expenses-service/src/modules/legalizacion/entities/legalizacion-comision.entity.ts:84: --- EFDS-1310: revisión, registro SIIF y cierre (migración 451) ---</t>
  </si>
  <si>
    <t xml:space="preserve">Número del registro de la legalización en el SIIF (EFDS-1310).</t>
  </si>
  <si>
    <t xml:space="preserve">código: legalizacion-comision.entity.ts:84 + nombre</t>
  </si>
  <si>
    <t xml:space="preserve">C3386</t>
  </si>
  <si>
    <t xml:space="preserve">fecha_registro_siif</t>
  </si>
  <si>
    <t xml:space="preserve">travel-expenses-service/src/modules/legalizacion/entities/legalizacion-comision.entity.ts:87: --- EFDS-1310: revisión, registro SIIF y cierre (migración 451) ---</t>
  </si>
  <si>
    <t xml:space="preserve">Fecha del registro de la legalización en el SIIF (EFDS-1310).</t>
  </si>
  <si>
    <t xml:space="preserve">código: legalizacion-comision.entity.ts:87 + nombre</t>
  </si>
  <si>
    <t xml:space="preserve">C3387</t>
  </si>
  <si>
    <t xml:space="preserve">registrado_siif_por_id</t>
  </si>
  <si>
    <t xml:space="preserve">travel-expenses-service/src/modules/legalizacion/entities/legalizacion-comision.entity.ts:90: --- EFDS-1310: revisión, registro SIIF y cierre (migración 451) ---</t>
  </si>
  <si>
    <t xml:space="preserve">Identificador del usuario que registró la legalización en el SIIF (EFDS-1310).</t>
  </si>
  <si>
    <t xml:space="preserve">código: legalizacion-comision.entity.ts:90 + nombre</t>
  </si>
  <si>
    <t xml:space="preserve">C3388</t>
  </si>
  <si>
    <t xml:space="preserve">travel-expenses-service/src/modules/legalizacion/entities/legalizacion-comision.entity.ts:93: --- EFDS-1310: revisión, registro SIIF y cierre (migración 451) --- | Validación: IsNumber({}, { message: 'El valor pagado debe ser numérico.' }), IsPositive({ message: 'El valor pagado debe ser un monto positivo mayor a cero.' })</t>
  </si>
  <si>
    <t xml:space="preserve">Valor pagado de la comisión; debe ser un monto positivo mayor a cero (EFDS-1310).</t>
  </si>
  <si>
    <t xml:space="preserve">código: legalizacion-comision.entity.ts:93 + nombre</t>
  </si>
  <si>
    <t xml:space="preserve">¿valor_pagado es el valor girado al comisionado antes del viaje y en qué moneda se expresa?</t>
  </si>
  <si>
    <t xml:space="preserve">C3389</t>
  </si>
  <si>
    <t xml:space="preserve">valor_legalizado</t>
  </si>
  <si>
    <t xml:space="preserve">travel-expenses-service/src/modules/legalizacion/entities/legalizacion-comision.entity.ts:96: --- EFDS-1310: revisión, registro SIIF y cierre (migración 451) ---</t>
  </si>
  <si>
    <t xml:space="preserve">Valor legalizado de la comisión con los soportes presentados (EFDS-1310).</t>
  </si>
  <si>
    <t xml:space="preserve">código: legalizacion-comision.entity.ts:96 + nombre</t>
  </si>
  <si>
    <t xml:space="preserve">¿Es el valor aprobado tras la revisión de los soportes?</t>
  </si>
  <si>
    <t xml:space="preserve">C3390</t>
  </si>
  <si>
    <t xml:space="preserve">dias_reales</t>
  </si>
  <si>
    <t xml:space="preserve">travel-expenses-service/src/modules/legalizacion/entities/legalizacion-comision.entity.ts:102: --- EFDS-1310: revisión, registro SIIF y cierre (migración 451) ---</t>
  </si>
  <si>
    <t xml:space="preserve">Número de días reales de la comisión; admite fracciones (EFDS-1310).</t>
  </si>
  <si>
    <t xml:space="preserve">código: legalizacion-comision.entity.ts:102 + nombre</t>
  </si>
  <si>
    <t xml:space="preserve">¿Cómo se calculan las fracciones de día (por ejemplo, el último día sin pernoctar)?</t>
  </si>
  <si>
    <t xml:space="preserve">C3391</t>
  </si>
  <si>
    <t xml:space="preserve">travel-expenses-service/src/modules/legalizacion/entities/legalizacion-comision.entity.ts:105: --- EFDS-1310: revisión, registro SIIF y cierre (migración 451) ---</t>
  </si>
  <si>
    <t xml:space="preserve">Observaciones registradas al cerrar la legalización (EFDS-1310).</t>
  </si>
  <si>
    <t xml:space="preserve">código: legalizacion-comision.entity.ts:105 + nombre</t>
  </si>
  <si>
    <t xml:space="preserve">C3392</t>
  </si>
  <si>
    <t xml:space="preserve">cerrada_por_id</t>
  </si>
  <si>
    <t xml:space="preserve">travel-expenses-service/src/modules/legalizacion/entities/legalizacion-comision.entity.ts:135: --- EFDS-1310: revisión, registro SIIF y cierre (migración 451) ---</t>
  </si>
  <si>
    <t xml:space="preserve">Identificador del usuario que cerró la legalización (EFDS-1310).</t>
  </si>
  <si>
    <t xml:space="preserve">código: legalizacion-comision.entity.ts:135 + nombre</t>
  </si>
  <si>
    <t xml:space="preserve">C3393</t>
  </si>
  <si>
    <t xml:space="preserve">entidad_externa</t>
  </si>
  <si>
    <t xml:space="preserve">travel-expenses-service/src/modules/legalizacion/entities/legalizacion-comision.entity.ts:119: --- EFDS-1310: revisión, registro SIIF y cierre (migración 451) ---</t>
  </si>
  <si>
    <t xml:space="preserve">Nombre de la entidad externa de la comisión, cuando la comisión es externa (EFDS-1310).</t>
  </si>
  <si>
    <t xml:space="preserve">código: legalizacion-comision.entity.ts:119 + nombre</t>
  </si>
  <si>
    <t xml:space="preserve">¿Es la entidad que invita o financia la comisión cuando comision_externa es verdadero?</t>
  </si>
  <si>
    <t xml:space="preserve">C3394</t>
  </si>
  <si>
    <t xml:space="preserve">cumplimiento_registrado_en</t>
  </si>
  <si>
    <t xml:space="preserve">travel-expenses-service/src/modules/legalizacion/entities/legalizacion-comision.entity.ts:122: --- EFDS-1310: revisión, registro SIIF y cierre (migración 451) ---</t>
  </si>
  <si>
    <t xml:space="preserve">Fecha y hora en que se registró el cumplimiento de la comisión (EFDS-1310).</t>
  </si>
  <si>
    <t xml:space="preserve">código: legalizacion-comision.entity.ts:122 + nombre</t>
  </si>
  <si>
    <t xml:space="preserve">¿Qué documento o hecho se registra como cumplimiento de la comisión?</t>
  </si>
  <si>
    <t xml:space="preserve">C3395</t>
  </si>
  <si>
    <t xml:space="preserve">cumplimiento_registrado_por_id</t>
  </si>
  <si>
    <t xml:space="preserve">travel-expenses-service/src/modules/legalizacion/entities/legalizacion-comision.entity.ts:125: --- EFDS-1310: revisión, registro SIIF y cierre (migración 451) ---</t>
  </si>
  <si>
    <t xml:space="preserve">Identificador del usuario que registró el cumplimiento de la comisión (EFDS-1310).</t>
  </si>
  <si>
    <t xml:space="preserve">código: legalizacion-comision.entity.ts:125 + nombre</t>
  </si>
  <si>
    <t xml:space="preserve">C3396</t>
  </si>
  <si>
    <t xml:space="preserve">liquidation_params</t>
  </si>
  <si>
    <t xml:space="preserve">idx_liquidation_params_clave, liquidation_params_clave_key</t>
  </si>
  <si>
    <t xml:space="preserve">Mapeada en travel-expenses-service/src/entities/liquidation/liquidation-param.entity.ts:14 (LiquidationParamEntity.clave) | Validación: IsString, Length(1, 100)</t>
  </si>
  <si>
    <t xml:space="preserve">Nombre único del parámetro de liquidación.</t>
  </si>
  <si>
    <t xml:space="preserve">nombre + índice único + tabla de parámetros</t>
  </si>
  <si>
    <t xml:space="preserve">C3397</t>
  </si>
  <si>
    <t xml:space="preserve">Mapeada en travel-expenses-service/src/entities/liquidation/liquidation-param.entity.ts:17 (LiquidationParamEntity.valor)</t>
  </si>
  <si>
    <t xml:space="preserve">Valor del parámetro de liquidación, guardado como texto; su tipo lo indica la columna tipo.</t>
  </si>
  <si>
    <t xml:space="preserve">nombre + columna vecina tipo</t>
  </si>
  <si>
    <t xml:space="preserve">¿Qué tipos se usan y cómo se convierten?</t>
  </si>
  <si>
    <t xml:space="preserve">C3398</t>
  </si>
  <si>
    <t xml:space="preserve">Mapeada en travel-expenses-service/src/entities/liquidation/liquidation-param.entity.ts:20 (LiquidationParamEntity.tipo)</t>
  </si>
  <si>
    <t xml:space="preserve">Tipo del registro de liquidation_params.</t>
  </si>
  <si>
    <t xml:space="preserve">C3399</t>
  </si>
  <si>
    <t xml:space="preserve">Mapeada en travel-expenses-service/src/entities/liquidation/liquidation-param.entity.ts:23 (LiquidationParamEntity.descripcion) | Validación: IsOptional, IsString, Length(0, 255)</t>
  </si>
  <si>
    <t xml:space="preserve">Descripción del registro de liquidation_params.</t>
  </si>
  <si>
    <t xml:space="preserve">C3400</t>
  </si>
  <si>
    <t xml:space="preserve">parametros_globales</t>
  </si>
  <si>
    <t xml:space="preserve">Valor del parámetro global, guardado como texto; su tipo lo indica la columna tipo.</t>
  </si>
  <si>
    <t xml:space="preserve">nombre + columna vecina tipo + descripción de la tabla</t>
  </si>
  <si>
    <t xml:space="preserve">C3401</t>
  </si>
  <si>
    <t xml:space="preserve">Tipo del registro de parametros_globales.</t>
  </si>
  <si>
    <t xml:space="preserve">C3402</t>
  </si>
  <si>
    <t xml:space="preserve">Descripción del registro de parametros_globales.</t>
  </si>
  <si>
    <t xml:space="preserve">C3403</t>
  </si>
  <si>
    <t xml:space="preserve">C3404</t>
  </si>
  <si>
    <t xml:space="preserve">paz_y_salvo_eventos</t>
  </si>
  <si>
    <t xml:space="preserve">Identificador del usuario que realizó la acción sobre el paz y salvo.</t>
  </si>
  <si>
    <t xml:space="preserve">nombre + tipo uuid</t>
  </si>
  <si>
    <t xml:space="preserve">C3405</t>
  </si>
  <si>
    <t xml:space="preserve">CONSULTADO, DESCARGADO, FIRMA_VERIFICADA, OTP_SOLICITADO, SOLICITADO</t>
  </si>
  <si>
    <t xml:space="preserve">Acción registrada sobre el paz y salvo. Valores permitidos: CONSULTADO, DESCARGADO, FIRMA_VERIFICADA, OTP_SOLICITADO, SOLICITADO.</t>
  </si>
  <si>
    <t xml:space="preserve">C3406</t>
  </si>
  <si>
    <t xml:space="preserve">Información adicional del evento, en formato JSON.</t>
  </si>
  <si>
    <t xml:space="preserve">nombre + tipo jsonb + defecto {}</t>
  </si>
  <si>
    <t xml:space="preserve">C3407</t>
  </si>
  <si>
    <t xml:space="preserve">paz_y_salvos</t>
  </si>
  <si>
    <t xml:space="preserve">solicitado_por_id</t>
  </si>
  <si>
    <t xml:space="preserve">Identificador del usuario que solicitó el paz y salvo.</t>
  </si>
  <si>
    <t xml:space="preserve">C3408</t>
  </si>
  <si>
    <t xml:space="preserve">Contenido del paz y salvo, en formato JSON.</t>
  </si>
  <si>
    <t xml:space="preserve">nombre + tipo jsonb + columna contenido_sha256</t>
  </si>
  <si>
    <t xml:space="preserve">¿Qué datos incluye el JSON?</t>
  </si>
  <si>
    <t xml:space="preserve">C3409</t>
  </si>
  <si>
    <t xml:space="preserve">contenido_sha256</t>
  </si>
  <si>
    <t xml:space="preserve">Huella SHA-256 del contenido del paz y salvo, en hexadecimal.</t>
  </si>
  <si>
    <t xml:space="preserve">nombre + varchar(64) + columna contenido</t>
  </si>
  <si>
    <t xml:space="preserve">C3410</t>
  </si>
  <si>
    <t xml:space="preserve">Datos de la firma del paz y salvo, en formato JSON. Se registra junto con firmado_en y archivo_sha256.</t>
  </si>
  <si>
    <t xml:space="preserve">nombre + tipo jsonb + CHECK con firmado_en y archivo_sha256</t>
  </si>
  <si>
    <t xml:space="preserve">¿Qué tipo de firma se usa y qué datos guarda el JSON?</t>
  </si>
  <si>
    <t xml:space="preserve">C3411</t>
  </si>
  <si>
    <t xml:space="preserve">C3412</t>
  </si>
  <si>
    <t xml:space="preserve">archivo_sha256</t>
  </si>
  <si>
    <t xml:space="preserve">Huella SHA-256 del archivo firmado del paz y salvo, en hexadecimal. Se registra junto con la firma.</t>
  </si>
  <si>
    <t xml:space="preserve">nombre + varchar(64) + CHECK con firma</t>
  </si>
  <si>
    <t xml:space="preserve">C3413</t>
  </si>
  <si>
    <t xml:space="preserve">reintegros_comision</t>
  </si>
  <si>
    <t xml:space="preserve">PENDIENTE, REGISTRADO</t>
  </si>
  <si>
    <t xml:space="preserve">idx_reintegros_comision_estado</t>
  </si>
  <si>
    <t xml:space="preserve">Mapeada en travel-expenses-service/src/entities/reintegro-comision.entity.ts:53 (ReintegroComisionEntity.estado)</t>
  </si>
  <si>
    <t xml:space="preserve">Estado del registro de reintegros_comision.</t>
  </si>
  <si>
    <t xml:space="preserve">C3414</t>
  </si>
  <si>
    <t xml:space="preserve">Mapeada en travel-expenses-service/src/entities/reintegro-comision.entity.ts:61 (ReintegroComisionEntity.valorPagado) | Validación: IsNumber({}, { message: 'El valor pagado debe ser numérico.' }), IsPositive({ message: 'El valor pagado debe ser un monto positivo mayor a cero.' })</t>
  </si>
  <si>
    <t xml:space="preserve">Valor pagado por la comisión, en pesos colombianos.</t>
  </si>
  <si>
    <t xml:space="preserve">nombre + tipo numeric + descripción de la tabla</t>
  </si>
  <si>
    <t xml:space="preserve">¿Se copia de solicitudes_comision.valor_pagado?</t>
  </si>
  <si>
    <t xml:space="preserve">C3415</t>
  </si>
  <si>
    <t xml:space="preserve">dias_comision</t>
  </si>
  <si>
    <t xml:space="preserve">Mapeada en travel-expenses-service/src/entities/reintegro-comision.entity.ts:68 (ReintegroComisionEntity.diasComision) | Validación: IsNumber({ maxDecimalPlaces: 2 }), IsOptional, Min(0)</t>
  </si>
  <si>
    <t xml:space="preserve">Días autorizados de la comisión.</t>
  </si>
  <si>
    <t xml:space="preserve">nombre + tipo numeric(6,2) + columna dias_ejecutados</t>
  </si>
  <si>
    <t xml:space="preserve">¿Admite fracciones por días sin pernoctar?</t>
  </si>
  <si>
    <t xml:space="preserve">C3416</t>
  </si>
  <si>
    <t xml:space="preserve">dias_ejecutados</t>
  </si>
  <si>
    <t xml:space="preserve">Mapeada en travel-expenses-service/src/entities/reintegro-comision.entity.ts:71 (ReintegroComisionEntity.diasEjecutados)</t>
  </si>
  <si>
    <t xml:space="preserve">Días efectivamente ejecutados de la comisión.</t>
  </si>
  <si>
    <t xml:space="preserve">nombre + tipo numeric(6,2) + descripción de la tabla</t>
  </si>
  <si>
    <t xml:space="preserve">C3417</t>
  </si>
  <si>
    <t xml:space="preserve">valor_reintegrado</t>
  </si>
  <si>
    <t xml:space="preserve">Mapeada en travel-expenses-service/src/entities/reintegro-comision.entity.ts:74 (ReintegroComisionEntity.valorReintegrado) | Validación: IsNumber({}, { message: 'El valor reintegrado debe ser numérico.' }), IsPositive({ message: 'El valor reintegrado debe ser un monto positivo mayor a cero.' })</t>
  </si>
  <si>
    <t xml:space="preserve">Valor efectivamente reintegrado, en pesos colombianos. Si se registra, debe ser mayor que cero.</t>
  </si>
  <si>
    <t xml:space="preserve">nombre + CHECK &gt; 0 + columna valor_a_reintegrar</t>
  </si>
  <si>
    <t xml:space="preserve">¿Puede ser distinto de valor_a_reintegrar?</t>
  </si>
  <si>
    <t xml:space="preserve">C3418</t>
  </si>
  <si>
    <t xml:space="preserve">fecha_reintegro</t>
  </si>
  <si>
    <t xml:space="preserve">Mapeada en travel-expenses-service/src/entities/reintegro-comision.entity.ts:77 (ReintegroComisionEntity.fechaReintegro) | Validación: IsDateString({}, { message: 'La fecha del reintegro debe ser una fecha válida en formato YYYY-MM-DD.' }), IsNotEmpty({ message: 'La fecha del reintegro es obligatoria.' })</t>
  </si>
  <si>
    <t xml:space="preserve">Fecha de reintegro.</t>
  </si>
  <si>
    <t xml:space="preserve">C3419</t>
  </si>
  <si>
    <t xml:space="preserve">Mapeada en travel-expenses-service/src/entities/reintegro-comision.entity.ts:84 (ReintegroComisionEntity.observaciones) | Validación: IsOptional, IsString, IsString({ message: 'Las observaciones deben ser una cadena de texto.' }), Length(0, 1000), Length(0, 2000), MaxLength(1000)</t>
  </si>
  <si>
    <t xml:space="preserve">C3420</t>
  </si>
  <si>
    <t xml:space="preserve">Mapeada en travel-expenses-service/src/entities/reintegro-comision.entity.ts:87 (ReintegroComisionEntity.registradoPorId)</t>
  </si>
  <si>
    <t xml:space="preserve">Identificador del usuario que registró el reintegro.</t>
  </si>
  <si>
    <t xml:space="preserve">patrón *_por_id + columna fecha_registro</t>
  </si>
  <si>
    <t xml:space="preserve">C3421</t>
  </si>
  <si>
    <t xml:space="preserve">rutas_restringidas</t>
  </si>
  <si>
    <t xml:space="preserve">origen_ciudad</t>
  </si>
  <si>
    <t xml:space="preserve">uk_rutas_restringidas</t>
  </si>
  <si>
    <t xml:space="preserve">Mapeada en travel-expenses-service/src/entities/tickets/ruta-restringida.entity.ts:26 (RutaRestringidaEntity.origenCiudad) | Validación: IsOptional, IsString, Length(1, 100)</t>
  </si>
  <si>
    <t xml:space="preserve">Ciudad de origen de la ruta restringida.</t>
  </si>
  <si>
    <t xml:space="preserve">nombre + índice único con destino_ciudad</t>
  </si>
  <si>
    <t xml:space="preserve">C3422</t>
  </si>
  <si>
    <t xml:space="preserve">destino_ciudad</t>
  </si>
  <si>
    <t xml:space="preserve">Mapeada en travel-expenses-service/src/entities/tickets/ruta-restringida.entity.ts:29 (RutaRestringidaEntity.destinoCiudad) | Validación: IsOptional, IsString, Length(0, 100), Length(1, 100)</t>
  </si>
  <si>
    <t xml:space="preserve">Ciudad de destino de la ruta restringida.</t>
  </si>
  <si>
    <t xml:space="preserve">nombre + índice único con origen_ciudad</t>
  </si>
  <si>
    <t xml:space="preserve">C3423</t>
  </si>
  <si>
    <t xml:space="preserve">descripcion_restriccion</t>
  </si>
  <si>
    <t xml:space="preserve">Mapeada en travel-expenses-service/src/entities/tickets/ruta-restringida.entity.ts:32 (RutaRestringidaEntity.descripcionRestriccion) | Validación: IsString, MaxLength(255)</t>
  </si>
  <si>
    <t xml:space="preserve">Descripción de la restricción que aplica a la ruta.</t>
  </si>
  <si>
    <t xml:space="preserve">¿Qué tipo de restricción se registra (por ejemplo, no se compra tiquete aéreo)?</t>
  </si>
  <si>
    <t xml:space="preserve">C3424</t>
  </si>
  <si>
    <t xml:space="preserve">idx_rutas_restringidas_activo</t>
  </si>
  <si>
    <t xml:space="preserve">Mapeada en travel-expenses-service/src/entities/tickets/ruta-restringida.entity.ts:40 (RutaRestringidaEntity.activo) | Validación: IsBoolean, IsOptional</t>
  </si>
  <si>
    <t xml:space="preserve">C3425</t>
  </si>
  <si>
    <t xml:space="preserve">saldos_tiquetes</t>
  </si>
  <si>
    <t xml:space="preserve">dependencia_id</t>
  </si>
  <si>
    <t xml:space="preserve">saldos_tiquetes_dependencia_id_key</t>
  </si>
  <si>
    <t xml:space="preserve">Mapeada en travel-expenses-service/src/entities/tickets/saldo-tiquete.entity.ts:32 (SaldoTiqueteEntity.dependenciaId) | Validación: IsString, Length(1, 100)</t>
  </si>
  <si>
    <t xml:space="preserve">Identificador de la dependencia dueña del presupuesto de tiquetes. Es único.</t>
  </si>
  <si>
    <t xml:space="preserve">nombre + índice único + tipo varchar</t>
  </si>
  <si>
    <t xml:space="preserve">¿Es el código de la dependencia en otro sistema? ¿Por qué es texto y no numérico?</t>
  </si>
  <si>
    <t xml:space="preserve">C3426</t>
  </si>
  <si>
    <t xml:space="preserve">nombre_dependencia</t>
  </si>
  <si>
    <t xml:space="preserve">Mapeada en travel-expenses-service/src/entities/tickets/saldo-tiquete.entity.ts:40 (SaldoTiqueteEntity.nombreDependencia) | Validación: IsOptional, IsString, Length(1, 150)</t>
  </si>
  <si>
    <t xml:space="preserve">Nombre de la dependencia.</t>
  </si>
  <si>
    <t xml:space="preserve">C3427</t>
  </si>
  <si>
    <t xml:space="preserve">presupuesto_inicial</t>
  </si>
  <si>
    <t xml:space="preserve">Mapeada en travel-expenses-service/src/entities/tickets/saldo-tiquete.entity.ts:43 (SaldoTiqueteEntity.presupuestoInicial) | Validación: IsNumber({ maxDecimalPlaces: 2 }), IsOptional, Min(0)</t>
  </si>
  <si>
    <t xml:space="preserve">Presupuesto inicial asignado para tiquetes, en pesos colombianos. No puede ser negativo.</t>
  </si>
  <si>
    <t xml:space="preserve">nombre + CHECK &gt;= 0 + tabla saldos_tiquetes</t>
  </si>
  <si>
    <t xml:space="preserve">¿Corresponde a una vigencia fiscal?</t>
  </si>
  <si>
    <t xml:space="preserve">C3428</t>
  </si>
  <si>
    <t xml:space="preserve">presupuesto_reservado</t>
  </si>
  <si>
    <t xml:space="preserve">Mapeada en travel-expenses-service/src/entities/tickets/saldo-tiquete.entity.ts:51 (SaldoTiqueteEntity.presupuestoReservado)</t>
  </si>
  <si>
    <t xml:space="preserve">Presupuesto reservado para tiquetes de solicitudes en trámite, en pesos colombianos. No puede ser negativo.</t>
  </si>
  <si>
    <t xml:space="preserve">nombre + defecto 0 + CHECK &gt;= 0</t>
  </si>
  <si>
    <t xml:space="preserve">¿Cuándo se reserva y cuándo se libera el valor?</t>
  </si>
  <si>
    <t xml:space="preserve">C3429</t>
  </si>
  <si>
    <t xml:space="preserve">presupuesto_disponible</t>
  </si>
  <si>
    <t xml:space="preserve">Mapeada en travel-expenses-service/src/entities/tickets/saldo-tiquete.entity.ts:60 (SaldoTiqueteEntity.presupuestoDisponible)</t>
  </si>
  <si>
    <t xml:space="preserve">Presupuesto disponible para tiquetes, en pesos colombianos.</t>
  </si>
  <si>
    <t xml:space="preserve">nombre + columnas presupuesto_inicial, presupuesto_reservado</t>
  </si>
  <si>
    <t xml:space="preserve">¿Se calcula como inicial menos reservado o se actualiza en la aplicación?</t>
  </si>
  <si>
    <t xml:space="preserve">C3430</t>
  </si>
  <si>
    <t xml:space="preserve">holgura_porcentaje</t>
  </si>
  <si>
    <t xml:space="preserve">Mapeada en travel-expenses-service/src/entities/tickets/saldo-tiquete.entity.ts:68 (SaldoTiqueteEntity.holguraPorcentaje) | Validación: IsNumber({ maxDecimalPlaces: 2 }), IsOptional, Max(100), Min(0)</t>
  </si>
  <si>
    <t xml:space="preserve">Porcentaje de holgura sobre el presupuesto de tiquetes, entre 0 y 100.</t>
  </si>
  <si>
    <t xml:space="preserve">nombre + defecto 15.00 + CHECK 0–100</t>
  </si>
  <si>
    <t xml:space="preserve">¿Para qué se usa la holgura (margen de alerta o reserva adicional)?</t>
  </si>
  <si>
    <t xml:space="preserve">C3431</t>
  </si>
  <si>
    <t xml:space="preserve">idx_saldos_tiquetes_activo</t>
  </si>
  <si>
    <t xml:space="preserve">Mapeada en travel-expenses-service/src/entities/tickets/saldo-tiquete.entity.ts:77 (SaldoTiqueteEntity.activo) | Validación: IsBoolean, IsOptional</t>
  </si>
  <si>
    <t xml:space="preserve">C3432</t>
  </si>
  <si>
    <t xml:space="preserve">solicitudes_comision</t>
  </si>
  <si>
    <t xml:space="preserve">consecutivo_unico</t>
  </si>
  <si>
    <t xml:space="preserve">idx_solicitudes_consecutivo_unico, solicitudes_comision_consecutivo_unico_key</t>
  </si>
  <si>
    <t xml:space="preserve">Mapeada en travel-expenses-service/src/entities/solicitud-comision.entity.ts:31 (SolicitudComisionEntity.consecutivoUnico) | Validación: IsOptional, IsString</t>
  </si>
  <si>
    <t xml:space="preserve">Consecutivo único de la solicitud de comisión.</t>
  </si>
  <si>
    <t xml:space="preserve">C3433</t>
  </si>
  <si>
    <t xml:space="preserve">Mapeada en travel-expenses-service/src/entities/solicitud-comision.entity.ts:47 (SolicitudComisionEntity.destinoCiudad) | Validación: IsOptional, IsString, Length(0, 100), Length(1, 100)</t>
  </si>
  <si>
    <t xml:space="preserve">Ciudad de destino de la comisión.</t>
  </si>
  <si>
    <t xml:space="preserve">C3434</t>
  </si>
  <si>
    <t xml:space="preserve">destino_departamento</t>
  </si>
  <si>
    <t xml:space="preserve">Mapeada en travel-expenses-service/src/entities/solicitud-comision.entity.ts:50 (SolicitudComisionEntity.destinoDepartamento) | Validación: IsOptional, IsString, Length(0, 100)</t>
  </si>
  <si>
    <t xml:space="preserve">Departamento de destino de la comisión.</t>
  </si>
  <si>
    <t xml:space="preserve">C3435</t>
  </si>
  <si>
    <t xml:space="preserve">idx_solicitudes_comisionado_fechas</t>
  </si>
  <si>
    <t xml:space="preserve">Mapeada en travel-expenses-service/src/entities/solicitud-comision.entity.ts:53 (SolicitudComisionEntity.fechaInicio) | Validación: IsOptional, IsString</t>
  </si>
  <si>
    <t xml:space="preserve">C3436</t>
  </si>
  <si>
    <t xml:space="preserve">Mapeada en travel-expenses-service/src/entities/solicitud-comision.entity.ts:57 (SolicitudComisionEntity.fechaFin) | Validación: IsOptional, IsString</t>
  </si>
  <si>
    <t xml:space="preserve">C3437</t>
  </si>
  <si>
    <t xml:space="preserve">objeto_comision</t>
  </si>
  <si>
    <t xml:space="preserve">Mapeada en travel-expenses-service/src/entities/solicitud-comision.entity.ts:60 (SolicitudComisionEntity.objetoComision) | Validación: IsOptional, IsString, Length(0, 250)</t>
  </si>
  <si>
    <t xml:space="preserve">Objeto o propósito de la comisión de servicio.</t>
  </si>
  <si>
    <t xml:space="preserve">C3438</t>
  </si>
  <si>
    <t xml:space="preserve">Mapeada en travel-expenses-service/src/entities/solicitud-comision.entity.ts:63 (SolicitudComisionEntity.prioridad) | Validación: IsIn(['ALTA', 'MEDIA', 'BAJA']), IsOptional, IsString</t>
  </si>
  <si>
    <t xml:space="preserve">Prioridad de la solicitud. Valores permitidos: ALTA, BAJA, MEDIA.</t>
  </si>
  <si>
    <t xml:space="preserve">C3439</t>
  </si>
  <si>
    <t xml:space="preserve">rubro_presupuestal</t>
  </si>
  <si>
    <t xml:space="preserve">Mapeada en travel-expenses-service/src/entities/solicitud-comision.entity.ts:66 (SolicitudComisionEntity.rubroPresupuestal) | Validación: IsNotEmpty({ message: 'El rubro presupuestal es obligatorio.' }), IsOptional, IsString, IsString({ message: 'El rubro presupuestal debe ser una cadena de texto.' }), Length(0, 100), MaxLength(100)</t>
  </si>
  <si>
    <t xml:space="preserve">Rubro presupuestal con cargo al cual se financia la comisión.</t>
  </si>
  <si>
    <t xml:space="preserve">C3440</t>
  </si>
  <si>
    <t xml:space="preserve">requiere_tiquetes</t>
  </si>
  <si>
    <t xml:space="preserve">Mapeada en travel-expenses-service/src/entities/solicitud-comision.entity.ts:75 (SolicitudComisionEntity.requiereTiquetes) | Validación: IsBoolean, IsOptional</t>
  </si>
  <si>
    <t xml:space="preserve">Indica si requiere tiquetes.</t>
  </si>
  <si>
    <t xml:space="preserve">C3441</t>
  </si>
  <si>
    <t xml:space="preserve">estado_solicitud</t>
  </si>
  <si>
    <t xml:space="preserve">idx_solicitudes_estado_obligada, idx_solicitudes_estado_pagada</t>
  </si>
  <si>
    <t xml:space="preserve">Mapeada en travel-expenses-service/src/entities/solicitud-comision.entity.ts:219 (SolicitudComisionEntity.estadoSolicitud)</t>
  </si>
  <si>
    <t xml:space="preserve">Estado de la solicitud en el flujo de trámite. Al crearse queda en RADICADA.</t>
  </si>
  <si>
    <t xml:space="preserve">nombre + defecto RADICADA + índices por estado obligada y pagada</t>
  </si>
  <si>
    <t xml:space="preserve">¿Cuál es la lista completa de estados?</t>
  </si>
  <si>
    <t xml:space="preserve">C3442</t>
  </si>
  <si>
    <t xml:space="preserve">radicado_fuera_jornada</t>
  </si>
  <si>
    <t xml:space="preserve">Mapeada en travel-expenses-service/src/entities/solicitud-comision.entity.ts:228 (SolicitudComisionEntity.radicadoFueraJornada)</t>
  </si>
  <si>
    <t xml:space="preserve">Indica si el registro está radicado fuera jornada.</t>
  </si>
  <si>
    <t xml:space="preserve">C3443</t>
  </si>
  <si>
    <t xml:space="preserve">creado_por_usuario_id</t>
  </si>
  <si>
    <t xml:space="preserve">Mapeada en travel-expenses-service/src/entities/solicitud-comision.entity.ts:272 (SolicitudComisionEntity.creadoPorUsuarioId) | Validación: IsString</t>
  </si>
  <si>
    <t xml:space="preserve">Identificador del usuario que creó la solicitud.</t>
  </si>
  <si>
    <t xml:space="preserve">C3444</t>
  </si>
  <si>
    <t xml:space="preserve">monto_viaticos</t>
  </si>
  <si>
    <t xml:space="preserve">Mapeada en travel-expenses-service/src/entities/solicitud-comision.entity.ts:78 (SolicitudComisionEntity.montoViaticos) | Validación: IsNumber({ maxDecimalPlaces: 2 }), IsOptional, Min(0)</t>
  </si>
  <si>
    <t xml:space="preserve">Valor de los viáticos de la comisión, en pesos colombianos.</t>
  </si>
  <si>
    <t xml:space="preserve">nombre + defecto 0 + columnas de liquidación</t>
  </si>
  <si>
    <t xml:space="preserve">¿Corresponde a la suma de total_pernoctados y total_no_pernoctados?</t>
  </si>
  <si>
    <t xml:space="preserve">C3445</t>
  </si>
  <si>
    <t xml:space="preserve">monto_gastos_viaje</t>
  </si>
  <si>
    <t xml:space="preserve">Mapeada en travel-expenses-service/src/entities/solicitud-comision.entity.ts:87 (SolicitudComisionEntity.montoGastosViaje) | Validación: IsNumber({ maxDecimalPlaces: 2 }), IsOptional, Min(0)</t>
  </si>
  <si>
    <t xml:space="preserve">Valor de los gastos de viaje de la comisión, en pesos colombianos.</t>
  </si>
  <si>
    <t xml:space="preserve">nombre + defecto 0</t>
  </si>
  <si>
    <t xml:space="preserve">¿Qué conceptos incluye (transporte terrestre, tiquetes)?</t>
  </si>
  <si>
    <t xml:space="preserve">C3446</t>
  </si>
  <si>
    <t xml:space="preserve">Mapeada en travel-expenses-service/src/entities/solicitud-comision.entity.ts:231 (SolicitudComisionEntity.extemporanea)</t>
  </si>
  <si>
    <t xml:space="preserve">Indica si aplica: extemporanea.</t>
  </si>
  <si>
    <t xml:space="preserve">C3447</t>
  </si>
  <si>
    <t xml:space="preserve">tipo_comision</t>
  </si>
  <si>
    <t xml:space="preserve">Mapeada en travel-expenses-service/src/entities/solicitud-comision.entity.ts:243 (SolicitudComisionEntity.tipoComision) | Validación: IsIn(['TERRESTRE', 'AEREO', 'MIXTO', 'INTERNACIONAL', 'ACTO_ADMINISTRATIVO']), IsOptional, IsString</t>
  </si>
  <si>
    <t xml:space="preserve">Medio de transporte o tipo de comisión. Valor por defecto: TERRESTRE.</t>
  </si>
  <si>
    <t xml:space="preserve">nombre + defecto TERRESTRE</t>
  </si>
  <si>
    <t xml:space="preserve">¿Qué valores admite (TERRESTRE, AEREA…)?</t>
  </si>
  <si>
    <t xml:space="preserve">C3448</t>
  </si>
  <si>
    <t xml:space="preserve">es_internacional</t>
  </si>
  <si>
    <t xml:space="preserve">Mapeada en travel-expenses-service/src/entities/solicitud-comision.entity.ts:251 (SolicitudComisionEntity.esInternacional) | Validación: IsBoolean, IsOptional</t>
  </si>
  <si>
    <t xml:space="preserve">Indica si aplica: internacional.</t>
  </si>
  <si>
    <t xml:space="preserve">C3449</t>
  </si>
  <si>
    <t xml:space="preserve">id_dependencia</t>
  </si>
  <si>
    <t xml:space="preserve">idx_solicitudes_id_dependencia</t>
  </si>
  <si>
    <t xml:space="preserve">Mapeada en travel-expenses-service/src/entities/solicitud-comision.entity.ts:278 (SolicitudComisionEntity.idDependencia) | Validación: IsNumber, Min(0)</t>
  </si>
  <si>
    <t xml:space="preserve">Identificador de la dependencia que tramita la comisión.</t>
  </si>
  <si>
    <t xml:space="preserve">nombre + tipo bigint + índice</t>
  </si>
  <si>
    <t xml:space="preserve">¿Referencia a qué tabla de dependencias?</t>
  </si>
  <si>
    <t xml:space="preserve">C3450</t>
  </si>
  <si>
    <t xml:space="preserve">enviado_presupuesto</t>
  </si>
  <si>
    <t xml:space="preserve">idx_solicitudes_enviado_presupuesto</t>
  </si>
  <si>
    <t xml:space="preserve">travel-expenses-service/src/entities/solicitud-comision.entity.ts:377: ========== Etapa 7: Presupuesto y RP (RF-PRE-001) ==========</t>
  </si>
  <si>
    <t xml:space="preserve">Indica si la solicitud de comisión se envió a Presupuesto para la expedición del registro presupuestal (etapa 7, RF-PRE-001).</t>
  </si>
  <si>
    <t xml:space="preserve">código: travel-expenses-service/src/entities/solicitud-comision.entity.ts:377 (encabezado de sección)</t>
  </si>
  <si>
    <t xml:space="preserve">¿Se marca al enviar la solicitud a Presupuesto o cuando Presupuesto expide el registro presupuestal?</t>
  </si>
  <si>
    <t xml:space="preserve">C3451</t>
  </si>
  <si>
    <t xml:space="preserve">fecha_envio_presupuesto</t>
  </si>
  <si>
    <t xml:space="preserve">Mapeada en travel-expenses-service/src/entities/solicitud-comision.entity.ts:380 (SolicitudComisionEntity.fechaEnvioPresupuesto)</t>
  </si>
  <si>
    <t xml:space="preserve">Fecha de envio presupuesto.</t>
  </si>
  <si>
    <t xml:space="preserve">C3452</t>
  </si>
  <si>
    <t xml:space="preserve">observaciones_envio_presupuesto</t>
  </si>
  <si>
    <t xml:space="preserve">Mapeada en travel-expenses-service/src/entities/solicitud-comision.entity.ts:390 (SolicitudComisionEntity.observacionesEnvioPresupuesto)</t>
  </si>
  <si>
    <t xml:space="preserve">Observaciones registradas al enviar la solicitud al área de presupuesto.</t>
  </si>
  <si>
    <t xml:space="preserve">nombre + columnas enviado_presupuesto, fecha_envio_presupuesto</t>
  </si>
  <si>
    <t xml:space="preserve">C3453</t>
  </si>
  <si>
    <t xml:space="preserve">numero_rp</t>
  </si>
  <si>
    <t xml:space="preserve">idx_solicitudes_numero_rp</t>
  </si>
  <si>
    <t xml:space="preserve">Mapeada en travel-expenses-service/src/entities/solicitud-comision.entity.ts:393 (SolicitudComisionEntity.numeroRp) | Validación: IsNotEmpty({ message: 'El número de RP es obligatorio.' }), IsOptional, IsString, IsString({ message: 'El número de RP debe ser una cadena de texto.' }), MaxLength(100), MaxLength(50)</t>
  </si>
  <si>
    <t xml:space="preserve">Número del registro presupuestal (RP) de la comisión.</t>
  </si>
  <si>
    <t xml:space="preserve">nombre + columnas fecha_rp, valor_comprometido</t>
  </si>
  <si>
    <t xml:space="preserve">C3454</t>
  </si>
  <si>
    <t xml:space="preserve">fecha_rp</t>
  </si>
  <si>
    <t xml:space="preserve">Mapeada en travel-expenses-service/src/entities/solicitud-comision.entity.ts:396 (SolicitudComisionEntity.fechaRp) | Validación: IsDateString({}, { message: 'La fecha del RP debe cumplir con el formato fecha ISO YYYY-MM-DD.' }), IsNotEmpty({ message: 'La fecha del RP es obligatoria.' }), IsOptional, IsString</t>
  </si>
  <si>
    <t xml:space="preserve">Fecha de rp.</t>
  </si>
  <si>
    <t xml:space="preserve">C3455</t>
  </si>
  <si>
    <t xml:space="preserve">valor_comprometido</t>
  </si>
  <si>
    <t xml:space="preserve">Mapeada en travel-expenses-service/src/entities/solicitud-comision.entity.ts:399 (SolicitudComisionEntity.valorComprometido) | Validación: IsNotEmpty({ message: 'El valor comprometido es obligatorio.' }), IsNumber, IsNumber({}, { message: 'El valor comprometido debe ser un número.' }), IsOptional, IsPositive({ message: 'El valor comprometido debe ser positivo.' }), IsPositive({ message: 'El valor comprometido debe ser un número positivo mayor a 0.' })</t>
  </si>
  <si>
    <t xml:space="preserve">Valor comprometido en el registro presupuestal, en pesos colombianos.</t>
  </si>
  <si>
    <t xml:space="preserve">nombre + columnas numero_rp, rubro_rp</t>
  </si>
  <si>
    <t xml:space="preserve">¿Confirmar la unidad (pesos colombianos)?</t>
  </si>
  <si>
    <t xml:space="preserve">C3456</t>
  </si>
  <si>
    <t xml:space="preserve">rubro_rp</t>
  </si>
  <si>
    <t xml:space="preserve">Mapeada en travel-expenses-service/src/entities/solicitud-comision.entity.ts:408 (SolicitudComisionEntity.rubroRp)</t>
  </si>
  <si>
    <t xml:space="preserve">Rubro presupuestal del registro presupuestal.</t>
  </si>
  <si>
    <t xml:space="preserve">nombre + columna numero_rp</t>
  </si>
  <si>
    <t xml:space="preserve">C3457</t>
  </si>
  <si>
    <t xml:space="preserve">soporte_rp_path</t>
  </si>
  <si>
    <t xml:space="preserve">Mapeada en travel-expenses-service/src/entities/solicitud-comision.entity.ts:411 (SolicitudComisionEntity.soporteRpPath) | Validación: IsOptional, IsString</t>
  </si>
  <si>
    <t xml:space="preserve">Ruta del archivo de soporte del registro presupuestal.</t>
  </si>
  <si>
    <t xml:space="preserve">nombre + sufijo _path</t>
  </si>
  <si>
    <t xml:space="preserve">C3458</t>
  </si>
  <si>
    <t xml:space="preserve">fecha_expedicion_rp</t>
  </si>
  <si>
    <t xml:space="preserve">Mapeada en travel-expenses-service/src/entities/solicitud-comision.entity.ts:424 (SolicitudComisionEntity.fechaExpedicionRp)</t>
  </si>
  <si>
    <t xml:space="preserve">Fecha de expedición rp.</t>
  </si>
  <si>
    <t xml:space="preserve">C3459</t>
  </si>
  <si>
    <t xml:space="preserve">observaciones_rp</t>
  </si>
  <si>
    <t xml:space="preserve">Mapeada en travel-expenses-service/src/entities/solicitud-comision.entity.ts:427 (SolicitudComisionEntity.observacionesRp)</t>
  </si>
  <si>
    <t xml:space="preserve">Observaciones del registro presupuestal.</t>
  </si>
  <si>
    <t xml:space="preserve">C3460</t>
  </si>
  <si>
    <t xml:space="preserve">idx_solicitudes_modalidad_pago</t>
  </si>
  <si>
    <t xml:space="preserve">travel-expenses-service/src/entities/solicitud-comision.entity.ts:431: ========== Etapa 7: Modalidad de Pago (RF-PRE-003) ========== | travel-expenses-service/db/migrations/433_modalidad_pago_etapa7.sql:12: 'AVANCE' o 'RECONOCIMIENTO_POSTERIOR' | Validación: IsIn(['AVANCE', 'RECONOCIMIENTO_POSTERIOR'], {
    message: 'La modalidad de pago debe ser AVANCE o RECONOCIMIENTO_POSTERIOR.',
  }), IsOptional, IsString</t>
  </si>
  <si>
    <t xml:space="preserve">Modalidad de pago de la comisión: AVANCE o RECONOCIMIENTO_POSTERIOR (etapa 7, RF-PRE-003). Por defecto, AVANCE.</t>
  </si>
  <si>
    <t xml:space="preserve">código: travel-expenses-service/db/migrations/433_modalidad_pago_etapa7.sql:12; travel-expenses-service/src/entities/solicitud-comision.entity.ts:431; validaciones DTO</t>
  </si>
  <si>
    <t xml:space="preserve">C3461</t>
  </si>
  <si>
    <t xml:space="preserve">dias_habiles_previos</t>
  </si>
  <si>
    <t xml:space="preserve">idx_solicitudes_dias_habiles_previos</t>
  </si>
  <si>
    <t xml:space="preserve">Mapeada en travel-expenses-service/src/entities/solicitud-comision.entity.ts:434 (SolicitudComisionEntity.diasHabilesPrevios)</t>
  </si>
  <si>
    <t xml:space="preserve">Días hábiles entre la radicación y el inicio de la comisión.</t>
  </si>
  <si>
    <t xml:space="preserve">nombre + defecto 0 + columnas modalidad_pago, fecha_calculo_modalidad</t>
  </si>
  <si>
    <t xml:space="preserve">¿Se calcula automáticamente? ¿Se usa para definir la modalidad de pago?</t>
  </si>
  <si>
    <t xml:space="preserve">C3462</t>
  </si>
  <si>
    <t xml:space="preserve">fecha_calculo_modalidad</t>
  </si>
  <si>
    <t xml:space="preserve">Mapeada en travel-expenses-service/src/entities/solicitud-comision.entity.ts:437 (SolicitudComisionEntity.fechaCalculoModalidad)</t>
  </si>
  <si>
    <t xml:space="preserve">Fecha de calculo modalidad.</t>
  </si>
  <si>
    <t xml:space="preserve">C3463</t>
  </si>
  <si>
    <t xml:space="preserve">numero_obligacion</t>
  </si>
  <si>
    <t xml:space="preserve">idx_solicitudes_numero_obligacion</t>
  </si>
  <si>
    <t xml:space="preserve">travel-expenses-service/src/entities/solicitud-comision.entity.ts:441: ========== Etapa 8: Tesorería y Obligación SIIF (RF-PAG-001) ========== | Validación: IsNotEmpty({ message: 'El número de obligación en SIIF Nación es obligatorio.' }), IsString({ message: 'El número de obligación debe ser una cadena de texto.' }), MaxLength(100, { message: 'El número de obligación no puede superar los 100 caracteres.' })</t>
  </si>
  <si>
    <t xml:space="preserve">Número de la obligación presupuestal de la comisión en SIIF Nación (etapa 8, RF-PAG-001).</t>
  </si>
  <si>
    <t xml:space="preserve">código: travel-expenses-service/src/entities/solicitud-comision.entity.ts:441 (encabezado de sección); validaciones DTO</t>
  </si>
  <si>
    <t xml:space="preserve">C3464</t>
  </si>
  <si>
    <t xml:space="preserve">fecha_obligacion</t>
  </si>
  <si>
    <t xml:space="preserve">Mapeada en travel-expenses-service/src/entities/solicitud-comision.entity.ts:444 (SolicitudComisionEntity.fechaObligacion) | Validación: IsNotEmpty({ message: 'La fecha de la obligación es obligatoria.' })</t>
  </si>
  <si>
    <t xml:space="preserve">Fecha de obligación.</t>
  </si>
  <si>
    <t xml:space="preserve">C3465</t>
  </si>
  <si>
    <t xml:space="preserve">valor_obligacion</t>
  </si>
  <si>
    <t xml:space="preserve">Mapeada en travel-expenses-service/src/entities/solicitud-comision.entity.ts:447 (SolicitudComisionEntity.valorObligacion) | Validación: IsNumber({}, { message: 'El valor de la obligación debe ser numérico.' }), IsPositive({ message: 'El valor de la obligación debe ser un valor positivo mayor a 0.' })</t>
  </si>
  <si>
    <t xml:space="preserve">Valor de la obligación presupuestal, en pesos colombianos.</t>
  </si>
  <si>
    <t xml:space="preserve">nombre + columna numero_obligacion</t>
  </si>
  <si>
    <t xml:space="preserve">C3466</t>
  </si>
  <si>
    <t xml:space="preserve">observaciones_obligacion</t>
  </si>
  <si>
    <t xml:space="preserve">Mapeada en travel-expenses-service/src/entities/solicitud-comision.entity.ts:450 (SolicitudComisionEntity.observacionesObligacion) | Validación: IsOptional, IsString</t>
  </si>
  <si>
    <t xml:space="preserve">Observaciones de la obligación presupuestal.</t>
  </si>
  <si>
    <t xml:space="preserve">C3467</t>
  </si>
  <si>
    <t xml:space="preserve">soporte_obligacion_path</t>
  </si>
  <si>
    <t xml:space="preserve">Mapeada en travel-expenses-service/src/entities/solicitud-comision.entity.ts:453 (SolicitudComisionEntity.soporteObligacionPath) | Validación: IsOptional, IsString, MaxLength(255)</t>
  </si>
  <si>
    <t xml:space="preserve">Ruta del archivo de soporte de la obligación presupuestal.</t>
  </si>
  <si>
    <t xml:space="preserve">C3468</t>
  </si>
  <si>
    <t xml:space="preserve">fecha_registro_obligacion</t>
  </si>
  <si>
    <t xml:space="preserve">Mapeada en travel-expenses-service/src/entities/solicitud-comision.entity.ts:463 (SolicitudComisionEntity.fechaRegistroObligacion)</t>
  </si>
  <si>
    <t xml:space="preserve">Fecha de registro obligación.</t>
  </si>
  <si>
    <t xml:space="preserve">C3469</t>
  </si>
  <si>
    <t xml:space="preserve">notificado_sst</t>
  </si>
  <si>
    <t xml:space="preserve">travel-expenses-service/src/entities/solicitud-comision.entity.ts:493: ========== Etapa 8: Notificación Automática a SST (RF-PAG-002) ==========</t>
  </si>
  <si>
    <t xml:space="preserve">Indica si se envió la notificación automática a Seguridad y Salud en el Trabajo (SST) sobre la comisión (etapa 8, RF-PAG-002).</t>
  </si>
  <si>
    <t xml:space="preserve">código: travel-expenses-service/src/entities/solicitud-comision.entity.ts:493 (encabezado de sección)</t>
  </si>
  <si>
    <t xml:space="preserve">¿Qué información se notifica a SST y en qué momento se marca?</t>
  </si>
  <si>
    <t xml:space="preserve">C3470</t>
  </si>
  <si>
    <t xml:space="preserve">idx_solicitudes_fecha_pago</t>
  </si>
  <si>
    <t xml:space="preserve">travel-expenses-service/src/entities/solicitud-comision.entity.ts:467: ========== Etapa 8: Tesorería y Desembolso / Pago (RF-PAG-003) ========== | Validación: IsDateString({}, { message: 'La fecha de pago debe ser una fecha válida en formato YYYY-MM-DD.' }), IsNotEmpty({ message: 'La fecha de pago es obligatoria.' })</t>
  </si>
  <si>
    <t xml:space="preserve">Fecha de pago o desembolso de la comisión por Tesorería (etapa 8, RF-PAG-003).</t>
  </si>
  <si>
    <t xml:space="preserve">código: travel-expenses-service/src/entities/solicitud-comision.entity.ts:467 (encabezado de sección); validaciones DTO</t>
  </si>
  <si>
    <t xml:space="preserve">C3471</t>
  </si>
  <si>
    <t xml:space="preserve">Mapeada en travel-expenses-service/src/entities/solicitud-comision.entity.ts:470 (SolicitudComisionEntity.valorPagado) | Validación: IsNumber({}, { message: 'El valor pagado debe ser numérico.' }), IsPositive({ message: 'El valor pagado debe ser un monto positivo mayor a cero.' })</t>
  </si>
  <si>
    <t xml:space="preserve">Valor pagado al comisionado, en pesos colombianos.</t>
  </si>
  <si>
    <t xml:space="preserve">nombre + columnas fecha_pago, numero_orden_pago</t>
  </si>
  <si>
    <t xml:space="preserve">C3472</t>
  </si>
  <si>
    <t xml:space="preserve">soporte_pago_path</t>
  </si>
  <si>
    <t xml:space="preserve">Mapeada en travel-expenses-service/src/entities/solicitud-comision.entity.ts:473 (SolicitudComisionEntity.soportePagoPath) | Validación: IsOptional, IsString({ message: 'La ruta del soporte de pago debe ser una cadena de texto.' }), MaxLength(255, { message: 'La ruta del soporte no puede superar los 255 caracteres.' })</t>
  </si>
  <si>
    <t xml:space="preserve">Ruta del archivo de soporte del pago.</t>
  </si>
  <si>
    <t xml:space="preserve">C3473</t>
  </si>
  <si>
    <t xml:space="preserve">numero_orden_pago</t>
  </si>
  <si>
    <t xml:space="preserve">idx_solicitudes_numero_orden_pago</t>
  </si>
  <si>
    <t xml:space="preserve">Mapeada en travel-expenses-service/src/entities/solicitud-comision.entity.ts:476 (SolicitudComisionEntity.numeroOrdenPago) | Validación: IsOptional, IsString({ message: 'El número de orden de pago debe ser una cadena de texto.' }), MaxLength(100, { message: 'El número de orden de pago no puede superar los 100 caracteres.' })</t>
  </si>
  <si>
    <t xml:space="preserve">Número de la orden de pago de la comisión.</t>
  </si>
  <si>
    <t xml:space="preserve">nombre + columnas fecha_pago, valor_pagado</t>
  </si>
  <si>
    <t xml:space="preserve">C3474</t>
  </si>
  <si>
    <t xml:space="preserve">observaciones_pago</t>
  </si>
  <si>
    <t xml:space="preserve">Mapeada en travel-expenses-service/src/entities/solicitud-comision.entity.ts:479 (SolicitudComisionEntity.observacionesPago) | Validación: IsOptional, IsString({ message: 'Las observaciones de pago deben ser texto.' })</t>
  </si>
  <si>
    <t xml:space="preserve">Observaciones del pago.</t>
  </si>
  <si>
    <t xml:space="preserve">nombre + columnas de pago</t>
  </si>
  <si>
    <t xml:space="preserve">C3475</t>
  </si>
  <si>
    <t xml:space="preserve">fecha_registro_pago</t>
  </si>
  <si>
    <t xml:space="preserve">Mapeada en travel-expenses-service/src/entities/solicitud-comision.entity.ts:489 (SolicitudComisionEntity.fechaRegistroPago)</t>
  </si>
  <si>
    <t xml:space="preserve">Fecha de registro pago.</t>
  </si>
  <si>
    <t xml:space="preserve">C3476</t>
  </si>
  <si>
    <t xml:space="preserve">dias_pernoctados</t>
  </si>
  <si>
    <t xml:space="preserve">travel-expenses-service/src/entities/solicitud-comision.entity.ts:106: ========== Autoliquidación GF-FO-023 (Decreto 314 de 2026) ========== | Validación: IsNumber({ maxDecimalPlaces: 2 }), IsOptional, Min(0)</t>
  </si>
  <si>
    <t xml:space="preserve">Días de la comisión con pernocta, usados en la autoliquidación del formato GF-FO-023 (Decreto 314 de 2026). Admite decimales.</t>
  </si>
  <si>
    <t xml:space="preserve">código: travel-expenses-service/src/entities/solicitud-comision.entity.ts:106 (encabezado de sección)</t>
  </si>
  <si>
    <t xml:space="preserve">¿Por qué admite decimales: se registran medios días?</t>
  </si>
  <si>
    <t xml:space="preserve">C3477</t>
  </si>
  <si>
    <t xml:space="preserve">tarifa_dia_pernoctado</t>
  </si>
  <si>
    <t xml:space="preserve">Mapeada en travel-expenses-service/src/entities/solicitud-comision.entity.ts:116 (SolicitudComisionEntity.tarifaDiaPernoctado) | Validación: IsNumber({ maxDecimalPlaces: 2 }), IsOptional, Min(0)</t>
  </si>
  <si>
    <t xml:space="preserve">Tarifa diaria aplicada a los días con pernocta, en pesos colombianos.</t>
  </si>
  <si>
    <t xml:space="preserve">nombre + columnas dias_pernoctados, total_pernoctados</t>
  </si>
  <si>
    <t xml:space="preserve">C3478</t>
  </si>
  <si>
    <t xml:space="preserve">total_pernoctados</t>
  </si>
  <si>
    <t xml:space="preserve">Mapeada en travel-expenses-service/src/entities/solicitud-comision.entity.ts:126 (SolicitudComisionEntity.totalPernoctados) | Validación: IsNumber({ maxDecimalPlaces: 2 }), IsOptional, Min(0)</t>
  </si>
  <si>
    <t xml:space="preserve">Valor total de los días con pernocta, en pesos colombianos.</t>
  </si>
  <si>
    <t xml:space="preserve">nombre + columnas dias_pernoctados, tarifa_dia_pernoctado</t>
  </si>
  <si>
    <t xml:space="preserve">¿Se calcula como días por tarifa?</t>
  </si>
  <si>
    <t xml:space="preserve">C3479</t>
  </si>
  <si>
    <t xml:space="preserve">dias_no_pernoctados</t>
  </si>
  <si>
    <t xml:space="preserve">Mapeada en travel-expenses-service/src/entities/solicitud-comision.entity.ts:136 (SolicitudComisionEntity.diasNoPernoctados) | Validación: IsNumber({ maxDecimalPlaces: 2 }), IsOptional, Min(0)</t>
  </si>
  <si>
    <t xml:space="preserve">Días de la comisión sin pernocta.</t>
  </si>
  <si>
    <t xml:space="preserve">nombre + columnas tarifa_dia_no_pernoctado, total_no_pernoctados</t>
  </si>
  <si>
    <t xml:space="preserve">C3480</t>
  </si>
  <si>
    <t xml:space="preserve">tarifa_dia_no_pernoctado</t>
  </si>
  <si>
    <t xml:space="preserve">Mapeada en travel-expenses-service/src/entities/solicitud-comision.entity.ts:146 (SolicitudComisionEntity.tarifaDiaNoPernoctado) | Validación: IsNumber({ maxDecimalPlaces: 2 }), IsOptional, Min(0)</t>
  </si>
  <si>
    <t xml:space="preserve">Tarifa diaria aplicada a los días sin pernocta, en pesos colombianos.</t>
  </si>
  <si>
    <t xml:space="preserve">nombre + columnas dias_no_pernoctados, total_no_pernoctados</t>
  </si>
  <si>
    <t xml:space="preserve">¿Confirmar la unidad y si corresponde a un porcentaje de la tarifa completa?</t>
  </si>
  <si>
    <t xml:space="preserve">C3481</t>
  </si>
  <si>
    <t xml:space="preserve">total_no_pernoctados</t>
  </si>
  <si>
    <t xml:space="preserve">Mapeada en travel-expenses-service/src/entities/solicitud-comision.entity.ts:156 (SolicitudComisionEntity.totalNoPernoctados) | Validación: IsNumber({ maxDecimalPlaces: 2 }), IsOptional, Min(0)</t>
  </si>
  <si>
    <t xml:space="preserve">Valor total de los días sin pernocta, en pesos colombianos.</t>
  </si>
  <si>
    <t xml:space="preserve">nombre + columnas dias_no_pernoctados, tarifa_dia_no_pernoctado</t>
  </si>
  <si>
    <t xml:space="preserve">C3482</t>
  </si>
  <si>
    <t xml:space="preserve">factor_comisionado</t>
  </si>
  <si>
    <t xml:space="preserve">numeric(4,2)</t>
  </si>
  <si>
    <t xml:space="preserve">Mapeada en travel-expenses-service/src/entities/solicitud-comision.entity.ts:166 (SolicitudComisionEntity.factorComisionado) | Validación: IsNumber({ maxDecimalPlaces: 2 }), IsOptional, Min(0)</t>
  </si>
  <si>
    <t xml:space="preserve">Factor multiplicador de la tarifa según el tipo de comisionado.</t>
  </si>
  <si>
    <t xml:space="preserve">nombre + tipo numeric(4,2) + defecto 1.00</t>
  </si>
  <si>
    <t xml:space="preserve">¿De dónde se toma el factor y qué valores toma?</t>
  </si>
  <si>
    <t xml:space="preserve">C3483</t>
  </si>
  <si>
    <t xml:space="preserve">factor_pernocta</t>
  </si>
  <si>
    <t xml:space="preserve">Mapeada en travel-expenses-service/src/entities/solicitud-comision.entity.ts:176 (SolicitudComisionEntity.factorPernocta) | Validación: IsNumber({ maxDecimalPlaces: 2 }), IsOptional, Min(0)</t>
  </si>
  <si>
    <t xml:space="preserve">Factor multiplicador de la tarifa según haya o no pernocta.</t>
  </si>
  <si>
    <t xml:space="preserve">C3484</t>
  </si>
  <si>
    <t xml:space="preserve">tarifa_diaria_base</t>
  </si>
  <si>
    <t xml:space="preserve">Mapeada en travel-expenses-service/src/entities/solicitud-comision.entity.ts:186 (SolicitudComisionEntity.tarifaDiariaBase) | Validación: IsNumber({ maxDecimalPlaces: 2 }), IsOptional, Min(0)</t>
  </si>
  <si>
    <t xml:space="preserve">Tarifa diaria de viáticos tomada de la escala antes de aplicar factores, en pesos colombianos.</t>
  </si>
  <si>
    <t xml:space="preserve">nombre + columnas factor_*, tarifa_final_aplicada_dia, escalas_viaticos</t>
  </si>
  <si>
    <t xml:space="preserve">¿Se toma de escalas_viaticos, tarifas_investigadores o tarifas_regionales_excepcion?</t>
  </si>
  <si>
    <t xml:space="preserve">C3485</t>
  </si>
  <si>
    <t xml:space="preserve">tarifa_final_aplicada_dia</t>
  </si>
  <si>
    <t xml:space="preserve">Mapeada en travel-expenses-service/src/entities/solicitud-comision.entity.ts:196 (SolicitudComisionEntity.tarifaFinalAplicadaDia) | Validación: IsNumber({ maxDecimalPlaces: 2 }), IsOptional, Min(0)</t>
  </si>
  <si>
    <t xml:space="preserve">Tarifa diaria final aplicada después de los factores, en pesos colombianos.</t>
  </si>
  <si>
    <t xml:space="preserve">nombre + columnas tarifa_diaria_base, factor_*</t>
  </si>
  <si>
    <t xml:space="preserve">¿Se calcula como tarifa base por los factores?</t>
  </si>
  <si>
    <t xml:space="preserve">C3486</t>
  </si>
  <si>
    <t xml:space="preserve">salario_base_aplicado</t>
  </si>
  <si>
    <t xml:space="preserve">Mapeada en travel-expenses-service/src/entities/solicitud-comision.entity.ts:206 (SolicitudComisionEntity.salarioBaseAplicado) | Validación: IsNumber({ maxDecimalPlaces: 2 }), IsOptional, Min(0)</t>
  </si>
  <si>
    <t xml:space="preserve">Salario base usado para ubicar la escala de viáticos, en pesos colombianos.</t>
  </si>
  <si>
    <t xml:space="preserve">nombre + columnas salario_basico, decreto_aplicado</t>
  </si>
  <si>
    <t xml:space="preserve">¿En qué se diferencia de salario_basico?</t>
  </si>
  <si>
    <t xml:space="preserve">C3487</t>
  </si>
  <si>
    <t xml:space="preserve">decreto_aplicado</t>
  </si>
  <si>
    <t xml:space="preserve">Mapeada en travel-expenses-service/src/entities/solicitud-comision.entity.ts:216 (SolicitudComisionEntity.decretoAplicado) | Validación: IsOptional, IsString, Length(0, 100)</t>
  </si>
  <si>
    <t xml:space="preserve">Decreto de escala de viáticos aplicado en la liquidación. Valor por defecto: Decreto 314 de 2026.</t>
  </si>
  <si>
    <t xml:space="preserve">nombre + defecto 'Decreto 314 de 2026' + escalas_viaticos.decreto_vigente</t>
  </si>
  <si>
    <t xml:space="preserve">C3488</t>
  </si>
  <si>
    <t xml:space="preserve">numero_cdp</t>
  </si>
  <si>
    <t xml:space="preserve">Mapeada en travel-expenses-service/src/entities/solicitud-comision.entity.ts:69 (SolicitudComisionEntity.numeroCdp) | Validación: IsOptional, IsString, Length(0, 100)</t>
  </si>
  <si>
    <t xml:space="preserve">Número del certificado de disponibilidad presupuestal (CDP).</t>
  </si>
  <si>
    <t xml:space="preserve">nombre + columna fecha_cdp</t>
  </si>
  <si>
    <t xml:space="preserve">C3489</t>
  </si>
  <si>
    <t xml:space="preserve">fecha_cdp</t>
  </si>
  <si>
    <t xml:space="preserve">Mapeada en travel-expenses-service/src/entities/solicitud-comision.entity.ts:72 (SolicitudComisionEntity.fechaCdp) | Validación: IsOptional, IsString, Length(0, 50)</t>
  </si>
  <si>
    <t xml:space="preserve">Fecha del certificado de disponibilidad presupuestal (CDP), guardada como texto.</t>
  </si>
  <si>
    <t xml:space="preserve">¿Qué formato de fecha se guarda? ¿Por qué no es tipo date?</t>
  </si>
  <si>
    <t xml:space="preserve">C3490</t>
  </si>
  <si>
    <t xml:space="preserve">solicitudes_historial_estados</t>
  </si>
  <si>
    <t xml:space="preserve">travel-expenses-service/src/entities/solicitud-historial-estado.entity.ts:47: Estado previo a la transición (NULL cuando es la primera acción sobre el expediente). Ej: `RADICADA`. | travel-expenses-service/db/migrations/016_historial_estados_trazabilidad.sql:31: Estado previo a la transición (NULL cuando es la primera acción).</t>
  </si>
  <si>
    <t xml:space="preserve">Estado del expediente de comisión antes de la transición (por ejemplo, RADICADA). Nulo cuando es la primera acción sobre el expediente.</t>
  </si>
  <si>
    <t xml:space="preserve">código: travel-expenses-service/src/entities/solicitud-historial-estado.entity.ts:47; travel-expenses-service/db/migrations/016_historial_estados_trazabilidad.sql:31</t>
  </si>
  <si>
    <t xml:space="preserve">C3491</t>
  </si>
  <si>
    <t xml:space="preserve">travel-expenses-service/src/entities/solicitud-historial-estado.entity.ts:63: ID del usuario que ejecutó la acción (Enlace de Dependencia / Analista). | travel-expenses-service/db/migrations/016_historial_estados_trazabilidad.sql:35: ID del usuario que ejecuta la acción (Enlace de Dependencia / Analista).</t>
  </si>
  <si>
    <t xml:space="preserve">Identificador del usuario que ejecutó la transición de estado (Enlace de Dependencia o Analista).</t>
  </si>
  <si>
    <t xml:space="preserve">código: travel-expenses-service/src/entities/solicitud-historial-estado.entity.ts:63; travel-expenses-service/db/migrations/016_historial_estados_trazabilidad.sql:35</t>
  </si>
  <si>
    <t xml:space="preserve">¿Referencia a auth."user".id_user?</t>
  </si>
  <si>
    <t xml:space="preserve">C3492</t>
  </si>
  <si>
    <t xml:space="preserve">travel-expenses-service/src/entities/solicitud-historial-estado.entity.ts:67: Justificación u observación de la transición. | travel-expenses-service/db/migrations/016_historial_estados_trazabilidad.sql:37: Justificación u observación de la transición (opcional, máx. 255). | Validación: IsOptional, IsString, Length(1, 1000)</t>
  </si>
  <si>
    <t xml:space="preserve">Justificación u observación de la transición de estado. Opcional, de hasta 255 caracteres.</t>
  </si>
  <si>
    <t xml:space="preserve">código: travel-expenses-service/src/entities/solicitud-historial-estado.entity.ts:67; travel-expenses-service/db/migrations/016_historial_estados_trazabilidad.sql:37</t>
  </si>
  <si>
    <t xml:space="preserve">C3493</t>
  </si>
  <si>
    <t xml:space="preserve">tarifas_investigadores</t>
  </si>
  <si>
    <t xml:space="preserve">categoria_investigador</t>
  </si>
  <si>
    <t xml:space="preserve">idx_tarifas_investigadores_categoria, tarifas_investigadores_categoria_investigador_key</t>
  </si>
  <si>
    <t xml:space="preserve">Mapeada en travel-expenses-service/src/entities/liquidation/tarifa-investigador.entity.ts:22 (TarifaInvestigadorEntity.categoriaInvestigador) | Validación: IsEnum(CategoriaInvestigador), IsOptional, IsString, Length(1, 50)</t>
  </si>
  <si>
    <t xml:space="preserve">Categoría del investigador a la que aplica la tarifa. Es única.</t>
  </si>
  <si>
    <t xml:space="preserve">¿Qué categorías se usan (por ejemplo, las de Minciencias)?</t>
  </si>
  <si>
    <t xml:space="preserve">C3494</t>
  </si>
  <si>
    <t xml:space="preserve">Mapeada en travel-expenses-service/src/entities/liquidation/tarifa-investigador.entity.ts:30 (TarifaInvestigadorEntity.tarifaDiaria) | Validación: IsNumber, IsOptional, Min(0)</t>
  </si>
  <si>
    <t xml:space="preserve">Valor diario de viáticos para la categoría de investigador, en pesos colombianos.</t>
  </si>
  <si>
    <t xml:space="preserve">nombre + tipo numeric</t>
  </si>
  <si>
    <t xml:space="preserve">C3495</t>
  </si>
  <si>
    <t xml:space="preserve">idx_tarifas_investigadores_activo</t>
  </si>
  <si>
    <t xml:space="preserve">Mapeada en travel-expenses-service/src/entities/liquidation/tarifa-investigador.entity.ts:33 (TarifaInvestigadorEntity.activo) | Validación: IsBoolean, IsOptional</t>
  </si>
  <si>
    <t xml:space="preserve">C3496</t>
  </si>
  <si>
    <t xml:space="preserve">tarifas_referencia_tiquetes</t>
  </si>
  <si>
    <t xml:space="preserve">idx_tarifas_ref_ciudades</t>
  </si>
  <si>
    <t xml:space="preserve">Mapeada en travel-expenses-service/src/entities/tickets/tarifa-referencia-tiquete.entity.ts:30 (TarifaReferenciaTiqueteEntity.origenCiudad) | Validación: IsOptional, IsString, Length(1, 100)</t>
  </si>
  <si>
    <t xml:space="preserve">Ciudad de origen de la ruta.</t>
  </si>
  <si>
    <t xml:space="preserve">nombre + índice con destino_ciudad</t>
  </si>
  <si>
    <t xml:space="preserve">C3497</t>
  </si>
  <si>
    <t xml:space="preserve">Mapeada en travel-expenses-service/src/entities/tickets/tarifa-referencia-tiquete.entity.ts:33 (TarifaReferenciaTiqueteEntity.destinoCiudad) | Validación: IsOptional, IsString, Length(0, 100), Length(1, 100)</t>
  </si>
  <si>
    <t xml:space="preserve">Ciudad de destino de la ruta.</t>
  </si>
  <si>
    <t xml:space="preserve">nombre + índice con origen_ciudad</t>
  </si>
  <si>
    <t xml:space="preserve">C3498</t>
  </si>
  <si>
    <t xml:space="preserve">origen_iata</t>
  </si>
  <si>
    <t xml:space="preserve">idx_tarifas_ref_iatas, uq_tarifas_referencia_ruta</t>
  </si>
  <si>
    <t xml:space="preserve">Mapeada en travel-expenses-service/src/entities/tickets/tarifa-referencia-tiquete.entity.ts:36 (TarifaReferenciaTiqueteEntity.origenIata) | Validación: IsOptional, IsString, Length(2, 10)</t>
  </si>
  <si>
    <t xml:space="preserve">Código IATA del aeropuerto de origen.</t>
  </si>
  <si>
    <t xml:space="preserve">nombre + índice único de ruta</t>
  </si>
  <si>
    <t xml:space="preserve">C3499</t>
  </si>
  <si>
    <t xml:space="preserve">destino_iata</t>
  </si>
  <si>
    <t xml:space="preserve">Mapeada en travel-expenses-service/src/entities/tickets/tarifa-referencia-tiquete.entity.ts:39 (TarifaReferenciaTiqueteEntity.destinoIata) | Validación: IsOptional, IsString, Length(2, 10)</t>
  </si>
  <si>
    <t xml:space="preserve">Código IATA del aeropuerto de destino.</t>
  </si>
  <si>
    <t xml:space="preserve">C3500</t>
  </si>
  <si>
    <t xml:space="preserve">tarifa_estimada</t>
  </si>
  <si>
    <t xml:space="preserve">Mapeada en travel-expenses-service/src/entities/tickets/tarifa-referencia-tiquete.entity.ts:42 (TarifaReferenciaTiqueteEntity.tarifaEstimada) | Validación: IsNumber({ maxDecimalPlaces: 2 }), IsOptional, Min(0)</t>
  </si>
  <si>
    <t xml:space="preserve">Tarifa estimada del tiquete para la ruta, en pesos colombianos.</t>
  </si>
  <si>
    <t xml:space="preserve">nombre + columnas tarifa_minima, tarifa_maxima</t>
  </si>
  <si>
    <t xml:space="preserve">¿Es tarifa de ida o de ida y regreso?</t>
  </si>
  <si>
    <t xml:space="preserve">C3501</t>
  </si>
  <si>
    <t xml:space="preserve">tarifa_minima</t>
  </si>
  <si>
    <t xml:space="preserve">Mapeada en travel-expenses-service/src/entities/tickets/tarifa-referencia-tiquete.entity.ts:51 (TarifaReferenciaTiqueteEntity.tarifaMinima) | Validación: IsNumber({ maxDecimalPlaces: 2 }), IsOptional, Min(0)</t>
  </si>
  <si>
    <t xml:space="preserve">Tarifa mínima de referencia del tiquete para la ruta, en pesos colombianos.</t>
  </si>
  <si>
    <t xml:space="preserve">nombre + columna tarifa_estimada</t>
  </si>
  <si>
    <t xml:space="preserve">C3502</t>
  </si>
  <si>
    <t xml:space="preserve">tarifa_maxima</t>
  </si>
  <si>
    <t xml:space="preserve">Mapeada en travel-expenses-service/src/entities/tickets/tarifa-referencia-tiquete.entity.ts:60 (TarifaReferenciaTiqueteEntity.tarifaMaxima) | Validación: IsNumber({ maxDecimalPlaces: 2 }), IsOptional, Min(0)</t>
  </si>
  <si>
    <t xml:space="preserve">Tarifa máxima de referencia del tiquete para la ruta, en pesos colombianos.</t>
  </si>
  <si>
    <t xml:space="preserve">C3503</t>
  </si>
  <si>
    <t xml:space="preserve">fuente</t>
  </si>
  <si>
    <t xml:space="preserve">Mapeada en travel-expenses-service/src/entities/tickets/tarifa-referencia-tiquete.entity.ts:69 (TarifaReferenciaTiqueteEntity.fuente) | Validación: IsOptional, IsString, MaxLength(50)</t>
  </si>
  <si>
    <t xml:space="preserve">Fuente de la tarifa de referencia. Valor por defecto: PARAMETRICO_ESAP.</t>
  </si>
  <si>
    <t xml:space="preserve">nombre + defecto PARAMETRICO_ESAP</t>
  </si>
  <si>
    <t xml:space="preserve">¿Qué otras fuentes existen?</t>
  </si>
  <si>
    <t xml:space="preserve">C3504</t>
  </si>
  <si>
    <t xml:space="preserve">Mapeada en travel-expenses-service/src/entities/tickets/tarifa-referencia-tiquete.entity.ts:77 (TarifaReferenciaTiqueteEntity.notas) | Validación: IsOptional, IsString, MaxLength(255)</t>
  </si>
  <si>
    <t xml:space="preserve">Notas sobre la tarifa de referencia.</t>
  </si>
  <si>
    <t xml:space="preserve">C3505</t>
  </si>
  <si>
    <t xml:space="preserve">Mapeada en travel-expenses-service/src/entities/tickets/tarifa-referencia-tiquete.entity.ts:85 (TarifaReferenciaTiqueteEntity.ultimaActualizacion)</t>
  </si>
  <si>
    <t xml:space="preserve">Fecha y hora de la última actualización de la tarifa.</t>
  </si>
  <si>
    <t xml:space="preserve">nombre + defecto now() + columna actualizado_en</t>
  </si>
  <si>
    <t xml:space="preserve">C3506</t>
  </si>
  <si>
    <t xml:space="preserve">idx_tarifas_ref_activo</t>
  </si>
  <si>
    <t xml:space="preserve">Mapeada en travel-expenses-service/src/entities/tickets/tarifa-referencia-tiquete.entity.ts:92 (TarifaReferenciaTiqueteEntity.activo) | Validación: IsBoolean, IsOptional</t>
  </si>
  <si>
    <t xml:space="preserve">C3507</t>
  </si>
  <si>
    <t xml:space="preserve">tarifas_regionales_excepcion</t>
  </si>
  <si>
    <t xml:space="preserve">idx_tarifas_regionales_excepcion_depto, tarifas_regionales_excepcion_departamento_key</t>
  </si>
  <si>
    <t xml:space="preserve">Mapeada en travel-expenses-service/src/entities/liquidation/tarifa-regional-excepcion.entity.ts:22 (TarifaRegionalExcepcionEntity.departamento) | Validación: IsOptional, IsString, Length(1, 100), MaxLength(100)</t>
  </si>
  <si>
    <t xml:space="preserve">Departamento al que aplica la tarifa de excepción. Es único.</t>
  </si>
  <si>
    <t xml:space="preserve">C3508</t>
  </si>
  <si>
    <t xml:space="preserve">es_nuevo_departamento</t>
  </si>
  <si>
    <t xml:space="preserve">Mapeada en travel-expenses-service/src/entities/liquidation/tarifa-regional-excepcion.entity.ts:25 (TarifaRegionalExcepcionEntity.esNuevoDepartamento) | Validación: IsBoolean, IsOptional</t>
  </si>
  <si>
    <t xml:space="preserve">Indica si aplica: nuevo departamento.</t>
  </si>
  <si>
    <t xml:space="preserve">C3509</t>
  </si>
  <si>
    <t xml:space="preserve">Mapeada en travel-expenses-service/src/entities/liquidation/tarifa-regional-excepcion.entity.ts:28 (TarifaRegionalExcepcionEntity.tarifaDiaria) | Validación: IsNumber, IsOptional, Min(0)</t>
  </si>
  <si>
    <t xml:space="preserve">Valor diario de viáticos de excepción para el departamento, en pesos colombianos.</t>
  </si>
  <si>
    <t xml:space="preserve">¿Reemplaza o se suma a la tarifa de la escala?</t>
  </si>
  <si>
    <t xml:space="preserve">C3510</t>
  </si>
  <si>
    <t xml:space="preserve">decreto_referencia</t>
  </si>
  <si>
    <t xml:space="preserve">Mapeada en travel-expenses-service/src/entities/liquidation/tarifa-regional-excepcion.entity.ts:31 (TarifaRegionalExcepcionEntity.decretoReferencia) | Validación: IsOptional, IsString, Length(0, 100)</t>
  </si>
  <si>
    <t xml:space="preserve">Decreto que establece la tarifa de excepción.</t>
  </si>
  <si>
    <t xml:space="preserve">C3511</t>
  </si>
  <si>
    <t xml:space="preserve">Mapeada en travel-expenses-service/src/entities/liquidation/tarifa-regional-excepcion.entity.ts:39 (TarifaRegionalExcepcionEntity.activo) | Validación: IsBoolean, IsOptional</t>
  </si>
  <si>
    <t xml:space="preserve">C3512</t>
  </si>
  <si>
    <t xml:space="preserve">tarifas_transporte_terminal</t>
  </si>
  <si>
    <t xml:space="preserve">idx_tarifas_transporte_terminal_departamento</t>
  </si>
  <si>
    <t xml:space="preserve">Mapeada en travel-expenses-service/src/entities/liquidation/tarifa-transporte-terminal.entity.ts:22 (TarifaTransporteTerminalEntity.departamento) | Validación: IsOptional, IsString, Length(1, 100), MaxLength(100)</t>
  </si>
  <si>
    <t xml:space="preserve">Nombre del departamento al que aplica la tarifa de transporte.</t>
  </si>
  <si>
    <t xml:space="preserve">nombre + índice + columna departamento_id</t>
  </si>
  <si>
    <t xml:space="preserve">C3513</t>
  </si>
  <si>
    <t xml:space="preserve">departamento_id</t>
  </si>
  <si>
    <t xml:space="preserve">idx_tarifas_transporte_terminal_depto_id</t>
  </si>
  <si>
    <t xml:space="preserve">Mapeada en travel-expenses-service/src/entities/liquidation/tarifa-transporte-terminal.entity.ts:25 (TarifaTransporteTerminalEntity.departamentoId) | Validación: IsNumber, IsOptional</t>
  </si>
  <si>
    <t xml:space="preserve">Identificador del departamento.</t>
  </si>
  <si>
    <t xml:space="preserve">¿Referencia a qué tabla o codificación (DANE)?</t>
  </si>
  <si>
    <t xml:space="preserve">C3514</t>
  </si>
  <si>
    <t xml:space="preserve">Mapeada en travel-expenses-service/src/entities/liquidation/tarifa-transporte-terminal.entity.ts:28 (TarifaTransporteTerminalEntity.ciudad) | Validación: IsOptional, IsString, MaxLength(100)</t>
  </si>
  <si>
    <t xml:space="preserve">Ciudad a la que aplica la tarifa de transporte.</t>
  </si>
  <si>
    <t xml:space="preserve">C3515</t>
  </si>
  <si>
    <t xml:space="preserve">ciudad_aeropuerto</t>
  </si>
  <si>
    <t xml:space="preserve">Mapeada en travel-expenses-service/src/entities/liquidation/tarifa-transporte-terminal.entity.ts:31 (TarifaTransporteTerminalEntity.ciudadAeropuerto) | Validación: IsOptional, IsString, MaxLength(150)</t>
  </si>
  <si>
    <t xml:space="preserve">Ciudad o aeropuerto de llegada o salida del trayecto a la terminal.</t>
  </si>
  <si>
    <t xml:space="preserve">¿Guarda el nombre del aeropuerto o de la ciudad donde está?</t>
  </si>
  <si>
    <t xml:space="preserve">C3516</t>
  </si>
  <si>
    <t xml:space="preserve">valor_maximo</t>
  </si>
  <si>
    <t xml:space="preserve">Mapeada en travel-expenses-service/src/entities/liquidation/tarifa-transporte-terminal.entity.ts:34 (TarifaTransporteTerminalEntity.valorMaximo) | Validación: IsNumber({ maxDecimalPlaces: 2 }), IsOptional, Min(0)</t>
  </si>
  <si>
    <t xml:space="preserve">Valor máximo reconocido por transporte a la terminal o aeropuerto, en pesos colombianos.</t>
  </si>
  <si>
    <t xml:space="preserve">nombre + tabla tarifas_transporte_terminal</t>
  </si>
  <si>
    <t xml:space="preserve">¿Es por trayecto o ida y regreso?</t>
  </si>
  <si>
    <t xml:space="preserve">C3517</t>
  </si>
  <si>
    <t xml:space="preserve">Mapeada en travel-expenses-service/src/entities/liquidation/tarifa-transporte-terminal.entity.ts:42 (TarifaTransporteTerminalEntity.activo) | Validación: IsBoolean, IsOptional</t>
  </si>
  <si>
    <t xml:space="preserve">C3518</t>
  </si>
  <si>
    <t xml:space="preserve">tipos_documento_soporte</t>
  </si>
  <si>
    <t xml:space="preserve">idx_tipos_documento_soporte_codigo, tipos_documento_soporte_codigo_key</t>
  </si>
  <si>
    <t xml:space="preserve">Mapeada en travel-expenses-service/src/entities/config/tipo-documento-soporte.entity.ts:16 (TipoDocumentoSoporteEntity.codigo) | Validación: IsNotEmpty, IsString</t>
  </si>
  <si>
    <t xml:space="preserve">Código del registro de tipos_documento_soporte. Único en la tabla.</t>
  </si>
  <si>
    <t xml:space="preserve">C3519</t>
  </si>
  <si>
    <t xml:space="preserve">Mapeada en travel-expenses-service/src/entities/config/tipo-documento-soporte.entity.ts:19 (TipoDocumentoSoporteEntity.nombre) | Validación: IsNotEmpty, IsOptional, IsString, Length(2, 100)</t>
  </si>
  <si>
    <t xml:space="preserve">Nombre del registro de tipos_documento_soporte.</t>
  </si>
  <si>
    <t xml:space="preserve">C3520</t>
  </si>
  <si>
    <t xml:space="preserve">Mapeada en travel-expenses-service/src/entities/config/tipo-documento-soporte.entity.ts:22 (TipoDocumentoSoporteEntity.descripcion) | Validación: IsOptional, IsString, Length(0, 255)</t>
  </si>
  <si>
    <t xml:space="preserve">Descripción del registro de tipos_documento_soporte.</t>
  </si>
  <si>
    <t xml:space="preserve">C3521</t>
  </si>
  <si>
    <t xml:space="preserve">Mapeada en travel-expenses-service/src/entities/config/tipo-documento-soporte.entity.ts:31 (TipoDocumentoSoporteEntity.activo) | Validación: IsBoolean, IsOptional</t>
  </si>
  <si>
    <t xml:space="preserve">C3522</t>
  </si>
  <si>
    <t xml:space="preserve">instrucciones_validacion</t>
  </si>
  <si>
    <t xml:space="preserve">Mapeada en travel-expenses-service/src/entities/config/tipo-documento-soporte.entity.ts:25 (TipoDocumentoSoporteEntity.instruccionesValidacion) | Validación: IsOptional, IsString</t>
  </si>
  <si>
    <t xml:space="preserve">Instrucciones para validar el documento de soporte.</t>
  </si>
  <si>
    <t xml:space="preserve">nombre + tipo text + columna campos_a_validar</t>
  </si>
  <si>
    <t xml:space="preserve">¿Las usa el revisor o un proceso automático?</t>
  </si>
  <si>
    <t xml:space="preserve">C3523</t>
  </si>
  <si>
    <t xml:space="preserve">campos_a_validar</t>
  </si>
  <si>
    <t xml:space="preserve">Mapeada en travel-expenses-service/src/entities/config/tipo-documento-soporte.entity.ts:28 (TipoDocumentoSoporteEntity.camposAValidar) | Validación: IsArray, IsOptional</t>
  </si>
  <si>
    <t xml:space="preserve">Lista de campos que deben validarse en el documento, en formato JSON.</t>
  </si>
  <si>
    <t xml:space="preserve">¿Qué estructura tiene la lista?</t>
  </si>
  <si>
    <t xml:space="preserve">C3524</t>
  </si>
  <si>
    <t xml:space="preserve">bloque_edificio</t>
  </si>
  <si>
    <t xml:space="preserve">uq_sede_bloque</t>
  </si>
  <si>
    <t xml:space="preserve">Mapeada en infrastructure-management-service/src/sedes/bloque.entity.ts:22 (BloqueEdificio.codigo) | Validación: IsNotEmpty, IsString, MaxLength(50, { message: 'Codigo maximo 50 caracteres.' })</t>
  </si>
  <si>
    <t xml:space="preserve">Código del registro de bloque_edificio.</t>
  </si>
  <si>
    <t xml:space="preserve">C3525</t>
  </si>
  <si>
    <t xml:space="preserve">Mapeada en infrastructure-management-service/src/sedes/bloque.entity.ts:25 (BloqueEdificio.nombre) | Validación: IsNotEmpty, IsString, MaxLength(150), MinLength(2)</t>
  </si>
  <si>
    <t xml:space="preserve">Nombre del registro de bloque_edificio.</t>
  </si>
  <si>
    <t xml:space="preserve">C3526</t>
  </si>
  <si>
    <t xml:space="preserve">pisos</t>
  </si>
  <si>
    <t xml:space="preserve">Mapeada en infrastructure-management-service/src/sedes/bloque.entity.ts:28 (BloqueEdificio.pisos) | Validación: IsInt, IsOptional, Min(1)</t>
  </si>
  <si>
    <t xml:space="preserve">Número de pisos del bloque o edificio. Por defecto, 1.</t>
  </si>
  <si>
    <t xml:space="preserve">nombre + integer con defecto 1</t>
  </si>
  <si>
    <t xml:space="preserve">C3527</t>
  </si>
  <si>
    <t xml:space="preserve">Mapeada en infrastructure-management-service/src/sedes/bloque.entity.ts:31 (BloqueEdificio.descripcion) | Validación: IsNotEmpty, IsOptional, IsString, MinLength(10)</t>
  </si>
  <si>
    <t xml:space="preserve">Descripción del registro de bloque_edificio.</t>
  </si>
  <si>
    <t xml:space="preserve">C3528</t>
  </si>
  <si>
    <t xml:space="preserve">is_activo</t>
  </si>
  <si>
    <t xml:space="preserve">Mapeada en infrastructure-management-service/src/sedes/bloque.entity.ts:34 (BloqueEdificio.isActivo) | Validación: IsBoolean, IsOptional</t>
  </si>
  <si>
    <t xml:space="preserve">C3529</t>
  </si>
  <si>
    <t xml:space="preserve">catalogo_item</t>
  </si>
  <si>
    <t xml:space="preserve">Mapeada en infrastructure-management-service/src/mantenimiento/catalogo-item.entity.ts:16 (CatalogoItem.nombre) | Validación: IsNotEmpty, IsString, MaxLength(150), MinLength(2)</t>
  </si>
  <si>
    <t xml:space="preserve">Nombre del registro de catalogo_item.</t>
  </si>
  <si>
    <t xml:space="preserve">C3530</t>
  </si>
  <si>
    <t xml:space="preserve">Mapeada en infrastructure-management-service/src/mantenimiento/catalogo-item.entity.ts:19 (CatalogoItem.descripcion) | Validación: IsNotEmpty, IsOptional, IsString, MinLength(10)</t>
  </si>
  <si>
    <t xml:space="preserve">Descripción del registro de catalogo_item.</t>
  </si>
  <si>
    <t xml:space="preserve">C3531</t>
  </si>
  <si>
    <t xml:space="preserve">Mapeada en infrastructure-management-service/src/mantenimiento/catalogo-item.entity.ts:22 (CatalogoItem.orden)</t>
  </si>
  <si>
    <t xml:space="preserve">C3532</t>
  </si>
  <si>
    <t xml:space="preserve">idx_catalogo_item_catalogo_activo</t>
  </si>
  <si>
    <t xml:space="preserve">Mapeada en infrastructure-management-service/src/mantenimiento/catalogo-item.entity.ts:25 (CatalogoItem.isActivo) | Validación: IsBoolean, IsOptional</t>
  </si>
  <si>
    <t xml:space="preserve">C3533</t>
  </si>
  <si>
    <t xml:space="preserve">espacio_fisico</t>
  </si>
  <si>
    <t xml:space="preserve">uq_bloque_espacio</t>
  </si>
  <si>
    <t xml:space="preserve">Mapeada en infrastructure-management-service/src/espacios/espacio.entity.ts:20 (EspacioFisico.codigo) | Validación: IsNotEmpty, IsString, MaxLength(50, { message: 'Codigo maximo 50 caracteres.' })</t>
  </si>
  <si>
    <t xml:space="preserve">Código del registro de espacio_fisico.</t>
  </si>
  <si>
    <t xml:space="preserve">C3534</t>
  </si>
  <si>
    <t xml:space="preserve">Mapeada en infrastructure-management-service/src/espacios/espacio.entity.ts:23 (EspacioFisico.nombre) | Validación: IsNotEmpty, IsString, MaxLength(150), MinLength(2)</t>
  </si>
  <si>
    <t xml:space="preserve">Nombre del registro de espacio_fisico.</t>
  </si>
  <si>
    <t xml:space="preserve">C3535</t>
  </si>
  <si>
    <t xml:space="preserve">infrastructure-management-service/src/espacios/espacio.entity.ts:26: AULA, AUDITORIO, LABORATORIO, OFICINA, BIBLIOTECA, SALA_CONSEJO | infrastructure-management-service/db/migrations/001_create_infrastructure_management_schema.sql:46: AULA, AUDITORIO, LABORATORIO, OFICINA, BIBLIOTECA, SALA_CONSEJO | Validación: IsNotEmpty, IsOptional, IsString</t>
  </si>
  <si>
    <t xml:space="preserve">Tipo de espacio físico, por ejemplo AULA, AUDITORIO, LABORATORIO, OFICINA, BIBLIOTECA o SALA_CONSEJO.</t>
  </si>
  <si>
    <t xml:space="preserve">código: infrastructure-management-service/src/espacios/espacio.entity.ts:26</t>
  </si>
  <si>
    <t xml:space="preserve">C3536</t>
  </si>
  <si>
    <t xml:space="preserve">Mapeada en infrastructure-management-service/src/espacios/espacio.entity.ts:29 (EspacioFisico.capacidad) | Validación: IsNumber({}, { message: 'Capacidad debe ser un número entero.' }), IsOptional, Min(1, { message: 'Capacidad minima 1 puesto.' })</t>
  </si>
  <si>
    <t xml:space="preserve">Número de puestos del espacio físico; mínimo 1, por defecto 30.</t>
  </si>
  <si>
    <t xml:space="preserve">C3537</t>
  </si>
  <si>
    <t xml:space="preserve">Mapeada en infrastructure-management-service/src/espacios/espacio.entity.ts:32 (EspacioFisico.piso) | Validación: IsNotEmpty, IsNumber({}, { message: 'Piso debe ser un número entero.' }), IsOptional, IsString, MaxLength(20)</t>
  </si>
  <si>
    <t xml:space="preserve">Piso del bloque en que está el espacio. Por defecto, 1.</t>
  </si>
  <si>
    <t xml:space="preserve">nombre + integer + tabla bloque_edificio.pisos</t>
  </si>
  <si>
    <t xml:space="preserve">C3538</t>
  </si>
  <si>
    <t xml:space="preserve">area_m2</t>
  </si>
  <si>
    <t xml:space="preserve">numeric(8,2)</t>
  </si>
  <si>
    <t xml:space="preserve">Mapeada en infrastructure-management-service/src/espacios/espacio.entity.ts:35 (EspacioFisico.areaM2) | Validación: IsNumber({}, { message: 'Area M2 debe ser un número.' }), IsOptional</t>
  </si>
  <si>
    <t xml:space="preserve">Área del espacio en metros cuadrados.</t>
  </si>
  <si>
    <t xml:space="preserve">nombre con sufijo m2 + numeric(8,2)</t>
  </si>
  <si>
    <t xml:space="preserve">C3539</t>
  </si>
  <si>
    <t xml:space="preserve">tiene_aire_acondicionado</t>
  </si>
  <si>
    <t xml:space="preserve">Mapeada en infrastructure-management-service/src/espacios/espacio.entity.ts:38 (EspacioFisico.tieneAireAcondicionado) | Validación: IsBoolean, IsOptional</t>
  </si>
  <si>
    <t xml:space="preserve">Indica si el registro está aire acondicionado.</t>
  </si>
  <si>
    <t xml:space="preserve">C3540</t>
  </si>
  <si>
    <t xml:space="preserve">tiene_videobeam</t>
  </si>
  <si>
    <t xml:space="preserve">Mapeada en infrastructure-management-service/src/espacios/espacio.entity.ts:41 (EspacioFisico.tieneVideobeam) | Validación: IsBoolean, IsOptional</t>
  </si>
  <si>
    <t xml:space="preserve">Indica si aplica: videobeam.</t>
  </si>
  <si>
    <t xml:space="preserve">C3541</t>
  </si>
  <si>
    <t xml:space="preserve">tiene_computadores</t>
  </si>
  <si>
    <t xml:space="preserve">Mapeada en infrastructure-management-service/src/espacios/espacio.entity.ts:44 (EspacioFisico.tieneComputadores) | Validación: IsBoolean, IsOptional</t>
  </si>
  <si>
    <t xml:space="preserve">Indica si aplica: computadores.</t>
  </si>
  <si>
    <t xml:space="preserve">C3542</t>
  </si>
  <si>
    <t xml:space="preserve">infrastructure-management-service/src/espacios/espacio.entity.ts:47: DISPONIBLE, MANTENIMIENTO, INACTIVO, RESERVADO | infrastructure-management-service/db/migrations/001_create_infrastructure_management_schema.sql:53: DISPONIBLE, MANTENIMIENTO, INACTIVO, RESERVADO | Validación: IsNotEmpty, IsOptional, IsString</t>
  </si>
  <si>
    <t xml:space="preserve">Estado del espacio físico: DISPONIBLE, MANTENIMIENTO, INACTIVO o RESERVADO; por defecto DISPONIBLE.</t>
  </si>
  <si>
    <t xml:space="preserve">código: infrastructure-management-service/src/espacios/espacio.entity.ts:47</t>
  </si>
  <si>
    <t xml:space="preserve">C3543</t>
  </si>
  <si>
    <t xml:space="preserve">Mapeada en infrastructure-management-service/src/espacios/espacio.entity.ts:50 (EspacioFisico.isActivo) | Validación: IsBoolean, IsOptional</t>
  </si>
  <si>
    <t xml:space="preserve">C3544</t>
  </si>
  <si>
    <t xml:space="preserve">sede_codigo_key</t>
  </si>
  <si>
    <t xml:space="preserve">Mapeada en infrastructure-management-service/src/sedes/sede.entity.ts:16 (Sede.codigo) | Validación: IsNotEmpty, IsString, MaxLength(50, { message: 'Codigo maximo 50 caracteres.' })</t>
  </si>
  <si>
    <t xml:space="preserve">Código del registro de sede. Único en la tabla.</t>
  </si>
  <si>
    <t xml:space="preserve">C3545</t>
  </si>
  <si>
    <t xml:space="preserve">Mapeada en infrastructure-management-service/src/sedes/sede.entity.ts:19 (Sede.nombre) | Validación: IsNotEmpty, IsString, MaxLength(150), MinLength(2)</t>
  </si>
  <si>
    <t xml:space="preserve">Nombre del registro de sede.</t>
  </si>
  <si>
    <t xml:space="preserve">C3546</t>
  </si>
  <si>
    <t xml:space="preserve">infrastructure-management-service/db/migrations/001_create_infrastructure_management_schema.sql:15: SEDE_CENTRAL, TERRITORIAL, CETAP | Validación: IsNotEmpty, IsOptional, IsString</t>
  </si>
  <si>
    <t xml:space="preserve">Tipo de sede: SEDE_CENTRAL, TERRITORIAL o CETAP.</t>
  </si>
  <si>
    <t xml:space="preserve">código: infrastructure-management-service/db/migrations/001_create_infrastructure_management_schema.sql:15</t>
  </si>
  <si>
    <t xml:space="preserve">C3547</t>
  </si>
  <si>
    <t xml:space="preserve">Mapeada en infrastructure-management-service/src/sedes/sede.entity.ts:25 (Sede.departamento) | Validación: IsNotEmpty, IsString</t>
  </si>
  <si>
    <t xml:space="preserve">Departamento donde está la sede.</t>
  </si>
  <si>
    <t xml:space="preserve">nombre + varchar(100) + vecina municipio</t>
  </si>
  <si>
    <t xml:space="preserve">C3548</t>
  </si>
  <si>
    <t xml:space="preserve">Mapeada en infrastructure-management-service/src/sedes/sede.entity.ts:28 (Sede.municipio) | Validación: IsNotEmpty, IsString</t>
  </si>
  <si>
    <t xml:space="preserve">Municipio donde está la sede.</t>
  </si>
  <si>
    <t xml:space="preserve">C3549</t>
  </si>
  <si>
    <t xml:space="preserve">Mapeada en infrastructure-management-service/src/sedes/sede.entity.ts:31 (Sede.direccion) | Validación: IsNotEmpty, IsString</t>
  </si>
  <si>
    <t xml:space="preserve">Dirección de la sede.</t>
  </si>
  <si>
    <t xml:space="preserve">nombre + varchar(255)</t>
  </si>
  <si>
    <t xml:space="preserve">C3550</t>
  </si>
  <si>
    <t xml:space="preserve">Mapeada en infrastructure-management-service/src/sedes/sede.entity.ts:34 (Sede.telefono) | Validación: IsOptional, IsString</t>
  </si>
  <si>
    <t xml:space="preserve">C3551</t>
  </si>
  <si>
    <t xml:space="preserve">email_contacto</t>
  </si>
  <si>
    <t xml:space="preserve">Mapeada en infrastructure-management-service/src/sedes/sede.entity.ts:37 (Sede.emailContacto) | Validación: IsOptional, IsString</t>
  </si>
  <si>
    <t xml:space="preserve">C3552</t>
  </si>
  <si>
    <t xml:space="preserve">idx_sede_alcance_umi</t>
  </si>
  <si>
    <t xml:space="preserve">Mapeada en infrastructure-management-service/src/sedes/sede.entity.ts:40 (Sede.isActivo) | Validación: IsBoolean, IsOptional</t>
  </si>
  <si>
    <t xml:space="preserve">C3553</t>
  </si>
  <si>
    <t xml:space="preserve">solicitud_evidencia</t>
  </si>
  <si>
    <t xml:space="preserve">Mapeada en infrastructure-management-service/src/mantenimiento/solicitud-evidencia.entity.ts:30 (SolicitudEvidencia.nombreOriginal)</t>
  </si>
  <si>
    <t xml:space="preserve">Nombre original del archivo subido por el usuario.</t>
  </si>
  <si>
    <t xml:space="preserve">nombre + varchar(255) + descripción de la tabla</t>
  </si>
  <si>
    <t xml:space="preserve">C3554</t>
  </si>
  <si>
    <t xml:space="preserve">nombre_almacenado</t>
  </si>
  <si>
    <t xml:space="preserve">Mapeada en infrastructure-management-service/src/mantenimiento/solicitud-evidencia.entity.ts:33 (SolicitudEvidencia.nombreAlmacenado)</t>
  </si>
  <si>
    <t xml:space="preserve">Nombre con que se guardó el archivo en el almacenamiento de objetos.</t>
  </si>
  <si>
    <t xml:space="preserve">nombre + vecina nombre_original + descripción de la tabla (MinIO)</t>
  </si>
  <si>
    <t xml:space="preserve">C3555</t>
  </si>
  <si>
    <t xml:space="preserve">bucket</t>
  </si>
  <si>
    <t xml:space="preserve">uq_solicitud_evidencia_ruta_objeto</t>
  </si>
  <si>
    <t xml:space="preserve">Mapeada en infrastructure-management-service/src/mantenimiento/solicitud-evidencia.entity.ts:39 (SolicitudEvidencia.bucket) | Validación: IsOptional, IsString</t>
  </si>
  <si>
    <t xml:space="preserve">Bucket de MinIO donde se guarda el archivo. Por defecto, infraestructura-evidencias.</t>
  </si>
  <si>
    <t xml:space="preserve">nombre + defecto + descripción de la tabla (MinIO)</t>
  </si>
  <si>
    <t xml:space="preserve">C3556</t>
  </si>
  <si>
    <t xml:space="preserve">url_publica</t>
  </si>
  <si>
    <t xml:space="preserve">Mapeada en infrastructure-management-service/src/mantenimiento/solicitud-evidencia.entity.ts:42 (SolicitudEvidencia.urlPublica)</t>
  </si>
  <si>
    <t xml:space="preserve">URL pública del archivo.</t>
  </si>
  <si>
    <t xml:space="preserve">nombre + text + vecina url_presigned</t>
  </si>
  <si>
    <t xml:space="preserve">¿El bucket permite acceso público o esta URL solo se usa internamente?</t>
  </si>
  <si>
    <t xml:space="preserve">C3557</t>
  </si>
  <si>
    <t xml:space="preserve">url_presigned</t>
  </si>
  <si>
    <t xml:space="preserve">Mapeada en infrastructure-management-service/src/mantenimiento/solicitud-evidencia.entity.ts:45 (SolicitudEvidencia.urlPresigned)</t>
  </si>
  <si>
    <t xml:space="preserve">URL prefirmada de acceso temporal al archivo; vence en la fecha de vencimiento_presigned.</t>
  </si>
  <si>
    <t xml:space="preserve">nombre + text + vecina vencimiento_presigned</t>
  </si>
  <si>
    <t xml:space="preserve">C3558</t>
  </si>
  <si>
    <t xml:space="preserve">Mapeada en infrastructure-management-service/src/mantenimiento/solicitud-evidencia.entity.ts:51 (SolicitudEvidencia.mimeType)</t>
  </si>
  <si>
    <t xml:space="preserve">C3559</t>
  </si>
  <si>
    <t xml:space="preserve">Mapeada en infrastructure-management-service/src/mantenimiento/solicitud-evidencia.entity.ts:54 (SolicitudEvidencia.tamanoBytes)</t>
  </si>
  <si>
    <t xml:space="preserve">C3560</t>
  </si>
  <si>
    <t xml:space="preserve">usuario_que_subio_id</t>
  </si>
  <si>
    <t xml:space="preserve">Mapeada en infrastructure-management-service/src/mantenimiento/solicitud-evidencia.entity.ts:57 (SolicitudEvidencia.usuarioQueSubioId)</t>
  </si>
  <si>
    <t xml:space="preserve">Identificador del usuario que subió el archivo.</t>
  </si>
  <si>
    <t xml:space="preserve">nombre + uuid + vecina usuario_que_subio_email</t>
  </si>
  <si>
    <t xml:space="preserve">¿Corresponde a auth."user"?</t>
  </si>
  <si>
    <t xml:space="preserve">C3561</t>
  </si>
  <si>
    <t xml:space="preserve">usuario_que_subio_email</t>
  </si>
  <si>
    <t xml:space="preserve">character varying(180)</t>
  </si>
  <si>
    <t xml:space="preserve">Mapeada en infrastructure-management-service/src/mantenimiento/solicitud-evidencia.entity.ts:60 (SolicitudEvidencia.usuarioQueSubioEmail)</t>
  </si>
  <si>
    <t xml:space="preserve">Correo electrónico del usuario que subió el archivo.</t>
  </si>
  <si>
    <t xml:space="preserve">nombre + varchar(180)</t>
  </si>
  <si>
    <t xml:space="preserve">C3562</t>
  </si>
  <si>
    <t xml:space="preserve">idx_solicitud_evidencia_solicitud</t>
  </si>
  <si>
    <t xml:space="preserve">Mapeada en infrastructure-management-service/src/mantenimiento/solicitud-evidencia.entity.ts:63 (SolicitudEvidencia.orden)</t>
  </si>
  <si>
    <t xml:space="preserve">C3563</t>
  </si>
  <si>
    <t xml:space="preserve">Mapeada en infrastructure-management-service/src/mantenimiento/solicitud-evidencia.entity.ts:66 (SolicitudEvidencia.notas)</t>
  </si>
  <si>
    <t xml:space="preserve">Notas sobre la evidencia.</t>
  </si>
  <si>
    <t xml:space="preserve">C3564</t>
  </si>
  <si>
    <t xml:space="preserve">Mapeada en infrastructure-management-service/src/mantenimiento/solicitud-evidencia.entity.ts:69 (SolicitudEvidencia.fechaSubida)</t>
  </si>
  <si>
    <t xml:space="preserve">C3565</t>
  </si>
  <si>
    <t xml:space="preserve">solicitud_mantenimiento</t>
  </si>
  <si>
    <t xml:space="preserve">consecutivo</t>
  </si>
  <si>
    <t xml:space="preserve">solicitud_mantenimiento_consecutivo_key</t>
  </si>
  <si>
    <t xml:space="preserve">Mapeada en infrastructure-management-service/src/mantenimiento/mantenimiento.entity.ts:21 (SolicitudMantenimiento.consecutivo)</t>
  </si>
  <si>
    <t xml:space="preserve">Consecutivo único de la solicitud de mantenimiento.</t>
  </si>
  <si>
    <t xml:space="preserve">nombre + varchar(50) + restricción única</t>
  </si>
  <si>
    <t xml:space="preserve">C3566</t>
  </si>
  <si>
    <t xml:space="preserve">tipo_mantenimiento</t>
  </si>
  <si>
    <t xml:space="preserve">infrastructure-management-service/db/migrations/001_create_infrastructure_management_schema.sql:65: PREVENTIVO, CORRECTIVO, LOCATIVO, TECNOLOGICO | Validación: IsNotEmpty, IsString, MaxLength(50)</t>
  </si>
  <si>
    <t xml:space="preserve">Tipo de mantenimiento solicitado: PREVENTIVO, CORRECTIVO, LOCATIVO o TECNOLOGICO.</t>
  </si>
  <si>
    <t xml:space="preserve">código: infrastructure-management-service/db/migrations/001_create_infrastructure_management_schema.sql:65</t>
  </si>
  <si>
    <t xml:space="preserve">C3567</t>
  </si>
  <si>
    <t xml:space="preserve">infrastructure-management-service/db/migrations/001_create_infrastructure_management_schema.sql:66: BAJA, MEDIA, ALTA, URGENTE | Validación: IsOptional, IsString</t>
  </si>
  <si>
    <t xml:space="preserve">Prioridad de la solicitud de mantenimiento: BAJA, MEDIA, ALTA o URGENTE. Por defecto, MEDIA.</t>
  </si>
  <si>
    <t xml:space="preserve">código: infrastructure-management-service/db/migrations/001_create_infrastructure_management_schema.sql:66</t>
  </si>
  <si>
    <t xml:space="preserve">C3568</t>
  </si>
  <si>
    <t xml:space="preserve">Mapeada en infrastructure-management-service/src/mantenimiento/mantenimiento.entity.ts:36 (SolicitudMantenimiento.descripcion) | Validación: IsNotEmpty, IsOptional, IsString, MinLength(10)</t>
  </si>
  <si>
    <t xml:space="preserve">Descripción del registro de solicitud_mantenimiento.</t>
  </si>
  <si>
    <t xml:space="preserve">C3569</t>
  </si>
  <si>
    <t xml:space="preserve">solicitante_email</t>
  </si>
  <si>
    <t xml:space="preserve">Mapeada en infrastructure-management-service/src/mantenimiento/mantenimiento.entity.ts:39 (SolicitudMantenimiento.solicitanteEmail)</t>
  </si>
  <si>
    <t xml:space="preserve">Correo electrónico de quien solicita el mantenimiento.</t>
  </si>
  <si>
    <t xml:space="preserve">nombre + varchar(150)</t>
  </si>
  <si>
    <t xml:space="preserve">C3570</t>
  </si>
  <si>
    <t xml:space="preserve">solicitante_nombre</t>
  </si>
  <si>
    <t xml:space="preserve">Mapeada en infrastructure-management-service/src/mantenimiento/mantenimiento.entity.ts:42 (SolicitudMantenimiento.solicitanteNombre)</t>
  </si>
  <si>
    <t xml:space="preserve">Nombre de quien solicita el mantenimiento.</t>
  </si>
  <si>
    <t xml:space="preserve">C3571</t>
  </si>
  <si>
    <t xml:space="preserve">responsable_asignado</t>
  </si>
  <si>
    <t xml:space="preserve">idx_solicitud_responsable_asignado_estado</t>
  </si>
  <si>
    <t xml:space="preserve">Mapeada en infrastructure-management-service/src/mantenimiento/mantenimiento.entity.ts:45 (SolicitudMantenimiento.responsableAsignado) | Validación: IsOptional, IsString</t>
  </si>
  <si>
    <t xml:space="preserve">Responsable asignado para atender la solicitud.</t>
  </si>
  <si>
    <t xml:space="preserve">nombre + varchar(150) + índice con estado + vecina id_tecnico_asignado</t>
  </si>
  <si>
    <t xml:space="preserve">¿Guarda el nombre o el correo del responsable?</t>
  </si>
  <si>
    <t xml:space="preserve">C3572</t>
  </si>
  <si>
    <t xml:space="preserve">fecha_programada</t>
  </si>
  <si>
    <t xml:space="preserve">Mapeada en infrastructure-management-service/src/mantenimiento/mantenimiento.entity.ts:58 (SolicitudMantenimiento.fechaProgramada)</t>
  </si>
  <si>
    <t xml:space="preserve">Fecha programada.</t>
  </si>
  <si>
    <t xml:space="preserve">C3573</t>
  </si>
  <si>
    <t xml:space="preserve">fecha_ejecucion</t>
  </si>
  <si>
    <t xml:space="preserve">Mapeada en infrastructure-management-service/src/mantenimiento/mantenimiento.entity.ts:61 (SolicitudMantenimiento.fechaEjecucion) | Validación: IsOptional, IsString</t>
  </si>
  <si>
    <t xml:space="preserve">Fecha de ejecución.</t>
  </si>
  <si>
    <t xml:space="preserve">C3574</t>
  </si>
  <si>
    <t xml:space="preserve">Mapeada en infrastructure-management-service/src/mantenimiento/mantenimiento.entity.ts:67 (SolicitudMantenimiento.observaciones) | Validación: IsOptional, IsString</t>
  </si>
  <si>
    <t xml:space="preserve">C3575</t>
  </si>
  <si>
    <t xml:space="preserve">costo_estimado</t>
  </si>
  <si>
    <t xml:space="preserve">Mapeada en infrastructure-management-service/src/mantenimiento/mantenimiento.entity.ts:70 (SolicitudMantenimiento.costoEstimado)</t>
  </si>
  <si>
    <t xml:space="preserve">Costo estimado de la atención de la solicitud. Por defecto, 0.</t>
  </si>
  <si>
    <t xml:space="preserve">nombre + numeric(14,2) con defecto 0 + vecina total_estimado_insumos_cop</t>
  </si>
  <si>
    <t xml:space="preserve">¿Está en pesos colombianos y en qué se diferencia de total_estimado_insumos_cop?</t>
  </si>
  <si>
    <t xml:space="preserve">C3576</t>
  </si>
  <si>
    <t xml:space="preserve">fecha_inicio_valoracion</t>
  </si>
  <si>
    <t xml:space="preserve">Mapeada en infrastructure-management-service/src/mantenimiento/mantenimiento.entity.ts:133 (SolicitudMantenimiento.fechaInicioValoracion)</t>
  </si>
  <si>
    <t xml:space="preserve">Fecha de inicio valoración.</t>
  </si>
  <si>
    <t xml:space="preserve">C3577</t>
  </si>
  <si>
    <t xml:space="preserve">fecha_fin_valoracion</t>
  </si>
  <si>
    <t xml:space="preserve">Mapeada en infrastructure-management-service/src/mantenimiento/mantenimiento.entity.ts:136 (SolicitudMantenimiento.fechaFinValoracion)</t>
  </si>
  <si>
    <t xml:space="preserve">Fecha de fin valoración.</t>
  </si>
  <si>
    <t xml:space="preserve">C3578</t>
  </si>
  <si>
    <t xml:space="preserve">riesgo_valoracion</t>
  </si>
  <si>
    <t xml:space="preserve">ALTO, BAJO, MEDIO</t>
  </si>
  <si>
    <t xml:space="preserve">Mapeada en infrastructure-management-service/src/mantenimiento/mantenimiento.entity.ts:139 (SolicitudMantenimiento.riesgoValoracion)</t>
  </si>
  <si>
    <t xml:space="preserve">Nivel de riesgo identificado en la valoración técnica. Valores permitidos: ALTO, BAJO, MEDIO.</t>
  </si>
  <si>
    <t xml:space="preserve">valores permitidos del CHECK + vecinas *_valoracion</t>
  </si>
  <si>
    <t xml:space="preserve">C3579</t>
  </si>
  <si>
    <t xml:space="preserve">requiere_apagado_electrico</t>
  </si>
  <si>
    <t xml:space="preserve">Mapeada en infrastructure-management-service/src/mantenimiento/mantenimiento.entity.ts:142 (SolicitudMantenimiento.requiereApagadoElectrico) | Validación: IsOptional</t>
  </si>
  <si>
    <t xml:space="preserve">Indica si requiere apagado eléctrico.</t>
  </si>
  <si>
    <t xml:space="preserve">C3580</t>
  </si>
  <si>
    <t xml:space="preserve">total_estimado_insumos_cop</t>
  </si>
  <si>
    <t xml:space="preserve">Mapeada en infrastructure-management-service/src/mantenimiento/mantenimiento.entity.ts:149 (SolicitudMantenimiento.totalEstimadoInsumosCop)</t>
  </si>
  <si>
    <t xml:space="preserve">Valor total estimado de los insumos, en pesos colombianos. Por defecto, 0.</t>
  </si>
  <si>
    <t xml:space="preserve">nombre con sufijo cop + numeric(15,2)</t>
  </si>
  <si>
    <t xml:space="preserve">¿Se calcula a partir de un detalle de insumos o se digita?</t>
  </si>
  <si>
    <t xml:space="preserve">C3581</t>
  </si>
  <si>
    <t xml:space="preserve">espera_insumos_flag</t>
  </si>
  <si>
    <t xml:space="preserve">Mapeada en infrastructure-management-service/src/mantenimiento/mantenimiento.entity.ts:158 (SolicitudMantenimiento.esperaInsumosFlag)</t>
  </si>
  <si>
    <t xml:space="preserve">Indica si aplica: espera insumos flag.</t>
  </si>
  <si>
    <t xml:space="preserve">C3582</t>
  </si>
  <si>
    <t xml:space="preserve">fecha_limite_original_antes_extension</t>
  </si>
  <si>
    <t xml:space="preserve">Mapeada en infrastructure-management-service/src/mantenimiento/mantenimiento.entity.ts:161 (SolicitudMantenimiento.fechaLimiteOriginalAntesExtension)</t>
  </si>
  <si>
    <t xml:space="preserve">Fecha límite original antes extensión.</t>
  </si>
  <si>
    <t xml:space="preserve">C3583</t>
  </si>
  <si>
    <t xml:space="preserve">dias_extendidos_por_insumos</t>
  </si>
  <si>
    <t xml:space="preserve">Mapeada en infrastructure-management-service/src/mantenimiento/mantenimiento.entity.ts:168 (SolicitudMantenimiento.diasExtendidosPorInsumos)</t>
  </si>
  <si>
    <t xml:space="preserve">Días en que se extendió el plazo de atención por espera de insumos. Por defecto, 0.</t>
  </si>
  <si>
    <t xml:space="preserve">nombre + smallint + vecinas espera_insumos_flag y fecha_limite_original_antes_extension</t>
  </si>
  <si>
    <t xml:space="preserve">C3584</t>
  </si>
  <si>
    <t xml:space="preserve">usuario_cierre_tecnico_id</t>
  </si>
  <si>
    <t xml:space="preserve">Mapeada en infrastructure-management-service/src/mantenimiento/mantenimiento.entity.ts:179 (SolicitudMantenimiento.usuarioCierreTecnicoId)</t>
  </si>
  <si>
    <t xml:space="preserve">Identificador del usuario que hizo el cierre técnico de la solicitud.</t>
  </si>
  <si>
    <t xml:space="preserve">nombre + uuid + vecina fecha_cierre_tecnico</t>
  </si>
  <si>
    <t xml:space="preserve">C3585</t>
  </si>
  <si>
    <t xml:space="preserve">responsable_cierre_display</t>
  </si>
  <si>
    <t xml:space="preserve">Mapeada en infrastructure-management-service/src/mantenimiento/mantenimiento.entity.ts:182 (SolicitudMantenimiento.responsableCierreDisplay)</t>
  </si>
  <si>
    <t xml:space="preserve">Nombre del responsable del cierre técnico, tal como se muestra en pantalla.</t>
  </si>
  <si>
    <t xml:space="preserve">nombre con sufijo display + text</t>
  </si>
  <si>
    <t xml:space="preserve">¿Se copia del usuario al cerrar o se digita?</t>
  </si>
  <si>
    <t xml:space="preserve">C3586</t>
  </si>
  <si>
    <t xml:space="preserve">Mapeada en infrastructure-management-service/src/mantenimiento/mantenimiento.entity.ts:209 (SolicitudMantenimiento.observacionesCierre)</t>
  </si>
  <si>
    <t xml:space="preserve">Observaciones registradas en el cierre de la solicitud.</t>
  </si>
  <si>
    <t xml:space="preserve">C3587</t>
  </si>
  <si>
    <t xml:space="preserve">solicitud_valoracion</t>
  </si>
  <si>
    <t xml:space="preserve">id_tecnico_valorador</t>
  </si>
  <si>
    <t xml:space="preserve">idx_solicitud_valoracion_tecnico</t>
  </si>
  <si>
    <t xml:space="preserve">Mapeada en infrastructure-management-service/src/mantenimiento/solicitud-valoracion.entity.ts:30 (SolicitudValoracion.idTecnicoValorador)</t>
  </si>
  <si>
    <t xml:space="preserve">Identificador del técnico que hizo la visita de valoración.</t>
  </si>
  <si>
    <t xml:space="preserve">nombre + uuid + índice + vecinas tecnico_*</t>
  </si>
  <si>
    <t xml:space="preserve">¿A qué tabla corresponde el identificador (auth."user", técnicos u otra)?</t>
  </si>
  <si>
    <t xml:space="preserve">C3588</t>
  </si>
  <si>
    <t xml:space="preserve">tecnico_codigo</t>
  </si>
  <si>
    <t xml:space="preserve">Mapeada en infrastructure-management-service/src/mantenimiento/solicitud-valoracion.entity.ts:33 (SolicitudValoracion.tecnicoCodigo)</t>
  </si>
  <si>
    <t xml:space="preserve">Código del técnico que hizo la valoración.</t>
  </si>
  <si>
    <t xml:space="preserve">nombre + varchar(20)</t>
  </si>
  <si>
    <t xml:space="preserve">¿Qué código es (código interno del técnico, documento u otro)?</t>
  </si>
  <si>
    <t xml:space="preserve">C3589</t>
  </si>
  <si>
    <t xml:space="preserve">tecnico_nombre</t>
  </si>
  <si>
    <t xml:space="preserve">Mapeada en infrastructure-management-service/src/mantenimiento/solicitud-valoracion.entity.ts:36 (SolicitudValoracion.tecnicoNombre)</t>
  </si>
  <si>
    <t xml:space="preserve">Nombre del técnico que hizo la valoración.</t>
  </si>
  <si>
    <t xml:space="preserve">C3590</t>
  </si>
  <si>
    <t xml:space="preserve">estado_al_finalizar</t>
  </si>
  <si>
    <t xml:space="preserve">EN_ESPERA_DE_INSUMOS, EN_PROGRESO</t>
  </si>
  <si>
    <t xml:space="preserve">Mapeada en infrastructure-management-service/src/mantenimiento/solicitud-valoracion.entity.ts:39 (SolicitudValoracion.estadoAlFinalizar)</t>
  </si>
  <si>
    <t xml:space="preserve">Estado en que queda la solicitud al terminar la valoración. Valores permitidos: EN_ESPERA_DE_INSUMOS, EN_PROGRESO.</t>
  </si>
  <si>
    <t xml:space="preserve">C3591</t>
  </si>
  <si>
    <t xml:space="preserve">diagnostico</t>
  </si>
  <si>
    <t xml:space="preserve">Mapeada en infrastructure-management-service/src/mantenimiento/solicitud-valoracion.entity.ts:42 (SolicitudValoracion.diagnostico) | Validación: IsNotEmpty, IsString, MinLength(10)</t>
  </si>
  <si>
    <t xml:space="preserve">Diagnóstico técnico de la visita de valoración. Mínimo 10 caracteres.</t>
  </si>
  <si>
    <t xml:space="preserve">nombre + CHECK char_length &gt;= 10</t>
  </si>
  <si>
    <t xml:space="preserve">C3592</t>
  </si>
  <si>
    <t xml:space="preserve">alcance_identificado</t>
  </si>
  <si>
    <t xml:space="preserve">Mapeada en infrastructure-management-service/src/mantenimiento/solicitud-valoracion.entity.ts:45 (SolicitudValoracion.alcanceIdentificado) | Validación: IsNotEmpty, IsString, MinLength(10)</t>
  </si>
  <si>
    <t xml:space="preserve">Alcance del trabajo identificado en la valoración. Mínimo 10 caracteres.</t>
  </si>
  <si>
    <t xml:space="preserve">C3593</t>
  </si>
  <si>
    <t xml:space="preserve">tiempo_estimado_horas</t>
  </si>
  <si>
    <t xml:space="preserve">Mapeada en infrastructure-management-service/src/mantenimiento/solicitud-valoracion.entity.ts:48 (SolicitudValoracion.tiempoEstimadoHoras) | Validación: IsNumber</t>
  </si>
  <si>
    <t xml:space="preserve">Tiempo estimado del trabajo, en horas. Entre 0,25 y 240.</t>
  </si>
  <si>
    <t xml:space="preserve">nombre con sufijo horas + CHECK 0.25–240</t>
  </si>
  <si>
    <t xml:space="preserve">C3594</t>
  </si>
  <si>
    <t xml:space="preserve">Mapeada en infrastructure-management-service/src/mantenimiento/solicitud-valoracion.entity.ts:56 (SolicitudValoracion.nivelRiesgo) | Validación: IsIn(['BAJO', 'MEDIO', 'ALTO']), IsString</t>
  </si>
  <si>
    <t xml:space="preserve">Nivel de riesgo identificado en la valoración. Valores permitidos: ALTO, BAJO, MEDIO.</t>
  </si>
  <si>
    <t xml:space="preserve">C3595</t>
  </si>
  <si>
    <t xml:space="preserve">Mapeada en infrastructure-management-service/src/mantenimiento/solicitud-valoracion.entity.ts:59 (SolicitudValoracion.requiereApagadoElectrico) | Validación: IsOptional</t>
  </si>
  <si>
    <t xml:space="preserve">C3596</t>
  </si>
  <si>
    <t xml:space="preserve">Mapeada en infrastructure-management-service/src/mantenimiento/solicitud-valoracion.entity.ts:66 (SolicitudValoracion.observaciones) | Validación: IsOptional, IsString</t>
  </si>
  <si>
    <t xml:space="preserve">C3597</t>
  </si>
  <si>
    <t xml:space="preserve">Mapeada en infrastructure-management-service/src/mantenimiento/solicitud-valoracion.entity.ts:72 (SolicitudValoracion.fechaInicioValoracion)</t>
  </si>
  <si>
    <t xml:space="preserve">C3598</t>
  </si>
  <si>
    <t xml:space="preserve">Mapeada en infrastructure-management-service/src/mantenimiento/solicitud-valoracion.entity.ts:75 (SolicitudValoracion.fechaFinValoracion)</t>
  </si>
  <si>
    <t xml:space="preserve">C3599</t>
  </si>
  <si>
    <t xml:space="preserve">es_version_corregida_por_encargado</t>
  </si>
  <si>
    <t xml:space="preserve">Mapeada en infrastructure-management-service/src/mantenimiento/solicitud-valoracion.entity.ts:78 (SolicitudValoracion.esVersionCorregidaPorEncargado)</t>
  </si>
  <si>
    <t xml:space="preserve">Indica si el registro está versión corregida por encargado.</t>
  </si>
  <si>
    <t xml:space="preserve">C3600</t>
  </si>
  <si>
    <t xml:space="preserve">id_usuario_corrector</t>
  </si>
  <si>
    <t xml:space="preserve">Mapeada en infrastructure-management-service/src/mantenimiento/solicitud-valoracion.entity.ts:85 (SolicitudValoracion.idUsuarioCorrector)</t>
  </si>
  <si>
    <t xml:space="preserve">Identificador del usuario que corrigió la valoración.</t>
  </si>
  <si>
    <t xml:space="preserve">nombre + uuid + vecina es_version_corregida_por_encargado</t>
  </si>
  <si>
    <t xml:space="preserve">¿Corresponde al encargado que corrige la valoración del técnico y a qué tabla apunta?</t>
  </si>
  <si>
    <t xml:space="preserve">C3601</t>
  </si>
  <si>
    <t xml:space="preserve">solicitud_valoracion_insumo</t>
  </si>
  <si>
    <t xml:space="preserve">codigo_insumo</t>
  </si>
  <si>
    <t xml:space="preserve">Mapeada en infrastructure-management-service/src/mantenimiento/solicitud-valoracion-insumo.entity.ts:27 (SolicitudValoracionInsumo.codigoInsumo) | Validación: IsOptional, IsString</t>
  </si>
  <si>
    <t xml:space="preserve">Código del material o repuesto en el catálogo de insumos.</t>
  </si>
  <si>
    <t xml:space="preserve">nombre + columna vecina nombre + descripción de la tabla</t>
  </si>
  <si>
    <t xml:space="preserve">¿El código proviene de un catálogo o sistema de inventario? ¿Cuál?</t>
  </si>
  <si>
    <t xml:space="preserve">C3602</t>
  </si>
  <si>
    <t xml:space="preserve">Mapeada en infrastructure-management-service/src/mantenimiento/solicitud-valoracion-insumo.entity.ts:30 (SolicitudValoracionInsumo.nombre) | Validación: IsNotEmpty, IsString, MaxLength(150), MinLength(2)</t>
  </si>
  <si>
    <t xml:space="preserve">Nombre del registro de solicitud_valoracion_insumo.</t>
  </si>
  <si>
    <t xml:space="preserve">C3603</t>
  </si>
  <si>
    <t xml:space="preserve">cantidad</t>
  </si>
  <si>
    <t xml:space="preserve">numeric(12,3)</t>
  </si>
  <si>
    <t xml:space="preserve">Mapeada en infrastructure-management-service/src/mantenimiento/solicitud-valoracion-insumo.entity.ts:33 (SolicitudValoracionInsumo.cantidad) | Validación: IsNotEmpty, IsNumber</t>
  </si>
  <si>
    <t xml:space="preserve">Cantidad requerida del insumo, expresada en la unidad de medida de la fila. Debe ser mayor que cero.</t>
  </si>
  <si>
    <t xml:space="preserve">nombre + tipo numeric(12,3) + CHECK cantidad &gt; 0 + columna unidad_medida</t>
  </si>
  <si>
    <t xml:space="preserve">C3604</t>
  </si>
  <si>
    <t xml:space="preserve">character varying(4)</t>
  </si>
  <si>
    <t xml:space="preserve">L, cj, glb, kg, m, m2, otro, paq, rol, un</t>
  </si>
  <si>
    <t xml:space="preserve">Mapeada en infrastructure-management-service/src/mantenimiento/solicitud-valoracion-insumo.entity.ts:36 (SolicitudValoracionInsumo.unidadMedida) | Validación: IsIn(['un', 'm', 'm2', 'kg', 'L', 'cj', 'paq', 'rol', 'glb', 'otro']), IsString</t>
  </si>
  <si>
    <t xml:space="preserve">Unidad de medida del insumo. Valores permitidos: L, cj, glb, kg, m, m2, otro, paq, rol, un.</t>
  </si>
  <si>
    <t xml:space="preserve">C3605</t>
  </si>
  <si>
    <t xml:space="preserve">costo_unitario_cop</t>
  </si>
  <si>
    <t xml:space="preserve">Mapeada en infrastructure-management-service/src/mantenimiento/solicitud-valoracion-insumo.entity.ts:39 (SolicitudValoracionInsumo.costoUnitarioCop) | Validación: IsNumber, IsOptional</t>
  </si>
  <si>
    <t xml:space="preserve">Costo por unidad del insumo, en pesos colombianos. No puede ser negativo.</t>
  </si>
  <si>
    <t xml:space="preserve">sufijo _cop + tipo numeric + CHECK &gt;= 0</t>
  </si>
  <si>
    <t xml:space="preserve">C3606</t>
  </si>
  <si>
    <t xml:space="preserve">subtotal_cop</t>
  </si>
  <si>
    <t xml:space="preserve">Subtotal del insumo en pesos colombianos: cantidad por costo unitario.</t>
  </si>
  <si>
    <t xml:space="preserve">defecto cantidad * costo_unitario_cop + sufijo _cop</t>
  </si>
  <si>
    <t xml:space="preserve">C3607</t>
  </si>
  <si>
    <t xml:space="preserve">DISPONIBLE_EN_BODEGA, NO_DISPONIBLE_A_SOLICITAR</t>
  </si>
  <si>
    <t xml:space="preserve">Mapeada en infrastructure-management-service/src/mantenimiento/solicitud-valoracion-insumo.entity.ts:48 (SolicitudValoracionInsumo.disponibilidad) | Validación: IsIn(['DISPONIBLE_EN_BODEGA', 'NO_DISPONIBLE_A_SOLICITAR']), IsString</t>
  </si>
  <si>
    <t xml:space="preserve">Disponibilidad del insumo para la visita. Valores permitidos: DISPONIBLE_EN_BODEGA, NO_DISPONIBLE_A_SOLICITAR.</t>
  </si>
  <si>
    <t xml:space="preserve">C3608</t>
  </si>
  <si>
    <t xml:space="preserve">tiempo_adquisicion_dias</t>
  </si>
  <si>
    <t xml:space="preserve">Mapeada en infrastructure-management-service/src/mantenimiento/solicitud-valoracion-insumo.entity.ts:51 (SolicitudValoracionInsumo.tiempoAdquisicionDias) | Validación: IsNumber, IsOptional</t>
  </si>
  <si>
    <t xml:space="preserve">Tiempo estimado para adquirir el insumo, en días. Es obligatorio cuando la disponibilidad es NO_DISPONIBLE_A_SOLICITAR.</t>
  </si>
  <si>
    <t xml:space="preserve">nombre + tipo smallint + restricción chk_tiempo_adquisicion_si_no_disponible de la descripción de la tabla (los valores permitidos listados son los de disponibilidad)</t>
  </si>
  <si>
    <t xml:space="preserve">C3609</t>
  </si>
  <si>
    <t xml:space="preserve">orden_item</t>
  </si>
  <si>
    <t xml:space="preserve">Mapeada en infrastructure-management-service/src/mantenimiento/solicitud-valoracion-insumo.entity.ts:58 (SolicitudValoracionInsumo.ordenItem)</t>
  </si>
  <si>
    <t xml:space="preserve">Posición del insumo en el listado de la valoración.</t>
  </si>
  <si>
    <t xml:space="preserve">nombre + tipo smallint + defecto 1</t>
  </si>
  <si>
    <t xml:space="preserve">C3610</t>
  </si>
  <si>
    <t xml:space="preserve">conversacion</t>
  </si>
  <si>
    <t xml:space="preserve">idx_chatbot_conversacion_usuario</t>
  </si>
  <si>
    <t xml:space="preserve">Mapeada en chatbot-service/src/modules/chat/entities/conversacion.entity.ts:16 (Conversacion.usuarioId) | Validación: IsOptional, IsUUID</t>
  </si>
  <si>
    <t xml:space="preserve">Identificador del usuario que inició la conversación con el asistente virtual.</t>
  </si>
  <si>
    <t xml:space="preserve">nombre + uuid + índice idx_chatbot_conversacion_usuario</t>
  </si>
  <si>
    <t xml:space="preserve">¿Corresponde al id de auth."user" o a auth.personas?</t>
  </si>
  <si>
    <t xml:space="preserve">C3611</t>
  </si>
  <si>
    <t xml:space="preserve">idx_chatbot_conversacion_email</t>
  </si>
  <si>
    <t xml:space="preserve">Mapeada en chatbot-service/src/modules/chat/entities/conversacion.entity.ts:19 (Conversacion.usuarioEmail) | Validación: IsOptional, IsString</t>
  </si>
  <si>
    <t xml:space="preserve">Correo electrónico del usuario de la conversación.</t>
  </si>
  <si>
    <t xml:space="preserve">nombre + varchar(255) + índice</t>
  </si>
  <si>
    <t xml:space="preserve">C3612</t>
  </si>
  <si>
    <t xml:space="preserve">Mapeada en chatbot-service/src/modules/chat/entities/conversacion.entity.ts:22 (Conversacion.usuarioNombre) | Validación: IsOptional, IsString</t>
  </si>
  <si>
    <t xml:space="preserve">Nombre del usuario de la conversación.</t>
  </si>
  <si>
    <t xml:space="preserve">C3613</t>
  </si>
  <si>
    <t xml:space="preserve">Mapeada en chatbot-service/src/modules/chat/entities/conversacion.entity.ts:25 (Conversacion.titulo) | Validación: IsOptional, IsString</t>
  </si>
  <si>
    <t xml:space="preserve">Título de la conversación. Valor inicial: «Nueva conversación».</t>
  </si>
  <si>
    <t xml:space="preserve">nombre + defecto 'Nueva conversación'</t>
  </si>
  <si>
    <t xml:space="preserve">C3614</t>
  </si>
  <si>
    <t xml:space="preserve">Mapeada en chatbot-service/src/modules/chat/entities/conversacion.entity.ts:28 (Conversacion.contexto) | Validación: IsOptional, IsString</t>
  </si>
  <si>
    <t xml:space="preserve">Contexto o tema de la conversación con el asistente virtual. Valor inicial: general.</t>
  </si>
  <si>
    <t xml:space="preserve">nombre + varchar(100) con defecto 'general'</t>
  </si>
  <si>
    <t xml:space="preserve">¿Cuáles son los contextos posibles y se relacionan con chatbot.prompt_template?</t>
  </si>
  <si>
    <t xml:space="preserve">C3615</t>
  </si>
  <si>
    <t xml:space="preserve">metadatos</t>
  </si>
  <si>
    <t xml:space="preserve">Mapeada en chatbot-service/src/modules/chat/entities/conversacion.entity.ts:31 (Conversacion.metadatos) | Validación: IsOptional</t>
  </si>
  <si>
    <t xml:space="preserve">C3616</t>
  </si>
  <si>
    <t xml:space="preserve">Mapeada en chatbot-service/src/modules/chat/entities/conversacion.entity.ts:34 (Conversacion.isActivo)</t>
  </si>
  <si>
    <t xml:space="preserve">C3617</t>
  </si>
  <si>
    <t xml:space="preserve">assistant, system, user</t>
  </si>
  <si>
    <t xml:space="preserve">Mapeada en chatbot-service/src/modules/chat/entities/mensaje.entity.ts:25 (Mensaje.rol) | Validación: IsIn(['user', 'assistant', 'system']), IsOptional</t>
  </si>
  <si>
    <t xml:space="preserve">Autor del mensaje dentro de la conversación. Valores permitidos: assistant, system, user.</t>
  </si>
  <si>
    <t xml:space="preserve">C3618</t>
  </si>
  <si>
    <t xml:space="preserve">Mapeada en chatbot-service/src/modules/chat/entities/mensaje.entity.ts:28 (Mensaje.contenido) | Validación: IsNotEmpty, IsString</t>
  </si>
  <si>
    <t xml:space="preserve">Texto del mensaje.</t>
  </si>
  <si>
    <t xml:space="preserve">nombre + text not null</t>
  </si>
  <si>
    <t xml:space="preserve">C3619</t>
  </si>
  <si>
    <t xml:space="preserve">tokens</t>
  </si>
  <si>
    <t xml:space="preserve">Mapeada en chatbot-service/src/modules/chat/entities/mensaje.entity.ts:31 (Mensaje.tokens)</t>
  </si>
  <si>
    <t xml:space="preserve">Número de tokens del mensaje, según el modelo de lenguaje.</t>
  </si>
  <si>
    <t xml:space="preserve">nombre + integer con defecto 0 + contexto de asistente virtual</t>
  </si>
  <si>
    <t xml:space="preserve">¿Cuenta los tokens del mensaje o el consumo total de la llamada al modelo?</t>
  </si>
  <si>
    <t xml:space="preserve">C3620</t>
  </si>
  <si>
    <t xml:space="preserve">Mapeada en chatbot-service/src/modules/chat/entities/mensaje.entity.ts:34 (Mensaje.metadatos) | Validación: IsOptional</t>
  </si>
  <si>
    <t xml:space="preserve">C3621</t>
  </si>
  <si>
    <t xml:space="preserve">prompt_template</t>
  </si>
  <si>
    <t xml:space="preserve">prompt_template_codigo_key</t>
  </si>
  <si>
    <t xml:space="preserve">Código del registro de prompt_template. Único en la tabla.</t>
  </si>
  <si>
    <t xml:space="preserve">C3622</t>
  </si>
  <si>
    <t xml:space="preserve">Nombre del registro de prompt_template.</t>
  </si>
  <si>
    <t xml:space="preserve">C3623</t>
  </si>
  <si>
    <t xml:space="preserve">Descripción del registro de prompt_template.</t>
  </si>
  <si>
    <t xml:space="preserve">C3624</t>
  </si>
  <si>
    <t xml:space="preserve">system_prompt</t>
  </si>
  <si>
    <t xml:space="preserve">Texto de instrucciones de sistema (system prompt) que se envía al modelo de lenguaje con esta plantilla.</t>
  </si>
  <si>
    <t xml:space="preserve">nombre + text not null + tabla de plantillas</t>
  </si>
  <si>
    <t xml:space="preserve">C3625</t>
  </si>
  <si>
    <t xml:space="preserve">Objeto</t>
  </si>
  <si>
    <t xml:space="preserve">Tipo de objeto</t>
  </si>
  <si>
    <t xml:space="preserve">Líneas donde aparece la columna</t>
  </si>
  <si>
    <t xml:space="preserve">hiring.roles_del_modulo</t>
  </si>
  <si>
    <t xml:space="preserve">Vista</t>
  </si>
  <si>
    <t xml:space="preserve">trg_auth_personas_rund_document_immutable</t>
  </si>
  <si>
    <t xml:space="preserve">Trigger (UPDATE OF)</t>
  </si>
  <si>
    <t xml:space="preserve">control_interno.v_auditor_disponibilidad</t>
  </si>
  <si>
    <t xml:space="preserve">control_interno.v_auditorias_kanban_completo</t>
  </si>
  <si>
    <t xml:space="preserve">control_interno.fn_registrar_cambio_estado_auditoria</t>
  </si>
  <si>
    <t xml:space="preserve">Función</t>
  </si>
  <si>
    <t xml:space="preserve">SELECT id_person INTO v_usuario_id</t>
  </si>
  <si>
    <t xml:space="preserve">control_interno.fn_registrar_cambio_estado_plan_anual</t>
  </si>
  <si>
    <t xml:space="preserve">trg_validate_graduate_management_update</t>
  </si>
  <si>
    <t xml:space="preserve">academic_work_plan.prevent_rund_document_change</t>
  </si>
  <si>
    <t xml:space="preserve">AND s.estado = 'PENDIENTE'
AND j.estado = 'COMPLETADO'
AND doc.estado = 'ACTIVO'</t>
  </si>
  <si>
    <t xml:space="preserve">academic_registration.validate_graduate_management_update</t>
  </si>
  <si>
    <t xml:space="preserve">'El nombre completo debe tener entre 5 y 150 caracteres y solo puede contener letras, espacios, apostrofes y guiones.'
'El nombre solo puede contener letras, espacios, apostrofes y guiones.'</t>
  </si>
  <si>
    <t xml:space="preserve">control_interno.actualizar_contadores_documentos_informes</t>
  </si>
  <si>
    <t xml:space="preserve">-- Determinar el ID de la auditoría y el tipo de documento
-- Determinar si es un informe basado en el tipo de documento</t>
  </si>
  <si>
    <t xml:space="preserve">academic-schedule.reapuntar_grupos_por_equivalencia</t>
  </si>
  <si>
    <t xml:space="preserve">JOIN "academic-schedule".equivalencia_periodo e ON e.codigo_programacion = pp.codigo
JOIN academic_work_plan.periodo_academico pa    ON pa.codigo = e.codigo_periodo_academico</t>
  </si>
  <si>
    <t xml:space="preserve">control_interno.fn_configurar_actividad_auditorias_plan</t>
  </si>
  <si>
    <t xml:space="preserve">LOWER(a.nombre) LIKE '%auditoría%'
OR LOWER(a.nombre) LIKE '%auditoria%'
OR LOWER(a.nombre) LIKE '%programa de auditor%'</t>
  </si>
  <si>
    <t xml:space="preserve">JOIN academic_work_plan."Docente" d ON d.id::text = j.docente_id::text</t>
  </si>
  <si>
    <t xml:space="preserve">AND s.campo = 'documentNumber'</t>
  </si>
  <si>
    <t xml:space="preserve">AND regexp_replace(UPPER(BTRIM(s.valor)), '[^A-Z0-9]', '', 'g') =</t>
  </si>
  <si>
    <t xml:space="preserve">control_interno.v_auditorias_por_estado</t>
  </si>
  <si>
    <t xml:space="preserve">control_interno.trigger_evento_actualizacion_accion</t>
  </si>
  <si>
    <t xml:space="preserve">v_descripcion := 'Acción completada: ' || SUBSTRING(NEW.descripcion, 1, 100) ||
CASE WHEN LENGTH(NEW.descripcion) &gt; 100 THEN '...' ELSE '' END;
v_descripcion := 'Acción actualizada: ' || SUBSTRING(NEW.descripcion, 1, 100) ||</t>
  </si>
  <si>
    <t xml:space="preserve">control_interno.trigger_evento_creacion_accion</t>
  </si>
  <si>
    <t xml:space="preserve">'Nueva acción creada: ' || SUBSTRING(NEW.descripcion, 1, 100) ||
CASE WHEN LENGTH(NEW.descripcion) &gt; 100 THEN '...' ELSE '' END,</t>
  </si>
  <si>
    <t xml:space="preserve">-- Determinar el tipo de evento según lo que cambió</t>
  </si>
  <si>
    <t xml:space="preserve">NEW.responsable,  -- usar el campo responsable que es varchar</t>
  </si>
  <si>
    <t xml:space="preserve">ELSIF OLD.estado IS DISTINCT FROM NEW.estado THEN
v_tipo := 'ESTADO'::control_interno.tipo_evento_timeline;
v_descripcion := 'Estado de acción actualizado: ' || OLD.estado || ' → ' || NEW.estado;</t>
  </si>
  <si>
    <t xml:space="preserve">'estado', NEW.estado,</t>
  </si>
  <si>
    <t xml:space="preserve">IF OLD.porcentaje_avance IS DISTINCT FROM NEW.porcentaje_avance THEN
v_descripcion := 'Progreso actualizado: ' || OLD.porcentaje_avance || '% → ' || NEW.porcentaje_avance || '%';
'progreso_anterior', OLD.porcentaje_avance,</t>
  </si>
  <si>
    <t xml:space="preserve">'progreso', NEW.porcentaje_avance</t>
  </si>
  <si>
    <t xml:space="preserve">control_interno.fn_actualizar_cumplimiento_auditorias_vigencia</t>
  </si>
  <si>
    <t xml:space="preserve">INNER JOIN control_interno.plan_anual_5_roles p ON r.plan_id = p.id</t>
  </si>
  <si>
    <t xml:space="preserve">WHERE r.plan_id = p_plan_id
WHERE r.plan_id = p_plan_id
AND r.plan_id = p_plan_id</t>
  </si>
  <si>
    <t xml:space="preserve">control_interno.v_estado_vinculacion_auditorias</t>
  </si>
  <si>
    <t xml:space="preserve">estado = CASE</t>
  </si>
  <si>
    <t xml:space="preserve">porcentaje_avance = v_cumplimiento.porcentaje_cumplimiento,</t>
  </si>
  <si>
    <t xml:space="preserve">total_auditorias_programadas = v_cumplimiento.total_programadas,</t>
  </si>
  <si>
    <t xml:space="preserve">total_auditorias_finalizadas = v_cumplimiento.total_finalizadas,</t>
  </si>
  <si>
    <t xml:space="preserve">control_interno.actualizar_actividades_auditoria</t>
  </si>
  <si>
    <t xml:space="preserve">-- Obtener la fase actual de la auditoría
-- Si no hay fase, salir
-- Contar actividades de la fase actual de la auditoría</t>
  </si>
  <si>
    <t xml:space="preserve">SELECT COUNT(*), COUNT(*) FILTER (WHERE estado = 'completada')</t>
  </si>
  <si>
    <t xml:space="preserve">trigger_actualizar_actividades</t>
  </si>
  <si>
    <t xml:space="preserve">control_interno.trigger_evento_actualizacion_plan</t>
  </si>
  <si>
    <t xml:space="preserve">-- Solo registrar si cambió el estado
IF OLD.estado IS DISTINCT FROM NEW.estado THEN
WHEN NEW.estado = 'aprobado' THEN 'APROBACION'::control_interno.tipo_evento_timeline</t>
  </si>
  <si>
    <t xml:space="preserve">COALESCE(NEW.aprobado_por, NEW.responsable_implementacion),  -- usar aprobado_por si es aprobación, sino responsable_implementacion</t>
  </si>
  <si>
    <t xml:space="preserve">control_interno.v_auditorias_finalizadas</t>
  </si>
  <si>
    <t xml:space="preserve">control_interno.fn_calcular_cumplimiento_auditorias</t>
  </si>
  <si>
    <t xml:space="preserve">COALESCE(tipo, 'regular') AS tipo_grupo,
GROUP BY COALESCE(tipo, 'regular')</t>
  </si>
  <si>
    <t xml:space="preserve">control_interno.v_resumen_auditorias_por_año</t>
  </si>
  <si>
    <t xml:space="preserve">AND archivada = false
AND archivada = false</t>
  </si>
  <si>
    <t xml:space="preserve">control_interno.fn_vincular_auditorias_actividad</t>
  </si>
  <si>
    <t xml:space="preserve">AND archivada = false</t>
  </si>
  <si>
    <t xml:space="preserve">trg_actualizar_cumplimiento_auditorias</t>
  </si>
  <si>
    <t xml:space="preserve">total_documentos = COALESCE(total_docs, 0),</t>
  </si>
  <si>
    <t xml:space="preserve">total_informes = COALESCE(total_inf, 0),</t>
  </si>
  <si>
    <t xml:space="preserve">SET actividades_completas = (pendientes = 0),</t>
  </si>
  <si>
    <t xml:space="preserve">actividades_pendientes = pendientes</t>
  </si>
  <si>
    <t xml:space="preserve">v_tipo_documento := OLD.tipo_documento;
v_tipo_documento := NEW.tipo_documento;
AND d.tipo_documento IN ('informe_preliminar', 'informe_final', 'informe_ejecutivo')</t>
  </si>
  <si>
    <t xml:space="preserve">trigger_actualizar_contadores_documentos</t>
  </si>
  <si>
    <t xml:space="preserve">tipo_evento,</t>
  </si>
  <si>
    <t xml:space="preserve">fecha,</t>
  </si>
  <si>
    <t xml:space="preserve">hora,</t>
  </si>
  <si>
    <t xml:space="preserve">accion,</t>
  </si>
  <si>
    <t xml:space="preserve">descripcion,</t>
  </si>
  <si>
    <t xml:space="preserve">-- Manejar NULL: si estado_anterior es NULL, mostrar "Planeación" (estado inicial por defecto)
estado_anterior,</t>
  </si>
  <si>
    <t xml:space="preserve">estado_nuevo,</t>
  </si>
  <si>
    <t xml:space="preserve">usuario_id,</t>
  </si>
  <si>
    <t xml:space="preserve">estado_anterior,</t>
  </si>
  <si>
    <t xml:space="preserve">AND p.ano = p_año</t>
  </si>
  <si>
    <t xml:space="preserve">control_interno.fn_configurar_todos_planes_auditorias</t>
  </si>
  <si>
    <t xml:space="preserve">SELECT id, ano
ORDER BY ano DESC
v_actividad_id := control_interno.fn_configurar_actividad_auditorias_plan(v_plan.id, v_plan.ano::INTEGER);</t>
  </si>
  <si>
    <t xml:space="preserve">control_interno.trigger_evento_creacion_plan</t>
  </si>
  <si>
    <t xml:space="preserve">'area_responsable', NEW.area_responsable</t>
  </si>
  <si>
    <t xml:space="preserve">NEW.responsable_implementacion,  -- usar responsable_implementacion</t>
  </si>
  <si>
    <t xml:space="preserve">'estado_inicial', NEW.estado,</t>
  </si>
  <si>
    <t xml:space="preserve">'fecha_limite', NEW.fecha_limite,</t>
  </si>
  <si>
    <t xml:space="preserve">WHERE r.rol_numero = 4</t>
  </si>
  <si>
    <t xml:space="preserve">AND r.rol_numero = 4
AND r.rol_numero = 4</t>
  </si>
  <si>
    <t xml:space="preserve">porcentaje_avance = v_cumplimiento.porcentaje_cumplimiento,
WHEN v_cumplimiento.porcentaje_cumplimiento &gt;= 100 THEN 'completada'
WHEN v_cumplimiento.porcentaje_cumplimiento &gt; 0 THEN 'en-progreso'</t>
  </si>
  <si>
    <t xml:space="preserve">public.update_process_statistics</t>
  </si>
  <si>
    <t xml:space="preserve">-- Update drafts_count
SET drafts_count = (</t>
  </si>
  <si>
    <t xml:space="preserve">public.update_process_documents_count</t>
  </si>
  <si>
    <t xml:space="preserve">SET documents_count = (
SET documents_count = (</t>
  </si>
  <si>
    <t xml:space="preserve">requerimientos_oc.registrar_historial_requerimiento</t>
  </si>
  <si>
    <t xml:space="preserve">INSERT INTO historial_requerimientos (requerimiento_id, accion, descripcion, estado_anterior, estado_nuevo)</t>
  </si>
  <si>
    <t xml:space="preserve">audit.request_logs_stats</t>
  </si>
  <si>
    <t xml:space="preserve">JOIN academic_work_plan.periodo_academico pa    ON pa.codigo = e.codigo_periodo_academico</t>
  </si>
  <si>
    <t xml:space="preserve">tipo_oferta          = e.tipo_oferta,</t>
  </si>
  <si>
    <t xml:space="preserve">academic-schedule.fn_propagar_docente_a_franjas</t>
  </si>
  <si>
    <t xml:space="preserve">SET id_docente = NEW.id_docente</t>
  </si>
</sst>
</file>

<file path=xl/styles.xml><?xml version="1.0" encoding="utf-8"?>
<styleSheet xmlns="http://schemas.openxmlformats.org/spreadsheetml/2006/main">
  <numFmts count="3">
    <numFmt numFmtId="164" formatCode="General"/>
    <numFmt numFmtId="165" formatCode="0.0%"/>
    <numFmt numFmtId="166" formatCode="yyyy\-mm\-dd"/>
  </numFmts>
  <fonts count="15">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sz val="10"/>
      <color rgb="FF555555"/>
      <name val="Arial"/>
      <family val="0"/>
      <charset val="1"/>
    </font>
    <font>
      <b val="true"/>
      <sz val="11"/>
      <name val="Arial"/>
      <family val="0"/>
      <charset val="1"/>
    </font>
    <font>
      <sz val="10"/>
      <name val="Arial"/>
      <family val="0"/>
      <charset val="1"/>
    </font>
    <font>
      <i val="true"/>
      <sz val="10"/>
      <name val="Arial"/>
      <family val="0"/>
      <charset val="1"/>
    </font>
    <font>
      <sz val="9"/>
      <name val="Consolas"/>
      <family val="0"/>
      <charset val="1"/>
    </font>
    <font>
      <b val="true"/>
      <sz val="12"/>
      <color rgb="FF1F3A5F"/>
      <name val="Arial"/>
      <family val="0"/>
      <charset val="1"/>
    </font>
    <font>
      <b val="true"/>
      <sz val="10"/>
      <color rgb="FFFFFFFF"/>
      <name val="Arial"/>
      <family val="0"/>
      <charset val="1"/>
    </font>
    <font>
      <i val="true"/>
      <sz val="8"/>
      <color rgb="FF666666"/>
      <name val="Arial"/>
      <family val="0"/>
      <charset val="1"/>
    </font>
    <font>
      <b val="true"/>
      <sz val="10"/>
      <name val="Arial"/>
      <family val="0"/>
      <charset val="1"/>
    </font>
    <font>
      <sz val="9"/>
      <name val="Arial"/>
      <family val="0"/>
      <charset val="1"/>
    </font>
  </fonts>
  <fills count="5">
    <fill>
      <patternFill patternType="none"/>
    </fill>
    <fill>
      <patternFill patternType="gray125"/>
    </fill>
    <fill>
      <patternFill patternType="solid">
        <fgColor rgb="FF1F3A5F"/>
        <bgColor rgb="FF333399"/>
      </patternFill>
    </fill>
    <fill>
      <patternFill patternType="solid">
        <fgColor rgb="FF7A4E00"/>
        <bgColor rgb="FF555555"/>
      </patternFill>
    </fill>
    <fill>
      <patternFill patternType="solid">
        <fgColor rgb="FFFFF7D6"/>
        <bgColor rgb="FFFEF0C7"/>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bottom"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4" fillId="4" borderId="1" xfId="0" applyFont="true" applyBorder="true" applyAlignment="true" applyProtection="false">
      <alignment horizontal="general" vertical="top" textRotation="0" wrapText="true" indent="0" shrinkToFit="false"/>
      <protection locked="true" hidden="false"/>
    </xf>
    <xf numFmtId="166" fontId="14" fillId="4" borderId="1" xfId="0" applyFont="true" applyBorder="true" applyAlignment="true" applyProtection="false">
      <alignment horizontal="general" vertical="top" textRotation="0" wrapText="tru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B42318"/>
          <bgColor rgb="FF000000"/>
        </patternFill>
      </fill>
    </dxf>
    <dxf>
      <fill>
        <patternFill patternType="solid">
          <fgColor rgb="FF7A4E00"/>
          <bgColor rgb="FF000000"/>
        </patternFill>
      </fill>
    </dxf>
    <dxf>
      <fill>
        <patternFill patternType="solid">
          <fgColor rgb="FFFFF7D6"/>
          <bgColor rgb="FF000000"/>
        </patternFill>
      </fill>
    </dxf>
    <dxf>
      <fill>
        <patternFill>
          <bgColor rgb="FFD1FADF"/>
        </patternFill>
      </fill>
    </dxf>
    <dxf>
      <fill>
        <patternFill>
          <bgColor rgb="FFD1E9FF"/>
        </patternFill>
      </fill>
    </dxf>
    <dxf>
      <fill>
        <patternFill>
          <bgColor rgb="FFFEE4E2"/>
        </patternFill>
      </fill>
    </dxf>
    <dxf>
      <fill>
        <patternFill>
          <bgColor rgb="FFFEF0C7"/>
        </patternFill>
      </fill>
    </dxf>
    <dxf>
      <font>
        <name val="Arial"/>
        <charset val="1"/>
        <family val="0"/>
        <b val="1"/>
        <color rgb="FFB42318"/>
        <sz val="9"/>
      </font>
    </dxf>
    <dxf>
      <fill>
        <patternFill>
          <bgColor rgb="FFFDA29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A4E00"/>
      <rgbColor rgb="FF800080"/>
      <rgbColor rgb="FF008080"/>
      <rgbColor rgb="FFC0C0C0"/>
      <rgbColor rgb="FF808080"/>
      <rgbColor rgb="FF9999FF"/>
      <rgbColor rgb="FF993366"/>
      <rgbColor rgb="FFFFF7D6"/>
      <rgbColor rgb="FFD1E9FF"/>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D1FADF"/>
      <rgbColor rgb="FFFEF0C7"/>
      <rgbColor rgb="FF99CCFF"/>
      <rgbColor rgb="FFFDA29B"/>
      <rgbColor rgb="FFCC99FF"/>
      <rgbColor rgb="FFFEE4E2"/>
      <rgbColor rgb="FF3366FF"/>
      <rgbColor rgb="FF33CCCC"/>
      <rgbColor rgb="FF99CC00"/>
      <rgbColor rgb="FFFFCC00"/>
      <rgbColor rgb="FFFF9900"/>
      <rgbColor rgb="FFFF6600"/>
      <rgbColor rgb="FF666666"/>
      <rgbColor rgb="FF969696"/>
      <rgbColor rgb="FF1F3A5F"/>
      <rgbColor rgb="FF339966"/>
      <rgbColor rgb="FF003300"/>
      <rgbColor rgb="FF333300"/>
      <rgbColor rgb="FFB42318"/>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5" t="s">
        <v>3</v>
      </c>
    </row>
    <row r="6" customFormat="false" ht="23.85" hidden="false" customHeight="false" outlineLevel="0" collapsed="false">
      <c r="A6" s="5" t="s">
        <v>4</v>
      </c>
    </row>
    <row r="7" customFormat="false" ht="15" hidden="false" customHeight="false" outlineLevel="0" collapsed="false">
      <c r="A7" s="3"/>
    </row>
    <row r="8" customFormat="false" ht="15" hidden="false" customHeight="false" outlineLevel="0" collapsed="false">
      <c r="A8" s="4" t="s">
        <v>5</v>
      </c>
    </row>
    <row r="9" customFormat="false" ht="15" hidden="false" customHeight="false" outlineLevel="0" collapsed="false">
      <c r="A9" s="5" t="s">
        <v>6</v>
      </c>
    </row>
    <row r="10" customFormat="false" ht="15" hidden="false" customHeight="false" outlineLevel="0" collapsed="false">
      <c r="A10" s="5" t="s">
        <v>7</v>
      </c>
    </row>
    <row r="11" customFormat="false" ht="15" hidden="false" customHeight="false" outlineLevel="0" collapsed="false">
      <c r="A11" s="5" t="s">
        <v>8</v>
      </c>
    </row>
    <row r="12" customFormat="false" ht="15" hidden="false" customHeight="false" outlineLevel="0" collapsed="false">
      <c r="A12" s="5" t="s">
        <v>9</v>
      </c>
    </row>
    <row r="13" customFormat="false" ht="15" hidden="false" customHeight="false" outlineLevel="0" collapsed="false">
      <c r="A13" s="5" t="s">
        <v>10</v>
      </c>
    </row>
    <row r="14" customFormat="false" ht="15" hidden="false" customHeight="false" outlineLevel="0" collapsed="false">
      <c r="A14" s="5" t="s">
        <v>11</v>
      </c>
    </row>
    <row r="15" customFormat="false" ht="15" hidden="false" customHeight="false" outlineLevel="0" collapsed="false">
      <c r="A15" s="5" t="s">
        <v>12</v>
      </c>
    </row>
    <row r="16" customFormat="false" ht="23.85" hidden="false" customHeight="false" outlineLevel="0" collapsed="false">
      <c r="A16" s="6" t="s">
        <v>13</v>
      </c>
    </row>
    <row r="17" customFormat="false" ht="15" hidden="false" customHeight="false" outlineLevel="0" collapsed="false">
      <c r="A17" s="5" t="s">
        <v>14</v>
      </c>
    </row>
    <row r="18" customFormat="false" ht="15" hidden="false" customHeight="false" outlineLevel="0" collapsed="false">
      <c r="A18" s="3"/>
    </row>
    <row r="19" customFormat="false" ht="15" hidden="false" customHeight="false" outlineLevel="0" collapsed="false">
      <c r="A19" s="4" t="s">
        <v>15</v>
      </c>
    </row>
    <row r="20" customFormat="false" ht="15" hidden="false" customHeight="false" outlineLevel="0" collapsed="false">
      <c r="A20" s="5" t="s">
        <v>16</v>
      </c>
    </row>
    <row r="21" customFormat="false" ht="23.85" hidden="false" customHeight="false" outlineLevel="0" collapsed="false">
      <c r="A21" s="5" t="s">
        <v>17</v>
      </c>
    </row>
    <row r="22" customFormat="false" ht="23.85" hidden="false" customHeight="false" outlineLevel="0" collapsed="false">
      <c r="A22" s="5" t="s">
        <v>18</v>
      </c>
    </row>
    <row r="23" customFormat="false" ht="15" hidden="false" customHeight="false" outlineLevel="0" collapsed="false">
      <c r="A23" s="5" t="s">
        <v>19</v>
      </c>
    </row>
    <row r="24" customFormat="false" ht="15" hidden="false" customHeight="false" outlineLevel="0" collapsed="false">
      <c r="A24" s="5" t="s">
        <v>20</v>
      </c>
    </row>
    <row r="25" customFormat="false" ht="15" hidden="false" customHeight="false" outlineLevel="0" collapsed="false">
      <c r="A25" s="3"/>
    </row>
    <row r="26" customFormat="false" ht="15" hidden="false" customHeight="false" outlineLevel="0" collapsed="false">
      <c r="A26" s="4" t="s">
        <v>21</v>
      </c>
    </row>
    <row r="27" customFormat="false" ht="15" hidden="false" customHeight="false" outlineLevel="0" collapsed="false">
      <c r="A27" s="7" t="s">
        <v>22</v>
      </c>
    </row>
    <row r="28" customFormat="false" ht="15" hidden="false" customHeight="false" outlineLevel="0" collapsed="false">
      <c r="A28" s="5"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2"/>
    <col collapsed="false" customWidth="true" hidden="false" outlineLevel="0" max="8" min="3" style="0" width="12"/>
  </cols>
  <sheetData>
    <row r="1" customFormat="false" ht="17.35" hidden="false" customHeight="false" outlineLevel="0" collapsed="false">
      <c r="A1" s="8" t="s">
        <v>24</v>
      </c>
    </row>
    <row r="3" customFormat="false" ht="15" hidden="false" customHeight="false" outlineLevel="0" collapsed="false">
      <c r="A3" s="9" t="s">
        <v>25</v>
      </c>
    </row>
    <row r="4" customFormat="false" ht="15" hidden="false" customHeight="false" outlineLevel="0" collapsed="false">
      <c r="A4" s="10" t="s">
        <v>26</v>
      </c>
      <c r="B4" s="10" t="s">
        <v>27</v>
      </c>
    </row>
    <row r="5" customFormat="false" ht="15" hidden="false" customHeight="false" outlineLevel="0" collapsed="false">
      <c r="A5" s="11" t="s">
        <v>28</v>
      </c>
      <c r="B5" s="11" t="n">
        <f aca="false">COUNTA(Matriz!$A$2:$A$3626)</f>
        <v>3625</v>
      </c>
    </row>
    <row r="6" customFormat="false" ht="15" hidden="false" customHeight="false" outlineLevel="0" collapsed="false">
      <c r="A6" s="11" t="s">
        <v>29</v>
      </c>
      <c r="B6" s="11" t="n">
        <f aca="false">COUNTIF(Matriz!$V$2:$V$3626,"Pendiente")</f>
        <v>3625</v>
      </c>
    </row>
    <row r="7" customFormat="false" ht="15" hidden="false" customHeight="false" outlineLevel="0" collapsed="false">
      <c r="A7" s="11" t="s">
        <v>30</v>
      </c>
      <c r="B7" s="11" t="n">
        <f aca="false">COUNTIF(Matriz!$V$2:$V$3626,"Aprobada")</f>
        <v>0</v>
      </c>
    </row>
    <row r="8" customFormat="false" ht="15" hidden="false" customHeight="false" outlineLevel="0" collapsed="false">
      <c r="A8" s="11" t="s">
        <v>31</v>
      </c>
      <c r="B8" s="11" t="n">
        <f aca="false">COUNTIF(Matriz!$V$2:$V$3626,"Aprobada con ajuste")</f>
        <v>0</v>
      </c>
    </row>
    <row r="9" customFormat="false" ht="15" hidden="false" customHeight="false" outlineLevel="0" collapsed="false">
      <c r="A9" s="11" t="s">
        <v>32</v>
      </c>
      <c r="B9" s="11" t="n">
        <f aca="false">COUNTIF(Matriz!$V$2:$V$3626,"Rechazada")</f>
        <v>0</v>
      </c>
    </row>
    <row r="10" customFormat="false" ht="15" hidden="false" customHeight="false" outlineLevel="0" collapsed="false">
      <c r="A10" s="11" t="s">
        <v>33</v>
      </c>
      <c r="B10" s="11" t="n">
        <f aca="false">COUNTIF(Matriz!$V$2:$V$3626,"Requiere aclaración")</f>
        <v>0</v>
      </c>
    </row>
    <row r="11" customFormat="false" ht="15" hidden="false" customHeight="false" outlineLevel="0" collapsed="false">
      <c r="A11" s="11" t="s">
        <v>34</v>
      </c>
      <c r="B11" s="11" t="n">
        <f aca="false">B5-B6</f>
        <v>0</v>
      </c>
    </row>
    <row r="12" customFormat="false" ht="15" hidden="false" customHeight="false" outlineLevel="0" collapsed="false">
      <c r="A12" s="11" t="s">
        <v>35</v>
      </c>
      <c r="B12" s="12" t="n">
        <f aca="false">IF(B5=0,0,B11/B5)</f>
        <v>0</v>
      </c>
    </row>
    <row r="13" customFormat="false" ht="15" hidden="false" customHeight="false" outlineLevel="0" collapsed="false">
      <c r="A13" s="11" t="s">
        <v>36</v>
      </c>
      <c r="B13" s="11" t="n">
        <f aca="false">SUMPRODUCT(--(Matriz!$AA$2:$AA$3626&lt;&gt;""))</f>
        <v>0</v>
      </c>
    </row>
    <row r="14" customFormat="false" ht="15" hidden="false" customHeight="false" outlineLevel="0" collapsed="false">
      <c r="A14" s="11" t="s">
        <v>37</v>
      </c>
      <c r="B14" s="11" t="n">
        <f aca="false">SUMPRODUCT(((Matriz!$V$2:$V$3626="Aprobada con ajuste")+(Matriz!$V$2:$V$3626="Rechazada"))*(Matriz!$W$2:$W$3626=""))</f>
        <v>0</v>
      </c>
    </row>
    <row r="16" customFormat="false" ht="15" hidden="false" customHeight="false" outlineLevel="0" collapsed="false">
      <c r="A16" s="9" t="s">
        <v>38</v>
      </c>
    </row>
    <row r="17" customFormat="false" ht="15" hidden="false" customHeight="false" outlineLevel="0" collapsed="false">
      <c r="A17" s="10" t="s">
        <v>39</v>
      </c>
      <c r="B17" s="10" t="s">
        <v>27</v>
      </c>
    </row>
    <row r="18" customFormat="false" ht="15" hidden="false" customHeight="false" outlineLevel="0" collapsed="false">
      <c r="A18" s="11" t="s">
        <v>40</v>
      </c>
      <c r="B18" s="11" t="n">
        <v>5700</v>
      </c>
    </row>
    <row r="19" customFormat="false" ht="15" hidden="false" customHeight="false" outlineLevel="0" collapsed="false">
      <c r="A19" s="11" t="s">
        <v>41</v>
      </c>
      <c r="B19" s="11" t="n">
        <v>604</v>
      </c>
    </row>
    <row r="20" customFormat="false" ht="15" hidden="false" customHeight="false" outlineLevel="0" collapsed="false">
      <c r="A20" s="11" t="s">
        <v>42</v>
      </c>
      <c r="B20" s="11" t="n">
        <v>1471</v>
      </c>
    </row>
    <row r="21" customFormat="false" ht="15" hidden="false" customHeight="false" outlineLevel="0" collapsed="false">
      <c r="A21" s="11" t="s">
        <v>43</v>
      </c>
      <c r="B21" s="11" t="n">
        <f aca="false">B13</f>
        <v>0</v>
      </c>
    </row>
    <row r="22" customFormat="false" ht="15" hidden="false" customHeight="false" outlineLevel="0" collapsed="false">
      <c r="A22" s="11" t="s">
        <v>44</v>
      </c>
      <c r="B22" s="12" t="n">
        <f aca="false">(B19+B20)/B18</f>
        <v>0.364035087719298</v>
      </c>
    </row>
    <row r="23" customFormat="false" ht="15" hidden="false" customHeight="false" outlineLevel="0" collapsed="false">
      <c r="A23" s="11" t="s">
        <v>45</v>
      </c>
      <c r="B23" s="12" t="n">
        <f aca="false">(B19+B20+B21)/B18</f>
        <v>0.364035087719298</v>
      </c>
    </row>
    <row r="24" customFormat="false" ht="15" hidden="false" customHeight="false" outlineLevel="0" collapsed="false">
      <c r="A24" s="11" t="s">
        <v>46</v>
      </c>
      <c r="B24" s="11" t="n">
        <f aca="false">MAX(0,ROUNDUP(0.95*B18,0)-(B19+B20+B21))</f>
        <v>3340</v>
      </c>
    </row>
    <row r="25" customFormat="false" ht="15" hidden="false" customHeight="false" outlineLevel="0" collapsed="false">
      <c r="A25" s="13" t="s">
        <v>47</v>
      </c>
    </row>
    <row r="27" customFormat="false" ht="15" hidden="false" customHeight="false" outlineLevel="0" collapsed="false">
      <c r="A27" s="9" t="s">
        <v>48</v>
      </c>
    </row>
    <row r="28" customFormat="false" ht="15" hidden="false" customHeight="false" outlineLevel="0" collapsed="false">
      <c r="A28" s="10" t="s">
        <v>49</v>
      </c>
      <c r="B28" s="10" t="s">
        <v>50</v>
      </c>
      <c r="C28" s="10" t="s">
        <v>51</v>
      </c>
      <c r="D28" s="10" t="s">
        <v>52</v>
      </c>
      <c r="E28" s="10" t="s">
        <v>53</v>
      </c>
      <c r="F28" s="10" t="s">
        <v>54</v>
      </c>
      <c r="G28" s="10" t="s">
        <v>55</v>
      </c>
      <c r="H28" s="10" t="s">
        <v>35</v>
      </c>
    </row>
    <row r="29" customFormat="false" ht="15" hidden="false" customHeight="false" outlineLevel="0" collapsed="false">
      <c r="A29" s="11" t="s">
        <v>56</v>
      </c>
      <c r="B29" s="11" t="s">
        <v>57</v>
      </c>
      <c r="C29" s="11" t="n">
        <f aca="false">COUNTIF(Matriz!$C$2:$C$3626,B29)</f>
        <v>188</v>
      </c>
      <c r="D29" s="11" t="n">
        <f aca="false">COUNTIFS(Matriz!$C$2:$C$3626,B29,Matriz!$V$2:$V$3626,"Aprobada")+COUNTIFS(Matriz!$C$2:$C$3626,B29,Matriz!$V$2:$V$3626,"Aprobada con ajuste")</f>
        <v>0</v>
      </c>
      <c r="E29" s="11" t="n">
        <f aca="false">COUNTIFS(Matriz!$C$2:$C$3626,B29,Matriz!$V$2:$V$3626,"Rechazada")</f>
        <v>0</v>
      </c>
      <c r="F29" s="11" t="n">
        <f aca="false">COUNTIFS(Matriz!$C$2:$C$3626,B29,Matriz!$V$2:$V$3626,"Requiere aclaración")</f>
        <v>0</v>
      </c>
      <c r="G29" s="11" t="n">
        <f aca="false">COUNTIFS(Matriz!$C$2:$C$3626,B29,Matriz!$V$2:$V$3626,"Pendiente")</f>
        <v>188</v>
      </c>
      <c r="H29" s="12" t="n">
        <f aca="false">IF(C29=0,0,(C29-G29)/C29)</f>
        <v>0</v>
      </c>
    </row>
    <row r="30" customFormat="false" ht="15" hidden="false" customHeight="false" outlineLevel="0" collapsed="false">
      <c r="A30" s="11" t="s">
        <v>58</v>
      </c>
      <c r="B30" s="11" t="s">
        <v>59</v>
      </c>
      <c r="C30" s="11" t="n">
        <f aca="false">COUNTIF(Matriz!$C$2:$C$3626,B30)</f>
        <v>124</v>
      </c>
      <c r="D30" s="11" t="n">
        <f aca="false">COUNTIFS(Matriz!$C$2:$C$3626,B30,Matriz!$V$2:$V$3626,"Aprobada")+COUNTIFS(Matriz!$C$2:$C$3626,B30,Matriz!$V$2:$V$3626,"Aprobada con ajuste")</f>
        <v>0</v>
      </c>
      <c r="E30" s="11" t="n">
        <f aca="false">COUNTIFS(Matriz!$C$2:$C$3626,B30,Matriz!$V$2:$V$3626,"Rechazada")</f>
        <v>0</v>
      </c>
      <c r="F30" s="11" t="n">
        <f aca="false">COUNTIFS(Matriz!$C$2:$C$3626,B30,Matriz!$V$2:$V$3626,"Requiere aclaración")</f>
        <v>0</v>
      </c>
      <c r="G30" s="11" t="n">
        <f aca="false">COUNTIFS(Matriz!$C$2:$C$3626,B30,Matriz!$V$2:$V$3626,"Pendiente")</f>
        <v>124</v>
      </c>
      <c r="H30" s="12" t="n">
        <f aca="false">IF(C30=0,0,(C30-G30)/C30)</f>
        <v>0</v>
      </c>
    </row>
    <row r="31" customFormat="false" ht="15" hidden="false" customHeight="false" outlineLevel="0" collapsed="false">
      <c r="A31" s="11" t="s">
        <v>60</v>
      </c>
      <c r="B31" s="11" t="s">
        <v>61</v>
      </c>
      <c r="C31" s="11" t="n">
        <f aca="false">COUNTIF(Matriz!$C$2:$C$3626,B31)</f>
        <v>512</v>
      </c>
      <c r="D31" s="11" t="n">
        <f aca="false">COUNTIFS(Matriz!$C$2:$C$3626,B31,Matriz!$V$2:$V$3626,"Aprobada")+COUNTIFS(Matriz!$C$2:$C$3626,B31,Matriz!$V$2:$V$3626,"Aprobada con ajuste")</f>
        <v>0</v>
      </c>
      <c r="E31" s="11" t="n">
        <f aca="false">COUNTIFS(Matriz!$C$2:$C$3626,B31,Matriz!$V$2:$V$3626,"Rechazada")</f>
        <v>0</v>
      </c>
      <c r="F31" s="11" t="n">
        <f aca="false">COUNTIFS(Matriz!$C$2:$C$3626,B31,Matriz!$V$2:$V$3626,"Requiere aclaración")</f>
        <v>0</v>
      </c>
      <c r="G31" s="11" t="n">
        <f aca="false">COUNTIFS(Matriz!$C$2:$C$3626,B31,Matriz!$V$2:$V$3626,"Pendiente")</f>
        <v>512</v>
      </c>
      <c r="H31" s="12" t="n">
        <f aca="false">IF(C31=0,0,(C31-G31)/C31)</f>
        <v>0</v>
      </c>
    </row>
    <row r="32" customFormat="false" ht="15" hidden="false" customHeight="false" outlineLevel="0" collapsed="false">
      <c r="A32" s="11" t="s">
        <v>62</v>
      </c>
      <c r="B32" s="11" t="s">
        <v>63</v>
      </c>
      <c r="C32" s="11" t="n">
        <f aca="false">COUNTIF(Matriz!$C$2:$C$3626,B32)</f>
        <v>107</v>
      </c>
      <c r="D32" s="11" t="n">
        <f aca="false">COUNTIFS(Matriz!$C$2:$C$3626,B32,Matriz!$V$2:$V$3626,"Aprobada")+COUNTIFS(Matriz!$C$2:$C$3626,B32,Matriz!$V$2:$V$3626,"Aprobada con ajuste")</f>
        <v>0</v>
      </c>
      <c r="E32" s="11" t="n">
        <f aca="false">COUNTIFS(Matriz!$C$2:$C$3626,B32,Matriz!$V$2:$V$3626,"Rechazada")</f>
        <v>0</v>
      </c>
      <c r="F32" s="11" t="n">
        <f aca="false">COUNTIFS(Matriz!$C$2:$C$3626,B32,Matriz!$V$2:$V$3626,"Requiere aclaración")</f>
        <v>0</v>
      </c>
      <c r="G32" s="11" t="n">
        <f aca="false">COUNTIFS(Matriz!$C$2:$C$3626,B32,Matriz!$V$2:$V$3626,"Pendiente")</f>
        <v>107</v>
      </c>
      <c r="H32" s="12" t="n">
        <f aca="false">IF(C32=0,0,(C32-G32)/C32)</f>
        <v>0</v>
      </c>
    </row>
    <row r="33" customFormat="false" ht="15" hidden="false" customHeight="false" outlineLevel="0" collapsed="false">
      <c r="A33" s="11" t="s">
        <v>64</v>
      </c>
      <c r="B33" s="11" t="s">
        <v>65</v>
      </c>
      <c r="C33" s="11" t="n">
        <f aca="false">COUNTIF(Matriz!$C$2:$C$3626,B33)</f>
        <v>547</v>
      </c>
      <c r="D33" s="11" t="n">
        <f aca="false">COUNTIFS(Matriz!$C$2:$C$3626,B33,Matriz!$V$2:$V$3626,"Aprobada")+COUNTIFS(Matriz!$C$2:$C$3626,B33,Matriz!$V$2:$V$3626,"Aprobada con ajuste")</f>
        <v>0</v>
      </c>
      <c r="E33" s="11" t="n">
        <f aca="false">COUNTIFS(Matriz!$C$2:$C$3626,B33,Matriz!$V$2:$V$3626,"Rechazada")</f>
        <v>0</v>
      </c>
      <c r="F33" s="11" t="n">
        <f aca="false">COUNTIFS(Matriz!$C$2:$C$3626,B33,Matriz!$V$2:$V$3626,"Requiere aclaración")</f>
        <v>0</v>
      </c>
      <c r="G33" s="11" t="n">
        <f aca="false">COUNTIFS(Matriz!$C$2:$C$3626,B33,Matriz!$V$2:$V$3626,"Pendiente")</f>
        <v>547</v>
      </c>
      <c r="H33" s="12" t="n">
        <f aca="false">IF(C33=0,0,(C33-G33)/C33)</f>
        <v>0</v>
      </c>
    </row>
    <row r="34" customFormat="false" ht="15" hidden="false" customHeight="false" outlineLevel="0" collapsed="false">
      <c r="A34" s="11" t="s">
        <v>66</v>
      </c>
      <c r="B34" s="11" t="s">
        <v>67</v>
      </c>
      <c r="C34" s="11" t="n">
        <f aca="false">COUNTIF(Matriz!$C$2:$C$3626,B34)</f>
        <v>805</v>
      </c>
      <c r="D34" s="11" t="n">
        <f aca="false">COUNTIFS(Matriz!$C$2:$C$3626,B34,Matriz!$V$2:$V$3626,"Aprobada")+COUNTIFS(Matriz!$C$2:$C$3626,B34,Matriz!$V$2:$V$3626,"Aprobada con ajuste")</f>
        <v>0</v>
      </c>
      <c r="E34" s="11" t="n">
        <f aca="false">COUNTIFS(Matriz!$C$2:$C$3626,B34,Matriz!$V$2:$V$3626,"Rechazada")</f>
        <v>0</v>
      </c>
      <c r="F34" s="11" t="n">
        <f aca="false">COUNTIFS(Matriz!$C$2:$C$3626,B34,Matriz!$V$2:$V$3626,"Requiere aclaración")</f>
        <v>0</v>
      </c>
      <c r="G34" s="11" t="n">
        <f aca="false">COUNTIFS(Matriz!$C$2:$C$3626,B34,Matriz!$V$2:$V$3626,"Pendiente")</f>
        <v>805</v>
      </c>
      <c r="H34" s="12" t="n">
        <f aca="false">IF(C34=0,0,(C34-G34)/C34)</f>
        <v>0</v>
      </c>
    </row>
    <row r="35" customFormat="false" ht="15" hidden="false" customHeight="false" outlineLevel="0" collapsed="false">
      <c r="A35" s="11" t="s">
        <v>68</v>
      </c>
      <c r="B35" s="11" t="s">
        <v>69</v>
      </c>
      <c r="C35" s="11" t="n">
        <f aca="false">COUNTIF(Matriz!$C$2:$C$3626,B35)</f>
        <v>206</v>
      </c>
      <c r="D35" s="11" t="n">
        <f aca="false">COUNTIFS(Matriz!$C$2:$C$3626,B35,Matriz!$V$2:$V$3626,"Aprobada")+COUNTIFS(Matriz!$C$2:$C$3626,B35,Matriz!$V$2:$V$3626,"Aprobada con ajuste")</f>
        <v>0</v>
      </c>
      <c r="E35" s="11" t="n">
        <f aca="false">COUNTIFS(Matriz!$C$2:$C$3626,B35,Matriz!$V$2:$V$3626,"Rechazada")</f>
        <v>0</v>
      </c>
      <c r="F35" s="11" t="n">
        <f aca="false">COUNTIFS(Matriz!$C$2:$C$3626,B35,Matriz!$V$2:$V$3626,"Requiere aclaración")</f>
        <v>0</v>
      </c>
      <c r="G35" s="11" t="n">
        <f aca="false">COUNTIFS(Matriz!$C$2:$C$3626,B35,Matriz!$V$2:$V$3626,"Pendiente")</f>
        <v>206</v>
      </c>
      <c r="H35" s="12" t="n">
        <f aca="false">IF(C35=0,0,(C35-G35)/C35)</f>
        <v>0</v>
      </c>
    </row>
    <row r="36" customFormat="false" ht="15" hidden="false" customHeight="false" outlineLevel="0" collapsed="false">
      <c r="A36" s="11" t="s">
        <v>70</v>
      </c>
      <c r="B36" s="11" t="s">
        <v>71</v>
      </c>
      <c r="C36" s="11" t="n">
        <f aca="false">COUNTIF(Matriz!$C$2:$C$3626,B36)</f>
        <v>70</v>
      </c>
      <c r="D36" s="11" t="n">
        <f aca="false">COUNTIFS(Matriz!$C$2:$C$3626,B36,Matriz!$V$2:$V$3626,"Aprobada")+COUNTIFS(Matriz!$C$2:$C$3626,B36,Matriz!$V$2:$V$3626,"Aprobada con ajuste")</f>
        <v>0</v>
      </c>
      <c r="E36" s="11" t="n">
        <f aca="false">COUNTIFS(Matriz!$C$2:$C$3626,B36,Matriz!$V$2:$V$3626,"Rechazada")</f>
        <v>0</v>
      </c>
      <c r="F36" s="11" t="n">
        <f aca="false">COUNTIFS(Matriz!$C$2:$C$3626,B36,Matriz!$V$2:$V$3626,"Requiere aclaración")</f>
        <v>0</v>
      </c>
      <c r="G36" s="11" t="n">
        <f aca="false">COUNTIFS(Matriz!$C$2:$C$3626,B36,Matriz!$V$2:$V$3626,"Pendiente")</f>
        <v>70</v>
      </c>
      <c r="H36" s="12" t="n">
        <f aca="false">IF(C36=0,0,(C36-G36)/C36)</f>
        <v>0</v>
      </c>
    </row>
    <row r="37" customFormat="false" ht="15" hidden="false" customHeight="false" outlineLevel="0" collapsed="false">
      <c r="A37" s="11" t="s">
        <v>72</v>
      </c>
      <c r="B37" s="11" t="s">
        <v>73</v>
      </c>
      <c r="C37" s="11" t="n">
        <f aca="false">COUNTIF(Matriz!$C$2:$C$3626,B37)</f>
        <v>24</v>
      </c>
      <c r="D37" s="11" t="n">
        <f aca="false">COUNTIFS(Matriz!$C$2:$C$3626,B37,Matriz!$V$2:$V$3626,"Aprobada")+COUNTIFS(Matriz!$C$2:$C$3626,B37,Matriz!$V$2:$V$3626,"Aprobada con ajuste")</f>
        <v>0</v>
      </c>
      <c r="E37" s="11" t="n">
        <f aca="false">COUNTIFS(Matriz!$C$2:$C$3626,B37,Matriz!$V$2:$V$3626,"Rechazada")</f>
        <v>0</v>
      </c>
      <c r="F37" s="11" t="n">
        <f aca="false">COUNTIFS(Matriz!$C$2:$C$3626,B37,Matriz!$V$2:$V$3626,"Requiere aclaración")</f>
        <v>0</v>
      </c>
      <c r="G37" s="11" t="n">
        <f aca="false">COUNTIFS(Matriz!$C$2:$C$3626,B37,Matriz!$V$2:$V$3626,"Pendiente")</f>
        <v>24</v>
      </c>
      <c r="H37" s="12" t="n">
        <f aca="false">IF(C37=0,0,(C37-G37)/C37)</f>
        <v>0</v>
      </c>
    </row>
    <row r="38" customFormat="false" ht="15" hidden="false" customHeight="false" outlineLevel="0" collapsed="false">
      <c r="A38" s="11" t="s">
        <v>74</v>
      </c>
      <c r="B38" s="11" t="s">
        <v>75</v>
      </c>
      <c r="C38" s="11" t="n">
        <f aca="false">COUNTIF(Matriz!$C$2:$C$3626,B38)</f>
        <v>23</v>
      </c>
      <c r="D38" s="11" t="n">
        <f aca="false">COUNTIFS(Matriz!$C$2:$C$3626,B38,Matriz!$V$2:$V$3626,"Aprobada")+COUNTIFS(Matriz!$C$2:$C$3626,B38,Matriz!$V$2:$V$3626,"Aprobada con ajuste")</f>
        <v>0</v>
      </c>
      <c r="E38" s="11" t="n">
        <f aca="false">COUNTIFS(Matriz!$C$2:$C$3626,B38,Matriz!$V$2:$V$3626,"Rechazada")</f>
        <v>0</v>
      </c>
      <c r="F38" s="11" t="n">
        <f aca="false">COUNTIFS(Matriz!$C$2:$C$3626,B38,Matriz!$V$2:$V$3626,"Requiere aclaración")</f>
        <v>0</v>
      </c>
      <c r="G38" s="11" t="n">
        <f aca="false">COUNTIFS(Matriz!$C$2:$C$3626,B38,Matriz!$V$2:$V$3626,"Pendiente")</f>
        <v>23</v>
      </c>
      <c r="H38" s="12" t="n">
        <f aca="false">IF(C38=0,0,(C38-G38)/C38)</f>
        <v>0</v>
      </c>
    </row>
    <row r="39" customFormat="false" ht="15" hidden="false" customHeight="false" outlineLevel="0" collapsed="false">
      <c r="A39" s="11" t="s">
        <v>76</v>
      </c>
      <c r="B39" s="11" t="s">
        <v>77</v>
      </c>
      <c r="C39" s="11" t="n">
        <f aca="false">COUNTIF(Matriz!$C$2:$C$3626,B39)</f>
        <v>14</v>
      </c>
      <c r="D39" s="11" t="n">
        <f aca="false">COUNTIFS(Matriz!$C$2:$C$3626,B39,Matriz!$V$2:$V$3626,"Aprobada")+COUNTIFS(Matriz!$C$2:$C$3626,B39,Matriz!$V$2:$V$3626,"Aprobada con ajuste")</f>
        <v>0</v>
      </c>
      <c r="E39" s="11" t="n">
        <f aca="false">COUNTIFS(Matriz!$C$2:$C$3626,B39,Matriz!$V$2:$V$3626,"Rechazada")</f>
        <v>0</v>
      </c>
      <c r="F39" s="11" t="n">
        <f aca="false">COUNTIFS(Matriz!$C$2:$C$3626,B39,Matriz!$V$2:$V$3626,"Requiere aclaración")</f>
        <v>0</v>
      </c>
      <c r="G39" s="11" t="n">
        <f aca="false">COUNTIFS(Matriz!$C$2:$C$3626,B39,Matriz!$V$2:$V$3626,"Pendiente")</f>
        <v>14</v>
      </c>
      <c r="H39" s="12" t="n">
        <f aca="false">IF(C39=0,0,(C39-G39)/C39)</f>
        <v>0</v>
      </c>
    </row>
    <row r="40" customFormat="false" ht="15" hidden="false" customHeight="false" outlineLevel="0" collapsed="false">
      <c r="A40" s="11" t="s">
        <v>78</v>
      </c>
      <c r="B40" s="11" t="s">
        <v>79</v>
      </c>
      <c r="C40" s="11" t="n">
        <f aca="false">COUNTIF(Matriz!$C$2:$C$3626,B40)</f>
        <v>93</v>
      </c>
      <c r="D40" s="11" t="n">
        <f aca="false">COUNTIFS(Matriz!$C$2:$C$3626,B40,Matriz!$V$2:$V$3626,"Aprobada")+COUNTIFS(Matriz!$C$2:$C$3626,B40,Matriz!$V$2:$V$3626,"Aprobada con ajuste")</f>
        <v>0</v>
      </c>
      <c r="E40" s="11" t="n">
        <f aca="false">COUNTIFS(Matriz!$C$2:$C$3626,B40,Matriz!$V$2:$V$3626,"Rechazada")</f>
        <v>0</v>
      </c>
      <c r="F40" s="11" t="n">
        <f aca="false">COUNTIFS(Matriz!$C$2:$C$3626,B40,Matriz!$V$2:$V$3626,"Requiere aclaración")</f>
        <v>0</v>
      </c>
      <c r="G40" s="11" t="n">
        <f aca="false">COUNTIFS(Matriz!$C$2:$C$3626,B40,Matriz!$V$2:$V$3626,"Pendiente")</f>
        <v>93</v>
      </c>
      <c r="H40" s="12" t="n">
        <f aca="false">IF(C40=0,0,(C40-G40)/C40)</f>
        <v>0</v>
      </c>
    </row>
    <row r="41" customFormat="false" ht="15" hidden="false" customHeight="false" outlineLevel="0" collapsed="false">
      <c r="A41" s="11" t="s">
        <v>80</v>
      </c>
      <c r="B41" s="11" t="s">
        <v>81</v>
      </c>
      <c r="C41" s="11" t="n">
        <f aca="false">COUNTIF(Matriz!$C$2:$C$3626,B41)</f>
        <v>569</v>
      </c>
      <c r="D41" s="11" t="n">
        <f aca="false">COUNTIFS(Matriz!$C$2:$C$3626,B41,Matriz!$V$2:$V$3626,"Aprobada")+COUNTIFS(Matriz!$C$2:$C$3626,B41,Matriz!$V$2:$V$3626,"Aprobada con ajuste")</f>
        <v>0</v>
      </c>
      <c r="E41" s="11" t="n">
        <f aca="false">COUNTIFS(Matriz!$C$2:$C$3626,B41,Matriz!$V$2:$V$3626,"Rechazada")</f>
        <v>0</v>
      </c>
      <c r="F41" s="11" t="n">
        <f aca="false">COUNTIFS(Matriz!$C$2:$C$3626,B41,Matriz!$V$2:$V$3626,"Requiere aclaración")</f>
        <v>0</v>
      </c>
      <c r="G41" s="11" t="n">
        <f aca="false">COUNTIFS(Matriz!$C$2:$C$3626,B41,Matriz!$V$2:$V$3626,"Pendiente")</f>
        <v>569</v>
      </c>
      <c r="H41" s="12" t="n">
        <f aca="false">IF(C41=0,0,(C41-G41)/C41)</f>
        <v>0</v>
      </c>
    </row>
    <row r="42" customFormat="false" ht="15" hidden="false" customHeight="false" outlineLevel="0" collapsed="false">
      <c r="A42" s="11" t="s">
        <v>82</v>
      </c>
      <c r="B42" s="11" t="s">
        <v>83</v>
      </c>
      <c r="C42" s="11" t="n">
        <f aca="false">COUNTIF(Matriz!$C$2:$C$3626,B42)</f>
        <v>241</v>
      </c>
      <c r="D42" s="11" t="n">
        <f aca="false">COUNTIFS(Matriz!$C$2:$C$3626,B42,Matriz!$V$2:$V$3626,"Aprobada")+COUNTIFS(Matriz!$C$2:$C$3626,B42,Matriz!$V$2:$V$3626,"Aprobada con ajuste")</f>
        <v>0</v>
      </c>
      <c r="E42" s="11" t="n">
        <f aca="false">COUNTIFS(Matriz!$C$2:$C$3626,B42,Matriz!$V$2:$V$3626,"Rechazada")</f>
        <v>0</v>
      </c>
      <c r="F42" s="11" t="n">
        <f aca="false">COUNTIFS(Matriz!$C$2:$C$3626,B42,Matriz!$V$2:$V$3626,"Requiere aclaración")</f>
        <v>0</v>
      </c>
      <c r="G42" s="11" t="n">
        <f aca="false">COUNTIFS(Matriz!$C$2:$C$3626,B42,Matriz!$V$2:$V$3626,"Pendiente")</f>
        <v>241</v>
      </c>
      <c r="H42" s="12" t="n">
        <f aca="false">IF(C42=0,0,(C42-G42)/C42)</f>
        <v>0</v>
      </c>
    </row>
    <row r="43" customFormat="false" ht="15" hidden="false" customHeight="false" outlineLevel="0" collapsed="false">
      <c r="A43" s="11" t="s">
        <v>84</v>
      </c>
      <c r="B43" s="11" t="s">
        <v>85</v>
      </c>
      <c r="C43" s="11" t="n">
        <f aca="false">COUNTIF(Matriz!$C$2:$C$3626,B43)</f>
        <v>86</v>
      </c>
      <c r="D43" s="11" t="n">
        <f aca="false">COUNTIFS(Matriz!$C$2:$C$3626,B43,Matriz!$V$2:$V$3626,"Aprobada")+COUNTIFS(Matriz!$C$2:$C$3626,B43,Matriz!$V$2:$V$3626,"Aprobada con ajuste")</f>
        <v>0</v>
      </c>
      <c r="E43" s="11" t="n">
        <f aca="false">COUNTIFS(Matriz!$C$2:$C$3626,B43,Matriz!$V$2:$V$3626,"Rechazada")</f>
        <v>0</v>
      </c>
      <c r="F43" s="11" t="n">
        <f aca="false">COUNTIFS(Matriz!$C$2:$C$3626,B43,Matriz!$V$2:$V$3626,"Requiere aclaración")</f>
        <v>0</v>
      </c>
      <c r="G43" s="11" t="n">
        <f aca="false">COUNTIFS(Matriz!$C$2:$C$3626,B43,Matriz!$V$2:$V$3626,"Pendiente")</f>
        <v>86</v>
      </c>
      <c r="H43" s="12" t="n">
        <f aca="false">IF(C43=0,0,(C43-G43)/C43)</f>
        <v>0</v>
      </c>
    </row>
    <row r="44" customFormat="false" ht="15" hidden="false" customHeight="false" outlineLevel="0" collapsed="false">
      <c r="A44" s="11" t="s">
        <v>86</v>
      </c>
      <c r="B44" s="11" t="s">
        <v>87</v>
      </c>
      <c r="C44" s="11" t="n">
        <f aca="false">COUNTIF(Matriz!$C$2:$C$3626,B44)</f>
        <v>16</v>
      </c>
      <c r="D44" s="11" t="n">
        <f aca="false">COUNTIFS(Matriz!$C$2:$C$3626,B44,Matriz!$V$2:$V$3626,"Aprobada")+COUNTIFS(Matriz!$C$2:$C$3626,B44,Matriz!$V$2:$V$3626,"Aprobada con ajuste")</f>
        <v>0</v>
      </c>
      <c r="E44" s="11" t="n">
        <f aca="false">COUNTIFS(Matriz!$C$2:$C$3626,B44,Matriz!$V$2:$V$3626,"Rechazada")</f>
        <v>0</v>
      </c>
      <c r="F44" s="11" t="n">
        <f aca="false">COUNTIFS(Matriz!$C$2:$C$3626,B44,Matriz!$V$2:$V$3626,"Requiere aclaración")</f>
        <v>0</v>
      </c>
      <c r="G44" s="11" t="n">
        <f aca="false">COUNTIFS(Matriz!$C$2:$C$3626,B44,Matriz!$V$2:$V$3626,"Pendiente")</f>
        <v>16</v>
      </c>
      <c r="H44" s="12" t="n">
        <f aca="false">IF(C44=0,0,(C44-G44)/C44)</f>
        <v>0</v>
      </c>
    </row>
    <row r="45" customFormat="false" ht="15" hidden="false" customHeight="false" outlineLevel="0" collapsed="false">
      <c r="A45" s="14" t="s">
        <v>88</v>
      </c>
      <c r="B45" s="14"/>
      <c r="C45" s="14" t="n">
        <f aca="false">SUM(C29:C44)</f>
        <v>3625</v>
      </c>
      <c r="D45" s="14" t="n">
        <f aca="false">SUM(D29:D44)</f>
        <v>0</v>
      </c>
      <c r="E45" s="14" t="n">
        <f aca="false">SUM(E29:E44)</f>
        <v>0</v>
      </c>
      <c r="F45" s="14" t="n">
        <f aca="false">SUM(F29:F44)</f>
        <v>0</v>
      </c>
      <c r="G45" s="14" t="n">
        <f aca="false">SUM(G29:G44)</f>
        <v>3625</v>
      </c>
      <c r="H45" s="15" t="n">
        <f aca="false">IF(C45=0,0,(C45-G45)/C45)</f>
        <v>0</v>
      </c>
    </row>
    <row r="47" customFormat="false" ht="15" hidden="false" customHeight="false" outlineLevel="0" collapsed="false">
      <c r="A47" s="9" t="s">
        <v>89</v>
      </c>
    </row>
    <row r="48" customFormat="false" ht="15" hidden="false" customHeight="false" outlineLevel="0" collapsed="false">
      <c r="A48" s="10" t="s">
        <v>90</v>
      </c>
      <c r="B48" s="10" t="s">
        <v>51</v>
      </c>
      <c r="C48" s="10" t="s">
        <v>52</v>
      </c>
      <c r="D48" s="10" t="s">
        <v>55</v>
      </c>
      <c r="E48" s="10" t="s">
        <v>35</v>
      </c>
    </row>
    <row r="49" customFormat="false" ht="15" hidden="false" customHeight="false" outlineLevel="0" collapsed="false">
      <c r="A49" s="11" t="s">
        <v>91</v>
      </c>
      <c r="B49" s="11" t="n">
        <f aca="false">COUNTIF(Matriz!$S$2:$S$3626,"Alta")</f>
        <v>1629</v>
      </c>
      <c r="C49" s="11" t="n">
        <f aca="false">COUNTIFS(Matriz!$S$2:$S$3626,"Alta",Matriz!$V$2:$V$3626,"Aprobada")+COUNTIFS(Matriz!$S$2:$S$3626,"Alta",Matriz!$V$2:$V$3626,"Aprobada con ajuste")</f>
        <v>0</v>
      </c>
      <c r="D49" s="11" t="n">
        <f aca="false">COUNTIFS(Matriz!$S$2:$S$3626,"Alta",Matriz!$V$2:$V$3626,"Pendiente")</f>
        <v>1629</v>
      </c>
      <c r="E49" s="12" t="n">
        <f aca="false">IF(B49=0,0,(B49-D49)/B49)</f>
        <v>0</v>
      </c>
    </row>
    <row r="50" customFormat="false" ht="15" hidden="false" customHeight="false" outlineLevel="0" collapsed="false">
      <c r="A50" s="11" t="s">
        <v>92</v>
      </c>
      <c r="B50" s="11" t="n">
        <f aca="false">COUNTIF(Matriz!$S$2:$S$3626,"Media")</f>
        <v>1892</v>
      </c>
      <c r="C50" s="11" t="n">
        <f aca="false">COUNTIFS(Matriz!$S$2:$S$3626,"Media",Matriz!$V$2:$V$3626,"Aprobada")+COUNTIFS(Matriz!$S$2:$S$3626,"Media",Matriz!$V$2:$V$3626,"Aprobada con ajuste")</f>
        <v>0</v>
      </c>
      <c r="D50" s="11" t="n">
        <f aca="false">COUNTIFS(Matriz!$S$2:$S$3626,"Media",Matriz!$V$2:$V$3626,"Pendiente")</f>
        <v>1892</v>
      </c>
      <c r="E50" s="12" t="n">
        <f aca="false">IF(B50=0,0,(B50-D50)/B50)</f>
        <v>0</v>
      </c>
    </row>
    <row r="51" customFormat="false" ht="15" hidden="false" customHeight="false" outlineLevel="0" collapsed="false">
      <c r="A51" s="11" t="s">
        <v>93</v>
      </c>
      <c r="B51" s="11" t="n">
        <f aca="false">COUNTIF(Matriz!$S$2:$S$3626,"Baja")</f>
        <v>104</v>
      </c>
      <c r="C51" s="11" t="n">
        <f aca="false">COUNTIFS(Matriz!$S$2:$S$3626,"Baja",Matriz!$V$2:$V$3626,"Aprobada")+COUNTIFS(Matriz!$S$2:$S$3626,"Baja",Matriz!$V$2:$V$3626,"Aprobada con ajuste")</f>
        <v>0</v>
      </c>
      <c r="D51" s="11" t="n">
        <f aca="false">COUNTIFS(Matriz!$S$2:$S$3626,"Baja",Matriz!$V$2:$V$3626,"Pendiente")</f>
        <v>104</v>
      </c>
      <c r="E51" s="12" t="n">
        <f aca="false">IF(B51=0,0,(B51-D51)/B51)</f>
        <v>0</v>
      </c>
    </row>
    <row r="52" customFormat="false" ht="15" hidden="false" customHeight="false" outlineLevel="0" collapsed="false">
      <c r="A52" s="11" t="s">
        <v>94</v>
      </c>
      <c r="B52" s="11" t="n">
        <f aca="false">COUNTIF(Matriz!$Q$2:$Q$3626,"Código fuente")</f>
        <v>866</v>
      </c>
      <c r="C52" s="11" t="n">
        <f aca="false">COUNTIFS(Matriz!$Q$2:$Q$3626,"Código fuente",Matriz!$V$2:$V$3626,"Aprobada")+COUNTIFS(Matriz!$Q$2:$Q$3626,"Código fuente",Matriz!$V$2:$V$3626,"Aprobada con ajuste")</f>
        <v>0</v>
      </c>
      <c r="D52" s="11" t="n">
        <f aca="false">COUNTIFS(Matriz!$Q$2:$Q$3626,"Código fuente",Matriz!$V$2:$V$3626,"Pendiente")</f>
        <v>866</v>
      </c>
      <c r="E52" s="12" t="n">
        <f aca="false">IF(B52=0,0,(B52-D52)/B52)</f>
        <v>0</v>
      </c>
    </row>
    <row r="53" customFormat="false" ht="15" hidden="false" customHeight="false" outlineLevel="0" collapsed="false">
      <c r="A53" s="11" t="s">
        <v>95</v>
      </c>
      <c r="B53" s="11" t="n">
        <f aca="false">COUNTIF(Matriz!$Q$2:$Q$3626,"Regla estructural")</f>
        <v>1047</v>
      </c>
      <c r="C53" s="11" t="n">
        <f aca="false">COUNTIFS(Matriz!$Q$2:$Q$3626,"Regla estructural",Matriz!$V$2:$V$3626,"Aprobada")+COUNTIFS(Matriz!$Q$2:$Q$3626,"Regla estructural",Matriz!$V$2:$V$3626,"Aprobada con ajuste")</f>
        <v>0</v>
      </c>
      <c r="D53" s="11" t="n">
        <f aca="false">COUNTIFS(Matriz!$Q$2:$Q$3626,"Regla estructural",Matriz!$V$2:$V$3626,"Pendiente")</f>
        <v>1047</v>
      </c>
      <c r="E53" s="12" t="n">
        <f aca="false">IF(B53=0,0,(B53-D53)/B53)</f>
        <v>0</v>
      </c>
    </row>
    <row r="54" customFormat="false" ht="15" hidden="false" customHeight="false" outlineLevel="0" collapsed="false">
      <c r="A54" s="11" t="s">
        <v>96</v>
      </c>
      <c r="B54" s="11" t="n">
        <f aca="false">COUNTIF(Matriz!$Q$2:$Q$3626,"Propuesta semántica")</f>
        <v>1712</v>
      </c>
      <c r="C54" s="11" t="n">
        <f aca="false">COUNTIFS(Matriz!$Q$2:$Q$3626,"Propuesta semántica",Matriz!$V$2:$V$3626,"Aprobada")+COUNTIFS(Matriz!$Q$2:$Q$3626,"Propuesta semántica",Matriz!$V$2:$V$3626,"Aprobada con ajuste")</f>
        <v>0</v>
      </c>
      <c r="D54" s="11" t="n">
        <f aca="false">COUNTIFS(Matriz!$Q$2:$Q$3626,"Propuesta semántica",Matriz!$V$2:$V$3626,"Pendiente")</f>
        <v>1712</v>
      </c>
      <c r="E54" s="12" t="n">
        <f aca="false">IF(B54=0,0,(B54-D54)/B54)</f>
        <v>0</v>
      </c>
    </row>
    <row r="55" customFormat="false" ht="15" hidden="false" customHeight="false" outlineLevel="0" collapsed="false">
      <c r="A55" s="11" t="s">
        <v>97</v>
      </c>
      <c r="B55" s="11" t="n">
        <f aca="false">COUNTIF(Matriz!$P$2:$P$3626,"?*")</f>
        <v>2941</v>
      </c>
      <c r="C55" s="11" t="n">
        <f aca="false">COUNTIFS(Matriz!$P$2:$P$3626,"?*",Matriz!$V$2:$V$3626,"Aprobada")+COUNTIFS(Matriz!$P$2:$P$3626,"?*",Matriz!$V$2:$V$3626,"Aprobada con ajuste")</f>
        <v>0</v>
      </c>
      <c r="D55" s="11" t="n">
        <f aca="false">COUNTIFS(Matriz!$P$2:$P$3626,"?*",Matriz!$V$2:$V$3626,"Pendiente")</f>
        <v>2941</v>
      </c>
      <c r="E55" s="12" t="n">
        <f aca="false">IF(B55=0,0,(B55-D55)/B55)</f>
        <v>0</v>
      </c>
    </row>
    <row r="56" customFormat="false" ht="15" hidden="false" customHeight="false" outlineLevel="0" collapsed="false">
      <c r="A56" s="11" t="s">
        <v>98</v>
      </c>
      <c r="B56" s="11" t="n">
        <f aca="false">COUNTIF(Matriz!$M$2:$M$3626,"Sí")</f>
        <v>142</v>
      </c>
      <c r="C56" s="11" t="n">
        <f aca="false">COUNTIFS(Matriz!$M$2:$M$3626,"Sí",Matriz!$V$2:$V$3626,"Aprobada")+COUNTIFS(Matriz!$M$2:$M$3626,"Sí",Matriz!$V$2:$V$3626,"Aprobada con ajuste")</f>
        <v>0</v>
      </c>
      <c r="D56" s="11" t="n">
        <f aca="false">COUNTIFS(Matriz!$M$2:$M$3626,"Sí",Matriz!$V$2:$V$3626,"Pendiente")</f>
        <v>142</v>
      </c>
      <c r="E56" s="12" t="n">
        <f aca="false">IF(B56=0,0,(B56-D56)/B56)</f>
        <v>0</v>
      </c>
    </row>
    <row r="57" customFormat="false" ht="15" hidden="false" customHeight="false" outlineLevel="0" collapsed="false">
      <c r="A57" s="11" t="s">
        <v>99</v>
      </c>
      <c r="B57" s="11" t="n">
        <f aca="false">COUNTIF(Matriz!$L$2:$L$3626,"Sí")</f>
        <v>388</v>
      </c>
      <c r="C57" s="11" t="n">
        <f aca="false">COUNTIFS(Matriz!$L$2:$L$3626,"Sí",Matriz!$V$2:$V$3626,"Aprobada")+COUNTIFS(Matriz!$L$2:$L$3626,"Sí",Matriz!$V$2:$V$3626,"Aprobada con ajuste")</f>
        <v>0</v>
      </c>
      <c r="D57" s="11" t="n">
        <f aca="false">COUNTIFS(Matriz!$L$2:$L$3626,"Sí",Matriz!$V$2:$V$3626,"Pendiente")</f>
        <v>388</v>
      </c>
      <c r="E57" s="12" t="n">
        <f aca="false">IF(B57=0,0,(B57-D57)/B57)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6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3" min="2" style="0" width="18"/>
    <col collapsed="false" customWidth="true" hidden="false" outlineLevel="0" max="4" min="4" style="0" width="24"/>
    <col collapsed="false" customWidth="true" hidden="false" outlineLevel="0" max="5" min="5" style="0" width="9"/>
    <col collapsed="false" customWidth="true" hidden="false" outlineLevel="0" max="6" min="6" style="0" width="24"/>
    <col collapsed="false" customWidth="true" hidden="false" outlineLevel="0" max="7" min="7" style="0" width="18"/>
    <col collapsed="false" customWidth="true" hidden="false" outlineLevel="0" max="8" min="8" style="0" width="8"/>
    <col collapsed="false" customWidth="true" hidden="false" outlineLevel="0" max="9" min="9" style="0" width="16"/>
    <col collapsed="false" customWidth="true" hidden="false" outlineLevel="0" max="11" min="10" style="0" width="26"/>
    <col collapsed="false" customWidth="true" hidden="false" outlineLevel="0" max="13" min="12" style="0" width="9"/>
    <col collapsed="false" customWidth="true" hidden="false" outlineLevel="0" max="14" min="14" style="0" width="40"/>
    <col collapsed="false" customWidth="true" hidden="false" outlineLevel="0" max="15" min="15" style="0" width="18"/>
    <col collapsed="false" customWidth="true" hidden="false" outlineLevel="0" max="16" min="16" style="0" width="50"/>
    <col collapsed="false" customWidth="true" hidden="false" outlineLevel="0" max="17" min="17" style="0" width="13"/>
    <col collapsed="false" customWidth="true" hidden="false" outlineLevel="0" max="18" min="18" style="0" width="46"/>
    <col collapsed="false" customWidth="true" hidden="false" outlineLevel="0" max="19" min="19" style="0" width="10"/>
    <col collapsed="false" customWidth="true" hidden="false" outlineLevel="0" max="21" min="20" style="0" width="34"/>
    <col collapsed="false" customWidth="true" hidden="false" outlineLevel="0" max="22" min="22" style="0" width="18"/>
    <col collapsed="false" customWidth="true" hidden="false" outlineLevel="0" max="23" min="23" style="0" width="40"/>
    <col collapsed="false" customWidth="true" hidden="false" outlineLevel="0" max="24" min="24" style="0" width="16"/>
    <col collapsed="false" customWidth="true" hidden="false" outlineLevel="0" max="25" min="25" style="0" width="12"/>
    <col collapsed="false" customWidth="true" hidden="false" outlineLevel="0" max="26" min="26" style="0" width="30"/>
    <col collapsed="false" customWidth="true" hidden="false" outlineLevel="0" max="27" min="27" style="0" width="40"/>
  </cols>
  <sheetData>
    <row r="1" customFormat="false" ht="33.75" hidden="false" customHeight="true" outlineLevel="0" collapsed="false">
      <c r="A1" s="16" t="s">
        <v>100</v>
      </c>
      <c r="B1" s="16" t="s">
        <v>49</v>
      </c>
      <c r="C1" s="16" t="s">
        <v>50</v>
      </c>
      <c r="D1" s="16" t="s">
        <v>101</v>
      </c>
      <c r="E1" s="16" t="s">
        <v>102</v>
      </c>
      <c r="F1" s="16" t="s">
        <v>103</v>
      </c>
      <c r="G1" s="16" t="s">
        <v>104</v>
      </c>
      <c r="H1" s="16" t="s">
        <v>105</v>
      </c>
      <c r="I1" s="16" t="s">
        <v>106</v>
      </c>
      <c r="J1" s="16" t="s">
        <v>107</v>
      </c>
      <c r="K1" s="16" t="s">
        <v>108</v>
      </c>
      <c r="L1" s="16" t="s">
        <v>109</v>
      </c>
      <c r="M1" s="16" t="s">
        <v>110</v>
      </c>
      <c r="N1" s="16" t="s">
        <v>111</v>
      </c>
      <c r="O1" s="16" t="s">
        <v>112</v>
      </c>
      <c r="P1" s="16" t="s">
        <v>113</v>
      </c>
      <c r="Q1" s="16" t="s">
        <v>114</v>
      </c>
      <c r="R1" s="16" t="s">
        <v>115</v>
      </c>
      <c r="S1" s="16" t="s">
        <v>116</v>
      </c>
      <c r="T1" s="16" t="s">
        <v>117</v>
      </c>
      <c r="U1" s="16" t="s">
        <v>118</v>
      </c>
      <c r="V1" s="17" t="s">
        <v>119</v>
      </c>
      <c r="W1" s="17" t="s">
        <v>120</v>
      </c>
      <c r="X1" s="17" t="s">
        <v>121</v>
      </c>
      <c r="Y1" s="17" t="s">
        <v>122</v>
      </c>
      <c r="Z1" s="17" t="s">
        <v>123</v>
      </c>
      <c r="AA1" s="17" t="s">
        <v>124</v>
      </c>
    </row>
    <row r="2" customFormat="false" ht="32.8" hidden="false" customHeight="false" outlineLevel="0" collapsed="false">
      <c r="A2" s="18" t="s">
        <v>125</v>
      </c>
      <c r="B2" s="18" t="s">
        <v>56</v>
      </c>
      <c r="C2" s="18" t="s">
        <v>57</v>
      </c>
      <c r="D2" s="18" t="s">
        <v>126</v>
      </c>
      <c r="E2" s="18" t="n">
        <v>5</v>
      </c>
      <c r="F2" s="18" t="s">
        <v>127</v>
      </c>
      <c r="G2" s="18" t="s">
        <v>128</v>
      </c>
      <c r="H2" s="18" t="s">
        <v>129</v>
      </c>
      <c r="I2" s="18"/>
      <c r="J2" s="18"/>
      <c r="K2" s="18"/>
      <c r="L2" s="18" t="s">
        <v>129</v>
      </c>
      <c r="M2" s="18" t="s">
        <v>129</v>
      </c>
      <c r="N2" s="18"/>
      <c r="O2" s="18"/>
      <c r="P2" s="18" t="s">
        <v>130</v>
      </c>
      <c r="Q2" s="18" t="s">
        <v>131</v>
      </c>
      <c r="R2" s="18" t="s">
        <v>132</v>
      </c>
      <c r="S2" s="18" t="s">
        <v>133</v>
      </c>
      <c r="T2" s="18" t="s">
        <v>134</v>
      </c>
      <c r="U2" s="18"/>
      <c r="V2" s="19" t="s">
        <v>29</v>
      </c>
      <c r="W2" s="19"/>
      <c r="X2" s="19"/>
      <c r="Y2" s="20"/>
      <c r="Z2" s="19"/>
      <c r="AA2" s="18" t="str">
        <f aca="false">IF(OR(V2="Aprobada"),R2,IF(AND(OR(V2="Aprobada con ajuste",V2="Rechazada"),W2&lt;&gt;""),W2,""))</f>
        <v/>
      </c>
    </row>
    <row r="3" customFormat="false" ht="22.35" hidden="false" customHeight="false" outlineLevel="0" collapsed="false">
      <c r="A3" s="18" t="s">
        <v>135</v>
      </c>
      <c r="B3" s="18" t="s">
        <v>56</v>
      </c>
      <c r="C3" s="18" t="s">
        <v>57</v>
      </c>
      <c r="D3" s="18" t="s">
        <v>126</v>
      </c>
      <c r="E3" s="18" t="n">
        <v>5</v>
      </c>
      <c r="F3" s="18" t="s">
        <v>136</v>
      </c>
      <c r="G3" s="18" t="s">
        <v>137</v>
      </c>
      <c r="H3" s="18" t="s">
        <v>129</v>
      </c>
      <c r="I3" s="18"/>
      <c r="J3" s="18"/>
      <c r="K3" s="18"/>
      <c r="L3" s="18" t="s">
        <v>129</v>
      </c>
      <c r="M3" s="18" t="s">
        <v>129</v>
      </c>
      <c r="N3" s="18"/>
      <c r="O3" s="18"/>
      <c r="P3" s="18"/>
      <c r="Q3" s="18" t="s">
        <v>138</v>
      </c>
      <c r="R3" s="18" t="s">
        <v>139</v>
      </c>
      <c r="S3" s="18" t="s">
        <v>140</v>
      </c>
      <c r="T3" s="18" t="s">
        <v>141</v>
      </c>
      <c r="U3" s="18"/>
      <c r="V3" s="19" t="s">
        <v>29</v>
      </c>
      <c r="W3" s="19"/>
      <c r="X3" s="19"/>
      <c r="Y3" s="20"/>
      <c r="Z3" s="19"/>
      <c r="AA3" s="18" t="str">
        <f aca="false">IF(OR(V3="Aprobada"),R3,IF(AND(OR(V3="Aprobada con ajuste",V3="Rechazada"),W3&lt;&gt;""),W3,""))</f>
        <v/>
      </c>
    </row>
    <row r="4" customFormat="false" ht="32.8" hidden="false" customHeight="false" outlineLevel="0" collapsed="false">
      <c r="A4" s="18" t="s">
        <v>142</v>
      </c>
      <c r="B4" s="18" t="s">
        <v>56</v>
      </c>
      <c r="C4" s="18" t="s">
        <v>57</v>
      </c>
      <c r="D4" s="18" t="s">
        <v>143</v>
      </c>
      <c r="E4" s="18" t="n">
        <v>17</v>
      </c>
      <c r="F4" s="18" t="s">
        <v>144</v>
      </c>
      <c r="G4" s="18" t="s">
        <v>145</v>
      </c>
      <c r="H4" s="18" t="s">
        <v>129</v>
      </c>
      <c r="I4" s="18" t="s">
        <v>146</v>
      </c>
      <c r="J4" s="18"/>
      <c r="K4" s="18"/>
      <c r="L4" s="18" t="s">
        <v>129</v>
      </c>
      <c r="M4" s="18" t="s">
        <v>129</v>
      </c>
      <c r="N4" s="18"/>
      <c r="O4" s="18" t="s">
        <v>147</v>
      </c>
      <c r="P4" s="18" t="s">
        <v>148</v>
      </c>
      <c r="Q4" s="18" t="s">
        <v>149</v>
      </c>
      <c r="R4" s="18" t="s">
        <v>150</v>
      </c>
      <c r="S4" s="18" t="s">
        <v>133</v>
      </c>
      <c r="T4" s="18" t="s">
        <v>151</v>
      </c>
      <c r="U4" s="18"/>
      <c r="V4" s="19" t="s">
        <v>29</v>
      </c>
      <c r="W4" s="19"/>
      <c r="X4" s="19"/>
      <c r="Y4" s="20"/>
      <c r="Z4" s="19"/>
      <c r="AA4" s="18" t="str">
        <f aca="false">IF(OR(V4="Aprobada"),R4,IF(AND(OR(V4="Aprobada con ajuste",V4="Rechazada"),W4&lt;&gt;""),W4,""))</f>
        <v/>
      </c>
    </row>
    <row r="5" customFormat="false" ht="43.25" hidden="false" customHeight="false" outlineLevel="0" collapsed="false">
      <c r="A5" s="18" t="s">
        <v>152</v>
      </c>
      <c r="B5" s="18" t="s">
        <v>56</v>
      </c>
      <c r="C5" s="18" t="s">
        <v>57</v>
      </c>
      <c r="D5" s="18" t="s">
        <v>143</v>
      </c>
      <c r="E5" s="18" t="n">
        <v>17</v>
      </c>
      <c r="F5" s="18" t="s">
        <v>153</v>
      </c>
      <c r="G5" s="18" t="s">
        <v>154</v>
      </c>
      <c r="H5" s="18" t="s">
        <v>129</v>
      </c>
      <c r="I5" s="18"/>
      <c r="J5" s="18"/>
      <c r="K5" s="18"/>
      <c r="L5" s="18" t="s">
        <v>129</v>
      </c>
      <c r="M5" s="18" t="s">
        <v>129</v>
      </c>
      <c r="N5" s="18"/>
      <c r="O5" s="18" t="s">
        <v>155</v>
      </c>
      <c r="P5" s="18" t="s">
        <v>156</v>
      </c>
      <c r="Q5" s="18" t="s">
        <v>149</v>
      </c>
      <c r="R5" s="18" t="s">
        <v>157</v>
      </c>
      <c r="S5" s="18" t="s">
        <v>133</v>
      </c>
      <c r="T5" s="18" t="s">
        <v>158</v>
      </c>
      <c r="U5" s="18"/>
      <c r="V5" s="19" t="s">
        <v>29</v>
      </c>
      <c r="W5" s="19"/>
      <c r="X5" s="19"/>
      <c r="Y5" s="20"/>
      <c r="Z5" s="19"/>
      <c r="AA5" s="18" t="str">
        <f aca="false">IF(OR(V5="Aprobada"),R5,IF(AND(OR(V5="Aprobada con ajuste",V5="Rechazada"),W5&lt;&gt;""),W5,""))</f>
        <v/>
      </c>
    </row>
    <row r="6" customFormat="false" ht="43.25" hidden="false" customHeight="false" outlineLevel="0" collapsed="false">
      <c r="A6" s="18" t="s">
        <v>159</v>
      </c>
      <c r="B6" s="18" t="s">
        <v>56</v>
      </c>
      <c r="C6" s="18" t="s">
        <v>57</v>
      </c>
      <c r="D6" s="18" t="s">
        <v>143</v>
      </c>
      <c r="E6" s="18" t="n">
        <v>17</v>
      </c>
      <c r="F6" s="18" t="s">
        <v>160</v>
      </c>
      <c r="G6" s="18" t="s">
        <v>161</v>
      </c>
      <c r="H6" s="18" t="s">
        <v>162</v>
      </c>
      <c r="I6" s="18"/>
      <c r="J6" s="18"/>
      <c r="K6" s="18"/>
      <c r="L6" s="18" t="s">
        <v>129</v>
      </c>
      <c r="M6" s="18" t="s">
        <v>129</v>
      </c>
      <c r="N6" s="18"/>
      <c r="O6" s="18"/>
      <c r="P6" s="18" t="s">
        <v>163</v>
      </c>
      <c r="Q6" s="18" t="s">
        <v>138</v>
      </c>
      <c r="R6" s="18" t="s">
        <v>164</v>
      </c>
      <c r="S6" s="18" t="s">
        <v>140</v>
      </c>
      <c r="T6" s="18" t="s">
        <v>141</v>
      </c>
      <c r="U6" s="18"/>
      <c r="V6" s="19" t="s">
        <v>29</v>
      </c>
      <c r="W6" s="19"/>
      <c r="X6" s="19"/>
      <c r="Y6" s="20"/>
      <c r="Z6" s="19"/>
      <c r="AA6" s="18" t="str">
        <f aca="false">IF(OR(V6="Aprobada"),R6,IF(AND(OR(V6="Aprobada con ajuste",V6="Rechazada"),W6&lt;&gt;""),W6,""))</f>
        <v/>
      </c>
    </row>
    <row r="7" customFormat="false" ht="32.8" hidden="false" customHeight="false" outlineLevel="0" collapsed="false">
      <c r="A7" s="18" t="s">
        <v>165</v>
      </c>
      <c r="B7" s="18" t="s">
        <v>56</v>
      </c>
      <c r="C7" s="18" t="s">
        <v>57</v>
      </c>
      <c r="D7" s="18" t="s">
        <v>143</v>
      </c>
      <c r="E7" s="18" t="n">
        <v>17</v>
      </c>
      <c r="F7" s="18" t="s">
        <v>166</v>
      </c>
      <c r="G7" s="18" t="s">
        <v>145</v>
      </c>
      <c r="H7" s="18" t="s">
        <v>162</v>
      </c>
      <c r="I7" s="18"/>
      <c r="J7" s="18"/>
      <c r="K7" s="18"/>
      <c r="L7" s="18" t="s">
        <v>129</v>
      </c>
      <c r="M7" s="18" t="s">
        <v>129</v>
      </c>
      <c r="N7" s="18"/>
      <c r="O7" s="18"/>
      <c r="P7" s="18" t="s">
        <v>167</v>
      </c>
      <c r="Q7" s="18" t="s">
        <v>149</v>
      </c>
      <c r="R7" s="18" t="s">
        <v>168</v>
      </c>
      <c r="S7" s="18" t="s">
        <v>140</v>
      </c>
      <c r="T7" s="18" t="s">
        <v>169</v>
      </c>
      <c r="U7" s="18" t="s">
        <v>170</v>
      </c>
      <c r="V7" s="19" t="s">
        <v>29</v>
      </c>
      <c r="W7" s="19"/>
      <c r="X7" s="19"/>
      <c r="Y7" s="20"/>
      <c r="Z7" s="19"/>
      <c r="AA7" s="18" t="str">
        <f aca="false">IF(OR(V7="Aprobada"),R7,IF(AND(OR(V7="Aprobada con ajuste",V7="Rechazada"),W7&lt;&gt;""),W7,""))</f>
        <v/>
      </c>
    </row>
    <row r="8" customFormat="false" ht="22.35" hidden="false" customHeight="false" outlineLevel="0" collapsed="false">
      <c r="A8" s="18" t="s">
        <v>171</v>
      </c>
      <c r="B8" s="18" t="s">
        <v>56</v>
      </c>
      <c r="C8" s="18" t="s">
        <v>57</v>
      </c>
      <c r="D8" s="18" t="s">
        <v>143</v>
      </c>
      <c r="E8" s="18" t="n">
        <v>17</v>
      </c>
      <c r="F8" s="18" t="s">
        <v>172</v>
      </c>
      <c r="G8" s="18" t="s">
        <v>173</v>
      </c>
      <c r="H8" s="18" t="s">
        <v>129</v>
      </c>
      <c r="I8" s="18"/>
      <c r="J8" s="18"/>
      <c r="K8" s="18"/>
      <c r="L8" s="18" t="s">
        <v>129</v>
      </c>
      <c r="M8" s="18" t="s">
        <v>129</v>
      </c>
      <c r="N8" s="18"/>
      <c r="O8" s="18" t="s">
        <v>174</v>
      </c>
      <c r="P8" s="18" t="s">
        <v>175</v>
      </c>
      <c r="Q8" s="18" t="s">
        <v>138</v>
      </c>
      <c r="R8" s="18" t="s">
        <v>176</v>
      </c>
      <c r="S8" s="18" t="s">
        <v>140</v>
      </c>
      <c r="T8" s="18" t="s">
        <v>141</v>
      </c>
      <c r="U8" s="18"/>
      <c r="V8" s="19" t="s">
        <v>29</v>
      </c>
      <c r="W8" s="19"/>
      <c r="X8" s="19"/>
      <c r="Y8" s="20"/>
      <c r="Z8" s="19"/>
      <c r="AA8" s="18" t="str">
        <f aca="false">IF(OR(V8="Aprobada"),R8,IF(AND(OR(V8="Aprobada con ajuste",V8="Rechazada"),W8&lt;&gt;""),W8,""))</f>
        <v/>
      </c>
    </row>
    <row r="9" customFormat="false" ht="22.35" hidden="false" customHeight="false" outlineLevel="0" collapsed="false">
      <c r="A9" s="18" t="s">
        <v>177</v>
      </c>
      <c r="B9" s="18" t="s">
        <v>56</v>
      </c>
      <c r="C9" s="18" t="s">
        <v>57</v>
      </c>
      <c r="D9" s="18" t="s">
        <v>178</v>
      </c>
      <c r="E9" s="18" t="n">
        <v>409</v>
      </c>
      <c r="F9" s="18" t="s">
        <v>179</v>
      </c>
      <c r="G9" s="18" t="s">
        <v>180</v>
      </c>
      <c r="H9" s="18" t="s">
        <v>162</v>
      </c>
      <c r="I9" s="18"/>
      <c r="J9" s="18"/>
      <c r="K9" s="18"/>
      <c r="L9" s="18" t="s">
        <v>129</v>
      </c>
      <c r="M9" s="18" t="s">
        <v>129</v>
      </c>
      <c r="N9" s="18"/>
      <c r="O9" s="18"/>
      <c r="P9" s="18" t="s">
        <v>181</v>
      </c>
      <c r="Q9" s="18" t="s">
        <v>149</v>
      </c>
      <c r="R9" s="18" t="s">
        <v>182</v>
      </c>
      <c r="S9" s="18" t="s">
        <v>133</v>
      </c>
      <c r="T9" s="18" t="s">
        <v>183</v>
      </c>
      <c r="U9" s="18"/>
      <c r="V9" s="19" t="s">
        <v>29</v>
      </c>
      <c r="W9" s="19"/>
      <c r="X9" s="19"/>
      <c r="Y9" s="20"/>
      <c r="Z9" s="19"/>
      <c r="AA9" s="18" t="str">
        <f aca="false">IF(OR(V9="Aprobada"),R9,IF(AND(OR(V9="Aprobada con ajuste",V9="Rechazada"),W9&lt;&gt;""),W9,""))</f>
        <v/>
      </c>
    </row>
    <row r="10" customFormat="false" ht="32.8" hidden="false" customHeight="false" outlineLevel="0" collapsed="false">
      <c r="A10" s="18" t="s">
        <v>184</v>
      </c>
      <c r="B10" s="18" t="s">
        <v>56</v>
      </c>
      <c r="C10" s="18" t="s">
        <v>57</v>
      </c>
      <c r="D10" s="18" t="s">
        <v>178</v>
      </c>
      <c r="E10" s="18" t="n">
        <v>409</v>
      </c>
      <c r="F10" s="18" t="s">
        <v>185</v>
      </c>
      <c r="G10" s="18" t="s">
        <v>186</v>
      </c>
      <c r="H10" s="18" t="s">
        <v>129</v>
      </c>
      <c r="I10" s="18"/>
      <c r="J10" s="18"/>
      <c r="K10" s="18"/>
      <c r="L10" s="18" t="s">
        <v>129</v>
      </c>
      <c r="M10" s="18" t="s">
        <v>129</v>
      </c>
      <c r="N10" s="18"/>
      <c r="O10" s="18" t="s">
        <v>187</v>
      </c>
      <c r="P10" s="18" t="s">
        <v>188</v>
      </c>
      <c r="Q10" s="18" t="s">
        <v>138</v>
      </c>
      <c r="R10" s="18" t="s">
        <v>189</v>
      </c>
      <c r="S10" s="18" t="s">
        <v>140</v>
      </c>
      <c r="T10" s="18" t="s">
        <v>141</v>
      </c>
      <c r="U10" s="18"/>
      <c r="V10" s="19" t="s">
        <v>29</v>
      </c>
      <c r="W10" s="19"/>
      <c r="X10" s="19"/>
      <c r="Y10" s="20"/>
      <c r="Z10" s="19"/>
      <c r="AA10" s="18" t="str">
        <f aca="false">IF(OR(V10="Aprobada"),R10,IF(AND(OR(V10="Aprobada con ajuste",V10="Rechazada"),W10&lt;&gt;""),W10,""))</f>
        <v/>
      </c>
    </row>
    <row r="11" customFormat="false" ht="22.35" hidden="false" customHeight="false" outlineLevel="0" collapsed="false">
      <c r="A11" s="18" t="s">
        <v>190</v>
      </c>
      <c r="B11" s="18" t="s">
        <v>56</v>
      </c>
      <c r="C11" s="18" t="s">
        <v>57</v>
      </c>
      <c r="D11" s="18" t="s">
        <v>178</v>
      </c>
      <c r="E11" s="18" t="n">
        <v>409</v>
      </c>
      <c r="F11" s="18" t="s">
        <v>191</v>
      </c>
      <c r="G11" s="18" t="s">
        <v>192</v>
      </c>
      <c r="H11" s="18" t="s">
        <v>162</v>
      </c>
      <c r="I11" s="18"/>
      <c r="J11" s="18"/>
      <c r="K11" s="18"/>
      <c r="L11" s="18" t="s">
        <v>129</v>
      </c>
      <c r="M11" s="18" t="s">
        <v>129</v>
      </c>
      <c r="N11" s="18"/>
      <c r="O11" s="18"/>
      <c r="P11" s="18" t="s">
        <v>193</v>
      </c>
      <c r="Q11" s="18" t="s">
        <v>138</v>
      </c>
      <c r="R11" s="18" t="s">
        <v>194</v>
      </c>
      <c r="S11" s="18" t="s">
        <v>140</v>
      </c>
      <c r="T11" s="18" t="s">
        <v>141</v>
      </c>
      <c r="U11" s="18"/>
      <c r="V11" s="19" t="s">
        <v>29</v>
      </c>
      <c r="W11" s="19"/>
      <c r="X11" s="19"/>
      <c r="Y11" s="20"/>
      <c r="Z11" s="19"/>
      <c r="AA11" s="18" t="str">
        <f aca="false">IF(OR(V11="Aprobada"),R11,IF(AND(OR(V11="Aprobada con ajuste",V11="Rechazada"),W11&lt;&gt;""),W11,""))</f>
        <v/>
      </c>
    </row>
    <row r="12" customFormat="false" ht="22.35" hidden="false" customHeight="false" outlineLevel="0" collapsed="false">
      <c r="A12" s="18" t="s">
        <v>195</v>
      </c>
      <c r="B12" s="18" t="s">
        <v>56</v>
      </c>
      <c r="C12" s="18" t="s">
        <v>57</v>
      </c>
      <c r="D12" s="18" t="s">
        <v>196</v>
      </c>
      <c r="E12" s="18" t="n">
        <v>7</v>
      </c>
      <c r="F12" s="18" t="s">
        <v>197</v>
      </c>
      <c r="G12" s="18" t="s">
        <v>198</v>
      </c>
      <c r="H12" s="18" t="s">
        <v>129</v>
      </c>
      <c r="I12" s="18"/>
      <c r="J12" s="18"/>
      <c r="K12" s="18"/>
      <c r="L12" s="18" t="s">
        <v>129</v>
      </c>
      <c r="M12" s="18" t="s">
        <v>129</v>
      </c>
      <c r="N12" s="18"/>
      <c r="O12" s="18"/>
      <c r="P12" s="18" t="s">
        <v>199</v>
      </c>
      <c r="Q12" s="18" t="s">
        <v>149</v>
      </c>
      <c r="R12" s="18" t="s">
        <v>200</v>
      </c>
      <c r="S12" s="18" t="s">
        <v>140</v>
      </c>
      <c r="T12" s="18" t="s">
        <v>201</v>
      </c>
      <c r="U12" s="18" t="s">
        <v>202</v>
      </c>
      <c r="V12" s="19" t="s">
        <v>29</v>
      </c>
      <c r="W12" s="19"/>
      <c r="X12" s="19"/>
      <c r="Y12" s="20"/>
      <c r="Z12" s="19"/>
      <c r="AA12" s="18" t="str">
        <f aca="false">IF(OR(V12="Aprobada"),R12,IF(AND(OR(V12="Aprobada con ajuste",V12="Rechazada"),W12&lt;&gt;""),W12,""))</f>
        <v/>
      </c>
    </row>
    <row r="13" customFormat="false" ht="43.25" hidden="false" customHeight="false" outlineLevel="0" collapsed="false">
      <c r="A13" s="18" t="s">
        <v>203</v>
      </c>
      <c r="B13" s="18" t="s">
        <v>56</v>
      </c>
      <c r="C13" s="18" t="s">
        <v>57</v>
      </c>
      <c r="D13" s="18" t="s">
        <v>196</v>
      </c>
      <c r="E13" s="18" t="n">
        <v>7</v>
      </c>
      <c r="F13" s="18" t="s">
        <v>204</v>
      </c>
      <c r="G13" s="18" t="s">
        <v>205</v>
      </c>
      <c r="H13" s="18" t="s">
        <v>129</v>
      </c>
      <c r="I13" s="18" t="s">
        <v>146</v>
      </c>
      <c r="J13" s="18"/>
      <c r="K13" s="18"/>
      <c r="L13" s="18" t="s">
        <v>129</v>
      </c>
      <c r="M13" s="18" t="s">
        <v>129</v>
      </c>
      <c r="N13" s="18"/>
      <c r="O13" s="18" t="s">
        <v>206</v>
      </c>
      <c r="P13" s="18" t="s">
        <v>207</v>
      </c>
      <c r="Q13" s="18" t="s">
        <v>149</v>
      </c>
      <c r="R13" s="18" t="s">
        <v>208</v>
      </c>
      <c r="S13" s="18" t="s">
        <v>133</v>
      </c>
      <c r="T13" s="18" t="s">
        <v>151</v>
      </c>
      <c r="U13" s="18"/>
      <c r="V13" s="19" t="s">
        <v>29</v>
      </c>
      <c r="W13" s="19"/>
      <c r="X13" s="19"/>
      <c r="Y13" s="20"/>
      <c r="Z13" s="19"/>
      <c r="AA13" s="18" t="str">
        <f aca="false">IF(OR(V13="Aprobada"),R13,IF(AND(OR(V13="Aprobada con ajuste",V13="Rechazada"),W13&lt;&gt;""),W13,""))</f>
        <v/>
      </c>
    </row>
    <row r="14" customFormat="false" ht="43.25" hidden="false" customHeight="false" outlineLevel="0" collapsed="false">
      <c r="A14" s="18" t="s">
        <v>209</v>
      </c>
      <c r="B14" s="18" t="s">
        <v>56</v>
      </c>
      <c r="C14" s="18" t="s">
        <v>57</v>
      </c>
      <c r="D14" s="18" t="s">
        <v>196</v>
      </c>
      <c r="E14" s="18" t="n">
        <v>7</v>
      </c>
      <c r="F14" s="18" t="s">
        <v>210</v>
      </c>
      <c r="G14" s="18" t="s">
        <v>154</v>
      </c>
      <c r="H14" s="18" t="s">
        <v>129</v>
      </c>
      <c r="I14" s="18"/>
      <c r="J14" s="18"/>
      <c r="K14" s="18"/>
      <c r="L14" s="18" t="s">
        <v>129</v>
      </c>
      <c r="M14" s="18" t="s">
        <v>129</v>
      </c>
      <c r="N14" s="18"/>
      <c r="O14" s="18"/>
      <c r="P14" s="18" t="s">
        <v>211</v>
      </c>
      <c r="Q14" s="18" t="s">
        <v>149</v>
      </c>
      <c r="R14" s="18" t="s">
        <v>212</v>
      </c>
      <c r="S14" s="18" t="s">
        <v>133</v>
      </c>
      <c r="T14" s="18" t="s">
        <v>158</v>
      </c>
      <c r="U14" s="18"/>
      <c r="V14" s="19" t="s">
        <v>29</v>
      </c>
      <c r="W14" s="19"/>
      <c r="X14" s="19"/>
      <c r="Y14" s="20"/>
      <c r="Z14" s="19"/>
      <c r="AA14" s="18" t="str">
        <f aca="false">IF(OR(V14="Aprobada"),R14,IF(AND(OR(V14="Aprobada con ajuste",V14="Rechazada"),W14&lt;&gt;""),W14,""))</f>
        <v/>
      </c>
    </row>
    <row r="15" customFormat="false" ht="32.8" hidden="false" customHeight="false" outlineLevel="0" collapsed="false">
      <c r="A15" s="18" t="s">
        <v>213</v>
      </c>
      <c r="B15" s="18" t="s">
        <v>56</v>
      </c>
      <c r="C15" s="18" t="s">
        <v>57</v>
      </c>
      <c r="D15" s="18" t="s">
        <v>196</v>
      </c>
      <c r="E15" s="18" t="n">
        <v>7</v>
      </c>
      <c r="F15" s="18" t="s">
        <v>214</v>
      </c>
      <c r="G15" s="18" t="s">
        <v>154</v>
      </c>
      <c r="H15" s="18" t="s">
        <v>162</v>
      </c>
      <c r="I15" s="18"/>
      <c r="J15" s="18"/>
      <c r="K15" s="18"/>
      <c r="L15" s="18" t="s">
        <v>129</v>
      </c>
      <c r="M15" s="18" t="s">
        <v>129</v>
      </c>
      <c r="N15" s="18"/>
      <c r="O15" s="18"/>
      <c r="P15" s="18" t="s">
        <v>215</v>
      </c>
      <c r="Q15" s="18" t="s">
        <v>149</v>
      </c>
      <c r="R15" s="18" t="s">
        <v>216</v>
      </c>
      <c r="S15" s="18" t="s">
        <v>140</v>
      </c>
      <c r="T15" s="18" t="s">
        <v>217</v>
      </c>
      <c r="U15" s="18" t="s">
        <v>218</v>
      </c>
      <c r="V15" s="19" t="s">
        <v>29</v>
      </c>
      <c r="W15" s="19"/>
      <c r="X15" s="19"/>
      <c r="Y15" s="20"/>
      <c r="Z15" s="19"/>
      <c r="AA15" s="18" t="str">
        <f aca="false">IF(OR(V15="Aprobada"),R15,IF(AND(OR(V15="Aprobada con ajuste",V15="Rechazada"),W15&lt;&gt;""),W15,""))</f>
        <v/>
      </c>
    </row>
    <row r="16" customFormat="false" ht="43.25" hidden="false" customHeight="false" outlineLevel="0" collapsed="false">
      <c r="A16" s="18" t="s">
        <v>219</v>
      </c>
      <c r="B16" s="18" t="s">
        <v>56</v>
      </c>
      <c r="C16" s="18" t="s">
        <v>57</v>
      </c>
      <c r="D16" s="18" t="s">
        <v>196</v>
      </c>
      <c r="E16" s="18" t="n">
        <v>7</v>
      </c>
      <c r="F16" s="18" t="s">
        <v>220</v>
      </c>
      <c r="G16" s="18" t="s">
        <v>154</v>
      </c>
      <c r="H16" s="18" t="s">
        <v>162</v>
      </c>
      <c r="I16" s="18"/>
      <c r="J16" s="18"/>
      <c r="K16" s="18"/>
      <c r="L16" s="18" t="s">
        <v>129</v>
      </c>
      <c r="M16" s="18" t="s">
        <v>129</v>
      </c>
      <c r="N16" s="18"/>
      <c r="O16" s="18"/>
      <c r="P16" s="18" t="s">
        <v>221</v>
      </c>
      <c r="Q16" s="18" t="s">
        <v>149</v>
      </c>
      <c r="R16" s="18" t="s">
        <v>222</v>
      </c>
      <c r="S16" s="18" t="s">
        <v>133</v>
      </c>
      <c r="T16" s="18" t="s">
        <v>223</v>
      </c>
      <c r="U16" s="18"/>
      <c r="V16" s="19" t="s">
        <v>29</v>
      </c>
      <c r="W16" s="19"/>
      <c r="X16" s="19"/>
      <c r="Y16" s="20"/>
      <c r="Z16" s="19"/>
      <c r="AA16" s="18" t="str">
        <f aca="false">IF(OR(V16="Aprobada"),R16,IF(AND(OR(V16="Aprobada con ajuste",V16="Rechazada"),W16&lt;&gt;""),W16,""))</f>
        <v/>
      </c>
    </row>
    <row r="17" customFormat="false" ht="32.8" hidden="false" customHeight="false" outlineLevel="0" collapsed="false">
      <c r="A17" s="18" t="s">
        <v>224</v>
      </c>
      <c r="B17" s="18" t="s">
        <v>56</v>
      </c>
      <c r="C17" s="18" t="s">
        <v>57</v>
      </c>
      <c r="D17" s="18" t="s">
        <v>196</v>
      </c>
      <c r="E17" s="18" t="n">
        <v>7</v>
      </c>
      <c r="F17" s="18" t="s">
        <v>225</v>
      </c>
      <c r="G17" s="18" t="s">
        <v>154</v>
      </c>
      <c r="H17" s="18" t="s">
        <v>162</v>
      </c>
      <c r="I17" s="18"/>
      <c r="J17" s="18"/>
      <c r="K17" s="18"/>
      <c r="L17" s="18" t="s">
        <v>129</v>
      </c>
      <c r="M17" s="18" t="s">
        <v>129</v>
      </c>
      <c r="N17" s="18"/>
      <c r="O17" s="18"/>
      <c r="P17" s="18" t="s">
        <v>226</v>
      </c>
      <c r="Q17" s="18" t="s">
        <v>149</v>
      </c>
      <c r="R17" s="18" t="s">
        <v>227</v>
      </c>
      <c r="S17" s="18" t="s">
        <v>133</v>
      </c>
      <c r="T17" s="18" t="s">
        <v>183</v>
      </c>
      <c r="U17" s="18"/>
      <c r="V17" s="19" t="s">
        <v>29</v>
      </c>
      <c r="W17" s="19"/>
      <c r="X17" s="19"/>
      <c r="Y17" s="20"/>
      <c r="Z17" s="19"/>
      <c r="AA17" s="18" t="str">
        <f aca="false">IF(OR(V17="Aprobada"),R17,IF(AND(OR(V17="Aprobada con ajuste",V17="Rechazada"),W17&lt;&gt;""),W17,""))</f>
        <v/>
      </c>
    </row>
    <row r="18" customFormat="false" ht="22.35" hidden="false" customHeight="false" outlineLevel="0" collapsed="false">
      <c r="A18" s="18" t="s">
        <v>228</v>
      </c>
      <c r="B18" s="18" t="s">
        <v>56</v>
      </c>
      <c r="C18" s="18" t="s">
        <v>57</v>
      </c>
      <c r="D18" s="18" t="s">
        <v>196</v>
      </c>
      <c r="E18" s="18" t="n">
        <v>7</v>
      </c>
      <c r="F18" s="18" t="s">
        <v>229</v>
      </c>
      <c r="G18" s="18" t="s">
        <v>198</v>
      </c>
      <c r="H18" s="18" t="s">
        <v>162</v>
      </c>
      <c r="I18" s="18"/>
      <c r="J18" s="18"/>
      <c r="K18" s="18"/>
      <c r="L18" s="18" t="s">
        <v>129</v>
      </c>
      <c r="M18" s="18" t="s">
        <v>129</v>
      </c>
      <c r="N18" s="18"/>
      <c r="O18" s="18"/>
      <c r="P18" s="18" t="s">
        <v>230</v>
      </c>
      <c r="Q18" s="18" t="s">
        <v>149</v>
      </c>
      <c r="R18" s="18" t="s">
        <v>231</v>
      </c>
      <c r="S18" s="18" t="s">
        <v>140</v>
      </c>
      <c r="T18" s="18" t="s">
        <v>232</v>
      </c>
      <c r="U18" s="18" t="s">
        <v>233</v>
      </c>
      <c r="V18" s="19" t="s">
        <v>29</v>
      </c>
      <c r="W18" s="19"/>
      <c r="X18" s="19"/>
      <c r="Y18" s="20"/>
      <c r="Z18" s="19"/>
      <c r="AA18" s="18" t="str">
        <f aca="false">IF(OR(V18="Aprobada"),R18,IF(AND(OR(V18="Aprobada con ajuste",V18="Rechazada"),W18&lt;&gt;""),W18,""))</f>
        <v/>
      </c>
    </row>
    <row r="19" customFormat="false" ht="22.35" hidden="false" customHeight="false" outlineLevel="0" collapsed="false">
      <c r="A19" s="18" t="s">
        <v>234</v>
      </c>
      <c r="B19" s="18" t="s">
        <v>56</v>
      </c>
      <c r="C19" s="18" t="s">
        <v>57</v>
      </c>
      <c r="D19" s="18" t="s">
        <v>196</v>
      </c>
      <c r="E19" s="18" t="n">
        <v>7</v>
      </c>
      <c r="F19" s="18" t="s">
        <v>235</v>
      </c>
      <c r="G19" s="18" t="s">
        <v>198</v>
      </c>
      <c r="H19" s="18" t="s">
        <v>162</v>
      </c>
      <c r="I19" s="18"/>
      <c r="J19" s="18"/>
      <c r="K19" s="18"/>
      <c r="L19" s="18" t="s">
        <v>129</v>
      </c>
      <c r="M19" s="18" t="s">
        <v>129</v>
      </c>
      <c r="N19" s="18"/>
      <c r="O19" s="18"/>
      <c r="P19" s="18" t="s">
        <v>236</v>
      </c>
      <c r="Q19" s="18" t="s">
        <v>138</v>
      </c>
      <c r="R19" s="18" t="s">
        <v>237</v>
      </c>
      <c r="S19" s="18" t="s">
        <v>140</v>
      </c>
      <c r="T19" s="18" t="s">
        <v>141</v>
      </c>
      <c r="U19" s="18"/>
      <c r="V19" s="19" t="s">
        <v>29</v>
      </c>
      <c r="W19" s="19"/>
      <c r="X19" s="19"/>
      <c r="Y19" s="20"/>
      <c r="Z19" s="19"/>
      <c r="AA19" s="18" t="str">
        <f aca="false">IF(OR(V19="Aprobada"),R19,IF(AND(OR(V19="Aprobada con ajuste",V19="Rechazada"),W19&lt;&gt;""),W19,""))</f>
        <v/>
      </c>
    </row>
    <row r="20" customFormat="false" ht="22.35" hidden="false" customHeight="false" outlineLevel="0" collapsed="false">
      <c r="A20" s="18" t="s">
        <v>238</v>
      </c>
      <c r="B20" s="18" t="s">
        <v>56</v>
      </c>
      <c r="C20" s="18" t="s">
        <v>57</v>
      </c>
      <c r="D20" s="18" t="s">
        <v>196</v>
      </c>
      <c r="E20" s="18" t="n">
        <v>7</v>
      </c>
      <c r="F20" s="18" t="s">
        <v>239</v>
      </c>
      <c r="G20" s="18" t="s">
        <v>198</v>
      </c>
      <c r="H20" s="18" t="s">
        <v>162</v>
      </c>
      <c r="I20" s="18"/>
      <c r="J20" s="18"/>
      <c r="K20" s="18"/>
      <c r="L20" s="18" t="s">
        <v>129</v>
      </c>
      <c r="M20" s="18" t="s">
        <v>129</v>
      </c>
      <c r="N20" s="18"/>
      <c r="O20" s="18"/>
      <c r="P20" s="18" t="s">
        <v>240</v>
      </c>
      <c r="Q20" s="18" t="s">
        <v>149</v>
      </c>
      <c r="R20" s="18" t="s">
        <v>241</v>
      </c>
      <c r="S20" s="18" t="s">
        <v>242</v>
      </c>
      <c r="T20" s="18" t="s">
        <v>243</v>
      </c>
      <c r="U20" s="18" t="s">
        <v>244</v>
      </c>
      <c r="V20" s="19" t="s">
        <v>29</v>
      </c>
      <c r="W20" s="19"/>
      <c r="X20" s="19"/>
      <c r="Y20" s="20"/>
      <c r="Z20" s="19"/>
      <c r="AA20" s="18" t="str">
        <f aca="false">IF(OR(V20="Aprobada"),R20,IF(AND(OR(V20="Aprobada con ajuste",V20="Rechazada"),W20&lt;&gt;""),W20,""))</f>
        <v/>
      </c>
    </row>
    <row r="21" customFormat="false" ht="22.35" hidden="false" customHeight="false" outlineLevel="0" collapsed="false">
      <c r="A21" s="18" t="s">
        <v>245</v>
      </c>
      <c r="B21" s="18" t="s">
        <v>56</v>
      </c>
      <c r="C21" s="18" t="s">
        <v>57</v>
      </c>
      <c r="D21" s="18" t="s">
        <v>196</v>
      </c>
      <c r="E21" s="18" t="n">
        <v>7</v>
      </c>
      <c r="F21" s="18" t="s">
        <v>246</v>
      </c>
      <c r="G21" s="18" t="s">
        <v>198</v>
      </c>
      <c r="H21" s="18" t="s">
        <v>162</v>
      </c>
      <c r="I21" s="18"/>
      <c r="J21" s="18"/>
      <c r="K21" s="18"/>
      <c r="L21" s="18" t="s">
        <v>129</v>
      </c>
      <c r="M21" s="18" t="s">
        <v>129</v>
      </c>
      <c r="N21" s="18"/>
      <c r="O21" s="18"/>
      <c r="P21" s="18" t="s">
        <v>247</v>
      </c>
      <c r="Q21" s="18" t="s">
        <v>149</v>
      </c>
      <c r="R21" s="18" t="s">
        <v>248</v>
      </c>
      <c r="S21" s="18" t="s">
        <v>242</v>
      </c>
      <c r="T21" s="18" t="s">
        <v>183</v>
      </c>
      <c r="U21" s="18" t="s">
        <v>249</v>
      </c>
      <c r="V21" s="19" t="s">
        <v>29</v>
      </c>
      <c r="W21" s="19"/>
      <c r="X21" s="19"/>
      <c r="Y21" s="20"/>
      <c r="Z21" s="19"/>
      <c r="AA21" s="18" t="str">
        <f aca="false">IF(OR(V21="Aprobada"),R21,IF(AND(OR(V21="Aprobada con ajuste",V21="Rechazada"),W21&lt;&gt;""),W21,""))</f>
        <v/>
      </c>
    </row>
    <row r="22" customFormat="false" ht="22.35" hidden="false" customHeight="false" outlineLevel="0" collapsed="false">
      <c r="A22" s="18" t="s">
        <v>250</v>
      </c>
      <c r="B22" s="18" t="s">
        <v>56</v>
      </c>
      <c r="C22" s="18" t="s">
        <v>57</v>
      </c>
      <c r="D22" s="18" t="s">
        <v>196</v>
      </c>
      <c r="E22" s="18" t="n">
        <v>7</v>
      </c>
      <c r="F22" s="18" t="s">
        <v>251</v>
      </c>
      <c r="G22" s="18" t="s">
        <v>252</v>
      </c>
      <c r="H22" s="18" t="s">
        <v>162</v>
      </c>
      <c r="I22" s="18"/>
      <c r="J22" s="18"/>
      <c r="K22" s="18"/>
      <c r="L22" s="18" t="s">
        <v>129</v>
      </c>
      <c r="M22" s="18" t="s">
        <v>129</v>
      </c>
      <c r="N22" s="18"/>
      <c r="O22" s="18"/>
      <c r="P22" s="18" t="s">
        <v>253</v>
      </c>
      <c r="Q22" s="18" t="s">
        <v>149</v>
      </c>
      <c r="R22" s="18" t="s">
        <v>254</v>
      </c>
      <c r="S22" s="18" t="s">
        <v>242</v>
      </c>
      <c r="T22" s="18" t="s">
        <v>255</v>
      </c>
      <c r="U22" s="18" t="s">
        <v>256</v>
      </c>
      <c r="V22" s="19" t="s">
        <v>29</v>
      </c>
      <c r="W22" s="19"/>
      <c r="X22" s="19"/>
      <c r="Y22" s="20"/>
      <c r="Z22" s="19"/>
      <c r="AA22" s="18" t="str">
        <f aca="false">IF(OR(V22="Aprobada"),R22,IF(AND(OR(V22="Aprobada con ajuste",V22="Rechazada"),W22&lt;&gt;""),W22,""))</f>
        <v/>
      </c>
    </row>
    <row r="23" customFormat="false" ht="32.8" hidden="false" customHeight="false" outlineLevel="0" collapsed="false">
      <c r="A23" s="18" t="s">
        <v>257</v>
      </c>
      <c r="B23" s="18" t="s">
        <v>56</v>
      </c>
      <c r="C23" s="18" t="s">
        <v>57</v>
      </c>
      <c r="D23" s="18" t="s">
        <v>196</v>
      </c>
      <c r="E23" s="18" t="n">
        <v>7</v>
      </c>
      <c r="F23" s="18" t="s">
        <v>258</v>
      </c>
      <c r="G23" s="18" t="s">
        <v>259</v>
      </c>
      <c r="H23" s="18" t="s">
        <v>162</v>
      </c>
      <c r="I23" s="18"/>
      <c r="J23" s="18"/>
      <c r="K23" s="18"/>
      <c r="L23" s="18" t="s">
        <v>129</v>
      </c>
      <c r="M23" s="18" t="s">
        <v>129</v>
      </c>
      <c r="N23" s="18"/>
      <c r="O23" s="18"/>
      <c r="P23" s="18" t="s">
        <v>260</v>
      </c>
      <c r="Q23" s="18" t="s">
        <v>149</v>
      </c>
      <c r="R23" s="18" t="s">
        <v>261</v>
      </c>
      <c r="S23" s="18" t="s">
        <v>242</v>
      </c>
      <c r="T23" s="18" t="s">
        <v>169</v>
      </c>
      <c r="U23" s="18" t="s">
        <v>262</v>
      </c>
      <c r="V23" s="19" t="s">
        <v>29</v>
      </c>
      <c r="W23" s="19"/>
      <c r="X23" s="19"/>
      <c r="Y23" s="20"/>
      <c r="Z23" s="19"/>
      <c r="AA23" s="18" t="str">
        <f aca="false">IF(OR(V23="Aprobada"),R23,IF(AND(OR(V23="Aprobada con ajuste",V23="Rechazada"),W23&lt;&gt;""),W23,""))</f>
        <v/>
      </c>
    </row>
    <row r="24" customFormat="false" ht="43.25" hidden="false" customHeight="false" outlineLevel="0" collapsed="false">
      <c r="A24" s="18" t="s">
        <v>263</v>
      </c>
      <c r="B24" s="18" t="s">
        <v>56</v>
      </c>
      <c r="C24" s="18" t="s">
        <v>57</v>
      </c>
      <c r="D24" s="18" t="s">
        <v>196</v>
      </c>
      <c r="E24" s="18" t="n">
        <v>7</v>
      </c>
      <c r="F24" s="18" t="s">
        <v>160</v>
      </c>
      <c r="G24" s="18" t="s">
        <v>161</v>
      </c>
      <c r="H24" s="18" t="s">
        <v>162</v>
      </c>
      <c r="I24" s="18"/>
      <c r="J24" s="18"/>
      <c r="K24" s="18"/>
      <c r="L24" s="18" t="s">
        <v>129</v>
      </c>
      <c r="M24" s="18" t="s">
        <v>129</v>
      </c>
      <c r="N24" s="18"/>
      <c r="O24" s="18"/>
      <c r="P24" s="18" t="s">
        <v>264</v>
      </c>
      <c r="Q24" s="18" t="s">
        <v>138</v>
      </c>
      <c r="R24" s="18" t="s">
        <v>265</v>
      </c>
      <c r="S24" s="18" t="s">
        <v>140</v>
      </c>
      <c r="T24" s="18" t="s">
        <v>141</v>
      </c>
      <c r="U24" s="18"/>
      <c r="V24" s="19" t="s">
        <v>29</v>
      </c>
      <c r="W24" s="19"/>
      <c r="X24" s="19"/>
      <c r="Y24" s="20"/>
      <c r="Z24" s="19"/>
      <c r="AA24" s="18" t="str">
        <f aca="false">IF(OR(V24="Aprobada"),R24,IF(AND(OR(V24="Aprobada con ajuste",V24="Rechazada"),W24&lt;&gt;""),W24,""))</f>
        <v/>
      </c>
    </row>
    <row r="25" customFormat="false" ht="22.35" hidden="false" customHeight="false" outlineLevel="0" collapsed="false">
      <c r="A25" s="18" t="s">
        <v>266</v>
      </c>
      <c r="B25" s="18" t="s">
        <v>56</v>
      </c>
      <c r="C25" s="18" t="s">
        <v>57</v>
      </c>
      <c r="D25" s="18" t="s">
        <v>196</v>
      </c>
      <c r="E25" s="18" t="n">
        <v>7</v>
      </c>
      <c r="F25" s="18" t="s">
        <v>172</v>
      </c>
      <c r="G25" s="18" t="s">
        <v>173</v>
      </c>
      <c r="H25" s="18" t="s">
        <v>129</v>
      </c>
      <c r="I25" s="18"/>
      <c r="J25" s="18"/>
      <c r="K25" s="18"/>
      <c r="L25" s="18" t="s">
        <v>129</v>
      </c>
      <c r="M25" s="18" t="s">
        <v>129</v>
      </c>
      <c r="N25" s="18"/>
      <c r="O25" s="18" t="s">
        <v>267</v>
      </c>
      <c r="P25" s="18" t="s">
        <v>268</v>
      </c>
      <c r="Q25" s="18" t="s">
        <v>138</v>
      </c>
      <c r="R25" s="18" t="s">
        <v>176</v>
      </c>
      <c r="S25" s="18" t="s">
        <v>140</v>
      </c>
      <c r="T25" s="18" t="s">
        <v>141</v>
      </c>
      <c r="U25" s="18"/>
      <c r="V25" s="19" t="s">
        <v>29</v>
      </c>
      <c r="W25" s="19"/>
      <c r="X25" s="19"/>
      <c r="Y25" s="20"/>
      <c r="Z25" s="19"/>
      <c r="AA25" s="18" t="str">
        <f aca="false">IF(OR(V25="Aprobada"),R25,IF(AND(OR(V25="Aprobada con ajuste",V25="Rechazada"),W25&lt;&gt;""),W25,""))</f>
        <v/>
      </c>
    </row>
    <row r="26" customFormat="false" ht="22.35" hidden="false" customHeight="false" outlineLevel="0" collapsed="false">
      <c r="A26" s="18" t="s">
        <v>269</v>
      </c>
      <c r="B26" s="18" t="s">
        <v>56</v>
      </c>
      <c r="C26" s="18" t="s">
        <v>57</v>
      </c>
      <c r="D26" s="18" t="s">
        <v>270</v>
      </c>
      <c r="E26" s="18" t="n">
        <v>30</v>
      </c>
      <c r="F26" s="18" t="s">
        <v>172</v>
      </c>
      <c r="G26" s="18" t="s">
        <v>173</v>
      </c>
      <c r="H26" s="18" t="s">
        <v>129</v>
      </c>
      <c r="I26" s="18"/>
      <c r="J26" s="18"/>
      <c r="K26" s="18"/>
      <c r="L26" s="18" t="s">
        <v>129</v>
      </c>
      <c r="M26" s="18" t="s">
        <v>129</v>
      </c>
      <c r="N26" s="18"/>
      <c r="O26" s="18" t="s">
        <v>271</v>
      </c>
      <c r="P26" s="18" t="s">
        <v>272</v>
      </c>
      <c r="Q26" s="18" t="s">
        <v>138</v>
      </c>
      <c r="R26" s="18" t="s">
        <v>176</v>
      </c>
      <c r="S26" s="18" t="s">
        <v>140</v>
      </c>
      <c r="T26" s="18" t="s">
        <v>141</v>
      </c>
      <c r="U26" s="18"/>
      <c r="V26" s="19" t="s">
        <v>29</v>
      </c>
      <c r="W26" s="19"/>
      <c r="X26" s="19"/>
      <c r="Y26" s="20"/>
      <c r="Z26" s="19"/>
      <c r="AA26" s="18" t="str">
        <f aca="false">IF(OR(V26="Aprobada"),R26,IF(AND(OR(V26="Aprobada con ajuste",V26="Rechazada"),W26&lt;&gt;""),W26,""))</f>
        <v/>
      </c>
    </row>
    <row r="27" customFormat="false" ht="32.8" hidden="false" customHeight="false" outlineLevel="0" collapsed="false">
      <c r="A27" s="18" t="s">
        <v>273</v>
      </c>
      <c r="B27" s="18" t="s">
        <v>56</v>
      </c>
      <c r="C27" s="18" t="s">
        <v>57</v>
      </c>
      <c r="D27" s="18" t="s">
        <v>274</v>
      </c>
      <c r="E27" s="18" t="n">
        <v>0</v>
      </c>
      <c r="F27" s="18" t="s">
        <v>275</v>
      </c>
      <c r="G27" s="18" t="s">
        <v>180</v>
      </c>
      <c r="H27" s="18" t="s">
        <v>129</v>
      </c>
      <c r="I27" s="18"/>
      <c r="J27" s="18"/>
      <c r="K27" s="18"/>
      <c r="L27" s="18" t="s">
        <v>129</v>
      </c>
      <c r="M27" s="18" t="s">
        <v>129</v>
      </c>
      <c r="N27" s="18"/>
      <c r="O27" s="18"/>
      <c r="P27" s="18" t="s">
        <v>276</v>
      </c>
      <c r="Q27" s="18" t="s">
        <v>131</v>
      </c>
      <c r="R27" s="18" t="s">
        <v>277</v>
      </c>
      <c r="S27" s="18" t="s">
        <v>140</v>
      </c>
      <c r="T27" s="18" t="s">
        <v>278</v>
      </c>
      <c r="U27" s="18" t="s">
        <v>279</v>
      </c>
      <c r="V27" s="19" t="s">
        <v>29</v>
      </c>
      <c r="W27" s="19"/>
      <c r="X27" s="19"/>
      <c r="Y27" s="20"/>
      <c r="Z27" s="19"/>
      <c r="AA27" s="18" t="str">
        <f aca="false">IF(OR(V27="Aprobada"),R27,IF(AND(OR(V27="Aprobada con ajuste",V27="Rechazada"),W27&lt;&gt;""),W27,""))</f>
        <v/>
      </c>
    </row>
    <row r="28" customFormat="false" ht="22.35" hidden="false" customHeight="false" outlineLevel="0" collapsed="false">
      <c r="A28" s="18" t="s">
        <v>280</v>
      </c>
      <c r="B28" s="18" t="s">
        <v>56</v>
      </c>
      <c r="C28" s="18" t="s">
        <v>57</v>
      </c>
      <c r="D28" s="18" t="s">
        <v>274</v>
      </c>
      <c r="E28" s="18" t="n">
        <v>0</v>
      </c>
      <c r="F28" s="18" t="s">
        <v>281</v>
      </c>
      <c r="G28" s="18" t="s">
        <v>282</v>
      </c>
      <c r="H28" s="18" t="s">
        <v>129</v>
      </c>
      <c r="I28" s="18"/>
      <c r="J28" s="18"/>
      <c r="K28" s="18"/>
      <c r="L28" s="18" t="s">
        <v>129</v>
      </c>
      <c r="M28" s="18" t="s">
        <v>129</v>
      </c>
      <c r="N28" s="18"/>
      <c r="O28" s="18"/>
      <c r="P28" s="18" t="s">
        <v>283</v>
      </c>
      <c r="Q28" s="18" t="s">
        <v>149</v>
      </c>
      <c r="R28" s="18" t="s">
        <v>284</v>
      </c>
      <c r="S28" s="18" t="s">
        <v>140</v>
      </c>
      <c r="T28" s="18" t="s">
        <v>169</v>
      </c>
      <c r="U28" s="18" t="s">
        <v>285</v>
      </c>
      <c r="V28" s="19" t="s">
        <v>29</v>
      </c>
      <c r="W28" s="19"/>
      <c r="X28" s="19"/>
      <c r="Y28" s="20"/>
      <c r="Z28" s="19"/>
      <c r="AA28" s="18" t="str">
        <f aca="false">IF(OR(V28="Aprobada"),R28,IF(AND(OR(V28="Aprobada con ajuste",V28="Rechazada"),W28&lt;&gt;""),W28,""))</f>
        <v/>
      </c>
    </row>
    <row r="29" customFormat="false" ht="22.35" hidden="false" customHeight="false" outlineLevel="0" collapsed="false">
      <c r="A29" s="18" t="s">
        <v>286</v>
      </c>
      <c r="B29" s="18" t="s">
        <v>56</v>
      </c>
      <c r="C29" s="18" t="s">
        <v>57</v>
      </c>
      <c r="D29" s="18" t="s">
        <v>274</v>
      </c>
      <c r="E29" s="18" t="n">
        <v>0</v>
      </c>
      <c r="F29" s="18" t="s">
        <v>287</v>
      </c>
      <c r="G29" s="18" t="s">
        <v>288</v>
      </c>
      <c r="H29" s="18" t="s">
        <v>162</v>
      </c>
      <c r="I29" s="18"/>
      <c r="J29" s="18"/>
      <c r="K29" s="18"/>
      <c r="L29" s="18" t="s">
        <v>129</v>
      </c>
      <c r="M29" s="18" t="s">
        <v>129</v>
      </c>
      <c r="N29" s="18"/>
      <c r="O29" s="18"/>
      <c r="P29" s="18" t="s">
        <v>289</v>
      </c>
      <c r="Q29" s="18" t="s">
        <v>149</v>
      </c>
      <c r="R29" s="18" t="s">
        <v>290</v>
      </c>
      <c r="S29" s="18" t="s">
        <v>140</v>
      </c>
      <c r="T29" s="18" t="s">
        <v>183</v>
      </c>
      <c r="U29" s="18" t="s">
        <v>291</v>
      </c>
      <c r="V29" s="19" t="s">
        <v>29</v>
      </c>
      <c r="W29" s="19"/>
      <c r="X29" s="19"/>
      <c r="Y29" s="20"/>
      <c r="Z29" s="19"/>
      <c r="AA29" s="18" t="str">
        <f aca="false">IF(OR(V29="Aprobada"),R29,IF(AND(OR(V29="Aprobada con ajuste",V29="Rechazada"),W29&lt;&gt;""),W29,""))</f>
        <v/>
      </c>
    </row>
    <row r="30" customFormat="false" ht="22.35" hidden="false" customHeight="false" outlineLevel="0" collapsed="false">
      <c r="A30" s="18" t="s">
        <v>292</v>
      </c>
      <c r="B30" s="18" t="s">
        <v>56</v>
      </c>
      <c r="C30" s="18" t="s">
        <v>57</v>
      </c>
      <c r="D30" s="18" t="s">
        <v>274</v>
      </c>
      <c r="E30" s="18" t="n">
        <v>0</v>
      </c>
      <c r="F30" s="18" t="s">
        <v>293</v>
      </c>
      <c r="G30" s="18" t="s">
        <v>294</v>
      </c>
      <c r="H30" s="18" t="s">
        <v>162</v>
      </c>
      <c r="I30" s="18"/>
      <c r="J30" s="18"/>
      <c r="K30" s="18"/>
      <c r="L30" s="18" t="s">
        <v>129</v>
      </c>
      <c r="M30" s="18" t="s">
        <v>129</v>
      </c>
      <c r="N30" s="18"/>
      <c r="O30" s="18"/>
      <c r="P30" s="18" t="s">
        <v>295</v>
      </c>
      <c r="Q30" s="18" t="s">
        <v>138</v>
      </c>
      <c r="R30" s="18" t="s">
        <v>296</v>
      </c>
      <c r="S30" s="18" t="s">
        <v>140</v>
      </c>
      <c r="T30" s="18" t="s">
        <v>141</v>
      </c>
      <c r="U30" s="18"/>
      <c r="V30" s="19" t="s">
        <v>29</v>
      </c>
      <c r="W30" s="19"/>
      <c r="X30" s="19"/>
      <c r="Y30" s="20"/>
      <c r="Z30" s="19"/>
      <c r="AA30" s="18" t="str">
        <f aca="false">IF(OR(V30="Aprobada"),R30,IF(AND(OR(V30="Aprobada con ajuste",V30="Rechazada"),W30&lt;&gt;""),W30,""))</f>
        <v/>
      </c>
    </row>
    <row r="31" customFormat="false" ht="32.8" hidden="false" customHeight="false" outlineLevel="0" collapsed="false">
      <c r="A31" s="18" t="s">
        <v>297</v>
      </c>
      <c r="B31" s="18" t="s">
        <v>56</v>
      </c>
      <c r="C31" s="18" t="s">
        <v>57</v>
      </c>
      <c r="D31" s="18" t="s">
        <v>274</v>
      </c>
      <c r="E31" s="18" t="n">
        <v>0</v>
      </c>
      <c r="F31" s="18" t="s">
        <v>185</v>
      </c>
      <c r="G31" s="18" t="s">
        <v>186</v>
      </c>
      <c r="H31" s="18" t="s">
        <v>129</v>
      </c>
      <c r="I31" s="18" t="s">
        <v>298</v>
      </c>
      <c r="J31" s="18" t="s">
        <v>299</v>
      </c>
      <c r="K31" s="18"/>
      <c r="L31" s="18" t="s">
        <v>162</v>
      </c>
      <c r="M31" s="18" t="s">
        <v>129</v>
      </c>
      <c r="N31" s="18"/>
      <c r="O31" s="18" t="s">
        <v>300</v>
      </c>
      <c r="P31" s="18" t="s">
        <v>301</v>
      </c>
      <c r="Q31" s="18" t="s">
        <v>131</v>
      </c>
      <c r="R31" s="18" t="s">
        <v>302</v>
      </c>
      <c r="S31" s="18" t="s">
        <v>133</v>
      </c>
      <c r="T31" s="18" t="s">
        <v>303</v>
      </c>
      <c r="U31" s="18"/>
      <c r="V31" s="19" t="s">
        <v>29</v>
      </c>
      <c r="W31" s="19"/>
      <c r="X31" s="19"/>
      <c r="Y31" s="20"/>
      <c r="Z31" s="19"/>
      <c r="AA31" s="18" t="str">
        <f aca="false">IF(OR(V31="Aprobada"),R31,IF(AND(OR(V31="Aprobada con ajuste",V31="Rechazada"),W31&lt;&gt;""),W31,""))</f>
        <v/>
      </c>
    </row>
    <row r="32" customFormat="false" ht="22.35" hidden="false" customHeight="false" outlineLevel="0" collapsed="false">
      <c r="A32" s="18" t="s">
        <v>304</v>
      </c>
      <c r="B32" s="18" t="s">
        <v>56</v>
      </c>
      <c r="C32" s="18" t="s">
        <v>57</v>
      </c>
      <c r="D32" s="18" t="s">
        <v>274</v>
      </c>
      <c r="E32" s="18" t="n">
        <v>0</v>
      </c>
      <c r="F32" s="18" t="s">
        <v>305</v>
      </c>
      <c r="G32" s="18" t="s">
        <v>128</v>
      </c>
      <c r="H32" s="18" t="s">
        <v>162</v>
      </c>
      <c r="I32" s="18"/>
      <c r="J32" s="18"/>
      <c r="K32" s="18"/>
      <c r="L32" s="18" t="s">
        <v>129</v>
      </c>
      <c r="M32" s="18" t="s">
        <v>129</v>
      </c>
      <c r="N32" s="18"/>
      <c r="O32" s="18"/>
      <c r="P32" s="18" t="s">
        <v>306</v>
      </c>
      <c r="Q32" s="18" t="s">
        <v>149</v>
      </c>
      <c r="R32" s="18" t="s">
        <v>307</v>
      </c>
      <c r="S32" s="18" t="s">
        <v>140</v>
      </c>
      <c r="T32" s="18" t="s">
        <v>308</v>
      </c>
      <c r="U32" s="18" t="s">
        <v>309</v>
      </c>
      <c r="V32" s="19" t="s">
        <v>29</v>
      </c>
      <c r="W32" s="19"/>
      <c r="X32" s="19"/>
      <c r="Y32" s="20"/>
      <c r="Z32" s="19"/>
      <c r="AA32" s="18" t="str">
        <f aca="false">IF(OR(V32="Aprobada"),R32,IF(AND(OR(V32="Aprobada con ajuste",V32="Rechazada"),W32&lt;&gt;""),W32,""))</f>
        <v/>
      </c>
    </row>
    <row r="33" customFormat="false" ht="22.35" hidden="false" customHeight="false" outlineLevel="0" collapsed="false">
      <c r="A33" s="18" t="s">
        <v>310</v>
      </c>
      <c r="B33" s="18" t="s">
        <v>56</v>
      </c>
      <c r="C33" s="18" t="s">
        <v>57</v>
      </c>
      <c r="D33" s="18" t="s">
        <v>274</v>
      </c>
      <c r="E33" s="18" t="n">
        <v>0</v>
      </c>
      <c r="F33" s="18" t="s">
        <v>311</v>
      </c>
      <c r="G33" s="18" t="s">
        <v>312</v>
      </c>
      <c r="H33" s="18" t="s">
        <v>162</v>
      </c>
      <c r="I33" s="18"/>
      <c r="J33" s="18"/>
      <c r="K33" s="18"/>
      <c r="L33" s="18" t="s">
        <v>129</v>
      </c>
      <c r="M33" s="18" t="s">
        <v>129</v>
      </c>
      <c r="N33" s="18"/>
      <c r="O33" s="18"/>
      <c r="P33" s="18" t="s">
        <v>313</v>
      </c>
      <c r="Q33" s="18" t="s">
        <v>138</v>
      </c>
      <c r="R33" s="18" t="s">
        <v>314</v>
      </c>
      <c r="S33" s="18" t="s">
        <v>140</v>
      </c>
      <c r="T33" s="18" t="s">
        <v>141</v>
      </c>
      <c r="U33" s="18"/>
      <c r="V33" s="19" t="s">
        <v>29</v>
      </c>
      <c r="W33" s="19"/>
      <c r="X33" s="19"/>
      <c r="Y33" s="20"/>
      <c r="Z33" s="19"/>
      <c r="AA33" s="18" t="str">
        <f aca="false">IF(OR(V33="Aprobada"),R33,IF(AND(OR(V33="Aprobada con ajuste",V33="Rechazada"),W33&lt;&gt;""),W33,""))</f>
        <v/>
      </c>
    </row>
    <row r="34" customFormat="false" ht="22.35" hidden="false" customHeight="false" outlineLevel="0" collapsed="false">
      <c r="A34" s="18" t="s">
        <v>315</v>
      </c>
      <c r="B34" s="18" t="s">
        <v>56</v>
      </c>
      <c r="C34" s="18" t="s">
        <v>57</v>
      </c>
      <c r="D34" s="18" t="s">
        <v>274</v>
      </c>
      <c r="E34" s="18" t="n">
        <v>0</v>
      </c>
      <c r="F34" s="18" t="s">
        <v>316</v>
      </c>
      <c r="G34" s="18" t="s">
        <v>317</v>
      </c>
      <c r="H34" s="18" t="s">
        <v>162</v>
      </c>
      <c r="I34" s="18"/>
      <c r="J34" s="18"/>
      <c r="K34" s="18"/>
      <c r="L34" s="18" t="s">
        <v>129</v>
      </c>
      <c r="M34" s="18" t="s">
        <v>129</v>
      </c>
      <c r="N34" s="18"/>
      <c r="O34" s="18"/>
      <c r="P34" s="18" t="s">
        <v>318</v>
      </c>
      <c r="Q34" s="18" t="s">
        <v>138</v>
      </c>
      <c r="R34" s="18" t="s">
        <v>319</v>
      </c>
      <c r="S34" s="18" t="s">
        <v>140</v>
      </c>
      <c r="T34" s="18" t="s">
        <v>141</v>
      </c>
      <c r="U34" s="18"/>
      <c r="V34" s="19" t="s">
        <v>29</v>
      </c>
      <c r="W34" s="19"/>
      <c r="X34" s="19"/>
      <c r="Y34" s="20"/>
      <c r="Z34" s="19"/>
      <c r="AA34" s="18" t="str">
        <f aca="false">IF(OR(V34="Aprobada"),R34,IF(AND(OR(V34="Aprobada con ajuste",V34="Rechazada"),W34&lt;&gt;""),W34,""))</f>
        <v/>
      </c>
    </row>
    <row r="35" customFormat="false" ht="32.8" hidden="false" customHeight="false" outlineLevel="0" collapsed="false">
      <c r="A35" s="18" t="s">
        <v>320</v>
      </c>
      <c r="B35" s="18" t="s">
        <v>56</v>
      </c>
      <c r="C35" s="18" t="s">
        <v>57</v>
      </c>
      <c r="D35" s="18" t="s">
        <v>274</v>
      </c>
      <c r="E35" s="18" t="n">
        <v>0</v>
      </c>
      <c r="F35" s="18" t="s">
        <v>321</v>
      </c>
      <c r="G35" s="18" t="s">
        <v>317</v>
      </c>
      <c r="H35" s="18" t="s">
        <v>129</v>
      </c>
      <c r="I35" s="18"/>
      <c r="J35" s="18"/>
      <c r="K35" s="18"/>
      <c r="L35" s="18" t="s">
        <v>129</v>
      </c>
      <c r="M35" s="18" t="s">
        <v>129</v>
      </c>
      <c r="N35" s="18"/>
      <c r="O35" s="18"/>
      <c r="P35" s="18" t="s">
        <v>322</v>
      </c>
      <c r="Q35" s="18" t="s">
        <v>131</v>
      </c>
      <c r="R35" s="18" t="s">
        <v>323</v>
      </c>
      <c r="S35" s="18" t="s">
        <v>133</v>
      </c>
      <c r="T35" s="18" t="s">
        <v>324</v>
      </c>
      <c r="U35" s="18"/>
      <c r="V35" s="19" t="s">
        <v>29</v>
      </c>
      <c r="W35" s="19"/>
      <c r="X35" s="19"/>
      <c r="Y35" s="20"/>
      <c r="Z35" s="19"/>
      <c r="AA35" s="18" t="str">
        <f aca="false">IF(OR(V35="Aprobada"),R35,IF(AND(OR(V35="Aprobada con ajuste",V35="Rechazada"),W35&lt;&gt;""),W35,""))</f>
        <v/>
      </c>
    </row>
    <row r="36" customFormat="false" ht="22.35" hidden="false" customHeight="false" outlineLevel="0" collapsed="false">
      <c r="A36" s="18" t="s">
        <v>325</v>
      </c>
      <c r="B36" s="18" t="s">
        <v>56</v>
      </c>
      <c r="C36" s="18" t="s">
        <v>57</v>
      </c>
      <c r="D36" s="18" t="s">
        <v>274</v>
      </c>
      <c r="E36" s="18" t="n">
        <v>0</v>
      </c>
      <c r="F36" s="18" t="s">
        <v>326</v>
      </c>
      <c r="G36" s="18" t="s">
        <v>317</v>
      </c>
      <c r="H36" s="18" t="s">
        <v>162</v>
      </c>
      <c r="I36" s="18"/>
      <c r="J36" s="18"/>
      <c r="K36" s="18"/>
      <c r="L36" s="18" t="s">
        <v>129</v>
      </c>
      <c r="M36" s="18" t="s">
        <v>129</v>
      </c>
      <c r="N36" s="18"/>
      <c r="O36" s="18"/>
      <c r="P36" s="18" t="s">
        <v>327</v>
      </c>
      <c r="Q36" s="18" t="s">
        <v>138</v>
      </c>
      <c r="R36" s="18" t="s">
        <v>328</v>
      </c>
      <c r="S36" s="18" t="s">
        <v>140</v>
      </c>
      <c r="T36" s="18" t="s">
        <v>141</v>
      </c>
      <c r="U36" s="18"/>
      <c r="V36" s="19" t="s">
        <v>29</v>
      </c>
      <c r="W36" s="19"/>
      <c r="X36" s="19"/>
      <c r="Y36" s="20"/>
      <c r="Z36" s="19"/>
      <c r="AA36" s="18" t="str">
        <f aca="false">IF(OR(V36="Aprobada"),R36,IF(AND(OR(V36="Aprobada con ajuste",V36="Rechazada"),W36&lt;&gt;""),W36,""))</f>
        <v/>
      </c>
    </row>
    <row r="37" customFormat="false" ht="43.25" hidden="false" customHeight="false" outlineLevel="0" collapsed="false">
      <c r="A37" s="18" t="s">
        <v>329</v>
      </c>
      <c r="B37" s="18" t="s">
        <v>56</v>
      </c>
      <c r="C37" s="18" t="s">
        <v>57</v>
      </c>
      <c r="D37" s="18" t="s">
        <v>330</v>
      </c>
      <c r="E37" s="18" t="n">
        <v>18</v>
      </c>
      <c r="F37" s="18" t="s">
        <v>331</v>
      </c>
      <c r="G37" s="18" t="s">
        <v>137</v>
      </c>
      <c r="H37" s="18" t="s">
        <v>129</v>
      </c>
      <c r="I37" s="18" t="s">
        <v>146</v>
      </c>
      <c r="J37" s="18"/>
      <c r="K37" s="18"/>
      <c r="L37" s="18" t="s">
        <v>129</v>
      </c>
      <c r="M37" s="18" t="s">
        <v>129</v>
      </c>
      <c r="N37" s="18"/>
      <c r="O37" s="18" t="s">
        <v>332</v>
      </c>
      <c r="P37" s="18" t="s">
        <v>333</v>
      </c>
      <c r="Q37" s="18" t="s">
        <v>149</v>
      </c>
      <c r="R37" s="18" t="s">
        <v>334</v>
      </c>
      <c r="S37" s="18" t="s">
        <v>133</v>
      </c>
      <c r="T37" s="18" t="s">
        <v>335</v>
      </c>
      <c r="U37" s="18"/>
      <c r="V37" s="19" t="s">
        <v>29</v>
      </c>
      <c r="W37" s="19"/>
      <c r="X37" s="19"/>
      <c r="Y37" s="20"/>
      <c r="Z37" s="19"/>
      <c r="AA37" s="18" t="str">
        <f aca="false">IF(OR(V37="Aprobada"),R37,IF(AND(OR(V37="Aprobada con ajuste",V37="Rechazada"),W37&lt;&gt;""),W37,""))</f>
        <v/>
      </c>
    </row>
    <row r="38" customFormat="false" ht="32.8" hidden="false" customHeight="false" outlineLevel="0" collapsed="false">
      <c r="A38" s="18" t="s">
        <v>336</v>
      </c>
      <c r="B38" s="18" t="s">
        <v>56</v>
      </c>
      <c r="C38" s="18" t="s">
        <v>57</v>
      </c>
      <c r="D38" s="18" t="s">
        <v>330</v>
      </c>
      <c r="E38" s="18" t="n">
        <v>18</v>
      </c>
      <c r="F38" s="18" t="s">
        <v>160</v>
      </c>
      <c r="G38" s="18" t="s">
        <v>337</v>
      </c>
      <c r="H38" s="18" t="s">
        <v>129</v>
      </c>
      <c r="I38" s="18"/>
      <c r="J38" s="18"/>
      <c r="K38" s="18"/>
      <c r="L38" s="18" t="s">
        <v>129</v>
      </c>
      <c r="M38" s="18" t="s">
        <v>129</v>
      </c>
      <c r="N38" s="18"/>
      <c r="O38" s="18"/>
      <c r="P38" s="18" t="s">
        <v>338</v>
      </c>
      <c r="Q38" s="18" t="s">
        <v>138</v>
      </c>
      <c r="R38" s="18" t="s">
        <v>339</v>
      </c>
      <c r="S38" s="18" t="s">
        <v>140</v>
      </c>
      <c r="T38" s="18" t="s">
        <v>141</v>
      </c>
      <c r="U38" s="18"/>
      <c r="V38" s="19" t="s">
        <v>29</v>
      </c>
      <c r="W38" s="19"/>
      <c r="X38" s="19"/>
      <c r="Y38" s="20"/>
      <c r="Z38" s="19"/>
      <c r="AA38" s="18" t="str">
        <f aca="false">IF(OR(V38="Aprobada"),R38,IF(AND(OR(V38="Aprobada con ajuste",V38="Rechazada"),W38&lt;&gt;""),W38,""))</f>
        <v/>
      </c>
    </row>
    <row r="39" customFormat="false" ht="32.8" hidden="false" customHeight="false" outlineLevel="0" collapsed="false">
      <c r="A39" s="18" t="s">
        <v>340</v>
      </c>
      <c r="B39" s="18" t="s">
        <v>56</v>
      </c>
      <c r="C39" s="18" t="s">
        <v>57</v>
      </c>
      <c r="D39" s="18" t="s">
        <v>330</v>
      </c>
      <c r="E39" s="18" t="n">
        <v>18</v>
      </c>
      <c r="F39" s="18" t="s">
        <v>341</v>
      </c>
      <c r="G39" s="18" t="s">
        <v>337</v>
      </c>
      <c r="H39" s="18" t="s">
        <v>162</v>
      </c>
      <c r="I39" s="18"/>
      <c r="J39" s="18"/>
      <c r="K39" s="18"/>
      <c r="L39" s="18" t="s">
        <v>129</v>
      </c>
      <c r="M39" s="18" t="s">
        <v>129</v>
      </c>
      <c r="N39" s="18"/>
      <c r="O39" s="18"/>
      <c r="P39" s="18" t="s">
        <v>342</v>
      </c>
      <c r="Q39" s="18" t="s">
        <v>149</v>
      </c>
      <c r="R39" s="18" t="s">
        <v>343</v>
      </c>
      <c r="S39" s="18" t="s">
        <v>140</v>
      </c>
      <c r="T39" s="18" t="s">
        <v>169</v>
      </c>
      <c r="U39" s="18" t="s">
        <v>344</v>
      </c>
      <c r="V39" s="19" t="s">
        <v>29</v>
      </c>
      <c r="W39" s="19"/>
      <c r="X39" s="19"/>
      <c r="Y39" s="20"/>
      <c r="Z39" s="19"/>
      <c r="AA39" s="18" t="str">
        <f aca="false">IF(OR(V39="Aprobada"),R39,IF(AND(OR(V39="Aprobada con ajuste",V39="Rechazada"),W39&lt;&gt;""),W39,""))</f>
        <v/>
      </c>
    </row>
    <row r="40" customFormat="false" ht="32.8" hidden="false" customHeight="false" outlineLevel="0" collapsed="false">
      <c r="A40" s="18" t="s">
        <v>345</v>
      </c>
      <c r="B40" s="18" t="s">
        <v>56</v>
      </c>
      <c r="C40" s="18" t="s">
        <v>57</v>
      </c>
      <c r="D40" s="18" t="s">
        <v>330</v>
      </c>
      <c r="E40" s="18" t="n">
        <v>18</v>
      </c>
      <c r="F40" s="18" t="s">
        <v>346</v>
      </c>
      <c r="G40" s="18" t="s">
        <v>145</v>
      </c>
      <c r="H40" s="18" t="s">
        <v>162</v>
      </c>
      <c r="I40" s="18"/>
      <c r="J40" s="18"/>
      <c r="K40" s="18"/>
      <c r="L40" s="18" t="s">
        <v>129</v>
      </c>
      <c r="M40" s="18" t="s">
        <v>129</v>
      </c>
      <c r="N40" s="18"/>
      <c r="O40" s="18"/>
      <c r="P40" s="18" t="s">
        <v>347</v>
      </c>
      <c r="Q40" s="18" t="s">
        <v>149</v>
      </c>
      <c r="R40" s="18" t="s">
        <v>348</v>
      </c>
      <c r="S40" s="18" t="s">
        <v>140</v>
      </c>
      <c r="T40" s="18" t="s">
        <v>169</v>
      </c>
      <c r="U40" s="18" t="s">
        <v>349</v>
      </c>
      <c r="V40" s="19" t="s">
        <v>29</v>
      </c>
      <c r="W40" s="19"/>
      <c r="X40" s="19"/>
      <c r="Y40" s="20"/>
      <c r="Z40" s="19"/>
      <c r="AA40" s="18" t="str">
        <f aca="false">IF(OR(V40="Aprobada"),R40,IF(AND(OR(V40="Aprobada con ajuste",V40="Rechazada"),W40&lt;&gt;""),W40,""))</f>
        <v/>
      </c>
    </row>
    <row r="41" customFormat="false" ht="22.35" hidden="false" customHeight="false" outlineLevel="0" collapsed="false">
      <c r="A41" s="18" t="s">
        <v>350</v>
      </c>
      <c r="B41" s="18" t="s">
        <v>56</v>
      </c>
      <c r="C41" s="18" t="s">
        <v>57</v>
      </c>
      <c r="D41" s="18" t="s">
        <v>351</v>
      </c>
      <c r="E41" s="18" t="n">
        <v>1155</v>
      </c>
      <c r="F41" s="18" t="s">
        <v>352</v>
      </c>
      <c r="G41" s="18" t="s">
        <v>205</v>
      </c>
      <c r="H41" s="18" t="s">
        <v>129</v>
      </c>
      <c r="I41" s="18"/>
      <c r="J41" s="18"/>
      <c r="K41" s="18"/>
      <c r="L41" s="18" t="s">
        <v>129</v>
      </c>
      <c r="M41" s="18" t="s">
        <v>129</v>
      </c>
      <c r="N41" s="18"/>
      <c r="O41" s="18"/>
      <c r="P41" s="18" t="s">
        <v>353</v>
      </c>
      <c r="Q41" s="18" t="s">
        <v>149</v>
      </c>
      <c r="R41" s="18" t="s">
        <v>354</v>
      </c>
      <c r="S41" s="18" t="s">
        <v>140</v>
      </c>
      <c r="T41" s="18" t="s">
        <v>183</v>
      </c>
      <c r="U41" s="18" t="s">
        <v>355</v>
      </c>
      <c r="V41" s="19" t="s">
        <v>29</v>
      </c>
      <c r="W41" s="19"/>
      <c r="X41" s="19"/>
      <c r="Y41" s="20"/>
      <c r="Z41" s="19"/>
      <c r="AA41" s="18" t="str">
        <f aca="false">IF(OR(V41="Aprobada"),R41,IF(AND(OR(V41="Aprobada con ajuste",V41="Rechazada"),W41&lt;&gt;""),W41,""))</f>
        <v/>
      </c>
    </row>
    <row r="42" customFormat="false" ht="22.35" hidden="false" customHeight="false" outlineLevel="0" collapsed="false">
      <c r="A42" s="18" t="s">
        <v>356</v>
      </c>
      <c r="B42" s="18" t="s">
        <v>56</v>
      </c>
      <c r="C42" s="18" t="s">
        <v>57</v>
      </c>
      <c r="D42" s="18" t="s">
        <v>351</v>
      </c>
      <c r="E42" s="18" t="n">
        <v>1155</v>
      </c>
      <c r="F42" s="18" t="s">
        <v>357</v>
      </c>
      <c r="G42" s="18" t="s">
        <v>358</v>
      </c>
      <c r="H42" s="18" t="s">
        <v>162</v>
      </c>
      <c r="I42" s="18"/>
      <c r="J42" s="18"/>
      <c r="K42" s="18"/>
      <c r="L42" s="18" t="s">
        <v>129</v>
      </c>
      <c r="M42" s="18" t="s">
        <v>129</v>
      </c>
      <c r="N42" s="18"/>
      <c r="O42" s="18"/>
      <c r="P42" s="18" t="s">
        <v>359</v>
      </c>
      <c r="Q42" s="18" t="s">
        <v>149</v>
      </c>
      <c r="R42" s="18" t="s">
        <v>360</v>
      </c>
      <c r="S42" s="18" t="s">
        <v>140</v>
      </c>
      <c r="T42" s="18" t="s">
        <v>183</v>
      </c>
      <c r="U42" s="18" t="s">
        <v>361</v>
      </c>
      <c r="V42" s="19" t="s">
        <v>29</v>
      </c>
      <c r="W42" s="19"/>
      <c r="X42" s="19"/>
      <c r="Y42" s="20"/>
      <c r="Z42" s="19"/>
      <c r="AA42" s="18" t="str">
        <f aca="false">IF(OR(V42="Aprobada"),R42,IF(AND(OR(V42="Aprobada con ajuste",V42="Rechazada"),W42&lt;&gt;""),W42,""))</f>
        <v/>
      </c>
    </row>
    <row r="43" customFormat="false" ht="22.35" hidden="false" customHeight="false" outlineLevel="0" collapsed="false">
      <c r="A43" s="18" t="s">
        <v>362</v>
      </c>
      <c r="B43" s="18" t="s">
        <v>56</v>
      </c>
      <c r="C43" s="18" t="s">
        <v>57</v>
      </c>
      <c r="D43" s="18" t="s">
        <v>351</v>
      </c>
      <c r="E43" s="18" t="n">
        <v>1155</v>
      </c>
      <c r="F43" s="18" t="s">
        <v>363</v>
      </c>
      <c r="G43" s="18" t="s">
        <v>358</v>
      </c>
      <c r="H43" s="18" t="s">
        <v>162</v>
      </c>
      <c r="I43" s="18"/>
      <c r="J43" s="18"/>
      <c r="K43" s="18"/>
      <c r="L43" s="18" t="s">
        <v>129</v>
      </c>
      <c r="M43" s="18" t="s">
        <v>129</v>
      </c>
      <c r="N43" s="18"/>
      <c r="O43" s="18"/>
      <c r="P43" s="18" t="s">
        <v>364</v>
      </c>
      <c r="Q43" s="18" t="s">
        <v>149</v>
      </c>
      <c r="R43" s="18" t="s">
        <v>365</v>
      </c>
      <c r="S43" s="18" t="s">
        <v>140</v>
      </c>
      <c r="T43" s="18" t="s">
        <v>183</v>
      </c>
      <c r="U43" s="18" t="s">
        <v>366</v>
      </c>
      <c r="V43" s="19" t="s">
        <v>29</v>
      </c>
      <c r="W43" s="19"/>
      <c r="X43" s="19"/>
      <c r="Y43" s="20"/>
      <c r="Z43" s="19"/>
      <c r="AA43" s="18" t="str">
        <f aca="false">IF(OR(V43="Aprobada"),R43,IF(AND(OR(V43="Aprobada con ajuste",V43="Rechazada"),W43&lt;&gt;""),W43,""))</f>
        <v/>
      </c>
    </row>
    <row r="44" customFormat="false" ht="22.35" hidden="false" customHeight="false" outlineLevel="0" collapsed="false">
      <c r="A44" s="18" t="s">
        <v>367</v>
      </c>
      <c r="B44" s="18" t="s">
        <v>56</v>
      </c>
      <c r="C44" s="18" t="s">
        <v>57</v>
      </c>
      <c r="D44" s="18" t="s">
        <v>351</v>
      </c>
      <c r="E44" s="18" t="n">
        <v>1155</v>
      </c>
      <c r="F44" s="18" t="s">
        <v>368</v>
      </c>
      <c r="G44" s="18" t="s">
        <v>358</v>
      </c>
      <c r="H44" s="18" t="s">
        <v>162</v>
      </c>
      <c r="I44" s="18"/>
      <c r="J44" s="18"/>
      <c r="K44" s="18"/>
      <c r="L44" s="18" t="s">
        <v>129</v>
      </c>
      <c r="M44" s="18" t="s">
        <v>129</v>
      </c>
      <c r="N44" s="18"/>
      <c r="O44" s="18"/>
      <c r="P44" s="18" t="s">
        <v>369</v>
      </c>
      <c r="Q44" s="18" t="s">
        <v>149</v>
      </c>
      <c r="R44" s="18" t="s">
        <v>370</v>
      </c>
      <c r="S44" s="18" t="s">
        <v>140</v>
      </c>
      <c r="T44" s="18" t="s">
        <v>183</v>
      </c>
      <c r="U44" s="18" t="s">
        <v>371</v>
      </c>
      <c r="V44" s="19" t="s">
        <v>29</v>
      </c>
      <c r="W44" s="19"/>
      <c r="X44" s="19"/>
      <c r="Y44" s="20"/>
      <c r="Z44" s="19"/>
      <c r="AA44" s="18" t="str">
        <f aca="false">IF(OR(V44="Aprobada"),R44,IF(AND(OR(V44="Aprobada con ajuste",V44="Rechazada"),W44&lt;&gt;""),W44,""))</f>
        <v/>
      </c>
    </row>
    <row r="45" customFormat="false" ht="22.35" hidden="false" customHeight="false" outlineLevel="0" collapsed="false">
      <c r="A45" s="18" t="s">
        <v>372</v>
      </c>
      <c r="B45" s="18" t="s">
        <v>56</v>
      </c>
      <c r="C45" s="18" t="s">
        <v>57</v>
      </c>
      <c r="D45" s="18" t="s">
        <v>351</v>
      </c>
      <c r="E45" s="18" t="n">
        <v>1155</v>
      </c>
      <c r="F45" s="18" t="s">
        <v>373</v>
      </c>
      <c r="G45" s="18" t="s">
        <v>154</v>
      </c>
      <c r="H45" s="18" t="s">
        <v>162</v>
      </c>
      <c r="I45" s="18"/>
      <c r="J45" s="18"/>
      <c r="K45" s="18"/>
      <c r="L45" s="18" t="s">
        <v>129</v>
      </c>
      <c r="M45" s="18" t="s">
        <v>129</v>
      </c>
      <c r="N45" s="18"/>
      <c r="O45" s="18"/>
      <c r="P45" s="18" t="s">
        <v>374</v>
      </c>
      <c r="Q45" s="18" t="s">
        <v>149</v>
      </c>
      <c r="R45" s="18" t="s">
        <v>375</v>
      </c>
      <c r="S45" s="18" t="s">
        <v>133</v>
      </c>
      <c r="T45" s="18" t="s">
        <v>183</v>
      </c>
      <c r="U45" s="18"/>
      <c r="V45" s="19" t="s">
        <v>29</v>
      </c>
      <c r="W45" s="19"/>
      <c r="X45" s="19"/>
      <c r="Y45" s="20"/>
      <c r="Z45" s="19"/>
      <c r="AA45" s="18" t="str">
        <f aca="false">IF(OR(V45="Aprobada"),R45,IF(AND(OR(V45="Aprobada con ajuste",V45="Rechazada"),W45&lt;&gt;""),W45,""))</f>
        <v/>
      </c>
    </row>
    <row r="46" customFormat="false" ht="22.35" hidden="false" customHeight="false" outlineLevel="0" collapsed="false">
      <c r="A46" s="18" t="s">
        <v>376</v>
      </c>
      <c r="B46" s="18" t="s">
        <v>56</v>
      </c>
      <c r="C46" s="18" t="s">
        <v>57</v>
      </c>
      <c r="D46" s="18" t="s">
        <v>351</v>
      </c>
      <c r="E46" s="18" t="n">
        <v>1155</v>
      </c>
      <c r="F46" s="18" t="s">
        <v>377</v>
      </c>
      <c r="G46" s="18" t="s">
        <v>294</v>
      </c>
      <c r="H46" s="18" t="s">
        <v>162</v>
      </c>
      <c r="I46" s="18"/>
      <c r="J46" s="18"/>
      <c r="K46" s="18"/>
      <c r="L46" s="18" t="s">
        <v>129</v>
      </c>
      <c r="M46" s="18" t="s">
        <v>129</v>
      </c>
      <c r="N46" s="18"/>
      <c r="O46" s="18"/>
      <c r="P46" s="18" t="s">
        <v>378</v>
      </c>
      <c r="Q46" s="18" t="s">
        <v>149</v>
      </c>
      <c r="R46" s="18" t="s">
        <v>379</v>
      </c>
      <c r="S46" s="18" t="s">
        <v>133</v>
      </c>
      <c r="T46" s="18" t="s">
        <v>183</v>
      </c>
      <c r="U46" s="18"/>
      <c r="V46" s="19" t="s">
        <v>29</v>
      </c>
      <c r="W46" s="19"/>
      <c r="X46" s="19"/>
      <c r="Y46" s="20"/>
      <c r="Z46" s="19"/>
      <c r="AA46" s="18" t="str">
        <f aca="false">IF(OR(V46="Aprobada"),R46,IF(AND(OR(V46="Aprobada con ajuste",V46="Rechazada"),W46&lt;&gt;""),W46,""))</f>
        <v/>
      </c>
    </row>
    <row r="47" customFormat="false" ht="22.35" hidden="false" customHeight="false" outlineLevel="0" collapsed="false">
      <c r="A47" s="18" t="s">
        <v>380</v>
      </c>
      <c r="B47" s="18" t="s">
        <v>56</v>
      </c>
      <c r="C47" s="18" t="s">
        <v>57</v>
      </c>
      <c r="D47" s="18" t="s">
        <v>351</v>
      </c>
      <c r="E47" s="18" t="n">
        <v>1155</v>
      </c>
      <c r="F47" s="18" t="s">
        <v>381</v>
      </c>
      <c r="G47" s="18" t="s">
        <v>259</v>
      </c>
      <c r="H47" s="18" t="s">
        <v>162</v>
      </c>
      <c r="I47" s="18"/>
      <c r="J47" s="18"/>
      <c r="K47" s="18"/>
      <c r="L47" s="18" t="s">
        <v>129</v>
      </c>
      <c r="M47" s="18" t="s">
        <v>129</v>
      </c>
      <c r="N47" s="18"/>
      <c r="O47" s="18"/>
      <c r="P47" s="18" t="s">
        <v>382</v>
      </c>
      <c r="Q47" s="18" t="s">
        <v>149</v>
      </c>
      <c r="R47" s="18" t="s">
        <v>383</v>
      </c>
      <c r="S47" s="18" t="s">
        <v>140</v>
      </c>
      <c r="T47" s="18" t="s">
        <v>183</v>
      </c>
      <c r="U47" s="18" t="s">
        <v>384</v>
      </c>
      <c r="V47" s="19" t="s">
        <v>29</v>
      </c>
      <c r="W47" s="19"/>
      <c r="X47" s="19"/>
      <c r="Y47" s="20"/>
      <c r="Z47" s="19"/>
      <c r="AA47" s="18" t="str">
        <f aca="false">IF(OR(V47="Aprobada"),R47,IF(AND(OR(V47="Aprobada con ajuste",V47="Rechazada"),W47&lt;&gt;""),W47,""))</f>
        <v/>
      </c>
    </row>
    <row r="48" customFormat="false" ht="22.35" hidden="false" customHeight="false" outlineLevel="0" collapsed="false">
      <c r="A48" s="18" t="s">
        <v>385</v>
      </c>
      <c r="B48" s="18" t="s">
        <v>56</v>
      </c>
      <c r="C48" s="18" t="s">
        <v>57</v>
      </c>
      <c r="D48" s="18" t="s">
        <v>351</v>
      </c>
      <c r="E48" s="18" t="n">
        <v>1155</v>
      </c>
      <c r="F48" s="18" t="s">
        <v>386</v>
      </c>
      <c r="G48" s="18" t="s">
        <v>259</v>
      </c>
      <c r="H48" s="18" t="s">
        <v>162</v>
      </c>
      <c r="I48" s="18"/>
      <c r="J48" s="18"/>
      <c r="K48" s="18"/>
      <c r="L48" s="18" t="s">
        <v>129</v>
      </c>
      <c r="M48" s="18" t="s">
        <v>129</v>
      </c>
      <c r="N48" s="18"/>
      <c r="O48" s="18"/>
      <c r="P48" s="18" t="s">
        <v>387</v>
      </c>
      <c r="Q48" s="18" t="s">
        <v>149</v>
      </c>
      <c r="R48" s="18" t="s">
        <v>388</v>
      </c>
      <c r="S48" s="18" t="s">
        <v>242</v>
      </c>
      <c r="T48" s="18" t="s">
        <v>389</v>
      </c>
      <c r="U48" s="18" t="s">
        <v>390</v>
      </c>
      <c r="V48" s="19" t="s">
        <v>29</v>
      </c>
      <c r="W48" s="19"/>
      <c r="X48" s="19"/>
      <c r="Y48" s="20"/>
      <c r="Z48" s="19"/>
      <c r="AA48" s="18" t="str">
        <f aca="false">IF(OR(V48="Aprobada"),R48,IF(AND(OR(V48="Aprobada con ajuste",V48="Rechazada"),W48&lt;&gt;""),W48,""))</f>
        <v/>
      </c>
    </row>
    <row r="49" customFormat="false" ht="22.35" hidden="false" customHeight="false" outlineLevel="0" collapsed="false">
      <c r="A49" s="18" t="s">
        <v>391</v>
      </c>
      <c r="B49" s="18" t="s">
        <v>56</v>
      </c>
      <c r="C49" s="18" t="s">
        <v>57</v>
      </c>
      <c r="D49" s="18" t="s">
        <v>351</v>
      </c>
      <c r="E49" s="18" t="n">
        <v>1155</v>
      </c>
      <c r="F49" s="18" t="s">
        <v>392</v>
      </c>
      <c r="G49" s="18" t="s">
        <v>259</v>
      </c>
      <c r="H49" s="18" t="s">
        <v>162</v>
      </c>
      <c r="I49" s="18"/>
      <c r="J49" s="18"/>
      <c r="K49" s="18"/>
      <c r="L49" s="18" t="s">
        <v>129</v>
      </c>
      <c r="M49" s="18" t="s">
        <v>129</v>
      </c>
      <c r="N49" s="18"/>
      <c r="O49" s="18"/>
      <c r="P49" s="18" t="s">
        <v>393</v>
      </c>
      <c r="Q49" s="18" t="s">
        <v>149</v>
      </c>
      <c r="R49" s="18" t="s">
        <v>394</v>
      </c>
      <c r="S49" s="18" t="s">
        <v>242</v>
      </c>
      <c r="T49" s="18" t="s">
        <v>183</v>
      </c>
      <c r="U49" s="18" t="s">
        <v>395</v>
      </c>
      <c r="V49" s="19" t="s">
        <v>29</v>
      </c>
      <c r="W49" s="19"/>
      <c r="X49" s="19"/>
      <c r="Y49" s="20"/>
      <c r="Z49" s="19"/>
      <c r="AA49" s="18" t="str">
        <f aca="false">IF(OR(V49="Aprobada"),R49,IF(AND(OR(V49="Aprobada con ajuste",V49="Rechazada"),W49&lt;&gt;""),W49,""))</f>
        <v/>
      </c>
    </row>
    <row r="50" customFormat="false" ht="22.35" hidden="false" customHeight="false" outlineLevel="0" collapsed="false">
      <c r="A50" s="18" t="s">
        <v>396</v>
      </c>
      <c r="B50" s="18" t="s">
        <v>56</v>
      </c>
      <c r="C50" s="18" t="s">
        <v>57</v>
      </c>
      <c r="D50" s="18" t="s">
        <v>351</v>
      </c>
      <c r="E50" s="18" t="n">
        <v>1155</v>
      </c>
      <c r="F50" s="18" t="s">
        <v>397</v>
      </c>
      <c r="G50" s="18" t="s">
        <v>137</v>
      </c>
      <c r="H50" s="18" t="s">
        <v>162</v>
      </c>
      <c r="I50" s="18"/>
      <c r="J50" s="18"/>
      <c r="K50" s="18"/>
      <c r="L50" s="18" t="s">
        <v>129</v>
      </c>
      <c r="M50" s="18" t="s">
        <v>129</v>
      </c>
      <c r="N50" s="18"/>
      <c r="O50" s="18"/>
      <c r="P50" s="18" t="s">
        <v>398</v>
      </c>
      <c r="Q50" s="18" t="s">
        <v>149</v>
      </c>
      <c r="R50" s="18" t="s">
        <v>399</v>
      </c>
      <c r="S50" s="18" t="s">
        <v>133</v>
      </c>
      <c r="T50" s="18" t="s">
        <v>183</v>
      </c>
      <c r="U50" s="18"/>
      <c r="V50" s="19" t="s">
        <v>29</v>
      </c>
      <c r="W50" s="19"/>
      <c r="X50" s="19"/>
      <c r="Y50" s="20"/>
      <c r="Z50" s="19"/>
      <c r="AA50" s="18" t="str">
        <f aca="false">IF(OR(V50="Aprobada"),R50,IF(AND(OR(V50="Aprobada con ajuste",V50="Rechazada"),W50&lt;&gt;""),W50,""))</f>
        <v/>
      </c>
    </row>
    <row r="51" customFormat="false" ht="22.35" hidden="false" customHeight="false" outlineLevel="0" collapsed="false">
      <c r="A51" s="18" t="s">
        <v>400</v>
      </c>
      <c r="B51" s="18" t="s">
        <v>56</v>
      </c>
      <c r="C51" s="18" t="s">
        <v>57</v>
      </c>
      <c r="D51" s="18" t="s">
        <v>351</v>
      </c>
      <c r="E51" s="18" t="n">
        <v>1155</v>
      </c>
      <c r="F51" s="18" t="s">
        <v>401</v>
      </c>
      <c r="G51" s="18" t="s">
        <v>137</v>
      </c>
      <c r="H51" s="18" t="s">
        <v>162</v>
      </c>
      <c r="I51" s="18"/>
      <c r="J51" s="18"/>
      <c r="K51" s="18"/>
      <c r="L51" s="18" t="s">
        <v>129</v>
      </c>
      <c r="M51" s="18" t="s">
        <v>129</v>
      </c>
      <c r="N51" s="18"/>
      <c r="O51" s="18"/>
      <c r="P51" s="18" t="s">
        <v>402</v>
      </c>
      <c r="Q51" s="18" t="s">
        <v>149</v>
      </c>
      <c r="R51" s="18" t="s">
        <v>403</v>
      </c>
      <c r="S51" s="18" t="s">
        <v>133</v>
      </c>
      <c r="T51" s="18" t="s">
        <v>183</v>
      </c>
      <c r="U51" s="18"/>
      <c r="V51" s="19" t="s">
        <v>29</v>
      </c>
      <c r="W51" s="19"/>
      <c r="X51" s="19"/>
      <c r="Y51" s="20"/>
      <c r="Z51" s="19"/>
      <c r="AA51" s="18" t="str">
        <f aca="false">IF(OR(V51="Aprobada"),R51,IF(AND(OR(V51="Aprobada con ajuste",V51="Rechazada"),W51&lt;&gt;""),W51,""))</f>
        <v/>
      </c>
    </row>
    <row r="52" customFormat="false" ht="22.35" hidden="false" customHeight="false" outlineLevel="0" collapsed="false">
      <c r="A52" s="18" t="s">
        <v>404</v>
      </c>
      <c r="B52" s="18" t="s">
        <v>56</v>
      </c>
      <c r="C52" s="18" t="s">
        <v>57</v>
      </c>
      <c r="D52" s="18" t="s">
        <v>351</v>
      </c>
      <c r="E52" s="18" t="n">
        <v>1155</v>
      </c>
      <c r="F52" s="18" t="s">
        <v>405</v>
      </c>
      <c r="G52" s="18" t="s">
        <v>205</v>
      </c>
      <c r="H52" s="18" t="s">
        <v>162</v>
      </c>
      <c r="I52" s="18"/>
      <c r="J52" s="18"/>
      <c r="K52" s="18"/>
      <c r="L52" s="18" t="s">
        <v>129</v>
      </c>
      <c r="M52" s="18" t="s">
        <v>129</v>
      </c>
      <c r="N52" s="18"/>
      <c r="O52" s="18"/>
      <c r="P52" s="18" t="s">
        <v>406</v>
      </c>
      <c r="Q52" s="18" t="s">
        <v>149</v>
      </c>
      <c r="R52" s="18" t="s">
        <v>407</v>
      </c>
      <c r="S52" s="18" t="s">
        <v>140</v>
      </c>
      <c r="T52" s="18" t="s">
        <v>183</v>
      </c>
      <c r="U52" s="18" t="s">
        <v>408</v>
      </c>
      <c r="V52" s="19" t="s">
        <v>29</v>
      </c>
      <c r="W52" s="19"/>
      <c r="X52" s="19"/>
      <c r="Y52" s="20"/>
      <c r="Z52" s="19"/>
      <c r="AA52" s="18" t="str">
        <f aca="false">IF(OR(V52="Aprobada"),R52,IF(AND(OR(V52="Aprobada con ajuste",V52="Rechazada"),W52&lt;&gt;""),W52,""))</f>
        <v/>
      </c>
    </row>
    <row r="53" customFormat="false" ht="22.35" hidden="false" customHeight="false" outlineLevel="0" collapsed="false">
      <c r="A53" s="18" t="s">
        <v>409</v>
      </c>
      <c r="B53" s="18" t="s">
        <v>56</v>
      </c>
      <c r="C53" s="18" t="s">
        <v>57</v>
      </c>
      <c r="D53" s="18" t="s">
        <v>351</v>
      </c>
      <c r="E53" s="18" t="n">
        <v>1155</v>
      </c>
      <c r="F53" s="18" t="s">
        <v>410</v>
      </c>
      <c r="G53" s="18" t="s">
        <v>205</v>
      </c>
      <c r="H53" s="18" t="s">
        <v>162</v>
      </c>
      <c r="I53" s="18"/>
      <c r="J53" s="18"/>
      <c r="K53" s="18"/>
      <c r="L53" s="18" t="s">
        <v>129</v>
      </c>
      <c r="M53" s="18" t="s">
        <v>129</v>
      </c>
      <c r="N53" s="18"/>
      <c r="O53" s="18"/>
      <c r="P53" s="18" t="s">
        <v>411</v>
      </c>
      <c r="Q53" s="18" t="s">
        <v>149</v>
      </c>
      <c r="R53" s="18" t="s">
        <v>412</v>
      </c>
      <c r="S53" s="18" t="s">
        <v>140</v>
      </c>
      <c r="T53" s="18" t="s">
        <v>183</v>
      </c>
      <c r="U53" s="18" t="s">
        <v>413</v>
      </c>
      <c r="V53" s="19" t="s">
        <v>29</v>
      </c>
      <c r="W53" s="19"/>
      <c r="X53" s="19"/>
      <c r="Y53" s="20"/>
      <c r="Z53" s="19"/>
      <c r="AA53" s="18" t="str">
        <f aca="false">IF(OR(V53="Aprobada"),R53,IF(AND(OR(V53="Aprobada con ajuste",V53="Rechazada"),W53&lt;&gt;""),W53,""))</f>
        <v/>
      </c>
    </row>
    <row r="54" customFormat="false" ht="22.35" hidden="false" customHeight="false" outlineLevel="0" collapsed="false">
      <c r="A54" s="18" t="s">
        <v>414</v>
      </c>
      <c r="B54" s="18" t="s">
        <v>56</v>
      </c>
      <c r="C54" s="18" t="s">
        <v>57</v>
      </c>
      <c r="D54" s="18" t="s">
        <v>351</v>
      </c>
      <c r="E54" s="18" t="n">
        <v>1155</v>
      </c>
      <c r="F54" s="18" t="s">
        <v>415</v>
      </c>
      <c r="G54" s="18" t="s">
        <v>416</v>
      </c>
      <c r="H54" s="18" t="s">
        <v>162</v>
      </c>
      <c r="I54" s="18"/>
      <c r="J54" s="18"/>
      <c r="K54" s="18"/>
      <c r="L54" s="18" t="s">
        <v>129</v>
      </c>
      <c r="M54" s="18" t="s">
        <v>129</v>
      </c>
      <c r="N54" s="18"/>
      <c r="O54" s="18"/>
      <c r="P54" s="18"/>
      <c r="Q54" s="18" t="s">
        <v>149</v>
      </c>
      <c r="R54" s="18" t="s">
        <v>417</v>
      </c>
      <c r="S54" s="18" t="s">
        <v>140</v>
      </c>
      <c r="T54" s="18" t="s">
        <v>183</v>
      </c>
      <c r="U54" s="18" t="s">
        <v>418</v>
      </c>
      <c r="V54" s="19" t="s">
        <v>29</v>
      </c>
      <c r="W54" s="19"/>
      <c r="X54" s="19"/>
      <c r="Y54" s="20"/>
      <c r="Z54" s="19"/>
      <c r="AA54" s="18" t="str">
        <f aca="false">IF(OR(V54="Aprobada"),R54,IF(AND(OR(V54="Aprobada con ajuste",V54="Rechazada"),W54&lt;&gt;""),W54,""))</f>
        <v/>
      </c>
    </row>
    <row r="55" customFormat="false" ht="22.35" hidden="false" customHeight="false" outlineLevel="0" collapsed="false">
      <c r="A55" s="18" t="s">
        <v>419</v>
      </c>
      <c r="B55" s="18" t="s">
        <v>56</v>
      </c>
      <c r="C55" s="18" t="s">
        <v>57</v>
      </c>
      <c r="D55" s="18" t="s">
        <v>351</v>
      </c>
      <c r="E55" s="18" t="n">
        <v>1155</v>
      </c>
      <c r="F55" s="18" t="s">
        <v>420</v>
      </c>
      <c r="G55" s="18" t="s">
        <v>416</v>
      </c>
      <c r="H55" s="18" t="s">
        <v>162</v>
      </c>
      <c r="I55" s="18"/>
      <c r="J55" s="18"/>
      <c r="K55" s="18"/>
      <c r="L55" s="18" t="s">
        <v>129</v>
      </c>
      <c r="M55" s="18" t="s">
        <v>129</v>
      </c>
      <c r="N55" s="18"/>
      <c r="O55" s="18"/>
      <c r="P55" s="18"/>
      <c r="Q55" s="18" t="s">
        <v>149</v>
      </c>
      <c r="R55" s="18" t="s">
        <v>421</v>
      </c>
      <c r="S55" s="18" t="s">
        <v>242</v>
      </c>
      <c r="T55" s="18" t="s">
        <v>183</v>
      </c>
      <c r="U55" s="18" t="s">
        <v>422</v>
      </c>
      <c r="V55" s="19" t="s">
        <v>29</v>
      </c>
      <c r="W55" s="19"/>
      <c r="X55" s="19"/>
      <c r="Y55" s="20"/>
      <c r="Z55" s="19"/>
      <c r="AA55" s="18" t="str">
        <f aca="false">IF(OR(V55="Aprobada"),R55,IF(AND(OR(V55="Aprobada con ajuste",V55="Rechazada"),W55&lt;&gt;""),W55,""))</f>
        <v/>
      </c>
    </row>
    <row r="56" customFormat="false" ht="22.35" hidden="false" customHeight="false" outlineLevel="0" collapsed="false">
      <c r="A56" s="18" t="s">
        <v>423</v>
      </c>
      <c r="B56" s="18" t="s">
        <v>56</v>
      </c>
      <c r="C56" s="18" t="s">
        <v>57</v>
      </c>
      <c r="D56" s="18" t="s">
        <v>351</v>
      </c>
      <c r="E56" s="18" t="n">
        <v>1155</v>
      </c>
      <c r="F56" s="18" t="s">
        <v>424</v>
      </c>
      <c r="G56" s="18" t="s">
        <v>416</v>
      </c>
      <c r="H56" s="18" t="s">
        <v>162</v>
      </c>
      <c r="I56" s="18"/>
      <c r="J56" s="18"/>
      <c r="K56" s="18"/>
      <c r="L56" s="18" t="s">
        <v>129</v>
      </c>
      <c r="M56" s="18" t="s">
        <v>129</v>
      </c>
      <c r="N56" s="18"/>
      <c r="O56" s="18"/>
      <c r="P56" s="18"/>
      <c r="Q56" s="18" t="s">
        <v>149</v>
      </c>
      <c r="R56" s="18" t="s">
        <v>425</v>
      </c>
      <c r="S56" s="18" t="s">
        <v>140</v>
      </c>
      <c r="T56" s="18" t="s">
        <v>183</v>
      </c>
      <c r="U56" s="18" t="s">
        <v>426</v>
      </c>
      <c r="V56" s="19" t="s">
        <v>29</v>
      </c>
      <c r="W56" s="19"/>
      <c r="X56" s="19"/>
      <c r="Y56" s="20"/>
      <c r="Z56" s="19"/>
      <c r="AA56" s="18" t="str">
        <f aca="false">IF(OR(V56="Aprobada"),R56,IF(AND(OR(V56="Aprobada con ajuste",V56="Rechazada"),W56&lt;&gt;""),W56,""))</f>
        <v/>
      </c>
    </row>
    <row r="57" customFormat="false" ht="22.35" hidden="false" customHeight="false" outlineLevel="0" collapsed="false">
      <c r="A57" s="18" t="s">
        <v>427</v>
      </c>
      <c r="B57" s="18" t="s">
        <v>56</v>
      </c>
      <c r="C57" s="18" t="s">
        <v>57</v>
      </c>
      <c r="D57" s="18" t="s">
        <v>351</v>
      </c>
      <c r="E57" s="18" t="n">
        <v>1155</v>
      </c>
      <c r="F57" s="18" t="s">
        <v>428</v>
      </c>
      <c r="G57" s="18" t="s">
        <v>429</v>
      </c>
      <c r="H57" s="18" t="s">
        <v>162</v>
      </c>
      <c r="I57" s="18"/>
      <c r="J57" s="18"/>
      <c r="K57" s="18"/>
      <c r="L57" s="18" t="s">
        <v>129</v>
      </c>
      <c r="M57" s="18" t="s">
        <v>129</v>
      </c>
      <c r="N57" s="18"/>
      <c r="O57" s="18"/>
      <c r="P57" s="18" t="s">
        <v>430</v>
      </c>
      <c r="Q57" s="18" t="s">
        <v>149</v>
      </c>
      <c r="R57" s="18" t="s">
        <v>431</v>
      </c>
      <c r="S57" s="18" t="s">
        <v>133</v>
      </c>
      <c r="T57" s="18" t="s">
        <v>432</v>
      </c>
      <c r="U57" s="18"/>
      <c r="V57" s="19" t="s">
        <v>29</v>
      </c>
      <c r="W57" s="19"/>
      <c r="X57" s="19"/>
      <c r="Y57" s="20"/>
      <c r="Z57" s="19"/>
      <c r="AA57" s="18" t="str">
        <f aca="false">IF(OR(V57="Aprobada"),R57,IF(AND(OR(V57="Aprobada con ajuste",V57="Rechazada"),W57&lt;&gt;""),W57,""))</f>
        <v/>
      </c>
    </row>
    <row r="58" customFormat="false" ht="22.35" hidden="false" customHeight="false" outlineLevel="0" collapsed="false">
      <c r="A58" s="18" t="s">
        <v>433</v>
      </c>
      <c r="B58" s="18" t="s">
        <v>56</v>
      </c>
      <c r="C58" s="18" t="s">
        <v>57</v>
      </c>
      <c r="D58" s="18" t="s">
        <v>351</v>
      </c>
      <c r="E58" s="18" t="n">
        <v>1155</v>
      </c>
      <c r="F58" s="18" t="s">
        <v>434</v>
      </c>
      <c r="G58" s="18" t="s">
        <v>429</v>
      </c>
      <c r="H58" s="18" t="s">
        <v>162</v>
      </c>
      <c r="I58" s="18"/>
      <c r="J58" s="18"/>
      <c r="K58" s="18"/>
      <c r="L58" s="18" t="s">
        <v>129</v>
      </c>
      <c r="M58" s="18" t="s">
        <v>129</v>
      </c>
      <c r="N58" s="18"/>
      <c r="O58" s="18"/>
      <c r="P58" s="18" t="s">
        <v>435</v>
      </c>
      <c r="Q58" s="18" t="s">
        <v>149</v>
      </c>
      <c r="R58" s="18" t="s">
        <v>436</v>
      </c>
      <c r="S58" s="18" t="s">
        <v>133</v>
      </c>
      <c r="T58" s="18" t="s">
        <v>437</v>
      </c>
      <c r="U58" s="18"/>
      <c r="V58" s="19" t="s">
        <v>29</v>
      </c>
      <c r="W58" s="19"/>
      <c r="X58" s="19"/>
      <c r="Y58" s="20"/>
      <c r="Z58" s="19"/>
      <c r="AA58" s="18" t="str">
        <f aca="false">IF(OR(V58="Aprobada"),R58,IF(AND(OR(V58="Aprobada con ajuste",V58="Rechazada"),W58&lt;&gt;""),W58,""))</f>
        <v/>
      </c>
    </row>
    <row r="59" customFormat="false" ht="22.35" hidden="false" customHeight="false" outlineLevel="0" collapsed="false">
      <c r="A59" s="18" t="s">
        <v>438</v>
      </c>
      <c r="B59" s="18" t="s">
        <v>56</v>
      </c>
      <c r="C59" s="18" t="s">
        <v>57</v>
      </c>
      <c r="D59" s="18" t="s">
        <v>351</v>
      </c>
      <c r="E59" s="18" t="n">
        <v>1155</v>
      </c>
      <c r="F59" s="18" t="s">
        <v>439</v>
      </c>
      <c r="G59" s="18" t="s">
        <v>416</v>
      </c>
      <c r="H59" s="18" t="s">
        <v>162</v>
      </c>
      <c r="I59" s="18"/>
      <c r="J59" s="18"/>
      <c r="K59" s="18"/>
      <c r="L59" s="18" t="s">
        <v>129</v>
      </c>
      <c r="M59" s="18" t="s">
        <v>129</v>
      </c>
      <c r="N59" s="18"/>
      <c r="O59" s="18"/>
      <c r="P59" s="18"/>
      <c r="Q59" s="18" t="s">
        <v>149</v>
      </c>
      <c r="R59" s="18" t="s">
        <v>440</v>
      </c>
      <c r="S59" s="18" t="s">
        <v>140</v>
      </c>
      <c r="T59" s="18" t="s">
        <v>441</v>
      </c>
      <c r="U59" s="18" t="s">
        <v>442</v>
      </c>
      <c r="V59" s="19" t="s">
        <v>29</v>
      </c>
      <c r="W59" s="19"/>
      <c r="X59" s="19"/>
      <c r="Y59" s="20"/>
      <c r="Z59" s="19"/>
      <c r="AA59" s="18" t="str">
        <f aca="false">IF(OR(V59="Aprobada"),R59,IF(AND(OR(V59="Aprobada con ajuste",V59="Rechazada"),W59&lt;&gt;""),W59,""))</f>
        <v/>
      </c>
    </row>
    <row r="60" customFormat="false" ht="22.35" hidden="false" customHeight="false" outlineLevel="0" collapsed="false">
      <c r="A60" s="18" t="s">
        <v>443</v>
      </c>
      <c r="B60" s="18" t="s">
        <v>56</v>
      </c>
      <c r="C60" s="18" t="s">
        <v>57</v>
      </c>
      <c r="D60" s="18" t="s">
        <v>351</v>
      </c>
      <c r="E60" s="18" t="n">
        <v>1155</v>
      </c>
      <c r="F60" s="18" t="s">
        <v>444</v>
      </c>
      <c r="G60" s="18" t="s">
        <v>154</v>
      </c>
      <c r="H60" s="18" t="s">
        <v>162</v>
      </c>
      <c r="I60" s="18"/>
      <c r="J60" s="18"/>
      <c r="K60" s="18"/>
      <c r="L60" s="18" t="s">
        <v>129</v>
      </c>
      <c r="M60" s="18" t="s">
        <v>129</v>
      </c>
      <c r="N60" s="18"/>
      <c r="O60" s="18"/>
      <c r="P60" s="18"/>
      <c r="Q60" s="18" t="s">
        <v>149</v>
      </c>
      <c r="R60" s="18" t="s">
        <v>445</v>
      </c>
      <c r="S60" s="18" t="s">
        <v>140</v>
      </c>
      <c r="T60" s="18" t="s">
        <v>446</v>
      </c>
      <c r="U60" s="18" t="s">
        <v>447</v>
      </c>
      <c r="V60" s="19" t="s">
        <v>29</v>
      </c>
      <c r="W60" s="19"/>
      <c r="X60" s="19"/>
      <c r="Y60" s="20"/>
      <c r="Z60" s="19"/>
      <c r="AA60" s="18" t="str">
        <f aca="false">IF(OR(V60="Aprobada"),R60,IF(AND(OR(V60="Aprobada con ajuste",V60="Rechazada"),W60&lt;&gt;""),W60,""))</f>
        <v/>
      </c>
    </row>
    <row r="61" customFormat="false" ht="22.35" hidden="false" customHeight="false" outlineLevel="0" collapsed="false">
      <c r="A61" s="18" t="s">
        <v>448</v>
      </c>
      <c r="B61" s="18" t="s">
        <v>56</v>
      </c>
      <c r="C61" s="18" t="s">
        <v>57</v>
      </c>
      <c r="D61" s="18" t="s">
        <v>351</v>
      </c>
      <c r="E61" s="18" t="n">
        <v>1155</v>
      </c>
      <c r="F61" s="18" t="s">
        <v>449</v>
      </c>
      <c r="G61" s="18" t="s">
        <v>416</v>
      </c>
      <c r="H61" s="18" t="s">
        <v>162</v>
      </c>
      <c r="I61" s="18"/>
      <c r="J61" s="18"/>
      <c r="K61" s="18"/>
      <c r="L61" s="18" t="s">
        <v>129</v>
      </c>
      <c r="M61" s="18" t="s">
        <v>129</v>
      </c>
      <c r="N61" s="18"/>
      <c r="O61" s="18"/>
      <c r="P61" s="18"/>
      <c r="Q61" s="18" t="s">
        <v>149</v>
      </c>
      <c r="R61" s="18" t="s">
        <v>450</v>
      </c>
      <c r="S61" s="18" t="s">
        <v>242</v>
      </c>
      <c r="T61" s="18" t="s">
        <v>446</v>
      </c>
      <c r="U61" s="18" t="s">
        <v>451</v>
      </c>
      <c r="V61" s="19" t="s">
        <v>29</v>
      </c>
      <c r="W61" s="19"/>
      <c r="X61" s="19"/>
      <c r="Y61" s="20"/>
      <c r="Z61" s="19"/>
      <c r="AA61" s="18" t="str">
        <f aca="false">IF(OR(V61="Aprobada"),R61,IF(AND(OR(V61="Aprobada con ajuste",V61="Rechazada"),W61&lt;&gt;""),W61,""))</f>
        <v/>
      </c>
    </row>
    <row r="62" customFormat="false" ht="22.35" hidden="false" customHeight="false" outlineLevel="0" collapsed="false">
      <c r="A62" s="18" t="s">
        <v>452</v>
      </c>
      <c r="B62" s="18" t="s">
        <v>56</v>
      </c>
      <c r="C62" s="18" t="s">
        <v>57</v>
      </c>
      <c r="D62" s="18" t="s">
        <v>351</v>
      </c>
      <c r="E62" s="18" t="n">
        <v>1155</v>
      </c>
      <c r="F62" s="18" t="s">
        <v>453</v>
      </c>
      <c r="G62" s="18" t="s">
        <v>454</v>
      </c>
      <c r="H62" s="18" t="s">
        <v>162</v>
      </c>
      <c r="I62" s="18"/>
      <c r="J62" s="18"/>
      <c r="K62" s="18"/>
      <c r="L62" s="18" t="s">
        <v>129</v>
      </c>
      <c r="M62" s="18" t="s">
        <v>129</v>
      </c>
      <c r="N62" s="18"/>
      <c r="O62" s="18"/>
      <c r="P62" s="18"/>
      <c r="Q62" s="18" t="s">
        <v>149</v>
      </c>
      <c r="R62" s="18" t="s">
        <v>455</v>
      </c>
      <c r="S62" s="18" t="s">
        <v>140</v>
      </c>
      <c r="T62" s="18" t="s">
        <v>456</v>
      </c>
      <c r="U62" s="18" t="s">
        <v>457</v>
      </c>
      <c r="V62" s="19" t="s">
        <v>29</v>
      </c>
      <c r="W62" s="19"/>
      <c r="X62" s="19"/>
      <c r="Y62" s="20"/>
      <c r="Z62" s="19"/>
      <c r="AA62" s="18" t="str">
        <f aca="false">IF(OR(V62="Aprobada"),R62,IF(AND(OR(V62="Aprobada con ajuste",V62="Rechazada"),W62&lt;&gt;""),W62,""))</f>
        <v/>
      </c>
    </row>
    <row r="63" customFormat="false" ht="22.35" hidden="false" customHeight="false" outlineLevel="0" collapsed="false">
      <c r="A63" s="18" t="s">
        <v>458</v>
      </c>
      <c r="B63" s="18" t="s">
        <v>56</v>
      </c>
      <c r="C63" s="18" t="s">
        <v>57</v>
      </c>
      <c r="D63" s="18" t="s">
        <v>351</v>
      </c>
      <c r="E63" s="18" t="n">
        <v>1155</v>
      </c>
      <c r="F63" s="18" t="s">
        <v>459</v>
      </c>
      <c r="G63" s="18" t="s">
        <v>259</v>
      </c>
      <c r="H63" s="18" t="s">
        <v>162</v>
      </c>
      <c r="I63" s="18"/>
      <c r="J63" s="18"/>
      <c r="K63" s="18"/>
      <c r="L63" s="18" t="s">
        <v>129</v>
      </c>
      <c r="M63" s="18" t="s">
        <v>129</v>
      </c>
      <c r="N63" s="18"/>
      <c r="O63" s="18"/>
      <c r="P63" s="18"/>
      <c r="Q63" s="18" t="s">
        <v>149</v>
      </c>
      <c r="R63" s="18" t="s">
        <v>460</v>
      </c>
      <c r="S63" s="18" t="s">
        <v>140</v>
      </c>
      <c r="T63" s="18" t="s">
        <v>183</v>
      </c>
      <c r="U63" s="18" t="s">
        <v>461</v>
      </c>
      <c r="V63" s="19" t="s">
        <v>29</v>
      </c>
      <c r="W63" s="19"/>
      <c r="X63" s="19"/>
      <c r="Y63" s="20"/>
      <c r="Z63" s="19"/>
      <c r="AA63" s="18" t="str">
        <f aca="false">IF(OR(V63="Aprobada"),R63,IF(AND(OR(V63="Aprobada con ajuste",V63="Rechazada"),W63&lt;&gt;""),W63,""))</f>
        <v/>
      </c>
    </row>
    <row r="64" customFormat="false" ht="22.35" hidden="false" customHeight="false" outlineLevel="0" collapsed="false">
      <c r="A64" s="18" t="s">
        <v>462</v>
      </c>
      <c r="B64" s="18" t="s">
        <v>56</v>
      </c>
      <c r="C64" s="18" t="s">
        <v>57</v>
      </c>
      <c r="D64" s="18" t="s">
        <v>351</v>
      </c>
      <c r="E64" s="18" t="n">
        <v>1155</v>
      </c>
      <c r="F64" s="18" t="s">
        <v>463</v>
      </c>
      <c r="G64" s="18" t="s">
        <v>416</v>
      </c>
      <c r="H64" s="18" t="s">
        <v>162</v>
      </c>
      <c r="I64" s="18"/>
      <c r="J64" s="18"/>
      <c r="K64" s="18"/>
      <c r="L64" s="18" t="s">
        <v>129</v>
      </c>
      <c r="M64" s="18" t="s">
        <v>129</v>
      </c>
      <c r="N64" s="18"/>
      <c r="O64" s="18"/>
      <c r="P64" s="18"/>
      <c r="Q64" s="18" t="s">
        <v>149</v>
      </c>
      <c r="R64" s="18" t="s">
        <v>464</v>
      </c>
      <c r="S64" s="18" t="s">
        <v>242</v>
      </c>
      <c r="T64" s="18" t="s">
        <v>183</v>
      </c>
      <c r="U64" s="18" t="s">
        <v>465</v>
      </c>
      <c r="V64" s="19" t="s">
        <v>29</v>
      </c>
      <c r="W64" s="19"/>
      <c r="X64" s="19"/>
      <c r="Y64" s="20"/>
      <c r="Z64" s="19"/>
      <c r="AA64" s="18" t="str">
        <f aca="false">IF(OR(V64="Aprobada"),R64,IF(AND(OR(V64="Aprobada con ajuste",V64="Rechazada"),W64&lt;&gt;""),W64,""))</f>
        <v/>
      </c>
    </row>
    <row r="65" customFormat="false" ht="22.35" hidden="false" customHeight="false" outlineLevel="0" collapsed="false">
      <c r="A65" s="18" t="s">
        <v>466</v>
      </c>
      <c r="B65" s="18" t="s">
        <v>56</v>
      </c>
      <c r="C65" s="18" t="s">
        <v>57</v>
      </c>
      <c r="D65" s="18" t="s">
        <v>351</v>
      </c>
      <c r="E65" s="18" t="n">
        <v>1155</v>
      </c>
      <c r="F65" s="18" t="s">
        <v>467</v>
      </c>
      <c r="G65" s="18" t="s">
        <v>358</v>
      </c>
      <c r="H65" s="18" t="s">
        <v>129</v>
      </c>
      <c r="I65" s="18"/>
      <c r="J65" s="18"/>
      <c r="K65" s="18"/>
      <c r="L65" s="18" t="s">
        <v>129</v>
      </c>
      <c r="M65" s="18" t="s">
        <v>129</v>
      </c>
      <c r="N65" s="18"/>
      <c r="O65" s="18"/>
      <c r="P65" s="18" t="s">
        <v>468</v>
      </c>
      <c r="Q65" s="18" t="s">
        <v>149</v>
      </c>
      <c r="R65" s="18" t="s">
        <v>469</v>
      </c>
      <c r="S65" s="18" t="s">
        <v>140</v>
      </c>
      <c r="T65" s="18" t="s">
        <v>470</v>
      </c>
      <c r="U65" s="18" t="s">
        <v>471</v>
      </c>
      <c r="V65" s="19" t="s">
        <v>29</v>
      </c>
      <c r="W65" s="19"/>
      <c r="X65" s="19"/>
      <c r="Y65" s="20"/>
      <c r="Z65" s="19"/>
      <c r="AA65" s="18" t="str">
        <f aca="false">IF(OR(V65="Aprobada"),R65,IF(AND(OR(V65="Aprobada con ajuste",V65="Rechazada"),W65&lt;&gt;""),W65,""))</f>
        <v/>
      </c>
    </row>
    <row r="66" customFormat="false" ht="22.35" hidden="false" customHeight="false" outlineLevel="0" collapsed="false">
      <c r="A66" s="18" t="s">
        <v>472</v>
      </c>
      <c r="B66" s="18" t="s">
        <v>56</v>
      </c>
      <c r="C66" s="18" t="s">
        <v>57</v>
      </c>
      <c r="D66" s="18" t="s">
        <v>473</v>
      </c>
      <c r="E66" s="18" t="n">
        <v>1221</v>
      </c>
      <c r="F66" s="18" t="s">
        <v>474</v>
      </c>
      <c r="G66" s="18" t="s">
        <v>317</v>
      </c>
      <c r="H66" s="18" t="s">
        <v>162</v>
      </c>
      <c r="I66" s="18"/>
      <c r="J66" s="18"/>
      <c r="K66" s="18"/>
      <c r="L66" s="18" t="s">
        <v>162</v>
      </c>
      <c r="M66" s="18" t="s">
        <v>129</v>
      </c>
      <c r="N66" s="18"/>
      <c r="O66" s="18"/>
      <c r="P66" s="18"/>
      <c r="Q66" s="18" t="s">
        <v>149</v>
      </c>
      <c r="R66" s="18" t="s">
        <v>475</v>
      </c>
      <c r="S66" s="18" t="s">
        <v>133</v>
      </c>
      <c r="T66" s="18" t="s">
        <v>476</v>
      </c>
      <c r="U66" s="18"/>
      <c r="V66" s="19" t="s">
        <v>29</v>
      </c>
      <c r="W66" s="19"/>
      <c r="X66" s="19"/>
      <c r="Y66" s="20"/>
      <c r="Z66" s="19"/>
      <c r="AA66" s="18" t="str">
        <f aca="false">IF(OR(V66="Aprobada"),R66,IF(AND(OR(V66="Aprobada con ajuste",V66="Rechazada"),W66&lt;&gt;""),W66,""))</f>
        <v/>
      </c>
    </row>
    <row r="67" customFormat="false" ht="32.8" hidden="false" customHeight="false" outlineLevel="0" collapsed="false">
      <c r="A67" s="18" t="s">
        <v>477</v>
      </c>
      <c r="B67" s="18" t="s">
        <v>56</v>
      </c>
      <c r="C67" s="18" t="s">
        <v>57</v>
      </c>
      <c r="D67" s="18" t="s">
        <v>478</v>
      </c>
      <c r="E67" s="18" t="n">
        <v>23</v>
      </c>
      <c r="F67" s="18" t="s">
        <v>479</v>
      </c>
      <c r="G67" s="18" t="s">
        <v>145</v>
      </c>
      <c r="H67" s="18" t="s">
        <v>129</v>
      </c>
      <c r="I67" s="18" t="s">
        <v>146</v>
      </c>
      <c r="J67" s="18"/>
      <c r="K67" s="18"/>
      <c r="L67" s="18" t="s">
        <v>129</v>
      </c>
      <c r="M67" s="18" t="s">
        <v>162</v>
      </c>
      <c r="N67" s="18" t="s">
        <v>480</v>
      </c>
      <c r="O67" s="18" t="s">
        <v>481</v>
      </c>
      <c r="P67" s="18" t="s">
        <v>482</v>
      </c>
      <c r="Q67" s="18" t="s">
        <v>138</v>
      </c>
      <c r="R67" s="18" t="s">
        <v>483</v>
      </c>
      <c r="S67" s="18" t="s">
        <v>140</v>
      </c>
      <c r="T67" s="18" t="s">
        <v>141</v>
      </c>
      <c r="U67" s="18"/>
      <c r="V67" s="19" t="s">
        <v>29</v>
      </c>
      <c r="W67" s="19"/>
      <c r="X67" s="19"/>
      <c r="Y67" s="20"/>
      <c r="Z67" s="19"/>
      <c r="AA67" s="18" t="str">
        <f aca="false">IF(OR(V67="Aprobada"),R67,IF(AND(OR(V67="Aprobada con ajuste",V67="Rechazada"),W67&lt;&gt;""),W67,""))</f>
        <v/>
      </c>
    </row>
    <row r="68" customFormat="false" ht="22.35" hidden="false" customHeight="false" outlineLevel="0" collapsed="false">
      <c r="A68" s="18" t="s">
        <v>484</v>
      </c>
      <c r="B68" s="18" t="s">
        <v>56</v>
      </c>
      <c r="C68" s="18" t="s">
        <v>57</v>
      </c>
      <c r="D68" s="18" t="s">
        <v>478</v>
      </c>
      <c r="E68" s="18" t="n">
        <v>23</v>
      </c>
      <c r="F68" s="18" t="s">
        <v>485</v>
      </c>
      <c r="G68" s="18" t="s">
        <v>486</v>
      </c>
      <c r="H68" s="18" t="s">
        <v>129</v>
      </c>
      <c r="I68" s="18"/>
      <c r="J68" s="18"/>
      <c r="K68" s="18"/>
      <c r="L68" s="18" t="s">
        <v>129</v>
      </c>
      <c r="M68" s="18" t="s">
        <v>162</v>
      </c>
      <c r="N68" s="18" t="s">
        <v>480</v>
      </c>
      <c r="O68" s="18"/>
      <c r="P68" s="18" t="s">
        <v>487</v>
      </c>
      <c r="Q68" s="18" t="s">
        <v>138</v>
      </c>
      <c r="R68" s="18" t="s">
        <v>488</v>
      </c>
      <c r="S68" s="18" t="s">
        <v>140</v>
      </c>
      <c r="T68" s="18" t="s">
        <v>141</v>
      </c>
      <c r="U68" s="18"/>
      <c r="V68" s="19" t="s">
        <v>29</v>
      </c>
      <c r="W68" s="19"/>
      <c r="X68" s="19"/>
      <c r="Y68" s="20"/>
      <c r="Z68" s="19"/>
      <c r="AA68" s="18" t="str">
        <f aca="false">IF(OR(V68="Aprobada"),R68,IF(AND(OR(V68="Aprobada con ajuste",V68="Rechazada"),W68&lt;&gt;""),W68,""))</f>
        <v/>
      </c>
    </row>
    <row r="69" customFormat="false" ht="22.35" hidden="false" customHeight="false" outlineLevel="0" collapsed="false">
      <c r="A69" s="18" t="s">
        <v>489</v>
      </c>
      <c r="B69" s="18" t="s">
        <v>56</v>
      </c>
      <c r="C69" s="18" t="s">
        <v>57</v>
      </c>
      <c r="D69" s="18" t="s">
        <v>478</v>
      </c>
      <c r="E69" s="18" t="n">
        <v>23</v>
      </c>
      <c r="F69" s="18" t="s">
        <v>490</v>
      </c>
      <c r="G69" s="18" t="s">
        <v>128</v>
      </c>
      <c r="H69" s="18" t="s">
        <v>162</v>
      </c>
      <c r="I69" s="18"/>
      <c r="J69" s="18"/>
      <c r="K69" s="18"/>
      <c r="L69" s="18" t="s">
        <v>129</v>
      </c>
      <c r="M69" s="18" t="s">
        <v>129</v>
      </c>
      <c r="N69" s="18"/>
      <c r="O69" s="18"/>
      <c r="P69" s="18" t="s">
        <v>491</v>
      </c>
      <c r="Q69" s="18" t="s">
        <v>138</v>
      </c>
      <c r="R69" s="18" t="s">
        <v>492</v>
      </c>
      <c r="S69" s="18" t="s">
        <v>140</v>
      </c>
      <c r="T69" s="18" t="s">
        <v>141</v>
      </c>
      <c r="U69" s="18"/>
      <c r="V69" s="19" t="s">
        <v>29</v>
      </c>
      <c r="W69" s="19"/>
      <c r="X69" s="19"/>
      <c r="Y69" s="20"/>
      <c r="Z69" s="19"/>
      <c r="AA69" s="18" t="str">
        <f aca="false">IF(OR(V69="Aprobada"),R69,IF(AND(OR(V69="Aprobada con ajuste",V69="Rechazada"),W69&lt;&gt;""),W69,""))</f>
        <v/>
      </c>
    </row>
    <row r="70" customFormat="false" ht="22.35" hidden="false" customHeight="false" outlineLevel="0" collapsed="false">
      <c r="A70" s="18" t="s">
        <v>493</v>
      </c>
      <c r="B70" s="18" t="s">
        <v>56</v>
      </c>
      <c r="C70" s="18" t="s">
        <v>57</v>
      </c>
      <c r="D70" s="18" t="s">
        <v>478</v>
      </c>
      <c r="E70" s="18" t="n">
        <v>23</v>
      </c>
      <c r="F70" s="18" t="s">
        <v>494</v>
      </c>
      <c r="G70" s="18" t="s">
        <v>145</v>
      </c>
      <c r="H70" s="18" t="s">
        <v>162</v>
      </c>
      <c r="I70" s="18"/>
      <c r="J70" s="18"/>
      <c r="K70" s="18"/>
      <c r="L70" s="18" t="s">
        <v>129</v>
      </c>
      <c r="M70" s="18" t="s">
        <v>129</v>
      </c>
      <c r="N70" s="18"/>
      <c r="O70" s="18"/>
      <c r="P70" s="18" t="s">
        <v>495</v>
      </c>
      <c r="Q70" s="18" t="s">
        <v>149</v>
      </c>
      <c r="R70" s="18" t="s">
        <v>496</v>
      </c>
      <c r="S70" s="18" t="s">
        <v>133</v>
      </c>
      <c r="T70" s="18" t="s">
        <v>169</v>
      </c>
      <c r="U70" s="18"/>
      <c r="V70" s="19" t="s">
        <v>29</v>
      </c>
      <c r="W70" s="19"/>
      <c r="X70" s="19"/>
      <c r="Y70" s="20"/>
      <c r="Z70" s="19"/>
      <c r="AA70" s="18" t="str">
        <f aca="false">IF(OR(V70="Aprobada"),R70,IF(AND(OR(V70="Aprobada con ajuste",V70="Rechazada"),W70&lt;&gt;""),W70,""))</f>
        <v/>
      </c>
    </row>
    <row r="71" customFormat="false" ht="22.35" hidden="false" customHeight="false" outlineLevel="0" collapsed="false">
      <c r="A71" s="18" t="s">
        <v>497</v>
      </c>
      <c r="B71" s="18" t="s">
        <v>56</v>
      </c>
      <c r="C71" s="18" t="s">
        <v>57</v>
      </c>
      <c r="D71" s="18" t="s">
        <v>478</v>
      </c>
      <c r="E71" s="18" t="n">
        <v>23</v>
      </c>
      <c r="F71" s="18" t="s">
        <v>498</v>
      </c>
      <c r="G71" s="18" t="s">
        <v>205</v>
      </c>
      <c r="H71" s="18" t="s">
        <v>162</v>
      </c>
      <c r="I71" s="18"/>
      <c r="J71" s="18"/>
      <c r="K71" s="18"/>
      <c r="L71" s="18" t="s">
        <v>129</v>
      </c>
      <c r="M71" s="18" t="s">
        <v>129</v>
      </c>
      <c r="N71" s="18"/>
      <c r="O71" s="18"/>
      <c r="P71" s="18" t="s">
        <v>499</v>
      </c>
      <c r="Q71" s="18" t="s">
        <v>149</v>
      </c>
      <c r="R71" s="18" t="s">
        <v>500</v>
      </c>
      <c r="S71" s="18" t="s">
        <v>133</v>
      </c>
      <c r="T71" s="18" t="s">
        <v>169</v>
      </c>
      <c r="U71" s="18"/>
      <c r="V71" s="19" t="s">
        <v>29</v>
      </c>
      <c r="W71" s="19"/>
      <c r="X71" s="19"/>
      <c r="Y71" s="20"/>
      <c r="Z71" s="19"/>
      <c r="AA71" s="18" t="str">
        <f aca="false">IF(OR(V71="Aprobada"),R71,IF(AND(OR(V71="Aprobada con ajuste",V71="Rechazada"),W71&lt;&gt;""),W71,""))</f>
        <v/>
      </c>
    </row>
    <row r="72" customFormat="false" ht="22.35" hidden="false" customHeight="false" outlineLevel="0" collapsed="false">
      <c r="A72" s="18" t="s">
        <v>501</v>
      </c>
      <c r="B72" s="18" t="s">
        <v>56</v>
      </c>
      <c r="C72" s="18" t="s">
        <v>57</v>
      </c>
      <c r="D72" s="18" t="s">
        <v>478</v>
      </c>
      <c r="E72" s="18" t="n">
        <v>23</v>
      </c>
      <c r="F72" s="18" t="s">
        <v>502</v>
      </c>
      <c r="G72" s="18" t="s">
        <v>503</v>
      </c>
      <c r="H72" s="18" t="s">
        <v>162</v>
      </c>
      <c r="I72" s="18"/>
      <c r="J72" s="18"/>
      <c r="K72" s="18"/>
      <c r="L72" s="18" t="s">
        <v>129</v>
      </c>
      <c r="M72" s="18" t="s">
        <v>129</v>
      </c>
      <c r="N72" s="18"/>
      <c r="O72" s="18"/>
      <c r="P72" s="18" t="s">
        <v>504</v>
      </c>
      <c r="Q72" s="18" t="s">
        <v>149</v>
      </c>
      <c r="R72" s="18" t="s">
        <v>505</v>
      </c>
      <c r="S72" s="18" t="s">
        <v>133</v>
      </c>
      <c r="T72" s="18" t="s">
        <v>169</v>
      </c>
      <c r="U72" s="18"/>
      <c r="V72" s="19" t="s">
        <v>29</v>
      </c>
      <c r="W72" s="19"/>
      <c r="X72" s="19"/>
      <c r="Y72" s="20"/>
      <c r="Z72" s="19"/>
      <c r="AA72" s="18" t="str">
        <f aca="false">IF(OR(V72="Aprobada"),R72,IF(AND(OR(V72="Aprobada con ajuste",V72="Rechazada"),W72&lt;&gt;""),W72,""))</f>
        <v/>
      </c>
    </row>
    <row r="73" customFormat="false" ht="22.35" hidden="false" customHeight="false" outlineLevel="0" collapsed="false">
      <c r="A73" s="18" t="s">
        <v>506</v>
      </c>
      <c r="B73" s="18" t="s">
        <v>56</v>
      </c>
      <c r="C73" s="18" t="s">
        <v>57</v>
      </c>
      <c r="D73" s="18" t="s">
        <v>478</v>
      </c>
      <c r="E73" s="18" t="n">
        <v>23</v>
      </c>
      <c r="F73" s="18" t="s">
        <v>507</v>
      </c>
      <c r="G73" s="18" t="s">
        <v>186</v>
      </c>
      <c r="H73" s="18" t="s">
        <v>129</v>
      </c>
      <c r="I73" s="18"/>
      <c r="J73" s="18"/>
      <c r="K73" s="18"/>
      <c r="L73" s="18" t="s">
        <v>129</v>
      </c>
      <c r="M73" s="18" t="s">
        <v>129</v>
      </c>
      <c r="N73" s="18"/>
      <c r="O73" s="18"/>
      <c r="P73" s="18" t="s">
        <v>508</v>
      </c>
      <c r="Q73" s="18" t="s">
        <v>131</v>
      </c>
      <c r="R73" s="18" t="s">
        <v>509</v>
      </c>
      <c r="S73" s="18" t="s">
        <v>133</v>
      </c>
      <c r="T73" s="18" t="s">
        <v>510</v>
      </c>
      <c r="U73" s="18"/>
      <c r="V73" s="19" t="s">
        <v>29</v>
      </c>
      <c r="W73" s="19"/>
      <c r="X73" s="19"/>
      <c r="Y73" s="20"/>
      <c r="Z73" s="19"/>
      <c r="AA73" s="18" t="str">
        <f aca="false">IF(OR(V73="Aprobada"),R73,IF(AND(OR(V73="Aprobada con ajuste",V73="Rechazada"),W73&lt;&gt;""),W73,""))</f>
        <v/>
      </c>
    </row>
    <row r="74" customFormat="false" ht="22.35" hidden="false" customHeight="false" outlineLevel="0" collapsed="false">
      <c r="A74" s="18" t="s">
        <v>511</v>
      </c>
      <c r="B74" s="18" t="s">
        <v>56</v>
      </c>
      <c r="C74" s="18" t="s">
        <v>57</v>
      </c>
      <c r="D74" s="18" t="s">
        <v>478</v>
      </c>
      <c r="E74" s="18" t="n">
        <v>23</v>
      </c>
      <c r="F74" s="18" t="s">
        <v>512</v>
      </c>
      <c r="G74" s="18" t="s">
        <v>173</v>
      </c>
      <c r="H74" s="18" t="s">
        <v>162</v>
      </c>
      <c r="I74" s="18"/>
      <c r="J74" s="18"/>
      <c r="K74" s="18"/>
      <c r="L74" s="18" t="s">
        <v>129</v>
      </c>
      <c r="M74" s="18" t="s">
        <v>162</v>
      </c>
      <c r="N74" s="18" t="s">
        <v>480</v>
      </c>
      <c r="O74" s="18"/>
      <c r="P74" s="18" t="s">
        <v>513</v>
      </c>
      <c r="Q74" s="18" t="s">
        <v>138</v>
      </c>
      <c r="R74" s="18" t="s">
        <v>176</v>
      </c>
      <c r="S74" s="18" t="s">
        <v>140</v>
      </c>
      <c r="T74" s="18" t="s">
        <v>141</v>
      </c>
      <c r="U74" s="18"/>
      <c r="V74" s="19" t="s">
        <v>29</v>
      </c>
      <c r="W74" s="19"/>
      <c r="X74" s="19"/>
      <c r="Y74" s="20"/>
      <c r="Z74" s="19"/>
      <c r="AA74" s="18" t="str">
        <f aca="false">IF(OR(V74="Aprobada"),R74,IF(AND(OR(V74="Aprobada con ajuste",V74="Rechazada"),W74&lt;&gt;""),W74,""))</f>
        <v/>
      </c>
    </row>
    <row r="75" customFormat="false" ht="32.8" hidden="false" customHeight="false" outlineLevel="0" collapsed="false">
      <c r="A75" s="18" t="s">
        <v>514</v>
      </c>
      <c r="B75" s="18" t="s">
        <v>56</v>
      </c>
      <c r="C75" s="18" t="s">
        <v>57</v>
      </c>
      <c r="D75" s="18" t="s">
        <v>515</v>
      </c>
      <c r="E75" s="18" t="n">
        <v>704</v>
      </c>
      <c r="F75" s="18" t="s">
        <v>479</v>
      </c>
      <c r="G75" s="18" t="s">
        <v>486</v>
      </c>
      <c r="H75" s="18" t="s">
        <v>129</v>
      </c>
      <c r="I75" s="18" t="s">
        <v>146</v>
      </c>
      <c r="J75" s="18"/>
      <c r="K75" s="18"/>
      <c r="L75" s="18" t="s">
        <v>129</v>
      </c>
      <c r="M75" s="18" t="s">
        <v>162</v>
      </c>
      <c r="N75" s="18" t="s">
        <v>480</v>
      </c>
      <c r="O75" s="18" t="s">
        <v>516</v>
      </c>
      <c r="P75" s="18" t="s">
        <v>517</v>
      </c>
      <c r="Q75" s="18" t="s">
        <v>138</v>
      </c>
      <c r="R75" s="18" t="s">
        <v>518</v>
      </c>
      <c r="S75" s="18" t="s">
        <v>140</v>
      </c>
      <c r="T75" s="18" t="s">
        <v>141</v>
      </c>
      <c r="U75" s="18"/>
      <c r="V75" s="19" t="s">
        <v>29</v>
      </c>
      <c r="W75" s="19"/>
      <c r="X75" s="19"/>
      <c r="Y75" s="20"/>
      <c r="Z75" s="19"/>
      <c r="AA75" s="18" t="str">
        <f aca="false">IF(OR(V75="Aprobada"),R75,IF(AND(OR(V75="Aprobada con ajuste",V75="Rechazada"),W75&lt;&gt;""),W75,""))</f>
        <v/>
      </c>
    </row>
    <row r="76" customFormat="false" ht="22.35" hidden="false" customHeight="false" outlineLevel="0" collapsed="false">
      <c r="A76" s="18" t="s">
        <v>519</v>
      </c>
      <c r="B76" s="18" t="s">
        <v>56</v>
      </c>
      <c r="C76" s="18" t="s">
        <v>57</v>
      </c>
      <c r="D76" s="18" t="s">
        <v>515</v>
      </c>
      <c r="E76" s="18" t="n">
        <v>704</v>
      </c>
      <c r="F76" s="18" t="s">
        <v>485</v>
      </c>
      <c r="G76" s="18" t="s">
        <v>337</v>
      </c>
      <c r="H76" s="18" t="s">
        <v>129</v>
      </c>
      <c r="I76" s="18"/>
      <c r="J76" s="18"/>
      <c r="K76" s="18"/>
      <c r="L76" s="18" t="s">
        <v>129</v>
      </c>
      <c r="M76" s="18" t="s">
        <v>162</v>
      </c>
      <c r="N76" s="18" t="s">
        <v>480</v>
      </c>
      <c r="O76" s="18"/>
      <c r="P76" s="18" t="s">
        <v>520</v>
      </c>
      <c r="Q76" s="18" t="s">
        <v>138</v>
      </c>
      <c r="R76" s="18" t="s">
        <v>521</v>
      </c>
      <c r="S76" s="18" t="s">
        <v>140</v>
      </c>
      <c r="T76" s="18" t="s">
        <v>141</v>
      </c>
      <c r="U76" s="18"/>
      <c r="V76" s="19" t="s">
        <v>29</v>
      </c>
      <c r="W76" s="19"/>
      <c r="X76" s="19"/>
      <c r="Y76" s="20"/>
      <c r="Z76" s="19"/>
      <c r="AA76" s="18" t="str">
        <f aca="false">IF(OR(V76="Aprobada"),R76,IF(AND(OR(V76="Aprobada con ajuste",V76="Rechazada"),W76&lt;&gt;""),W76,""))</f>
        <v/>
      </c>
    </row>
    <row r="77" customFormat="false" ht="22.35" hidden="false" customHeight="false" outlineLevel="0" collapsed="false">
      <c r="A77" s="18" t="s">
        <v>522</v>
      </c>
      <c r="B77" s="18" t="s">
        <v>56</v>
      </c>
      <c r="C77" s="18" t="s">
        <v>57</v>
      </c>
      <c r="D77" s="18" t="s">
        <v>515</v>
      </c>
      <c r="E77" s="18" t="n">
        <v>704</v>
      </c>
      <c r="F77" s="18" t="s">
        <v>490</v>
      </c>
      <c r="G77" s="18" t="s">
        <v>128</v>
      </c>
      <c r="H77" s="18" t="s">
        <v>162</v>
      </c>
      <c r="I77" s="18"/>
      <c r="J77" s="18"/>
      <c r="K77" s="18"/>
      <c r="L77" s="18" t="s">
        <v>129</v>
      </c>
      <c r="M77" s="18" t="s">
        <v>129</v>
      </c>
      <c r="N77" s="18"/>
      <c r="O77" s="18"/>
      <c r="P77" s="18" t="s">
        <v>523</v>
      </c>
      <c r="Q77" s="18" t="s">
        <v>138</v>
      </c>
      <c r="R77" s="18" t="s">
        <v>524</v>
      </c>
      <c r="S77" s="18" t="s">
        <v>140</v>
      </c>
      <c r="T77" s="18" t="s">
        <v>141</v>
      </c>
      <c r="U77" s="18"/>
      <c r="V77" s="19" t="s">
        <v>29</v>
      </c>
      <c r="W77" s="19"/>
      <c r="X77" s="19"/>
      <c r="Y77" s="20"/>
      <c r="Z77" s="19"/>
      <c r="AA77" s="18" t="str">
        <f aca="false">IF(OR(V77="Aprobada"),R77,IF(AND(OR(V77="Aprobada con ajuste",V77="Rechazada"),W77&lt;&gt;""),W77,""))</f>
        <v/>
      </c>
    </row>
    <row r="78" customFormat="false" ht="22.35" hidden="false" customHeight="false" outlineLevel="0" collapsed="false">
      <c r="A78" s="18" t="s">
        <v>525</v>
      </c>
      <c r="B78" s="18" t="s">
        <v>56</v>
      </c>
      <c r="C78" s="18" t="s">
        <v>57</v>
      </c>
      <c r="D78" s="18" t="s">
        <v>515</v>
      </c>
      <c r="E78" s="18" t="n">
        <v>704</v>
      </c>
      <c r="F78" s="18" t="s">
        <v>512</v>
      </c>
      <c r="G78" s="18" t="s">
        <v>173</v>
      </c>
      <c r="H78" s="18" t="s">
        <v>162</v>
      </c>
      <c r="I78" s="18"/>
      <c r="J78" s="18"/>
      <c r="K78" s="18"/>
      <c r="L78" s="18" t="s">
        <v>129</v>
      </c>
      <c r="M78" s="18" t="s">
        <v>162</v>
      </c>
      <c r="N78" s="18" t="s">
        <v>480</v>
      </c>
      <c r="O78" s="18"/>
      <c r="P78" s="18" t="s">
        <v>526</v>
      </c>
      <c r="Q78" s="18" t="s">
        <v>138</v>
      </c>
      <c r="R78" s="18" t="s">
        <v>176</v>
      </c>
      <c r="S78" s="18" t="s">
        <v>140</v>
      </c>
      <c r="T78" s="18" t="s">
        <v>141</v>
      </c>
      <c r="U78" s="18"/>
      <c r="V78" s="19" t="s">
        <v>29</v>
      </c>
      <c r="W78" s="19"/>
      <c r="X78" s="19"/>
      <c r="Y78" s="20"/>
      <c r="Z78" s="19"/>
      <c r="AA78" s="18" t="str">
        <f aca="false">IF(OR(V78="Aprobada"),R78,IF(AND(OR(V78="Aprobada con ajuste",V78="Rechazada"),W78&lt;&gt;""),W78,""))</f>
        <v/>
      </c>
    </row>
    <row r="79" customFormat="false" ht="32.8" hidden="false" customHeight="false" outlineLevel="0" collapsed="false">
      <c r="A79" s="18" t="s">
        <v>527</v>
      </c>
      <c r="B79" s="18" t="s">
        <v>56</v>
      </c>
      <c r="C79" s="18" t="s">
        <v>57</v>
      </c>
      <c r="D79" s="18" t="s">
        <v>528</v>
      </c>
      <c r="E79" s="18" t="n">
        <v>409</v>
      </c>
      <c r="F79" s="18" t="s">
        <v>529</v>
      </c>
      <c r="G79" s="18" t="s">
        <v>186</v>
      </c>
      <c r="H79" s="18" t="s">
        <v>129</v>
      </c>
      <c r="I79" s="18"/>
      <c r="J79" s="18"/>
      <c r="K79" s="18"/>
      <c r="L79" s="18" t="s">
        <v>129</v>
      </c>
      <c r="M79" s="18" t="s">
        <v>162</v>
      </c>
      <c r="N79" s="18" t="s">
        <v>530</v>
      </c>
      <c r="O79" s="18"/>
      <c r="P79" s="18" t="s">
        <v>531</v>
      </c>
      <c r="Q79" s="18" t="s">
        <v>138</v>
      </c>
      <c r="R79" s="18" t="s">
        <v>532</v>
      </c>
      <c r="S79" s="18" t="s">
        <v>140</v>
      </c>
      <c r="T79" s="18" t="s">
        <v>141</v>
      </c>
      <c r="U79" s="18"/>
      <c r="V79" s="19" t="s">
        <v>29</v>
      </c>
      <c r="W79" s="19"/>
      <c r="X79" s="19"/>
      <c r="Y79" s="20"/>
      <c r="Z79" s="19"/>
      <c r="AA79" s="18" t="str">
        <f aca="false">IF(OR(V79="Aprobada"),R79,IF(AND(OR(V79="Aprobada con ajuste",V79="Rechazada"),W79&lt;&gt;""),W79,""))</f>
        <v/>
      </c>
    </row>
    <row r="80" customFormat="false" ht="22.35" hidden="false" customHeight="false" outlineLevel="0" collapsed="false">
      <c r="A80" s="18" t="s">
        <v>533</v>
      </c>
      <c r="B80" s="18" t="s">
        <v>56</v>
      </c>
      <c r="C80" s="18" t="s">
        <v>57</v>
      </c>
      <c r="D80" s="18" t="s">
        <v>528</v>
      </c>
      <c r="E80" s="18" t="n">
        <v>409</v>
      </c>
      <c r="F80" s="18" t="s">
        <v>534</v>
      </c>
      <c r="G80" s="18" t="s">
        <v>259</v>
      </c>
      <c r="H80" s="18" t="s">
        <v>129</v>
      </c>
      <c r="I80" s="18"/>
      <c r="J80" s="18"/>
      <c r="K80" s="18"/>
      <c r="L80" s="18" t="s">
        <v>129</v>
      </c>
      <c r="M80" s="18" t="s">
        <v>162</v>
      </c>
      <c r="N80" s="18" t="s">
        <v>535</v>
      </c>
      <c r="O80" s="18"/>
      <c r="P80" s="18" t="s">
        <v>536</v>
      </c>
      <c r="Q80" s="18" t="s">
        <v>149</v>
      </c>
      <c r="R80" s="18" t="s">
        <v>537</v>
      </c>
      <c r="S80" s="18" t="s">
        <v>140</v>
      </c>
      <c r="T80" s="18" t="s">
        <v>538</v>
      </c>
      <c r="U80" s="18" t="s">
        <v>539</v>
      </c>
      <c r="V80" s="19" t="s">
        <v>29</v>
      </c>
      <c r="W80" s="19"/>
      <c r="X80" s="19"/>
      <c r="Y80" s="20"/>
      <c r="Z80" s="19"/>
      <c r="AA80" s="18" t="str">
        <f aca="false">IF(OR(V80="Aprobada"),R80,IF(AND(OR(V80="Aprobada con ajuste",V80="Rechazada"),W80&lt;&gt;""),W80,""))</f>
        <v/>
      </c>
    </row>
    <row r="81" customFormat="false" ht="22.35" hidden="false" customHeight="false" outlineLevel="0" collapsed="false">
      <c r="A81" s="18" t="s">
        <v>540</v>
      </c>
      <c r="B81" s="18" t="s">
        <v>56</v>
      </c>
      <c r="C81" s="18" t="s">
        <v>57</v>
      </c>
      <c r="D81" s="18" t="s">
        <v>528</v>
      </c>
      <c r="E81" s="18" t="n">
        <v>409</v>
      </c>
      <c r="F81" s="18" t="s">
        <v>541</v>
      </c>
      <c r="G81" s="18" t="s">
        <v>542</v>
      </c>
      <c r="H81" s="18" t="s">
        <v>129</v>
      </c>
      <c r="I81" s="18"/>
      <c r="J81" s="18"/>
      <c r="K81" s="18"/>
      <c r="L81" s="18" t="s">
        <v>129</v>
      </c>
      <c r="M81" s="18" t="s">
        <v>162</v>
      </c>
      <c r="N81" s="18" t="s">
        <v>543</v>
      </c>
      <c r="O81" s="18"/>
      <c r="P81" s="18" t="s">
        <v>544</v>
      </c>
      <c r="Q81" s="18" t="s">
        <v>149</v>
      </c>
      <c r="R81" s="18" t="s">
        <v>545</v>
      </c>
      <c r="S81" s="18" t="s">
        <v>140</v>
      </c>
      <c r="T81" s="18" t="s">
        <v>546</v>
      </c>
      <c r="U81" s="18" t="s">
        <v>547</v>
      </c>
      <c r="V81" s="19" t="s">
        <v>29</v>
      </c>
      <c r="W81" s="19"/>
      <c r="X81" s="19"/>
      <c r="Y81" s="20"/>
      <c r="Z81" s="19"/>
      <c r="AA81" s="18" t="str">
        <f aca="false">IF(OR(V81="Aprobada"),R81,IF(AND(OR(V81="Aprobada con ajuste",V81="Rechazada"),W81&lt;&gt;""),W81,""))</f>
        <v/>
      </c>
    </row>
    <row r="82" customFormat="false" ht="22.35" hidden="false" customHeight="false" outlineLevel="0" collapsed="false">
      <c r="A82" s="18" t="s">
        <v>548</v>
      </c>
      <c r="B82" s="18" t="s">
        <v>56</v>
      </c>
      <c r="C82" s="18" t="s">
        <v>57</v>
      </c>
      <c r="D82" s="18" t="s">
        <v>528</v>
      </c>
      <c r="E82" s="18" t="n">
        <v>409</v>
      </c>
      <c r="F82" s="18" t="s">
        <v>549</v>
      </c>
      <c r="G82" s="18" t="s">
        <v>154</v>
      </c>
      <c r="H82" s="18" t="s">
        <v>129</v>
      </c>
      <c r="I82" s="18"/>
      <c r="J82" s="18"/>
      <c r="K82" s="18"/>
      <c r="L82" s="18" t="s">
        <v>129</v>
      </c>
      <c r="M82" s="18" t="s">
        <v>129</v>
      </c>
      <c r="N82" s="18"/>
      <c r="O82" s="18"/>
      <c r="P82" s="18" t="s">
        <v>550</v>
      </c>
      <c r="Q82" s="18" t="s">
        <v>149</v>
      </c>
      <c r="R82" s="18" t="s">
        <v>551</v>
      </c>
      <c r="S82" s="18" t="s">
        <v>140</v>
      </c>
      <c r="T82" s="18" t="s">
        <v>552</v>
      </c>
      <c r="U82" s="18" t="s">
        <v>553</v>
      </c>
      <c r="V82" s="19" t="s">
        <v>29</v>
      </c>
      <c r="W82" s="19"/>
      <c r="X82" s="19"/>
      <c r="Y82" s="20"/>
      <c r="Z82" s="19"/>
      <c r="AA82" s="18" t="str">
        <f aca="false">IF(OR(V82="Aprobada"),R82,IF(AND(OR(V82="Aprobada con ajuste",V82="Rechazada"),W82&lt;&gt;""),W82,""))</f>
        <v/>
      </c>
    </row>
    <row r="83" customFormat="false" ht="22.35" hidden="false" customHeight="false" outlineLevel="0" collapsed="false">
      <c r="A83" s="18" t="s">
        <v>554</v>
      </c>
      <c r="B83" s="18" t="s">
        <v>56</v>
      </c>
      <c r="C83" s="18" t="s">
        <v>57</v>
      </c>
      <c r="D83" s="18" t="s">
        <v>528</v>
      </c>
      <c r="E83" s="18" t="n">
        <v>409</v>
      </c>
      <c r="F83" s="18" t="s">
        <v>555</v>
      </c>
      <c r="G83" s="18" t="s">
        <v>154</v>
      </c>
      <c r="H83" s="18" t="s">
        <v>162</v>
      </c>
      <c r="I83" s="18"/>
      <c r="J83" s="18"/>
      <c r="K83" s="18"/>
      <c r="L83" s="18" t="s">
        <v>129</v>
      </c>
      <c r="M83" s="18" t="s">
        <v>129</v>
      </c>
      <c r="N83" s="18"/>
      <c r="O83" s="18"/>
      <c r="P83" s="18" t="s">
        <v>556</v>
      </c>
      <c r="Q83" s="18" t="s">
        <v>149</v>
      </c>
      <c r="R83" s="18" t="s">
        <v>557</v>
      </c>
      <c r="S83" s="18" t="s">
        <v>133</v>
      </c>
      <c r="T83" s="18" t="s">
        <v>183</v>
      </c>
      <c r="U83" s="18"/>
      <c r="V83" s="19" t="s">
        <v>29</v>
      </c>
      <c r="W83" s="19"/>
      <c r="X83" s="19"/>
      <c r="Y83" s="20"/>
      <c r="Z83" s="19"/>
      <c r="AA83" s="18" t="str">
        <f aca="false">IF(OR(V83="Aprobada"),R83,IF(AND(OR(V83="Aprobada con ajuste",V83="Rechazada"),W83&lt;&gt;""),W83,""))</f>
        <v/>
      </c>
    </row>
    <row r="84" customFormat="false" ht="22.35" hidden="false" customHeight="false" outlineLevel="0" collapsed="false">
      <c r="A84" s="18" t="s">
        <v>558</v>
      </c>
      <c r="B84" s="18" t="s">
        <v>56</v>
      </c>
      <c r="C84" s="18" t="s">
        <v>57</v>
      </c>
      <c r="D84" s="18" t="s">
        <v>528</v>
      </c>
      <c r="E84" s="18" t="n">
        <v>409</v>
      </c>
      <c r="F84" s="18" t="s">
        <v>559</v>
      </c>
      <c r="G84" s="18" t="s">
        <v>154</v>
      </c>
      <c r="H84" s="18" t="s">
        <v>162</v>
      </c>
      <c r="I84" s="18"/>
      <c r="J84" s="18"/>
      <c r="K84" s="18"/>
      <c r="L84" s="18" t="s">
        <v>129</v>
      </c>
      <c r="M84" s="18" t="s">
        <v>129</v>
      </c>
      <c r="N84" s="18"/>
      <c r="O84" s="18"/>
      <c r="P84" s="18"/>
      <c r="Q84" s="18" t="s">
        <v>149</v>
      </c>
      <c r="R84" s="18" t="s">
        <v>560</v>
      </c>
      <c r="S84" s="18" t="s">
        <v>133</v>
      </c>
      <c r="T84" s="18" t="s">
        <v>183</v>
      </c>
      <c r="U84" s="18"/>
      <c r="V84" s="19" t="s">
        <v>29</v>
      </c>
      <c r="W84" s="19"/>
      <c r="X84" s="19"/>
      <c r="Y84" s="20"/>
      <c r="Z84" s="19"/>
      <c r="AA84" s="18" t="str">
        <f aca="false">IF(OR(V84="Aprobada"),R84,IF(AND(OR(V84="Aprobada con ajuste",V84="Rechazada"),W84&lt;&gt;""),W84,""))</f>
        <v/>
      </c>
    </row>
    <row r="85" customFormat="false" ht="22.35" hidden="false" customHeight="false" outlineLevel="0" collapsed="false">
      <c r="A85" s="18" t="s">
        <v>561</v>
      </c>
      <c r="B85" s="18" t="s">
        <v>56</v>
      </c>
      <c r="C85" s="18" t="s">
        <v>57</v>
      </c>
      <c r="D85" s="18" t="s">
        <v>528</v>
      </c>
      <c r="E85" s="18" t="n">
        <v>409</v>
      </c>
      <c r="F85" s="18" t="s">
        <v>562</v>
      </c>
      <c r="G85" s="18" t="s">
        <v>259</v>
      </c>
      <c r="H85" s="18" t="s">
        <v>129</v>
      </c>
      <c r="I85" s="18"/>
      <c r="J85" s="18"/>
      <c r="K85" s="18"/>
      <c r="L85" s="18" t="s">
        <v>129</v>
      </c>
      <c r="M85" s="18" t="s">
        <v>129</v>
      </c>
      <c r="N85" s="18"/>
      <c r="O85" s="18" t="s">
        <v>563</v>
      </c>
      <c r="P85" s="18" t="s">
        <v>564</v>
      </c>
      <c r="Q85" s="18" t="s">
        <v>149</v>
      </c>
      <c r="R85" s="18" t="s">
        <v>565</v>
      </c>
      <c r="S85" s="18" t="s">
        <v>140</v>
      </c>
      <c r="T85" s="18" t="s">
        <v>183</v>
      </c>
      <c r="U85" s="18" t="s">
        <v>566</v>
      </c>
      <c r="V85" s="19" t="s">
        <v>29</v>
      </c>
      <c r="W85" s="19"/>
      <c r="X85" s="19"/>
      <c r="Y85" s="20"/>
      <c r="Z85" s="19"/>
      <c r="AA85" s="18" t="str">
        <f aca="false">IF(OR(V85="Aprobada"),R85,IF(AND(OR(V85="Aprobada con ajuste",V85="Rechazada"),W85&lt;&gt;""),W85,""))</f>
        <v/>
      </c>
    </row>
    <row r="86" customFormat="false" ht="22.35" hidden="false" customHeight="false" outlineLevel="0" collapsed="false">
      <c r="A86" s="18" t="s">
        <v>567</v>
      </c>
      <c r="B86" s="18" t="s">
        <v>56</v>
      </c>
      <c r="C86" s="18" t="s">
        <v>57</v>
      </c>
      <c r="D86" s="18" t="s">
        <v>528</v>
      </c>
      <c r="E86" s="18" t="n">
        <v>409</v>
      </c>
      <c r="F86" s="18" t="s">
        <v>568</v>
      </c>
      <c r="G86" s="18" t="s">
        <v>137</v>
      </c>
      <c r="H86" s="18" t="s">
        <v>162</v>
      </c>
      <c r="I86" s="18"/>
      <c r="J86" s="18"/>
      <c r="K86" s="18"/>
      <c r="L86" s="18" t="s">
        <v>129</v>
      </c>
      <c r="M86" s="18" t="s">
        <v>129</v>
      </c>
      <c r="N86" s="18"/>
      <c r="O86" s="18"/>
      <c r="P86" s="18" t="s">
        <v>569</v>
      </c>
      <c r="Q86" s="18" t="s">
        <v>149</v>
      </c>
      <c r="R86" s="18" t="s">
        <v>570</v>
      </c>
      <c r="S86" s="18" t="s">
        <v>133</v>
      </c>
      <c r="T86" s="18" t="s">
        <v>183</v>
      </c>
      <c r="U86" s="18"/>
      <c r="V86" s="19" t="s">
        <v>29</v>
      </c>
      <c r="W86" s="19"/>
      <c r="X86" s="19"/>
      <c r="Y86" s="20"/>
      <c r="Z86" s="19"/>
      <c r="AA86" s="18" t="str">
        <f aca="false">IF(OR(V86="Aprobada"),R86,IF(AND(OR(V86="Aprobada con ajuste",V86="Rechazada"),W86&lt;&gt;""),W86,""))</f>
        <v/>
      </c>
    </row>
    <row r="87" customFormat="false" ht="22.35" hidden="false" customHeight="false" outlineLevel="0" collapsed="false">
      <c r="A87" s="18" t="s">
        <v>571</v>
      </c>
      <c r="B87" s="18" t="s">
        <v>56</v>
      </c>
      <c r="C87" s="18" t="s">
        <v>57</v>
      </c>
      <c r="D87" s="18" t="s">
        <v>528</v>
      </c>
      <c r="E87" s="18" t="n">
        <v>409</v>
      </c>
      <c r="F87" s="18" t="s">
        <v>572</v>
      </c>
      <c r="G87" s="18" t="s">
        <v>154</v>
      </c>
      <c r="H87" s="18" t="s">
        <v>162</v>
      </c>
      <c r="I87" s="18"/>
      <c r="J87" s="18"/>
      <c r="K87" s="18"/>
      <c r="L87" s="18" t="s">
        <v>129</v>
      </c>
      <c r="M87" s="18" t="s">
        <v>129</v>
      </c>
      <c r="N87" s="18"/>
      <c r="O87" s="18"/>
      <c r="P87" s="18" t="s">
        <v>573</v>
      </c>
      <c r="Q87" s="18" t="s">
        <v>149</v>
      </c>
      <c r="R87" s="18" t="s">
        <v>574</v>
      </c>
      <c r="S87" s="18" t="s">
        <v>133</v>
      </c>
      <c r="T87" s="18" t="s">
        <v>183</v>
      </c>
      <c r="U87" s="18"/>
      <c r="V87" s="19" t="s">
        <v>29</v>
      </c>
      <c r="W87" s="19"/>
      <c r="X87" s="19"/>
      <c r="Y87" s="20"/>
      <c r="Z87" s="19"/>
      <c r="AA87" s="18" t="str">
        <f aca="false">IF(OR(V87="Aprobada"),R87,IF(AND(OR(V87="Aprobada con ajuste",V87="Rechazada"),W87&lt;&gt;""),W87,""))</f>
        <v/>
      </c>
    </row>
    <row r="88" customFormat="false" ht="22.35" hidden="false" customHeight="false" outlineLevel="0" collapsed="false">
      <c r="A88" s="18" t="s">
        <v>575</v>
      </c>
      <c r="B88" s="18" t="s">
        <v>56</v>
      </c>
      <c r="C88" s="18" t="s">
        <v>57</v>
      </c>
      <c r="D88" s="18" t="s">
        <v>528</v>
      </c>
      <c r="E88" s="18" t="n">
        <v>409</v>
      </c>
      <c r="F88" s="18" t="s">
        <v>220</v>
      </c>
      <c r="G88" s="18" t="s">
        <v>486</v>
      </c>
      <c r="H88" s="18" t="s">
        <v>162</v>
      </c>
      <c r="I88" s="18"/>
      <c r="J88" s="18"/>
      <c r="K88" s="18"/>
      <c r="L88" s="18" t="s">
        <v>129</v>
      </c>
      <c r="M88" s="18" t="s">
        <v>162</v>
      </c>
      <c r="N88" s="18" t="s">
        <v>543</v>
      </c>
      <c r="O88" s="18"/>
      <c r="P88" s="18" t="s">
        <v>576</v>
      </c>
      <c r="Q88" s="18" t="s">
        <v>149</v>
      </c>
      <c r="R88" s="18" t="s">
        <v>577</v>
      </c>
      <c r="S88" s="18" t="s">
        <v>140</v>
      </c>
      <c r="T88" s="18" t="s">
        <v>223</v>
      </c>
      <c r="U88" s="18" t="s">
        <v>578</v>
      </c>
      <c r="V88" s="19" t="s">
        <v>29</v>
      </c>
      <c r="W88" s="19"/>
      <c r="X88" s="19"/>
      <c r="Y88" s="20"/>
      <c r="Z88" s="19"/>
      <c r="AA88" s="18" t="str">
        <f aca="false">IF(OR(V88="Aprobada"),R88,IF(AND(OR(V88="Aprobada con ajuste",V88="Rechazada"),W88&lt;&gt;""),W88,""))</f>
        <v/>
      </c>
    </row>
    <row r="89" customFormat="false" ht="22.35" hidden="false" customHeight="false" outlineLevel="0" collapsed="false">
      <c r="A89" s="18" t="s">
        <v>579</v>
      </c>
      <c r="B89" s="18" t="s">
        <v>56</v>
      </c>
      <c r="C89" s="18" t="s">
        <v>57</v>
      </c>
      <c r="D89" s="18" t="s">
        <v>528</v>
      </c>
      <c r="E89" s="18" t="n">
        <v>409</v>
      </c>
      <c r="F89" s="18" t="s">
        <v>580</v>
      </c>
      <c r="G89" s="18" t="s">
        <v>180</v>
      </c>
      <c r="H89" s="18" t="s">
        <v>162</v>
      </c>
      <c r="I89" s="18"/>
      <c r="J89" s="18"/>
      <c r="K89" s="18"/>
      <c r="L89" s="18" t="s">
        <v>129</v>
      </c>
      <c r="M89" s="18" t="s">
        <v>129</v>
      </c>
      <c r="N89" s="18"/>
      <c r="O89" s="18"/>
      <c r="P89" s="18" t="s">
        <v>581</v>
      </c>
      <c r="Q89" s="18" t="s">
        <v>149</v>
      </c>
      <c r="R89" s="18" t="s">
        <v>582</v>
      </c>
      <c r="S89" s="18" t="s">
        <v>133</v>
      </c>
      <c r="T89" s="18" t="s">
        <v>183</v>
      </c>
      <c r="U89" s="18"/>
      <c r="V89" s="19" t="s">
        <v>29</v>
      </c>
      <c r="W89" s="19"/>
      <c r="X89" s="19"/>
      <c r="Y89" s="20"/>
      <c r="Z89" s="19"/>
      <c r="AA89" s="18" t="str">
        <f aca="false">IF(OR(V89="Aprobada"),R89,IF(AND(OR(V89="Aprobada con ajuste",V89="Rechazada"),W89&lt;&gt;""),W89,""))</f>
        <v/>
      </c>
    </row>
    <row r="90" customFormat="false" ht="22.35" hidden="false" customHeight="false" outlineLevel="0" collapsed="false">
      <c r="A90" s="18" t="s">
        <v>583</v>
      </c>
      <c r="B90" s="18" t="s">
        <v>56</v>
      </c>
      <c r="C90" s="18" t="s">
        <v>57</v>
      </c>
      <c r="D90" s="18" t="s">
        <v>528</v>
      </c>
      <c r="E90" s="18" t="n">
        <v>409</v>
      </c>
      <c r="F90" s="18" t="s">
        <v>401</v>
      </c>
      <c r="G90" s="18" t="s">
        <v>584</v>
      </c>
      <c r="H90" s="18" t="s">
        <v>162</v>
      </c>
      <c r="I90" s="18"/>
      <c r="J90" s="18"/>
      <c r="K90" s="18"/>
      <c r="L90" s="18" t="s">
        <v>129</v>
      </c>
      <c r="M90" s="18" t="s">
        <v>129</v>
      </c>
      <c r="N90" s="18"/>
      <c r="O90" s="18"/>
      <c r="P90" s="18" t="s">
        <v>585</v>
      </c>
      <c r="Q90" s="18" t="s">
        <v>149</v>
      </c>
      <c r="R90" s="18" t="s">
        <v>586</v>
      </c>
      <c r="S90" s="18" t="s">
        <v>133</v>
      </c>
      <c r="T90" s="18" t="s">
        <v>169</v>
      </c>
      <c r="U90" s="18"/>
      <c r="V90" s="19" t="s">
        <v>29</v>
      </c>
      <c r="W90" s="19"/>
      <c r="X90" s="19"/>
      <c r="Y90" s="20"/>
      <c r="Z90" s="19"/>
      <c r="AA90" s="18" t="str">
        <f aca="false">IF(OR(V90="Aprobada"),R90,IF(AND(OR(V90="Aprobada con ajuste",V90="Rechazada"),W90&lt;&gt;""),W90,""))</f>
        <v/>
      </c>
    </row>
    <row r="91" customFormat="false" ht="22.35" hidden="false" customHeight="false" outlineLevel="0" collapsed="false">
      <c r="A91" s="18" t="s">
        <v>587</v>
      </c>
      <c r="B91" s="18" t="s">
        <v>56</v>
      </c>
      <c r="C91" s="18" t="s">
        <v>57</v>
      </c>
      <c r="D91" s="18" t="s">
        <v>528</v>
      </c>
      <c r="E91" s="18" t="n">
        <v>409</v>
      </c>
      <c r="F91" s="18" t="s">
        <v>588</v>
      </c>
      <c r="G91" s="18" t="s">
        <v>584</v>
      </c>
      <c r="H91" s="18" t="s">
        <v>162</v>
      </c>
      <c r="I91" s="18"/>
      <c r="J91" s="18"/>
      <c r="K91" s="18"/>
      <c r="L91" s="18" t="s">
        <v>129</v>
      </c>
      <c r="M91" s="18" t="s">
        <v>129</v>
      </c>
      <c r="N91" s="18"/>
      <c r="O91" s="18"/>
      <c r="P91" s="18" t="s">
        <v>589</v>
      </c>
      <c r="Q91" s="18" t="s">
        <v>149</v>
      </c>
      <c r="R91" s="18" t="s">
        <v>590</v>
      </c>
      <c r="S91" s="18" t="s">
        <v>133</v>
      </c>
      <c r="T91" s="18" t="s">
        <v>183</v>
      </c>
      <c r="U91" s="18"/>
      <c r="V91" s="19" t="s">
        <v>29</v>
      </c>
      <c r="W91" s="19"/>
      <c r="X91" s="19"/>
      <c r="Y91" s="20"/>
      <c r="Z91" s="19"/>
      <c r="AA91" s="18" t="str">
        <f aca="false">IF(OR(V91="Aprobada"),R91,IF(AND(OR(V91="Aprobada con ajuste",V91="Rechazada"),W91&lt;&gt;""),W91,""))</f>
        <v/>
      </c>
    </row>
    <row r="92" customFormat="false" ht="22.35" hidden="false" customHeight="false" outlineLevel="0" collapsed="false">
      <c r="A92" s="18" t="s">
        <v>591</v>
      </c>
      <c r="B92" s="18" t="s">
        <v>56</v>
      </c>
      <c r="C92" s="18" t="s">
        <v>57</v>
      </c>
      <c r="D92" s="18" t="s">
        <v>528</v>
      </c>
      <c r="E92" s="18" t="n">
        <v>409</v>
      </c>
      <c r="F92" s="18" t="s">
        <v>405</v>
      </c>
      <c r="G92" s="18" t="s">
        <v>205</v>
      </c>
      <c r="H92" s="18" t="s">
        <v>162</v>
      </c>
      <c r="I92" s="18"/>
      <c r="J92" s="18"/>
      <c r="K92" s="18"/>
      <c r="L92" s="18" t="s">
        <v>129</v>
      </c>
      <c r="M92" s="18" t="s">
        <v>129</v>
      </c>
      <c r="N92" s="18"/>
      <c r="O92" s="18"/>
      <c r="P92" s="18"/>
      <c r="Q92" s="18" t="s">
        <v>149</v>
      </c>
      <c r="R92" s="18" t="s">
        <v>407</v>
      </c>
      <c r="S92" s="18" t="s">
        <v>140</v>
      </c>
      <c r="T92" s="18" t="s">
        <v>183</v>
      </c>
      <c r="U92" s="18" t="s">
        <v>592</v>
      </c>
      <c r="V92" s="19" t="s">
        <v>29</v>
      </c>
      <c r="W92" s="19"/>
      <c r="X92" s="19"/>
      <c r="Y92" s="20"/>
      <c r="Z92" s="19"/>
      <c r="AA92" s="18" t="str">
        <f aca="false">IF(OR(V92="Aprobada"),R92,IF(AND(OR(V92="Aprobada con ajuste",V92="Rechazada"),W92&lt;&gt;""),W92,""))</f>
        <v/>
      </c>
    </row>
    <row r="93" customFormat="false" ht="22.35" hidden="false" customHeight="false" outlineLevel="0" collapsed="false">
      <c r="A93" s="18" t="s">
        <v>593</v>
      </c>
      <c r="B93" s="18" t="s">
        <v>56</v>
      </c>
      <c r="C93" s="18" t="s">
        <v>57</v>
      </c>
      <c r="D93" s="18" t="s">
        <v>528</v>
      </c>
      <c r="E93" s="18" t="n">
        <v>409</v>
      </c>
      <c r="F93" s="18" t="s">
        <v>594</v>
      </c>
      <c r="G93" s="18" t="s">
        <v>205</v>
      </c>
      <c r="H93" s="18" t="s">
        <v>162</v>
      </c>
      <c r="I93" s="18"/>
      <c r="J93" s="18"/>
      <c r="K93" s="18"/>
      <c r="L93" s="18" t="s">
        <v>129</v>
      </c>
      <c r="M93" s="18" t="s">
        <v>129</v>
      </c>
      <c r="N93" s="18"/>
      <c r="O93" s="18"/>
      <c r="P93" s="18"/>
      <c r="Q93" s="18" t="s">
        <v>149</v>
      </c>
      <c r="R93" s="18" t="s">
        <v>595</v>
      </c>
      <c r="S93" s="18" t="s">
        <v>140</v>
      </c>
      <c r="T93" s="18" t="s">
        <v>183</v>
      </c>
      <c r="U93" s="18" t="s">
        <v>596</v>
      </c>
      <c r="V93" s="19" t="s">
        <v>29</v>
      </c>
      <c r="W93" s="19"/>
      <c r="X93" s="19"/>
      <c r="Y93" s="20"/>
      <c r="Z93" s="19"/>
      <c r="AA93" s="18" t="str">
        <f aca="false">IF(OR(V93="Aprobada"),R93,IF(AND(OR(V93="Aprobada con ajuste",V93="Rechazada"),W93&lt;&gt;""),W93,""))</f>
        <v/>
      </c>
    </row>
    <row r="94" customFormat="false" ht="116.4" hidden="false" customHeight="false" outlineLevel="0" collapsed="false">
      <c r="A94" s="18" t="s">
        <v>597</v>
      </c>
      <c r="B94" s="18" t="s">
        <v>56</v>
      </c>
      <c r="C94" s="18" t="s">
        <v>57</v>
      </c>
      <c r="D94" s="18" t="s">
        <v>528</v>
      </c>
      <c r="E94" s="18" t="n">
        <v>409</v>
      </c>
      <c r="F94" s="18" t="s">
        <v>598</v>
      </c>
      <c r="G94" s="18" t="s">
        <v>312</v>
      </c>
      <c r="H94" s="18" t="s">
        <v>129</v>
      </c>
      <c r="I94" s="18" t="s">
        <v>146</v>
      </c>
      <c r="J94" s="18"/>
      <c r="K94" s="18"/>
      <c r="L94" s="18" t="s">
        <v>129</v>
      </c>
      <c r="M94" s="18" t="s">
        <v>162</v>
      </c>
      <c r="N94" s="18" t="s">
        <v>599</v>
      </c>
      <c r="O94" s="18" t="s">
        <v>600</v>
      </c>
      <c r="P94" s="18" t="s">
        <v>601</v>
      </c>
      <c r="Q94" s="18" t="s">
        <v>149</v>
      </c>
      <c r="R94" s="18" t="s">
        <v>602</v>
      </c>
      <c r="S94" s="18" t="s">
        <v>133</v>
      </c>
      <c r="T94" s="18" t="s">
        <v>603</v>
      </c>
      <c r="U94" s="18"/>
      <c r="V94" s="19" t="s">
        <v>29</v>
      </c>
      <c r="W94" s="19"/>
      <c r="X94" s="19"/>
      <c r="Y94" s="20"/>
      <c r="Z94" s="19"/>
      <c r="AA94" s="18" t="str">
        <f aca="false">IF(OR(V94="Aprobada"),R94,IF(AND(OR(V94="Aprobada con ajuste",V94="Rechazada"),W94&lt;&gt;""),W94,""))</f>
        <v/>
      </c>
    </row>
    <row r="95" customFormat="false" ht="22.35" hidden="false" customHeight="false" outlineLevel="0" collapsed="false">
      <c r="A95" s="18" t="s">
        <v>604</v>
      </c>
      <c r="B95" s="18" t="s">
        <v>56</v>
      </c>
      <c r="C95" s="18" t="s">
        <v>57</v>
      </c>
      <c r="D95" s="18" t="s">
        <v>528</v>
      </c>
      <c r="E95" s="18" t="n">
        <v>409</v>
      </c>
      <c r="F95" s="18" t="s">
        <v>605</v>
      </c>
      <c r="G95" s="18" t="s">
        <v>180</v>
      </c>
      <c r="H95" s="18" t="s">
        <v>162</v>
      </c>
      <c r="I95" s="18"/>
      <c r="J95" s="18"/>
      <c r="K95" s="18"/>
      <c r="L95" s="18" t="s">
        <v>129</v>
      </c>
      <c r="M95" s="18" t="s">
        <v>129</v>
      </c>
      <c r="N95" s="18"/>
      <c r="O95" s="18"/>
      <c r="P95" s="18" t="s">
        <v>606</v>
      </c>
      <c r="Q95" s="18" t="s">
        <v>149</v>
      </c>
      <c r="R95" s="18" t="s">
        <v>607</v>
      </c>
      <c r="S95" s="18" t="s">
        <v>140</v>
      </c>
      <c r="T95" s="18" t="s">
        <v>183</v>
      </c>
      <c r="U95" s="18" t="s">
        <v>608</v>
      </c>
      <c r="V95" s="19" t="s">
        <v>29</v>
      </c>
      <c r="W95" s="19"/>
      <c r="X95" s="19"/>
      <c r="Y95" s="20"/>
      <c r="Z95" s="19"/>
      <c r="AA95" s="18" t="str">
        <f aca="false">IF(OR(V95="Aprobada"),R95,IF(AND(OR(V95="Aprobada con ajuste",V95="Rechazada"),W95&lt;&gt;""),W95,""))</f>
        <v/>
      </c>
    </row>
    <row r="96" customFormat="false" ht="22.35" hidden="false" customHeight="false" outlineLevel="0" collapsed="false">
      <c r="A96" s="18" t="s">
        <v>609</v>
      </c>
      <c r="B96" s="18" t="s">
        <v>56</v>
      </c>
      <c r="C96" s="18" t="s">
        <v>57</v>
      </c>
      <c r="D96" s="18" t="s">
        <v>610</v>
      </c>
      <c r="E96" s="18" t="n">
        <v>12</v>
      </c>
      <c r="F96" s="18" t="s">
        <v>611</v>
      </c>
      <c r="G96" s="18" t="s">
        <v>128</v>
      </c>
      <c r="H96" s="18" t="s">
        <v>129</v>
      </c>
      <c r="I96" s="18" t="s">
        <v>146</v>
      </c>
      <c r="J96" s="18"/>
      <c r="K96" s="18"/>
      <c r="L96" s="18" t="s">
        <v>129</v>
      </c>
      <c r="M96" s="18" t="s">
        <v>129</v>
      </c>
      <c r="N96" s="18"/>
      <c r="O96" s="18" t="s">
        <v>612</v>
      </c>
      <c r="P96" s="18"/>
      <c r="Q96" s="18" t="s">
        <v>138</v>
      </c>
      <c r="R96" s="18" t="s">
        <v>613</v>
      </c>
      <c r="S96" s="18" t="s">
        <v>140</v>
      </c>
      <c r="T96" s="18" t="s">
        <v>141</v>
      </c>
      <c r="U96" s="18"/>
      <c r="V96" s="19" t="s">
        <v>29</v>
      </c>
      <c r="W96" s="19"/>
      <c r="X96" s="19"/>
      <c r="Y96" s="20"/>
      <c r="Z96" s="19"/>
      <c r="AA96" s="18" t="str">
        <f aca="false">IF(OR(V96="Aprobada"),R96,IF(AND(OR(V96="Aprobada con ajuste",V96="Rechazada"),W96&lt;&gt;""),W96,""))</f>
        <v/>
      </c>
    </row>
    <row r="97" customFormat="false" ht="22.35" hidden="false" customHeight="false" outlineLevel="0" collapsed="false">
      <c r="A97" s="18" t="s">
        <v>614</v>
      </c>
      <c r="B97" s="18" t="s">
        <v>56</v>
      </c>
      <c r="C97" s="18" t="s">
        <v>57</v>
      </c>
      <c r="D97" s="18" t="s">
        <v>610</v>
      </c>
      <c r="E97" s="18" t="n">
        <v>12</v>
      </c>
      <c r="F97" s="18" t="s">
        <v>275</v>
      </c>
      <c r="G97" s="18" t="s">
        <v>128</v>
      </c>
      <c r="H97" s="18" t="s">
        <v>129</v>
      </c>
      <c r="I97" s="18"/>
      <c r="J97" s="18"/>
      <c r="K97" s="18"/>
      <c r="L97" s="18" t="s">
        <v>129</v>
      </c>
      <c r="M97" s="18" t="s">
        <v>129</v>
      </c>
      <c r="N97" s="18"/>
      <c r="O97" s="18"/>
      <c r="P97" s="18"/>
      <c r="Q97" s="18" t="s">
        <v>138</v>
      </c>
      <c r="R97" s="18" t="s">
        <v>615</v>
      </c>
      <c r="S97" s="18" t="s">
        <v>140</v>
      </c>
      <c r="T97" s="18" t="s">
        <v>141</v>
      </c>
      <c r="U97" s="18"/>
      <c r="V97" s="19" t="s">
        <v>29</v>
      </c>
      <c r="W97" s="19"/>
      <c r="X97" s="19"/>
      <c r="Y97" s="20"/>
      <c r="Z97" s="19"/>
      <c r="AA97" s="18" t="str">
        <f aca="false">IF(OR(V97="Aprobada"),R97,IF(AND(OR(V97="Aprobada con ajuste",V97="Rechazada"),W97&lt;&gt;""),W97,""))</f>
        <v/>
      </c>
    </row>
    <row r="98" customFormat="false" ht="32.8" hidden="false" customHeight="false" outlineLevel="0" collapsed="false">
      <c r="A98" s="18" t="s">
        <v>616</v>
      </c>
      <c r="B98" s="18" t="s">
        <v>56</v>
      </c>
      <c r="C98" s="18" t="s">
        <v>57</v>
      </c>
      <c r="D98" s="18" t="s">
        <v>610</v>
      </c>
      <c r="E98" s="18" t="n">
        <v>12</v>
      </c>
      <c r="F98" s="18" t="s">
        <v>617</v>
      </c>
      <c r="G98" s="18" t="s">
        <v>128</v>
      </c>
      <c r="H98" s="18" t="s">
        <v>129</v>
      </c>
      <c r="I98" s="18"/>
      <c r="J98" s="18"/>
      <c r="K98" s="18"/>
      <c r="L98" s="18" t="s">
        <v>129</v>
      </c>
      <c r="M98" s="18" t="s">
        <v>129</v>
      </c>
      <c r="N98" s="18"/>
      <c r="O98" s="18"/>
      <c r="P98" s="18" t="s">
        <v>618</v>
      </c>
      <c r="Q98" s="18" t="s">
        <v>131</v>
      </c>
      <c r="R98" s="18" t="s">
        <v>619</v>
      </c>
      <c r="S98" s="18" t="s">
        <v>133</v>
      </c>
      <c r="T98" s="18" t="s">
        <v>620</v>
      </c>
      <c r="U98" s="18"/>
      <c r="V98" s="19" t="s">
        <v>29</v>
      </c>
      <c r="W98" s="19"/>
      <c r="X98" s="19"/>
      <c r="Y98" s="20"/>
      <c r="Z98" s="19"/>
      <c r="AA98" s="18" t="str">
        <f aca="false">IF(OR(V98="Aprobada"),R98,IF(AND(OR(V98="Aprobada con ajuste",V98="Rechazada"),W98&lt;&gt;""),W98,""))</f>
        <v/>
      </c>
    </row>
    <row r="99" customFormat="false" ht="32.8" hidden="false" customHeight="false" outlineLevel="0" collapsed="false">
      <c r="A99" s="18" t="s">
        <v>621</v>
      </c>
      <c r="B99" s="18" t="s">
        <v>56</v>
      </c>
      <c r="C99" s="18" t="s">
        <v>57</v>
      </c>
      <c r="D99" s="18" t="s">
        <v>610</v>
      </c>
      <c r="E99" s="18" t="n">
        <v>12</v>
      </c>
      <c r="F99" s="18" t="s">
        <v>622</v>
      </c>
      <c r="G99" s="18" t="s">
        <v>128</v>
      </c>
      <c r="H99" s="18" t="s">
        <v>129</v>
      </c>
      <c r="I99" s="18"/>
      <c r="J99" s="18"/>
      <c r="K99" s="18"/>
      <c r="L99" s="18" t="s">
        <v>129</v>
      </c>
      <c r="M99" s="18" t="s">
        <v>129</v>
      </c>
      <c r="N99" s="18"/>
      <c r="O99" s="18"/>
      <c r="P99" s="18" t="s">
        <v>623</v>
      </c>
      <c r="Q99" s="18" t="s">
        <v>131</v>
      </c>
      <c r="R99" s="18" t="s">
        <v>624</v>
      </c>
      <c r="S99" s="18" t="s">
        <v>133</v>
      </c>
      <c r="T99" s="18" t="s">
        <v>625</v>
      </c>
      <c r="U99" s="18"/>
      <c r="V99" s="19" t="s">
        <v>29</v>
      </c>
      <c r="W99" s="19"/>
      <c r="X99" s="19"/>
      <c r="Y99" s="20"/>
      <c r="Z99" s="19"/>
      <c r="AA99" s="18" t="str">
        <f aca="false">IF(OR(V99="Aprobada"),R99,IF(AND(OR(V99="Aprobada con ajuste",V99="Rechazada"),W99&lt;&gt;""),W99,""))</f>
        <v/>
      </c>
    </row>
    <row r="100" customFormat="false" ht="32.8" hidden="false" customHeight="false" outlineLevel="0" collapsed="false">
      <c r="A100" s="18" t="s">
        <v>626</v>
      </c>
      <c r="B100" s="18" t="s">
        <v>56</v>
      </c>
      <c r="C100" s="18" t="s">
        <v>57</v>
      </c>
      <c r="D100" s="18" t="s">
        <v>610</v>
      </c>
      <c r="E100" s="18" t="n">
        <v>12</v>
      </c>
      <c r="F100" s="18" t="s">
        <v>627</v>
      </c>
      <c r="G100" s="18" t="s">
        <v>128</v>
      </c>
      <c r="H100" s="18" t="s">
        <v>129</v>
      </c>
      <c r="I100" s="18"/>
      <c r="J100" s="18"/>
      <c r="K100" s="18"/>
      <c r="L100" s="18" t="s">
        <v>129</v>
      </c>
      <c r="M100" s="18" t="s">
        <v>129</v>
      </c>
      <c r="N100" s="18"/>
      <c r="O100" s="18"/>
      <c r="P100" s="18" t="s">
        <v>628</v>
      </c>
      <c r="Q100" s="18" t="s">
        <v>131</v>
      </c>
      <c r="R100" s="18" t="s">
        <v>629</v>
      </c>
      <c r="S100" s="18" t="s">
        <v>133</v>
      </c>
      <c r="T100" s="18" t="s">
        <v>630</v>
      </c>
      <c r="U100" s="18"/>
      <c r="V100" s="19" t="s">
        <v>29</v>
      </c>
      <c r="W100" s="19"/>
      <c r="X100" s="19"/>
      <c r="Y100" s="20"/>
      <c r="Z100" s="19"/>
      <c r="AA100" s="18" t="str">
        <f aca="false">IF(OR(V100="Aprobada"),R100,IF(AND(OR(V100="Aprobada con ajuste",V100="Rechazada"),W100&lt;&gt;""),W100,""))</f>
        <v/>
      </c>
    </row>
    <row r="101" customFormat="false" ht="22.35" hidden="false" customHeight="false" outlineLevel="0" collapsed="false">
      <c r="A101" s="18" t="s">
        <v>631</v>
      </c>
      <c r="B101" s="18" t="s">
        <v>56</v>
      </c>
      <c r="C101" s="18" t="s">
        <v>57</v>
      </c>
      <c r="D101" s="18" t="s">
        <v>610</v>
      </c>
      <c r="E101" s="18" t="n">
        <v>12</v>
      </c>
      <c r="F101" s="18" t="s">
        <v>632</v>
      </c>
      <c r="G101" s="18" t="s">
        <v>503</v>
      </c>
      <c r="H101" s="18" t="s">
        <v>129</v>
      </c>
      <c r="I101" s="18"/>
      <c r="J101" s="18"/>
      <c r="K101" s="18"/>
      <c r="L101" s="18" t="s">
        <v>129</v>
      </c>
      <c r="M101" s="18" t="s">
        <v>129</v>
      </c>
      <c r="N101" s="18"/>
      <c r="O101" s="18"/>
      <c r="P101" s="18"/>
      <c r="Q101" s="18" t="s">
        <v>149</v>
      </c>
      <c r="R101" s="18" t="s">
        <v>633</v>
      </c>
      <c r="S101" s="18" t="s">
        <v>133</v>
      </c>
      <c r="T101" s="18" t="s">
        <v>183</v>
      </c>
      <c r="U101" s="18"/>
      <c r="V101" s="19" t="s">
        <v>29</v>
      </c>
      <c r="W101" s="19"/>
      <c r="X101" s="19"/>
      <c r="Y101" s="20"/>
      <c r="Z101" s="19"/>
      <c r="AA101" s="18" t="str">
        <f aca="false">IF(OR(V101="Aprobada"),R101,IF(AND(OR(V101="Aprobada con ajuste",V101="Rechazada"),W101&lt;&gt;""),W101,""))</f>
        <v/>
      </c>
    </row>
    <row r="102" customFormat="false" ht="22.35" hidden="false" customHeight="false" outlineLevel="0" collapsed="false">
      <c r="A102" s="18" t="s">
        <v>634</v>
      </c>
      <c r="B102" s="18" t="s">
        <v>56</v>
      </c>
      <c r="C102" s="18" t="s">
        <v>57</v>
      </c>
      <c r="D102" s="18" t="s">
        <v>610</v>
      </c>
      <c r="E102" s="18" t="n">
        <v>12</v>
      </c>
      <c r="F102" s="18" t="s">
        <v>635</v>
      </c>
      <c r="G102" s="18" t="s">
        <v>503</v>
      </c>
      <c r="H102" s="18" t="s">
        <v>129</v>
      </c>
      <c r="I102" s="18"/>
      <c r="J102" s="18"/>
      <c r="K102" s="18"/>
      <c r="L102" s="18" t="s">
        <v>129</v>
      </c>
      <c r="M102" s="18" t="s">
        <v>129</v>
      </c>
      <c r="N102" s="18"/>
      <c r="O102" s="18"/>
      <c r="P102" s="18"/>
      <c r="Q102" s="18" t="s">
        <v>149</v>
      </c>
      <c r="R102" s="18" t="s">
        <v>636</v>
      </c>
      <c r="S102" s="18" t="s">
        <v>133</v>
      </c>
      <c r="T102" s="18" t="s">
        <v>183</v>
      </c>
      <c r="U102" s="18"/>
      <c r="V102" s="19" t="s">
        <v>29</v>
      </c>
      <c r="W102" s="19"/>
      <c r="X102" s="19"/>
      <c r="Y102" s="20"/>
      <c r="Z102" s="19"/>
      <c r="AA102" s="18" t="str">
        <f aca="false">IF(OR(V102="Aprobada"),R102,IF(AND(OR(V102="Aprobada con ajuste",V102="Rechazada"),W102&lt;&gt;""),W102,""))</f>
        <v/>
      </c>
    </row>
    <row r="103" customFormat="false" ht="22.35" hidden="false" customHeight="false" outlineLevel="0" collapsed="false">
      <c r="A103" s="18" t="s">
        <v>637</v>
      </c>
      <c r="B103" s="18" t="s">
        <v>56</v>
      </c>
      <c r="C103" s="18" t="s">
        <v>57</v>
      </c>
      <c r="D103" s="18" t="s">
        <v>610</v>
      </c>
      <c r="E103" s="18" t="n">
        <v>12</v>
      </c>
      <c r="F103" s="18" t="s">
        <v>638</v>
      </c>
      <c r="G103" s="18" t="s">
        <v>128</v>
      </c>
      <c r="H103" s="18" t="s">
        <v>162</v>
      </c>
      <c r="I103" s="18"/>
      <c r="J103" s="18"/>
      <c r="K103" s="18"/>
      <c r="L103" s="18" t="s">
        <v>129</v>
      </c>
      <c r="M103" s="18" t="s">
        <v>129</v>
      </c>
      <c r="N103" s="18"/>
      <c r="O103" s="18"/>
      <c r="P103" s="18"/>
      <c r="Q103" s="18" t="s">
        <v>149</v>
      </c>
      <c r="R103" s="18" t="s">
        <v>639</v>
      </c>
      <c r="S103" s="18" t="s">
        <v>140</v>
      </c>
      <c r="T103" s="18" t="s">
        <v>183</v>
      </c>
      <c r="U103" s="18" t="s">
        <v>640</v>
      </c>
      <c r="V103" s="19" t="s">
        <v>29</v>
      </c>
      <c r="W103" s="19"/>
      <c r="X103" s="19"/>
      <c r="Y103" s="20"/>
      <c r="Z103" s="19"/>
      <c r="AA103" s="18" t="str">
        <f aca="false">IF(OR(V103="Aprobada"),R103,IF(AND(OR(V103="Aprobada con ajuste",V103="Rechazada"),W103&lt;&gt;""),W103,""))</f>
        <v/>
      </c>
    </row>
    <row r="104" customFormat="false" ht="22.35" hidden="false" customHeight="false" outlineLevel="0" collapsed="false">
      <c r="A104" s="18" t="s">
        <v>641</v>
      </c>
      <c r="B104" s="18" t="s">
        <v>56</v>
      </c>
      <c r="C104" s="18" t="s">
        <v>57</v>
      </c>
      <c r="D104" s="18" t="s">
        <v>610</v>
      </c>
      <c r="E104" s="18" t="n">
        <v>12</v>
      </c>
      <c r="F104" s="18" t="s">
        <v>185</v>
      </c>
      <c r="G104" s="18" t="s">
        <v>128</v>
      </c>
      <c r="H104" s="18" t="s">
        <v>129</v>
      </c>
      <c r="I104" s="18"/>
      <c r="J104" s="18"/>
      <c r="K104" s="18"/>
      <c r="L104" s="18" t="s">
        <v>129</v>
      </c>
      <c r="M104" s="18" t="s">
        <v>129</v>
      </c>
      <c r="N104" s="18"/>
      <c r="O104" s="18" t="s">
        <v>642</v>
      </c>
      <c r="P104" s="18"/>
      <c r="Q104" s="18" t="s">
        <v>138</v>
      </c>
      <c r="R104" s="18" t="s">
        <v>643</v>
      </c>
      <c r="S104" s="18" t="s">
        <v>140</v>
      </c>
      <c r="T104" s="18" t="s">
        <v>141</v>
      </c>
      <c r="U104" s="18"/>
      <c r="V104" s="19" t="s">
        <v>29</v>
      </c>
      <c r="W104" s="19"/>
      <c r="X104" s="19"/>
      <c r="Y104" s="20"/>
      <c r="Z104" s="19"/>
      <c r="AA104" s="18" t="str">
        <f aca="false">IF(OR(V104="Aprobada"),R104,IF(AND(OR(V104="Aprobada con ajuste",V104="Rechazada"),W104&lt;&gt;""),W104,""))</f>
        <v/>
      </c>
    </row>
    <row r="105" customFormat="false" ht="22.35" hidden="false" customHeight="false" outlineLevel="0" collapsed="false">
      <c r="A105" s="18" t="s">
        <v>644</v>
      </c>
      <c r="B105" s="18" t="s">
        <v>56</v>
      </c>
      <c r="C105" s="18" t="s">
        <v>57</v>
      </c>
      <c r="D105" s="18" t="s">
        <v>610</v>
      </c>
      <c r="E105" s="18" t="n">
        <v>12</v>
      </c>
      <c r="F105" s="18" t="s">
        <v>160</v>
      </c>
      <c r="G105" s="18" t="s">
        <v>128</v>
      </c>
      <c r="H105" s="18" t="s">
        <v>162</v>
      </c>
      <c r="I105" s="18"/>
      <c r="J105" s="18"/>
      <c r="K105" s="18"/>
      <c r="L105" s="18" t="s">
        <v>129</v>
      </c>
      <c r="M105" s="18" t="s">
        <v>129</v>
      </c>
      <c r="N105" s="18"/>
      <c r="O105" s="18"/>
      <c r="P105" s="18"/>
      <c r="Q105" s="18" t="s">
        <v>138</v>
      </c>
      <c r="R105" s="18" t="s">
        <v>645</v>
      </c>
      <c r="S105" s="18" t="s">
        <v>140</v>
      </c>
      <c r="T105" s="18" t="s">
        <v>141</v>
      </c>
      <c r="U105" s="18"/>
      <c r="V105" s="19" t="s">
        <v>29</v>
      </c>
      <c r="W105" s="19"/>
      <c r="X105" s="19"/>
      <c r="Y105" s="20"/>
      <c r="Z105" s="19"/>
      <c r="AA105" s="18" t="str">
        <f aca="false">IF(OR(V105="Aprobada"),R105,IF(AND(OR(V105="Aprobada con ajuste",V105="Rechazada"),W105&lt;&gt;""),W105,""))</f>
        <v/>
      </c>
    </row>
    <row r="106" customFormat="false" ht="22.35" hidden="false" customHeight="false" outlineLevel="0" collapsed="false">
      <c r="A106" s="18" t="s">
        <v>646</v>
      </c>
      <c r="B106" s="18" t="s">
        <v>56</v>
      </c>
      <c r="C106" s="18" t="s">
        <v>57</v>
      </c>
      <c r="D106" s="18" t="s">
        <v>610</v>
      </c>
      <c r="E106" s="18" t="n">
        <v>12</v>
      </c>
      <c r="F106" s="18" t="s">
        <v>647</v>
      </c>
      <c r="G106" s="18" t="s">
        <v>128</v>
      </c>
      <c r="H106" s="18" t="s">
        <v>162</v>
      </c>
      <c r="I106" s="18"/>
      <c r="J106" s="18"/>
      <c r="K106" s="18"/>
      <c r="L106" s="18" t="s">
        <v>129</v>
      </c>
      <c r="M106" s="18" t="s">
        <v>129</v>
      </c>
      <c r="N106" s="18"/>
      <c r="O106" s="18"/>
      <c r="P106" s="18"/>
      <c r="Q106" s="18" t="s">
        <v>149</v>
      </c>
      <c r="R106" s="18" t="s">
        <v>648</v>
      </c>
      <c r="S106" s="18" t="s">
        <v>133</v>
      </c>
      <c r="T106" s="18" t="s">
        <v>183</v>
      </c>
      <c r="U106" s="18"/>
      <c r="V106" s="19" t="s">
        <v>29</v>
      </c>
      <c r="W106" s="19"/>
      <c r="X106" s="19"/>
      <c r="Y106" s="20"/>
      <c r="Z106" s="19"/>
      <c r="AA106" s="18" t="str">
        <f aca="false">IF(OR(V106="Aprobada"),R106,IF(AND(OR(V106="Aprobada con ajuste",V106="Rechazada"),W106&lt;&gt;""),W106,""))</f>
        <v/>
      </c>
    </row>
    <row r="107" customFormat="false" ht="22.35" hidden="false" customHeight="false" outlineLevel="0" collapsed="false">
      <c r="A107" s="18" t="s">
        <v>649</v>
      </c>
      <c r="B107" s="18" t="s">
        <v>56</v>
      </c>
      <c r="C107" s="18" t="s">
        <v>57</v>
      </c>
      <c r="D107" s="18" t="s">
        <v>610</v>
      </c>
      <c r="E107" s="18" t="n">
        <v>12</v>
      </c>
      <c r="F107" s="18" t="s">
        <v>650</v>
      </c>
      <c r="G107" s="18" t="s">
        <v>651</v>
      </c>
      <c r="H107" s="18" t="s">
        <v>162</v>
      </c>
      <c r="I107" s="18"/>
      <c r="J107" s="18"/>
      <c r="K107" s="18"/>
      <c r="L107" s="18" t="s">
        <v>129</v>
      </c>
      <c r="M107" s="18" t="s">
        <v>129</v>
      </c>
      <c r="N107" s="18"/>
      <c r="O107" s="18"/>
      <c r="P107" s="18"/>
      <c r="Q107" s="18" t="s">
        <v>149</v>
      </c>
      <c r="R107" s="18" t="s">
        <v>652</v>
      </c>
      <c r="S107" s="18" t="s">
        <v>133</v>
      </c>
      <c r="T107" s="18" t="s">
        <v>653</v>
      </c>
      <c r="U107" s="18"/>
      <c r="V107" s="19" t="s">
        <v>29</v>
      </c>
      <c r="W107" s="19"/>
      <c r="X107" s="19"/>
      <c r="Y107" s="20"/>
      <c r="Z107" s="19"/>
      <c r="AA107" s="18" t="str">
        <f aca="false">IF(OR(V107="Aprobada"),R107,IF(AND(OR(V107="Aprobada con ajuste",V107="Rechazada"),W107&lt;&gt;""),W107,""))</f>
        <v/>
      </c>
    </row>
    <row r="108" customFormat="false" ht="22.35" hidden="false" customHeight="false" outlineLevel="0" collapsed="false">
      <c r="A108" s="18" t="s">
        <v>654</v>
      </c>
      <c r="B108" s="18" t="s">
        <v>56</v>
      </c>
      <c r="C108" s="18" t="s">
        <v>57</v>
      </c>
      <c r="D108" s="18" t="s">
        <v>610</v>
      </c>
      <c r="E108" s="18" t="n">
        <v>12</v>
      </c>
      <c r="F108" s="18" t="s">
        <v>655</v>
      </c>
      <c r="G108" s="18" t="s">
        <v>656</v>
      </c>
      <c r="H108" s="18" t="s">
        <v>162</v>
      </c>
      <c r="I108" s="18"/>
      <c r="J108" s="18"/>
      <c r="K108" s="18"/>
      <c r="L108" s="18" t="s">
        <v>129</v>
      </c>
      <c r="M108" s="18" t="s">
        <v>129</v>
      </c>
      <c r="N108" s="18"/>
      <c r="O108" s="18"/>
      <c r="P108" s="18"/>
      <c r="Q108" s="18" t="s">
        <v>149</v>
      </c>
      <c r="R108" s="18" t="s">
        <v>657</v>
      </c>
      <c r="S108" s="18" t="s">
        <v>140</v>
      </c>
      <c r="T108" s="18" t="s">
        <v>183</v>
      </c>
      <c r="U108" s="18" t="s">
        <v>658</v>
      </c>
      <c r="V108" s="19" t="s">
        <v>29</v>
      </c>
      <c r="W108" s="19"/>
      <c r="X108" s="19"/>
      <c r="Y108" s="20"/>
      <c r="Z108" s="19"/>
      <c r="AA108" s="18" t="str">
        <f aca="false">IF(OR(V108="Aprobada"),R108,IF(AND(OR(V108="Aprobada con ajuste",V108="Rechazada"),W108&lt;&gt;""),W108,""))</f>
        <v/>
      </c>
    </row>
    <row r="109" customFormat="false" ht="22.35" hidden="false" customHeight="false" outlineLevel="0" collapsed="false">
      <c r="A109" s="18" t="s">
        <v>659</v>
      </c>
      <c r="B109" s="18" t="s">
        <v>56</v>
      </c>
      <c r="C109" s="18" t="s">
        <v>57</v>
      </c>
      <c r="D109" s="18" t="s">
        <v>610</v>
      </c>
      <c r="E109" s="18" t="n">
        <v>12</v>
      </c>
      <c r="F109" s="18" t="s">
        <v>660</v>
      </c>
      <c r="G109" s="18" t="s">
        <v>503</v>
      </c>
      <c r="H109" s="18" t="s">
        <v>162</v>
      </c>
      <c r="I109" s="18"/>
      <c r="J109" s="18"/>
      <c r="K109" s="18"/>
      <c r="L109" s="18" t="s">
        <v>129</v>
      </c>
      <c r="M109" s="18" t="s">
        <v>129</v>
      </c>
      <c r="N109" s="18"/>
      <c r="O109" s="18"/>
      <c r="P109" s="18"/>
      <c r="Q109" s="18" t="s">
        <v>149</v>
      </c>
      <c r="R109" s="18" t="s">
        <v>661</v>
      </c>
      <c r="S109" s="18" t="s">
        <v>140</v>
      </c>
      <c r="T109" s="18" t="s">
        <v>183</v>
      </c>
      <c r="U109" s="18" t="s">
        <v>662</v>
      </c>
      <c r="V109" s="19" t="s">
        <v>29</v>
      </c>
      <c r="W109" s="19"/>
      <c r="X109" s="19"/>
      <c r="Y109" s="20"/>
      <c r="Z109" s="19"/>
      <c r="AA109" s="18" t="str">
        <f aca="false">IF(OR(V109="Aprobada"),R109,IF(AND(OR(V109="Aprobada con ajuste",V109="Rechazada"),W109&lt;&gt;""),W109,""))</f>
        <v/>
      </c>
    </row>
    <row r="110" customFormat="false" ht="22.35" hidden="false" customHeight="false" outlineLevel="0" collapsed="false">
      <c r="A110" s="18" t="s">
        <v>663</v>
      </c>
      <c r="B110" s="18" t="s">
        <v>56</v>
      </c>
      <c r="C110" s="18" t="s">
        <v>57</v>
      </c>
      <c r="D110" s="18" t="s">
        <v>610</v>
      </c>
      <c r="E110" s="18" t="n">
        <v>12</v>
      </c>
      <c r="F110" s="18" t="s">
        <v>664</v>
      </c>
      <c r="G110" s="18" t="s">
        <v>503</v>
      </c>
      <c r="H110" s="18" t="s">
        <v>162</v>
      </c>
      <c r="I110" s="18"/>
      <c r="J110" s="18"/>
      <c r="K110" s="18"/>
      <c r="L110" s="18" t="s">
        <v>129</v>
      </c>
      <c r="M110" s="18" t="s">
        <v>129</v>
      </c>
      <c r="N110" s="18"/>
      <c r="O110" s="18"/>
      <c r="P110" s="18"/>
      <c r="Q110" s="18" t="s">
        <v>149</v>
      </c>
      <c r="R110" s="18" t="s">
        <v>665</v>
      </c>
      <c r="S110" s="18" t="s">
        <v>140</v>
      </c>
      <c r="T110" s="18" t="s">
        <v>183</v>
      </c>
      <c r="U110" s="18" t="s">
        <v>662</v>
      </c>
      <c r="V110" s="19" t="s">
        <v>29</v>
      </c>
      <c r="W110" s="19"/>
      <c r="X110" s="19"/>
      <c r="Y110" s="20"/>
      <c r="Z110" s="19"/>
      <c r="AA110" s="18" t="str">
        <f aca="false">IF(OR(V110="Aprobada"),R110,IF(AND(OR(V110="Aprobada con ajuste",V110="Rechazada"),W110&lt;&gt;""),W110,""))</f>
        <v/>
      </c>
    </row>
    <row r="111" customFormat="false" ht="22.35" hidden="false" customHeight="false" outlineLevel="0" collapsed="false">
      <c r="A111" s="18" t="s">
        <v>666</v>
      </c>
      <c r="B111" s="18" t="s">
        <v>56</v>
      </c>
      <c r="C111" s="18" t="s">
        <v>57</v>
      </c>
      <c r="D111" s="18" t="s">
        <v>610</v>
      </c>
      <c r="E111" s="18" t="n">
        <v>12</v>
      </c>
      <c r="F111" s="18" t="s">
        <v>667</v>
      </c>
      <c r="G111" s="18" t="s">
        <v>503</v>
      </c>
      <c r="H111" s="18" t="s">
        <v>162</v>
      </c>
      <c r="I111" s="18"/>
      <c r="J111" s="18"/>
      <c r="K111" s="18"/>
      <c r="L111" s="18" t="s">
        <v>129</v>
      </c>
      <c r="M111" s="18" t="s">
        <v>129</v>
      </c>
      <c r="N111" s="18"/>
      <c r="O111" s="18"/>
      <c r="P111" s="18"/>
      <c r="Q111" s="18" t="s">
        <v>149</v>
      </c>
      <c r="R111" s="18" t="s">
        <v>668</v>
      </c>
      <c r="S111" s="18" t="s">
        <v>140</v>
      </c>
      <c r="T111" s="18" t="s">
        <v>183</v>
      </c>
      <c r="U111" s="18" t="s">
        <v>662</v>
      </c>
      <c r="V111" s="19" t="s">
        <v>29</v>
      </c>
      <c r="W111" s="19"/>
      <c r="X111" s="19"/>
      <c r="Y111" s="20"/>
      <c r="Z111" s="19"/>
      <c r="AA111" s="18" t="str">
        <f aca="false">IF(OR(V111="Aprobada"),R111,IF(AND(OR(V111="Aprobada con ajuste",V111="Rechazada"),W111&lt;&gt;""),W111,""))</f>
        <v/>
      </c>
    </row>
    <row r="112" customFormat="false" ht="22.35" hidden="false" customHeight="false" outlineLevel="0" collapsed="false">
      <c r="A112" s="18" t="s">
        <v>669</v>
      </c>
      <c r="B112" s="18" t="s">
        <v>56</v>
      </c>
      <c r="C112" s="18" t="s">
        <v>57</v>
      </c>
      <c r="D112" s="18" t="s">
        <v>610</v>
      </c>
      <c r="E112" s="18" t="n">
        <v>12</v>
      </c>
      <c r="F112" s="18" t="s">
        <v>670</v>
      </c>
      <c r="G112" s="18" t="s">
        <v>137</v>
      </c>
      <c r="H112" s="18" t="s">
        <v>162</v>
      </c>
      <c r="I112" s="18"/>
      <c r="J112" s="18"/>
      <c r="K112" s="18"/>
      <c r="L112" s="18" t="s">
        <v>129</v>
      </c>
      <c r="M112" s="18" t="s">
        <v>129</v>
      </c>
      <c r="N112" s="18"/>
      <c r="O112" s="18"/>
      <c r="P112" s="18"/>
      <c r="Q112" s="18" t="s">
        <v>149</v>
      </c>
      <c r="R112" s="18" t="s">
        <v>671</v>
      </c>
      <c r="S112" s="18" t="s">
        <v>140</v>
      </c>
      <c r="T112" s="18" t="s">
        <v>672</v>
      </c>
      <c r="U112" s="18" t="s">
        <v>673</v>
      </c>
      <c r="V112" s="19" t="s">
        <v>29</v>
      </c>
      <c r="W112" s="19"/>
      <c r="X112" s="19"/>
      <c r="Y112" s="20"/>
      <c r="Z112" s="19"/>
      <c r="AA112" s="18" t="str">
        <f aca="false">IF(OR(V112="Aprobada"),R112,IF(AND(OR(V112="Aprobada con ajuste",V112="Rechazada"),W112&lt;&gt;""),W112,""))</f>
        <v/>
      </c>
    </row>
    <row r="113" customFormat="false" ht="22.35" hidden="false" customHeight="false" outlineLevel="0" collapsed="false">
      <c r="A113" s="18" t="s">
        <v>674</v>
      </c>
      <c r="B113" s="18" t="s">
        <v>56</v>
      </c>
      <c r="C113" s="18" t="s">
        <v>57</v>
      </c>
      <c r="D113" s="18" t="s">
        <v>675</v>
      </c>
      <c r="E113" s="18" t="n">
        <v>12</v>
      </c>
      <c r="F113" s="18" t="s">
        <v>676</v>
      </c>
      <c r="G113" s="18" t="s">
        <v>128</v>
      </c>
      <c r="H113" s="18" t="s">
        <v>129</v>
      </c>
      <c r="I113" s="18"/>
      <c r="J113" s="18"/>
      <c r="K113" s="18"/>
      <c r="L113" s="18" t="s">
        <v>129</v>
      </c>
      <c r="M113" s="18" t="s">
        <v>129</v>
      </c>
      <c r="N113" s="18"/>
      <c r="O113" s="18"/>
      <c r="P113" s="18"/>
      <c r="Q113" s="18" t="s">
        <v>138</v>
      </c>
      <c r="R113" s="18" t="s">
        <v>677</v>
      </c>
      <c r="S113" s="18" t="s">
        <v>140</v>
      </c>
      <c r="T113" s="18" t="s">
        <v>141</v>
      </c>
      <c r="U113" s="18"/>
      <c r="V113" s="19" t="s">
        <v>29</v>
      </c>
      <c r="W113" s="19"/>
      <c r="X113" s="19"/>
      <c r="Y113" s="20"/>
      <c r="Z113" s="19"/>
      <c r="AA113" s="18" t="str">
        <f aca="false">IF(OR(V113="Aprobada"),R113,IF(AND(OR(V113="Aprobada con ajuste",V113="Rechazada"),W113&lt;&gt;""),W113,""))</f>
        <v/>
      </c>
    </row>
    <row r="114" customFormat="false" ht="22.35" hidden="false" customHeight="false" outlineLevel="0" collapsed="false">
      <c r="A114" s="18" t="s">
        <v>678</v>
      </c>
      <c r="B114" s="18" t="s">
        <v>56</v>
      </c>
      <c r="C114" s="18" t="s">
        <v>57</v>
      </c>
      <c r="D114" s="18" t="s">
        <v>675</v>
      </c>
      <c r="E114" s="18" t="n">
        <v>12</v>
      </c>
      <c r="F114" s="18" t="s">
        <v>679</v>
      </c>
      <c r="G114" s="18" t="s">
        <v>137</v>
      </c>
      <c r="H114" s="18" t="s">
        <v>129</v>
      </c>
      <c r="I114" s="18"/>
      <c r="J114" s="18"/>
      <c r="K114" s="18"/>
      <c r="L114" s="18" t="s">
        <v>129</v>
      </c>
      <c r="M114" s="18" t="s">
        <v>129</v>
      </c>
      <c r="N114" s="18"/>
      <c r="O114" s="18"/>
      <c r="P114" s="18"/>
      <c r="Q114" s="18" t="s">
        <v>138</v>
      </c>
      <c r="R114" s="18" t="s">
        <v>680</v>
      </c>
      <c r="S114" s="18" t="s">
        <v>140</v>
      </c>
      <c r="T114" s="18" t="s">
        <v>141</v>
      </c>
      <c r="U114" s="18"/>
      <c r="V114" s="19" t="s">
        <v>29</v>
      </c>
      <c r="W114" s="19"/>
      <c r="X114" s="19"/>
      <c r="Y114" s="20"/>
      <c r="Z114" s="19"/>
      <c r="AA114" s="18" t="str">
        <f aca="false">IF(OR(V114="Aprobada"),R114,IF(AND(OR(V114="Aprobada con ajuste",V114="Rechazada"),W114&lt;&gt;""),W114,""))</f>
        <v/>
      </c>
    </row>
    <row r="115" customFormat="false" ht="22.35" hidden="false" customHeight="false" outlineLevel="0" collapsed="false">
      <c r="A115" s="18" t="s">
        <v>681</v>
      </c>
      <c r="B115" s="18" t="s">
        <v>56</v>
      </c>
      <c r="C115" s="18" t="s">
        <v>57</v>
      </c>
      <c r="D115" s="18" t="s">
        <v>675</v>
      </c>
      <c r="E115" s="18" t="n">
        <v>12</v>
      </c>
      <c r="F115" s="18" t="s">
        <v>136</v>
      </c>
      <c r="G115" s="18" t="s">
        <v>137</v>
      </c>
      <c r="H115" s="18" t="s">
        <v>129</v>
      </c>
      <c r="I115" s="18"/>
      <c r="J115" s="18"/>
      <c r="K115" s="18"/>
      <c r="L115" s="18" t="s">
        <v>129</v>
      </c>
      <c r="M115" s="18" t="s">
        <v>129</v>
      </c>
      <c r="N115" s="18"/>
      <c r="O115" s="18"/>
      <c r="P115" s="18"/>
      <c r="Q115" s="18" t="s">
        <v>138</v>
      </c>
      <c r="R115" s="18" t="s">
        <v>139</v>
      </c>
      <c r="S115" s="18" t="s">
        <v>140</v>
      </c>
      <c r="T115" s="18" t="s">
        <v>141</v>
      </c>
      <c r="U115" s="18"/>
      <c r="V115" s="19" t="s">
        <v>29</v>
      </c>
      <c r="W115" s="19"/>
      <c r="X115" s="19"/>
      <c r="Y115" s="20"/>
      <c r="Z115" s="19"/>
      <c r="AA115" s="18" t="str">
        <f aca="false">IF(OR(V115="Aprobada"),R115,IF(AND(OR(V115="Aprobada con ajuste",V115="Rechazada"),W115&lt;&gt;""),W115,""))</f>
        <v/>
      </c>
    </row>
    <row r="116" customFormat="false" ht="32.8" hidden="false" customHeight="false" outlineLevel="0" collapsed="false">
      <c r="A116" s="18" t="s">
        <v>682</v>
      </c>
      <c r="B116" s="18" t="s">
        <v>56</v>
      </c>
      <c r="C116" s="18" t="s">
        <v>57</v>
      </c>
      <c r="D116" s="18" t="s">
        <v>683</v>
      </c>
      <c r="E116" s="18" t="n">
        <v>132</v>
      </c>
      <c r="F116" s="18" t="s">
        <v>479</v>
      </c>
      <c r="G116" s="18" t="s">
        <v>145</v>
      </c>
      <c r="H116" s="18" t="s">
        <v>129</v>
      </c>
      <c r="I116" s="18" t="s">
        <v>146</v>
      </c>
      <c r="J116" s="18"/>
      <c r="K116" s="18"/>
      <c r="L116" s="18" t="s">
        <v>129</v>
      </c>
      <c r="M116" s="18" t="s">
        <v>162</v>
      </c>
      <c r="N116" s="18" t="s">
        <v>480</v>
      </c>
      <c r="O116" s="18" t="s">
        <v>684</v>
      </c>
      <c r="P116" s="18" t="s">
        <v>685</v>
      </c>
      <c r="Q116" s="18" t="s">
        <v>131</v>
      </c>
      <c r="R116" s="18" t="s">
        <v>686</v>
      </c>
      <c r="S116" s="18" t="s">
        <v>133</v>
      </c>
      <c r="T116" s="18" t="s">
        <v>687</v>
      </c>
      <c r="U116" s="18"/>
      <c r="V116" s="19" t="s">
        <v>29</v>
      </c>
      <c r="W116" s="19"/>
      <c r="X116" s="19"/>
      <c r="Y116" s="20"/>
      <c r="Z116" s="19"/>
      <c r="AA116" s="18" t="str">
        <f aca="false">IF(OR(V116="Aprobada"),R116,IF(AND(OR(V116="Aprobada con ajuste",V116="Rechazada"),W116&lt;&gt;""),W116,""))</f>
        <v/>
      </c>
    </row>
    <row r="117" customFormat="false" ht="22.35" hidden="false" customHeight="false" outlineLevel="0" collapsed="false">
      <c r="A117" s="18" t="s">
        <v>688</v>
      </c>
      <c r="B117" s="18" t="s">
        <v>56</v>
      </c>
      <c r="C117" s="18" t="s">
        <v>57</v>
      </c>
      <c r="D117" s="18" t="s">
        <v>683</v>
      </c>
      <c r="E117" s="18" t="n">
        <v>132</v>
      </c>
      <c r="F117" s="18" t="s">
        <v>485</v>
      </c>
      <c r="G117" s="18" t="s">
        <v>486</v>
      </c>
      <c r="H117" s="18" t="s">
        <v>129</v>
      </c>
      <c r="I117" s="18" t="s">
        <v>146</v>
      </c>
      <c r="J117" s="18"/>
      <c r="K117" s="18"/>
      <c r="L117" s="18" t="s">
        <v>129</v>
      </c>
      <c r="M117" s="18" t="s">
        <v>162</v>
      </c>
      <c r="N117" s="18" t="s">
        <v>480</v>
      </c>
      <c r="O117" s="18" t="s">
        <v>689</v>
      </c>
      <c r="P117" s="18" t="s">
        <v>690</v>
      </c>
      <c r="Q117" s="18" t="s">
        <v>131</v>
      </c>
      <c r="R117" s="18" t="s">
        <v>691</v>
      </c>
      <c r="S117" s="18" t="s">
        <v>133</v>
      </c>
      <c r="T117" s="18" t="s">
        <v>692</v>
      </c>
      <c r="U117" s="18"/>
      <c r="V117" s="19" t="s">
        <v>29</v>
      </c>
      <c r="W117" s="19"/>
      <c r="X117" s="19"/>
      <c r="Y117" s="20"/>
      <c r="Z117" s="19"/>
      <c r="AA117" s="18" t="str">
        <f aca="false">IF(OR(V117="Aprobada"),R117,IF(AND(OR(V117="Aprobada con ajuste",V117="Rechazada"),W117&lt;&gt;""),W117,""))</f>
        <v/>
      </c>
    </row>
    <row r="118" customFormat="false" ht="22.35" hidden="false" customHeight="false" outlineLevel="0" collapsed="false">
      <c r="A118" s="18" t="s">
        <v>693</v>
      </c>
      <c r="B118" s="18" t="s">
        <v>56</v>
      </c>
      <c r="C118" s="18" t="s">
        <v>57</v>
      </c>
      <c r="D118" s="18" t="s">
        <v>683</v>
      </c>
      <c r="E118" s="18" t="n">
        <v>132</v>
      </c>
      <c r="F118" s="18" t="s">
        <v>490</v>
      </c>
      <c r="G118" s="18" t="s">
        <v>128</v>
      </c>
      <c r="H118" s="18" t="s">
        <v>162</v>
      </c>
      <c r="I118" s="18"/>
      <c r="J118" s="18"/>
      <c r="K118" s="18"/>
      <c r="L118" s="18" t="s">
        <v>129</v>
      </c>
      <c r="M118" s="18" t="s">
        <v>129</v>
      </c>
      <c r="N118" s="18"/>
      <c r="O118" s="18"/>
      <c r="P118" s="18" t="s">
        <v>694</v>
      </c>
      <c r="Q118" s="18" t="s">
        <v>138</v>
      </c>
      <c r="R118" s="18" t="s">
        <v>695</v>
      </c>
      <c r="S118" s="18" t="s">
        <v>140</v>
      </c>
      <c r="T118" s="18" t="s">
        <v>141</v>
      </c>
      <c r="U118" s="18"/>
      <c r="V118" s="19" t="s">
        <v>29</v>
      </c>
      <c r="W118" s="19"/>
      <c r="X118" s="19"/>
      <c r="Y118" s="20"/>
      <c r="Z118" s="19"/>
      <c r="AA118" s="18" t="str">
        <f aca="false">IF(OR(V118="Aprobada"),R118,IF(AND(OR(V118="Aprobada con ajuste",V118="Rechazada"),W118&lt;&gt;""),W118,""))</f>
        <v/>
      </c>
    </row>
    <row r="119" customFormat="false" ht="43.25" hidden="false" customHeight="false" outlineLevel="0" collapsed="false">
      <c r="A119" s="18" t="s">
        <v>696</v>
      </c>
      <c r="B119" s="18" t="s">
        <v>56</v>
      </c>
      <c r="C119" s="18" t="s">
        <v>57</v>
      </c>
      <c r="D119" s="18" t="s">
        <v>683</v>
      </c>
      <c r="E119" s="18" t="n">
        <v>132</v>
      </c>
      <c r="F119" s="18" t="s">
        <v>507</v>
      </c>
      <c r="G119" s="18" t="s">
        <v>205</v>
      </c>
      <c r="H119" s="18" t="s">
        <v>129</v>
      </c>
      <c r="I119" s="18"/>
      <c r="J119" s="18"/>
      <c r="K119" s="18"/>
      <c r="L119" s="18" t="s">
        <v>129</v>
      </c>
      <c r="M119" s="18" t="s">
        <v>129</v>
      </c>
      <c r="N119" s="18"/>
      <c r="O119" s="18"/>
      <c r="P119" s="18" t="s">
        <v>697</v>
      </c>
      <c r="Q119" s="18" t="s">
        <v>131</v>
      </c>
      <c r="R119" s="18" t="s">
        <v>698</v>
      </c>
      <c r="S119" s="18" t="s">
        <v>140</v>
      </c>
      <c r="T119" s="18" t="s">
        <v>699</v>
      </c>
      <c r="U119" s="18" t="s">
        <v>700</v>
      </c>
      <c r="V119" s="19" t="s">
        <v>29</v>
      </c>
      <c r="W119" s="19"/>
      <c r="X119" s="19"/>
      <c r="Y119" s="20"/>
      <c r="Z119" s="19"/>
      <c r="AA119" s="18" t="str">
        <f aca="false">IF(OR(V119="Aprobada"),R119,IF(AND(OR(V119="Aprobada con ajuste",V119="Rechazada"),W119&lt;&gt;""),W119,""))</f>
        <v/>
      </c>
    </row>
    <row r="120" customFormat="false" ht="22.35" hidden="false" customHeight="false" outlineLevel="0" collapsed="false">
      <c r="A120" s="18" t="s">
        <v>701</v>
      </c>
      <c r="B120" s="18" t="s">
        <v>56</v>
      </c>
      <c r="C120" s="18" t="s">
        <v>57</v>
      </c>
      <c r="D120" s="18" t="s">
        <v>683</v>
      </c>
      <c r="E120" s="18" t="n">
        <v>132</v>
      </c>
      <c r="F120" s="18" t="s">
        <v>494</v>
      </c>
      <c r="G120" s="18" t="s">
        <v>145</v>
      </c>
      <c r="H120" s="18" t="s">
        <v>162</v>
      </c>
      <c r="I120" s="18"/>
      <c r="J120" s="18"/>
      <c r="K120" s="18"/>
      <c r="L120" s="18" t="s">
        <v>129</v>
      </c>
      <c r="M120" s="18" t="s">
        <v>129</v>
      </c>
      <c r="N120" s="18"/>
      <c r="O120" s="18"/>
      <c r="P120" s="18" t="s">
        <v>702</v>
      </c>
      <c r="Q120" s="18" t="s">
        <v>131</v>
      </c>
      <c r="R120" s="18" t="s">
        <v>703</v>
      </c>
      <c r="S120" s="18" t="s">
        <v>133</v>
      </c>
      <c r="T120" s="18" t="s">
        <v>704</v>
      </c>
      <c r="U120" s="18"/>
      <c r="V120" s="19" t="s">
        <v>29</v>
      </c>
      <c r="W120" s="19"/>
      <c r="X120" s="19"/>
      <c r="Y120" s="20"/>
      <c r="Z120" s="19"/>
      <c r="AA120" s="18" t="str">
        <f aca="false">IF(OR(V120="Aprobada"),R120,IF(AND(OR(V120="Aprobada con ajuste",V120="Rechazada"),W120&lt;&gt;""),W120,""))</f>
        <v/>
      </c>
    </row>
    <row r="121" customFormat="false" ht="22.35" hidden="false" customHeight="false" outlineLevel="0" collapsed="false">
      <c r="A121" s="18" t="s">
        <v>705</v>
      </c>
      <c r="B121" s="18" t="s">
        <v>56</v>
      </c>
      <c r="C121" s="18" t="s">
        <v>57</v>
      </c>
      <c r="D121" s="18" t="s">
        <v>683</v>
      </c>
      <c r="E121" s="18" t="n">
        <v>132</v>
      </c>
      <c r="F121" s="18" t="s">
        <v>498</v>
      </c>
      <c r="G121" s="18" t="s">
        <v>205</v>
      </c>
      <c r="H121" s="18" t="s">
        <v>162</v>
      </c>
      <c r="I121" s="18"/>
      <c r="J121" s="18"/>
      <c r="K121" s="18"/>
      <c r="L121" s="18" t="s">
        <v>129</v>
      </c>
      <c r="M121" s="18" t="s">
        <v>129</v>
      </c>
      <c r="N121" s="18"/>
      <c r="O121" s="18"/>
      <c r="P121" s="18" t="s">
        <v>706</v>
      </c>
      <c r="Q121" s="18" t="s">
        <v>131</v>
      </c>
      <c r="R121" s="18" t="s">
        <v>707</v>
      </c>
      <c r="S121" s="18" t="s">
        <v>133</v>
      </c>
      <c r="T121" s="18" t="s">
        <v>708</v>
      </c>
      <c r="U121" s="18"/>
      <c r="V121" s="19" t="s">
        <v>29</v>
      </c>
      <c r="W121" s="19"/>
      <c r="X121" s="19"/>
      <c r="Y121" s="20"/>
      <c r="Z121" s="19"/>
      <c r="AA121" s="18" t="str">
        <f aca="false">IF(OR(V121="Aprobada"),R121,IF(AND(OR(V121="Aprobada con ajuste",V121="Rechazada"),W121&lt;&gt;""),W121,""))</f>
        <v/>
      </c>
    </row>
    <row r="122" customFormat="false" ht="22.35" hidden="false" customHeight="false" outlineLevel="0" collapsed="false">
      <c r="A122" s="18" t="s">
        <v>709</v>
      </c>
      <c r="B122" s="18" t="s">
        <v>56</v>
      </c>
      <c r="C122" s="18" t="s">
        <v>57</v>
      </c>
      <c r="D122" s="18" t="s">
        <v>683</v>
      </c>
      <c r="E122" s="18" t="n">
        <v>132</v>
      </c>
      <c r="F122" s="18" t="s">
        <v>710</v>
      </c>
      <c r="G122" s="18" t="s">
        <v>205</v>
      </c>
      <c r="H122" s="18" t="s">
        <v>162</v>
      </c>
      <c r="I122" s="18"/>
      <c r="J122" s="18"/>
      <c r="K122" s="18"/>
      <c r="L122" s="18" t="s">
        <v>129</v>
      </c>
      <c r="M122" s="18" t="s">
        <v>162</v>
      </c>
      <c r="N122" s="18" t="s">
        <v>480</v>
      </c>
      <c r="O122" s="18"/>
      <c r="P122" s="18" t="s">
        <v>711</v>
      </c>
      <c r="Q122" s="18" t="s">
        <v>131</v>
      </c>
      <c r="R122" s="18" t="s">
        <v>712</v>
      </c>
      <c r="S122" s="18" t="s">
        <v>133</v>
      </c>
      <c r="T122" s="18" t="s">
        <v>713</v>
      </c>
      <c r="U122" s="18"/>
      <c r="V122" s="19" t="s">
        <v>29</v>
      </c>
      <c r="W122" s="19"/>
      <c r="X122" s="19"/>
      <c r="Y122" s="20"/>
      <c r="Z122" s="19"/>
      <c r="AA122" s="18" t="str">
        <f aca="false">IF(OR(V122="Aprobada"),R122,IF(AND(OR(V122="Aprobada con ajuste",V122="Rechazada"),W122&lt;&gt;""),W122,""))</f>
        <v/>
      </c>
    </row>
    <row r="123" customFormat="false" ht="22.35" hidden="false" customHeight="false" outlineLevel="0" collapsed="false">
      <c r="A123" s="18" t="s">
        <v>714</v>
      </c>
      <c r="B123" s="18" t="s">
        <v>56</v>
      </c>
      <c r="C123" s="18" t="s">
        <v>57</v>
      </c>
      <c r="D123" s="18" t="s">
        <v>683</v>
      </c>
      <c r="E123" s="18" t="n">
        <v>132</v>
      </c>
      <c r="F123" s="18" t="s">
        <v>512</v>
      </c>
      <c r="G123" s="18" t="s">
        <v>173</v>
      </c>
      <c r="H123" s="18" t="s">
        <v>162</v>
      </c>
      <c r="I123" s="18"/>
      <c r="J123" s="18"/>
      <c r="K123" s="18"/>
      <c r="L123" s="18" t="s">
        <v>129</v>
      </c>
      <c r="M123" s="18" t="s">
        <v>162</v>
      </c>
      <c r="N123" s="18" t="s">
        <v>480</v>
      </c>
      <c r="O123" s="18"/>
      <c r="P123" s="18" t="s">
        <v>715</v>
      </c>
      <c r="Q123" s="18" t="s">
        <v>138</v>
      </c>
      <c r="R123" s="18" t="s">
        <v>176</v>
      </c>
      <c r="S123" s="18" t="s">
        <v>140</v>
      </c>
      <c r="T123" s="18" t="s">
        <v>141</v>
      </c>
      <c r="U123" s="18"/>
      <c r="V123" s="19" t="s">
        <v>29</v>
      </c>
      <c r="W123" s="19"/>
      <c r="X123" s="19"/>
      <c r="Y123" s="20"/>
      <c r="Z123" s="19"/>
      <c r="AA123" s="18" t="str">
        <f aca="false">IF(OR(V123="Aprobada"),R123,IF(AND(OR(V123="Aprobada con ajuste",V123="Rechazada"),W123&lt;&gt;""),W123,""))</f>
        <v/>
      </c>
    </row>
    <row r="124" customFormat="false" ht="22.35" hidden="false" customHeight="false" outlineLevel="0" collapsed="false">
      <c r="A124" s="18" t="s">
        <v>716</v>
      </c>
      <c r="B124" s="18" t="s">
        <v>56</v>
      </c>
      <c r="C124" s="18" t="s">
        <v>57</v>
      </c>
      <c r="D124" s="18" t="s">
        <v>683</v>
      </c>
      <c r="E124" s="18" t="n">
        <v>132</v>
      </c>
      <c r="F124" s="18" t="s">
        <v>717</v>
      </c>
      <c r="G124" s="18" t="s">
        <v>173</v>
      </c>
      <c r="H124" s="18" t="s">
        <v>162</v>
      </c>
      <c r="I124" s="18"/>
      <c r="J124" s="18"/>
      <c r="K124" s="18"/>
      <c r="L124" s="18" t="s">
        <v>129</v>
      </c>
      <c r="M124" s="18" t="s">
        <v>129</v>
      </c>
      <c r="N124" s="18"/>
      <c r="O124" s="18"/>
      <c r="P124" s="18" t="s">
        <v>718</v>
      </c>
      <c r="Q124" s="18" t="s">
        <v>131</v>
      </c>
      <c r="R124" s="18" t="s">
        <v>719</v>
      </c>
      <c r="S124" s="18" t="s">
        <v>133</v>
      </c>
      <c r="T124" s="18" t="s">
        <v>720</v>
      </c>
      <c r="U124" s="18"/>
      <c r="V124" s="19" t="s">
        <v>29</v>
      </c>
      <c r="W124" s="19"/>
      <c r="X124" s="19"/>
      <c r="Y124" s="20"/>
      <c r="Z124" s="19"/>
      <c r="AA124" s="18" t="str">
        <f aca="false">IF(OR(V124="Aprobada"),R124,IF(AND(OR(V124="Aprobada con ajuste",V124="Rechazada"),W124&lt;&gt;""),W124,""))</f>
        <v/>
      </c>
    </row>
    <row r="125" customFormat="false" ht="32.8" hidden="false" customHeight="false" outlineLevel="0" collapsed="false">
      <c r="A125" s="18" t="s">
        <v>721</v>
      </c>
      <c r="B125" s="18" t="s">
        <v>56</v>
      </c>
      <c r="C125" s="18" t="s">
        <v>57</v>
      </c>
      <c r="D125" s="18" t="s">
        <v>683</v>
      </c>
      <c r="E125" s="18" t="n">
        <v>132</v>
      </c>
      <c r="F125" s="18" t="s">
        <v>722</v>
      </c>
      <c r="G125" s="18" t="s">
        <v>128</v>
      </c>
      <c r="H125" s="18" t="s">
        <v>162</v>
      </c>
      <c r="I125" s="18"/>
      <c r="J125" s="18"/>
      <c r="K125" s="18"/>
      <c r="L125" s="18" t="s">
        <v>129</v>
      </c>
      <c r="M125" s="18" t="s">
        <v>129</v>
      </c>
      <c r="N125" s="18"/>
      <c r="O125" s="18"/>
      <c r="P125" s="18" t="s">
        <v>723</v>
      </c>
      <c r="Q125" s="18" t="s">
        <v>149</v>
      </c>
      <c r="R125" s="18" t="s">
        <v>724</v>
      </c>
      <c r="S125" s="18" t="s">
        <v>140</v>
      </c>
      <c r="T125" s="18" t="s">
        <v>169</v>
      </c>
      <c r="U125" s="18" t="s">
        <v>725</v>
      </c>
      <c r="V125" s="19" t="s">
        <v>29</v>
      </c>
      <c r="W125" s="19"/>
      <c r="X125" s="19"/>
      <c r="Y125" s="20"/>
      <c r="Z125" s="19"/>
      <c r="AA125" s="18" t="str">
        <f aca="false">IF(OR(V125="Aprobada"),R125,IF(AND(OR(V125="Aprobada con ajuste",V125="Rechazada"),W125&lt;&gt;""),W125,""))</f>
        <v/>
      </c>
    </row>
    <row r="126" customFormat="false" ht="22.35" hidden="false" customHeight="false" outlineLevel="0" collapsed="false">
      <c r="A126" s="18" t="s">
        <v>726</v>
      </c>
      <c r="B126" s="18" t="s">
        <v>56</v>
      </c>
      <c r="C126" s="18" t="s">
        <v>57</v>
      </c>
      <c r="D126" s="18" t="s">
        <v>683</v>
      </c>
      <c r="E126" s="18" t="n">
        <v>132</v>
      </c>
      <c r="F126" s="18" t="s">
        <v>727</v>
      </c>
      <c r="G126" s="18" t="s">
        <v>192</v>
      </c>
      <c r="H126" s="18" t="s">
        <v>162</v>
      </c>
      <c r="I126" s="18"/>
      <c r="J126" s="18"/>
      <c r="K126" s="18"/>
      <c r="L126" s="18" t="s">
        <v>129</v>
      </c>
      <c r="M126" s="18" t="s">
        <v>129</v>
      </c>
      <c r="N126" s="18"/>
      <c r="O126" s="18"/>
      <c r="P126" s="18" t="s">
        <v>728</v>
      </c>
      <c r="Q126" s="18" t="s">
        <v>149</v>
      </c>
      <c r="R126" s="18" t="s">
        <v>729</v>
      </c>
      <c r="S126" s="18" t="s">
        <v>242</v>
      </c>
      <c r="T126" s="18" t="s">
        <v>183</v>
      </c>
      <c r="U126" s="18" t="s">
        <v>730</v>
      </c>
      <c r="V126" s="19" t="s">
        <v>29</v>
      </c>
      <c r="W126" s="19"/>
      <c r="X126" s="19"/>
      <c r="Y126" s="20"/>
      <c r="Z126" s="19"/>
      <c r="AA126" s="18" t="str">
        <f aca="false">IF(OR(V126="Aprobada"),R126,IF(AND(OR(V126="Aprobada con ajuste",V126="Rechazada"),W126&lt;&gt;""),W126,""))</f>
        <v/>
      </c>
    </row>
    <row r="127" customFormat="false" ht="22.35" hidden="false" customHeight="false" outlineLevel="0" collapsed="false">
      <c r="A127" s="18" t="s">
        <v>731</v>
      </c>
      <c r="B127" s="18" t="s">
        <v>56</v>
      </c>
      <c r="C127" s="18" t="s">
        <v>57</v>
      </c>
      <c r="D127" s="18" t="s">
        <v>732</v>
      </c>
      <c r="E127" s="18" t="n">
        <v>3112</v>
      </c>
      <c r="F127" s="18" t="s">
        <v>512</v>
      </c>
      <c r="G127" s="18" t="s">
        <v>173</v>
      </c>
      <c r="H127" s="18" t="s">
        <v>162</v>
      </c>
      <c r="I127" s="18"/>
      <c r="J127" s="18"/>
      <c r="K127" s="18"/>
      <c r="L127" s="18" t="s">
        <v>129</v>
      </c>
      <c r="M127" s="18" t="s">
        <v>162</v>
      </c>
      <c r="N127" s="18" t="s">
        <v>480</v>
      </c>
      <c r="O127" s="18"/>
      <c r="P127" s="18"/>
      <c r="Q127" s="18" t="s">
        <v>138</v>
      </c>
      <c r="R127" s="18" t="s">
        <v>176</v>
      </c>
      <c r="S127" s="18" t="s">
        <v>140</v>
      </c>
      <c r="T127" s="18" t="s">
        <v>141</v>
      </c>
      <c r="U127" s="18"/>
      <c r="V127" s="19" t="s">
        <v>29</v>
      </c>
      <c r="W127" s="19"/>
      <c r="X127" s="19"/>
      <c r="Y127" s="20"/>
      <c r="Z127" s="19"/>
      <c r="AA127" s="18" t="str">
        <f aca="false">IF(OR(V127="Aprobada"),R127,IF(AND(OR(V127="Aprobada con ajuste",V127="Rechazada"),W127&lt;&gt;""),W127,""))</f>
        <v/>
      </c>
    </row>
    <row r="128" customFormat="false" ht="43.25" hidden="false" customHeight="false" outlineLevel="0" collapsed="false">
      <c r="A128" s="18" t="s">
        <v>733</v>
      </c>
      <c r="B128" s="18" t="s">
        <v>56</v>
      </c>
      <c r="C128" s="18" t="s">
        <v>57</v>
      </c>
      <c r="D128" s="18" t="s">
        <v>734</v>
      </c>
      <c r="E128" s="18" t="n">
        <v>38</v>
      </c>
      <c r="F128" s="18" t="s">
        <v>735</v>
      </c>
      <c r="G128" s="18" t="s">
        <v>486</v>
      </c>
      <c r="H128" s="18" t="s">
        <v>129</v>
      </c>
      <c r="I128" s="18"/>
      <c r="J128" s="18"/>
      <c r="K128" s="18"/>
      <c r="L128" s="18" t="s">
        <v>129</v>
      </c>
      <c r="M128" s="18" t="s">
        <v>129</v>
      </c>
      <c r="N128" s="18"/>
      <c r="O128" s="18"/>
      <c r="P128" s="18" t="s">
        <v>736</v>
      </c>
      <c r="Q128" s="18" t="s">
        <v>149</v>
      </c>
      <c r="R128" s="18" t="s">
        <v>737</v>
      </c>
      <c r="S128" s="18" t="s">
        <v>133</v>
      </c>
      <c r="T128" s="18" t="s">
        <v>158</v>
      </c>
      <c r="U128" s="18"/>
      <c r="V128" s="19" t="s">
        <v>29</v>
      </c>
      <c r="W128" s="19"/>
      <c r="X128" s="19"/>
      <c r="Y128" s="20"/>
      <c r="Z128" s="19"/>
      <c r="AA128" s="18" t="str">
        <f aca="false">IF(OR(V128="Aprobada"),R128,IF(AND(OR(V128="Aprobada con ajuste",V128="Rechazada"),W128&lt;&gt;""),W128,""))</f>
        <v/>
      </c>
    </row>
    <row r="129" customFormat="false" ht="22.35" hidden="false" customHeight="false" outlineLevel="0" collapsed="false">
      <c r="A129" s="18" t="s">
        <v>738</v>
      </c>
      <c r="B129" s="18" t="s">
        <v>56</v>
      </c>
      <c r="C129" s="18" t="s">
        <v>57</v>
      </c>
      <c r="D129" s="18" t="s">
        <v>734</v>
      </c>
      <c r="E129" s="18" t="n">
        <v>38</v>
      </c>
      <c r="F129" s="18" t="s">
        <v>739</v>
      </c>
      <c r="G129" s="18" t="s">
        <v>154</v>
      </c>
      <c r="H129" s="18" t="s">
        <v>162</v>
      </c>
      <c r="I129" s="18"/>
      <c r="J129" s="18"/>
      <c r="K129" s="18"/>
      <c r="L129" s="18" t="s">
        <v>129</v>
      </c>
      <c r="M129" s="18" t="s">
        <v>129</v>
      </c>
      <c r="N129" s="18"/>
      <c r="O129" s="18"/>
      <c r="P129" s="18" t="s">
        <v>740</v>
      </c>
      <c r="Q129" s="18" t="s">
        <v>149</v>
      </c>
      <c r="R129" s="18" t="s">
        <v>741</v>
      </c>
      <c r="S129" s="18" t="s">
        <v>133</v>
      </c>
      <c r="T129" s="18" t="s">
        <v>183</v>
      </c>
      <c r="U129" s="18"/>
      <c r="V129" s="19" t="s">
        <v>29</v>
      </c>
      <c r="W129" s="19"/>
      <c r="X129" s="19"/>
      <c r="Y129" s="20"/>
      <c r="Z129" s="19"/>
      <c r="AA129" s="18" t="str">
        <f aca="false">IF(OR(V129="Aprobada"),R129,IF(AND(OR(V129="Aprobada con ajuste",V129="Rechazada"),W129&lt;&gt;""),W129,""))</f>
        <v/>
      </c>
    </row>
    <row r="130" customFormat="false" ht="22.35" hidden="false" customHeight="false" outlineLevel="0" collapsed="false">
      <c r="A130" s="18" t="s">
        <v>742</v>
      </c>
      <c r="B130" s="18" t="s">
        <v>56</v>
      </c>
      <c r="C130" s="18" t="s">
        <v>57</v>
      </c>
      <c r="D130" s="18" t="s">
        <v>734</v>
      </c>
      <c r="E130" s="18" t="n">
        <v>38</v>
      </c>
      <c r="F130" s="18" t="s">
        <v>401</v>
      </c>
      <c r="G130" s="18" t="s">
        <v>137</v>
      </c>
      <c r="H130" s="18" t="s">
        <v>162</v>
      </c>
      <c r="I130" s="18"/>
      <c r="J130" s="18"/>
      <c r="K130" s="18"/>
      <c r="L130" s="18" t="s">
        <v>129</v>
      </c>
      <c r="M130" s="18" t="s">
        <v>129</v>
      </c>
      <c r="N130" s="18"/>
      <c r="O130" s="18"/>
      <c r="P130" s="18" t="s">
        <v>743</v>
      </c>
      <c r="Q130" s="18" t="s">
        <v>149</v>
      </c>
      <c r="R130" s="18" t="s">
        <v>403</v>
      </c>
      <c r="S130" s="18" t="s">
        <v>133</v>
      </c>
      <c r="T130" s="18" t="s">
        <v>183</v>
      </c>
      <c r="U130" s="18"/>
      <c r="V130" s="19" t="s">
        <v>29</v>
      </c>
      <c r="W130" s="19"/>
      <c r="X130" s="19"/>
      <c r="Y130" s="20"/>
      <c r="Z130" s="19"/>
      <c r="AA130" s="18" t="str">
        <f aca="false">IF(OR(V130="Aprobada"),R130,IF(AND(OR(V130="Aprobada con ajuste",V130="Rechazada"),W130&lt;&gt;""),W130,""))</f>
        <v/>
      </c>
    </row>
    <row r="131" customFormat="false" ht="22.35" hidden="false" customHeight="false" outlineLevel="0" collapsed="false">
      <c r="A131" s="18" t="s">
        <v>744</v>
      </c>
      <c r="B131" s="18" t="s">
        <v>56</v>
      </c>
      <c r="C131" s="18" t="s">
        <v>57</v>
      </c>
      <c r="D131" s="18" t="s">
        <v>734</v>
      </c>
      <c r="E131" s="18" t="n">
        <v>38</v>
      </c>
      <c r="F131" s="18" t="s">
        <v>397</v>
      </c>
      <c r="G131" s="18" t="s">
        <v>137</v>
      </c>
      <c r="H131" s="18" t="s">
        <v>162</v>
      </c>
      <c r="I131" s="18"/>
      <c r="J131" s="18"/>
      <c r="K131" s="18"/>
      <c r="L131" s="18" t="s">
        <v>129</v>
      </c>
      <c r="M131" s="18" t="s">
        <v>129</v>
      </c>
      <c r="N131" s="18"/>
      <c r="O131" s="18"/>
      <c r="P131" s="18" t="s">
        <v>745</v>
      </c>
      <c r="Q131" s="18" t="s">
        <v>149</v>
      </c>
      <c r="R131" s="18" t="s">
        <v>399</v>
      </c>
      <c r="S131" s="18" t="s">
        <v>133</v>
      </c>
      <c r="T131" s="18" t="s">
        <v>183</v>
      </c>
      <c r="U131" s="18"/>
      <c r="V131" s="19" t="s">
        <v>29</v>
      </c>
      <c r="W131" s="19"/>
      <c r="X131" s="19"/>
      <c r="Y131" s="20"/>
      <c r="Z131" s="19"/>
      <c r="AA131" s="18" t="str">
        <f aca="false">IF(OR(V131="Aprobada"),R131,IF(AND(OR(V131="Aprobada con ajuste",V131="Rechazada"),W131&lt;&gt;""),W131,""))</f>
        <v/>
      </c>
    </row>
    <row r="132" customFormat="false" ht="22.35" hidden="false" customHeight="false" outlineLevel="0" collapsed="false">
      <c r="A132" s="18" t="s">
        <v>746</v>
      </c>
      <c r="B132" s="18" t="s">
        <v>56</v>
      </c>
      <c r="C132" s="18" t="s">
        <v>57</v>
      </c>
      <c r="D132" s="18" t="s">
        <v>734</v>
      </c>
      <c r="E132" s="18" t="n">
        <v>38</v>
      </c>
      <c r="F132" s="18" t="s">
        <v>405</v>
      </c>
      <c r="G132" s="18" t="s">
        <v>205</v>
      </c>
      <c r="H132" s="18" t="s">
        <v>162</v>
      </c>
      <c r="I132" s="18"/>
      <c r="J132" s="18"/>
      <c r="K132" s="18"/>
      <c r="L132" s="18" t="s">
        <v>129</v>
      </c>
      <c r="M132" s="18" t="s">
        <v>129</v>
      </c>
      <c r="N132" s="18"/>
      <c r="O132" s="18"/>
      <c r="P132" s="18" t="s">
        <v>747</v>
      </c>
      <c r="Q132" s="18" t="s">
        <v>149</v>
      </c>
      <c r="R132" s="18" t="s">
        <v>407</v>
      </c>
      <c r="S132" s="18" t="s">
        <v>140</v>
      </c>
      <c r="T132" s="18" t="s">
        <v>183</v>
      </c>
      <c r="U132" s="18" t="s">
        <v>408</v>
      </c>
      <c r="V132" s="19" t="s">
        <v>29</v>
      </c>
      <c r="W132" s="19"/>
      <c r="X132" s="19"/>
      <c r="Y132" s="20"/>
      <c r="Z132" s="19"/>
      <c r="AA132" s="18" t="str">
        <f aca="false">IF(OR(V132="Aprobada"),R132,IF(AND(OR(V132="Aprobada con ajuste",V132="Rechazada"),W132&lt;&gt;""),W132,""))</f>
        <v/>
      </c>
    </row>
    <row r="133" customFormat="false" ht="22.35" hidden="false" customHeight="false" outlineLevel="0" collapsed="false">
      <c r="A133" s="18" t="s">
        <v>748</v>
      </c>
      <c r="B133" s="18" t="s">
        <v>56</v>
      </c>
      <c r="C133" s="18" t="s">
        <v>57</v>
      </c>
      <c r="D133" s="18" t="s">
        <v>734</v>
      </c>
      <c r="E133" s="18" t="n">
        <v>38</v>
      </c>
      <c r="F133" s="18" t="s">
        <v>410</v>
      </c>
      <c r="G133" s="18" t="s">
        <v>205</v>
      </c>
      <c r="H133" s="18" t="s">
        <v>162</v>
      </c>
      <c r="I133" s="18"/>
      <c r="J133" s="18"/>
      <c r="K133" s="18"/>
      <c r="L133" s="18" t="s">
        <v>129</v>
      </c>
      <c r="M133" s="18" t="s">
        <v>129</v>
      </c>
      <c r="N133" s="18"/>
      <c r="O133" s="18"/>
      <c r="P133" s="18" t="s">
        <v>749</v>
      </c>
      <c r="Q133" s="18" t="s">
        <v>149</v>
      </c>
      <c r="R133" s="18" t="s">
        <v>412</v>
      </c>
      <c r="S133" s="18" t="s">
        <v>140</v>
      </c>
      <c r="T133" s="18" t="s">
        <v>183</v>
      </c>
      <c r="U133" s="18" t="s">
        <v>413</v>
      </c>
      <c r="V133" s="19" t="s">
        <v>29</v>
      </c>
      <c r="W133" s="19"/>
      <c r="X133" s="19"/>
      <c r="Y133" s="20"/>
      <c r="Z133" s="19"/>
      <c r="AA133" s="18" t="str">
        <f aca="false">IF(OR(V133="Aprobada"),R133,IF(AND(OR(V133="Aprobada con ajuste",V133="Rechazada"),W133&lt;&gt;""),W133,""))</f>
        <v/>
      </c>
    </row>
    <row r="134" customFormat="false" ht="43.25" hidden="false" customHeight="false" outlineLevel="0" collapsed="false">
      <c r="A134" s="18" t="s">
        <v>750</v>
      </c>
      <c r="B134" s="18" t="s">
        <v>56</v>
      </c>
      <c r="C134" s="18" t="s">
        <v>57</v>
      </c>
      <c r="D134" s="18" t="s">
        <v>734</v>
      </c>
      <c r="E134" s="18" t="n">
        <v>38</v>
      </c>
      <c r="F134" s="18" t="s">
        <v>751</v>
      </c>
      <c r="G134" s="18" t="s">
        <v>205</v>
      </c>
      <c r="H134" s="18" t="s">
        <v>162</v>
      </c>
      <c r="I134" s="18"/>
      <c r="J134" s="18"/>
      <c r="K134" s="18"/>
      <c r="L134" s="18" t="s">
        <v>129</v>
      </c>
      <c r="M134" s="18" t="s">
        <v>129</v>
      </c>
      <c r="N134" s="18"/>
      <c r="O134" s="18"/>
      <c r="P134" s="18" t="s">
        <v>752</v>
      </c>
      <c r="Q134" s="18" t="s">
        <v>149</v>
      </c>
      <c r="R134" s="18" t="s">
        <v>753</v>
      </c>
      <c r="S134" s="18" t="s">
        <v>133</v>
      </c>
      <c r="T134" s="18" t="s">
        <v>158</v>
      </c>
      <c r="U134" s="18"/>
      <c r="V134" s="19" t="s">
        <v>29</v>
      </c>
      <c r="W134" s="19"/>
      <c r="X134" s="19"/>
      <c r="Y134" s="20"/>
      <c r="Z134" s="19"/>
      <c r="AA134" s="18" t="str">
        <f aca="false">IF(OR(V134="Aprobada"),R134,IF(AND(OR(V134="Aprobada con ajuste",V134="Rechazada"),W134&lt;&gt;""),W134,""))</f>
        <v/>
      </c>
    </row>
    <row r="135" customFormat="false" ht="22.35" hidden="false" customHeight="false" outlineLevel="0" collapsed="false">
      <c r="A135" s="18" t="s">
        <v>754</v>
      </c>
      <c r="B135" s="18" t="s">
        <v>56</v>
      </c>
      <c r="C135" s="18" t="s">
        <v>57</v>
      </c>
      <c r="D135" s="18" t="s">
        <v>734</v>
      </c>
      <c r="E135" s="18" t="n">
        <v>38</v>
      </c>
      <c r="F135" s="18" t="s">
        <v>197</v>
      </c>
      <c r="G135" s="18" t="s">
        <v>294</v>
      </c>
      <c r="H135" s="18" t="s">
        <v>162</v>
      </c>
      <c r="I135" s="18"/>
      <c r="J135" s="18"/>
      <c r="K135" s="18"/>
      <c r="L135" s="18" t="s">
        <v>129</v>
      </c>
      <c r="M135" s="18" t="s">
        <v>129</v>
      </c>
      <c r="N135" s="18"/>
      <c r="O135" s="18"/>
      <c r="P135" s="18" t="s">
        <v>755</v>
      </c>
      <c r="Q135" s="18" t="s">
        <v>149</v>
      </c>
      <c r="R135" s="18" t="s">
        <v>756</v>
      </c>
      <c r="S135" s="18" t="s">
        <v>140</v>
      </c>
      <c r="T135" s="18" t="s">
        <v>183</v>
      </c>
      <c r="U135" s="18" t="s">
        <v>757</v>
      </c>
      <c r="V135" s="19" t="s">
        <v>29</v>
      </c>
      <c r="W135" s="19"/>
      <c r="X135" s="19"/>
      <c r="Y135" s="20"/>
      <c r="Z135" s="19"/>
      <c r="AA135" s="18" t="str">
        <f aca="false">IF(OR(V135="Aprobada"),R135,IF(AND(OR(V135="Aprobada con ajuste",V135="Rechazada"),W135&lt;&gt;""),W135,""))</f>
        <v/>
      </c>
    </row>
    <row r="136" customFormat="false" ht="22.35" hidden="false" customHeight="false" outlineLevel="0" collapsed="false">
      <c r="A136" s="18" t="s">
        <v>758</v>
      </c>
      <c r="B136" s="18" t="s">
        <v>56</v>
      </c>
      <c r="C136" s="18" t="s">
        <v>57</v>
      </c>
      <c r="D136" s="18" t="s">
        <v>734</v>
      </c>
      <c r="E136" s="18" t="n">
        <v>38</v>
      </c>
      <c r="F136" s="18" t="s">
        <v>759</v>
      </c>
      <c r="G136" s="18" t="s">
        <v>760</v>
      </c>
      <c r="H136" s="18" t="s">
        <v>162</v>
      </c>
      <c r="I136" s="18"/>
      <c r="J136" s="18"/>
      <c r="K136" s="18"/>
      <c r="L136" s="18" t="s">
        <v>129</v>
      </c>
      <c r="M136" s="18" t="s">
        <v>129</v>
      </c>
      <c r="N136" s="18"/>
      <c r="O136" s="18"/>
      <c r="P136" s="18" t="s">
        <v>761</v>
      </c>
      <c r="Q136" s="18" t="s">
        <v>149</v>
      </c>
      <c r="R136" s="18" t="s">
        <v>762</v>
      </c>
      <c r="S136" s="18" t="s">
        <v>133</v>
      </c>
      <c r="T136" s="18" t="s">
        <v>183</v>
      </c>
      <c r="U136" s="18"/>
      <c r="V136" s="19" t="s">
        <v>29</v>
      </c>
      <c r="W136" s="19"/>
      <c r="X136" s="19"/>
      <c r="Y136" s="20"/>
      <c r="Z136" s="19"/>
      <c r="AA136" s="18" t="str">
        <f aca="false">IF(OR(V136="Aprobada"),R136,IF(AND(OR(V136="Aprobada con ajuste",V136="Rechazada"),W136&lt;&gt;""),W136,""))</f>
        <v/>
      </c>
    </row>
    <row r="137" customFormat="false" ht="32.8" hidden="false" customHeight="false" outlineLevel="0" collapsed="false">
      <c r="A137" s="18" t="s">
        <v>763</v>
      </c>
      <c r="B137" s="18" t="s">
        <v>56</v>
      </c>
      <c r="C137" s="18" t="s">
        <v>57</v>
      </c>
      <c r="D137" s="18" t="s">
        <v>734</v>
      </c>
      <c r="E137" s="18" t="n">
        <v>38</v>
      </c>
      <c r="F137" s="18" t="s">
        <v>764</v>
      </c>
      <c r="G137" s="18" t="s">
        <v>294</v>
      </c>
      <c r="H137" s="18" t="s">
        <v>162</v>
      </c>
      <c r="I137" s="18"/>
      <c r="J137" s="18"/>
      <c r="K137" s="18"/>
      <c r="L137" s="18" t="s">
        <v>129</v>
      </c>
      <c r="M137" s="18" t="s">
        <v>129</v>
      </c>
      <c r="N137" s="18"/>
      <c r="O137" s="18"/>
      <c r="P137" s="18"/>
      <c r="Q137" s="18" t="s">
        <v>149</v>
      </c>
      <c r="R137" s="18" t="s">
        <v>765</v>
      </c>
      <c r="S137" s="18" t="s">
        <v>242</v>
      </c>
      <c r="T137" s="18" t="s">
        <v>766</v>
      </c>
      <c r="U137" s="18" t="s">
        <v>767</v>
      </c>
      <c r="V137" s="19" t="s">
        <v>29</v>
      </c>
      <c r="W137" s="19"/>
      <c r="X137" s="19"/>
      <c r="Y137" s="20"/>
      <c r="Z137" s="19"/>
      <c r="AA137" s="18" t="str">
        <f aca="false">IF(OR(V137="Aprobada"),R137,IF(AND(OR(V137="Aprobada con ajuste",V137="Rechazada"),W137&lt;&gt;""),W137,""))</f>
        <v/>
      </c>
    </row>
    <row r="138" customFormat="false" ht="32.8" hidden="false" customHeight="false" outlineLevel="0" collapsed="false">
      <c r="A138" s="18" t="s">
        <v>768</v>
      </c>
      <c r="B138" s="18" t="s">
        <v>56</v>
      </c>
      <c r="C138" s="18" t="s">
        <v>57</v>
      </c>
      <c r="D138" s="18" t="s">
        <v>734</v>
      </c>
      <c r="E138" s="18" t="n">
        <v>38</v>
      </c>
      <c r="F138" s="18" t="s">
        <v>769</v>
      </c>
      <c r="G138" s="18" t="s">
        <v>294</v>
      </c>
      <c r="H138" s="18" t="s">
        <v>162</v>
      </c>
      <c r="I138" s="18"/>
      <c r="J138" s="18"/>
      <c r="K138" s="18"/>
      <c r="L138" s="18" t="s">
        <v>129</v>
      </c>
      <c r="M138" s="18" t="s">
        <v>129</v>
      </c>
      <c r="N138" s="18"/>
      <c r="O138" s="18"/>
      <c r="P138" s="18"/>
      <c r="Q138" s="18" t="s">
        <v>149</v>
      </c>
      <c r="R138" s="18" t="s">
        <v>770</v>
      </c>
      <c r="S138" s="18" t="s">
        <v>242</v>
      </c>
      <c r="T138" s="18" t="s">
        <v>766</v>
      </c>
      <c r="U138" s="18" t="s">
        <v>771</v>
      </c>
      <c r="V138" s="19" t="s">
        <v>29</v>
      </c>
      <c r="W138" s="19"/>
      <c r="X138" s="19"/>
      <c r="Y138" s="20"/>
      <c r="Z138" s="19"/>
      <c r="AA138" s="18" t="str">
        <f aca="false">IF(OR(V138="Aprobada"),R138,IF(AND(OR(V138="Aprobada con ajuste",V138="Rechazada"),W138&lt;&gt;""),W138,""))</f>
        <v/>
      </c>
    </row>
    <row r="139" customFormat="false" ht="32.8" hidden="false" customHeight="false" outlineLevel="0" collapsed="false">
      <c r="A139" s="18" t="s">
        <v>772</v>
      </c>
      <c r="B139" s="18" t="s">
        <v>56</v>
      </c>
      <c r="C139" s="18" t="s">
        <v>57</v>
      </c>
      <c r="D139" s="18" t="s">
        <v>734</v>
      </c>
      <c r="E139" s="18" t="n">
        <v>38</v>
      </c>
      <c r="F139" s="18" t="s">
        <v>773</v>
      </c>
      <c r="G139" s="18" t="s">
        <v>294</v>
      </c>
      <c r="H139" s="18" t="s">
        <v>162</v>
      </c>
      <c r="I139" s="18"/>
      <c r="J139" s="18"/>
      <c r="K139" s="18"/>
      <c r="L139" s="18" t="s">
        <v>129</v>
      </c>
      <c r="M139" s="18" t="s">
        <v>129</v>
      </c>
      <c r="N139" s="18"/>
      <c r="O139" s="18"/>
      <c r="P139" s="18"/>
      <c r="Q139" s="18" t="s">
        <v>149</v>
      </c>
      <c r="R139" s="18" t="s">
        <v>774</v>
      </c>
      <c r="S139" s="18" t="s">
        <v>242</v>
      </c>
      <c r="T139" s="18" t="s">
        <v>766</v>
      </c>
      <c r="U139" s="18" t="s">
        <v>775</v>
      </c>
      <c r="V139" s="19" t="s">
        <v>29</v>
      </c>
      <c r="W139" s="19"/>
      <c r="X139" s="19"/>
      <c r="Y139" s="20"/>
      <c r="Z139" s="19"/>
      <c r="AA139" s="18" t="str">
        <f aca="false">IF(OR(V139="Aprobada"),R139,IF(AND(OR(V139="Aprobada con ajuste",V139="Rechazada"),W139&lt;&gt;""),W139,""))</f>
        <v/>
      </c>
    </row>
    <row r="140" customFormat="false" ht="32.8" hidden="false" customHeight="false" outlineLevel="0" collapsed="false">
      <c r="A140" s="18" t="s">
        <v>776</v>
      </c>
      <c r="B140" s="18" t="s">
        <v>56</v>
      </c>
      <c r="C140" s="18" t="s">
        <v>57</v>
      </c>
      <c r="D140" s="18" t="s">
        <v>734</v>
      </c>
      <c r="E140" s="18" t="n">
        <v>38</v>
      </c>
      <c r="F140" s="18" t="s">
        <v>777</v>
      </c>
      <c r="G140" s="18" t="s">
        <v>294</v>
      </c>
      <c r="H140" s="18" t="s">
        <v>162</v>
      </c>
      <c r="I140" s="18"/>
      <c r="J140" s="18"/>
      <c r="K140" s="18"/>
      <c r="L140" s="18" t="s">
        <v>129</v>
      </c>
      <c r="M140" s="18" t="s">
        <v>129</v>
      </c>
      <c r="N140" s="18"/>
      <c r="O140" s="18"/>
      <c r="P140" s="18"/>
      <c r="Q140" s="18" t="s">
        <v>149</v>
      </c>
      <c r="R140" s="18" t="s">
        <v>778</v>
      </c>
      <c r="S140" s="18" t="s">
        <v>242</v>
      </c>
      <c r="T140" s="18" t="s">
        <v>766</v>
      </c>
      <c r="U140" s="18" t="s">
        <v>779</v>
      </c>
      <c r="V140" s="19" t="s">
        <v>29</v>
      </c>
      <c r="W140" s="19"/>
      <c r="X140" s="19"/>
      <c r="Y140" s="20"/>
      <c r="Z140" s="19"/>
      <c r="AA140" s="18" t="str">
        <f aca="false">IF(OR(V140="Aprobada"),R140,IF(AND(OR(V140="Aprobada con ajuste",V140="Rechazada"),W140&lt;&gt;""),W140,""))</f>
        <v/>
      </c>
    </row>
    <row r="141" customFormat="false" ht="32.8" hidden="false" customHeight="false" outlineLevel="0" collapsed="false">
      <c r="A141" s="18" t="s">
        <v>780</v>
      </c>
      <c r="B141" s="18" t="s">
        <v>56</v>
      </c>
      <c r="C141" s="18" t="s">
        <v>57</v>
      </c>
      <c r="D141" s="18" t="s">
        <v>734</v>
      </c>
      <c r="E141" s="18" t="n">
        <v>38</v>
      </c>
      <c r="F141" s="18" t="s">
        <v>781</v>
      </c>
      <c r="G141" s="18" t="s">
        <v>294</v>
      </c>
      <c r="H141" s="18" t="s">
        <v>162</v>
      </c>
      <c r="I141" s="18"/>
      <c r="J141" s="18"/>
      <c r="K141" s="18"/>
      <c r="L141" s="18" t="s">
        <v>129</v>
      </c>
      <c r="M141" s="18" t="s">
        <v>129</v>
      </c>
      <c r="N141" s="18"/>
      <c r="O141" s="18"/>
      <c r="P141" s="18"/>
      <c r="Q141" s="18" t="s">
        <v>149</v>
      </c>
      <c r="R141" s="18" t="s">
        <v>782</v>
      </c>
      <c r="S141" s="18" t="s">
        <v>242</v>
      </c>
      <c r="T141" s="18" t="s">
        <v>783</v>
      </c>
      <c r="U141" s="18" t="s">
        <v>784</v>
      </c>
      <c r="V141" s="19" t="s">
        <v>29</v>
      </c>
      <c r="W141" s="19"/>
      <c r="X141" s="19"/>
      <c r="Y141" s="20"/>
      <c r="Z141" s="19"/>
      <c r="AA141" s="18" t="str">
        <f aca="false">IF(OR(V141="Aprobada"),R141,IF(AND(OR(V141="Aprobada con ajuste",V141="Rechazada"),W141&lt;&gt;""),W141,""))</f>
        <v/>
      </c>
    </row>
    <row r="142" customFormat="false" ht="32.8" hidden="false" customHeight="false" outlineLevel="0" collapsed="false">
      <c r="A142" s="18" t="s">
        <v>785</v>
      </c>
      <c r="B142" s="18" t="s">
        <v>56</v>
      </c>
      <c r="C142" s="18" t="s">
        <v>57</v>
      </c>
      <c r="D142" s="18" t="s">
        <v>734</v>
      </c>
      <c r="E142" s="18" t="n">
        <v>38</v>
      </c>
      <c r="F142" s="18" t="s">
        <v>786</v>
      </c>
      <c r="G142" s="18" t="s">
        <v>294</v>
      </c>
      <c r="H142" s="18" t="s">
        <v>162</v>
      </c>
      <c r="I142" s="18"/>
      <c r="J142" s="18"/>
      <c r="K142" s="18"/>
      <c r="L142" s="18" t="s">
        <v>129</v>
      </c>
      <c r="M142" s="18" t="s">
        <v>129</v>
      </c>
      <c r="N142" s="18"/>
      <c r="O142" s="18"/>
      <c r="P142" s="18"/>
      <c r="Q142" s="18" t="s">
        <v>149</v>
      </c>
      <c r="R142" s="18" t="s">
        <v>787</v>
      </c>
      <c r="S142" s="18" t="s">
        <v>242</v>
      </c>
      <c r="T142" s="18" t="s">
        <v>783</v>
      </c>
      <c r="U142" s="18" t="s">
        <v>788</v>
      </c>
      <c r="V142" s="19" t="s">
        <v>29</v>
      </c>
      <c r="W142" s="19"/>
      <c r="X142" s="19"/>
      <c r="Y142" s="20"/>
      <c r="Z142" s="19"/>
      <c r="AA142" s="18" t="str">
        <f aca="false">IF(OR(V142="Aprobada"),R142,IF(AND(OR(V142="Aprobada con ajuste",V142="Rechazada"),W142&lt;&gt;""),W142,""))</f>
        <v/>
      </c>
    </row>
    <row r="143" customFormat="false" ht="32.8" hidden="false" customHeight="false" outlineLevel="0" collapsed="false">
      <c r="A143" s="18" t="s">
        <v>789</v>
      </c>
      <c r="B143" s="18" t="s">
        <v>56</v>
      </c>
      <c r="C143" s="18" t="s">
        <v>57</v>
      </c>
      <c r="D143" s="18" t="s">
        <v>734</v>
      </c>
      <c r="E143" s="18" t="n">
        <v>38</v>
      </c>
      <c r="F143" s="18" t="s">
        <v>790</v>
      </c>
      <c r="G143" s="18" t="s">
        <v>294</v>
      </c>
      <c r="H143" s="18" t="s">
        <v>162</v>
      </c>
      <c r="I143" s="18"/>
      <c r="J143" s="18"/>
      <c r="K143" s="18"/>
      <c r="L143" s="18" t="s">
        <v>129</v>
      </c>
      <c r="M143" s="18" t="s">
        <v>129</v>
      </c>
      <c r="N143" s="18"/>
      <c r="O143" s="18"/>
      <c r="P143" s="18"/>
      <c r="Q143" s="18" t="s">
        <v>149</v>
      </c>
      <c r="R143" s="18" t="s">
        <v>791</v>
      </c>
      <c r="S143" s="18" t="s">
        <v>242</v>
      </c>
      <c r="T143" s="18" t="s">
        <v>783</v>
      </c>
      <c r="U143" s="18" t="s">
        <v>792</v>
      </c>
      <c r="V143" s="19" t="s">
        <v>29</v>
      </c>
      <c r="W143" s="19"/>
      <c r="X143" s="19"/>
      <c r="Y143" s="20"/>
      <c r="Z143" s="19"/>
      <c r="AA143" s="18" t="str">
        <f aca="false">IF(OR(V143="Aprobada"),R143,IF(AND(OR(V143="Aprobada con ajuste",V143="Rechazada"),W143&lt;&gt;""),W143,""))</f>
        <v/>
      </c>
    </row>
    <row r="144" customFormat="false" ht="32.8" hidden="false" customHeight="false" outlineLevel="0" collapsed="false">
      <c r="A144" s="18" t="s">
        <v>793</v>
      </c>
      <c r="B144" s="18" t="s">
        <v>56</v>
      </c>
      <c r="C144" s="18" t="s">
        <v>57</v>
      </c>
      <c r="D144" s="18" t="s">
        <v>734</v>
      </c>
      <c r="E144" s="18" t="n">
        <v>38</v>
      </c>
      <c r="F144" s="18" t="s">
        <v>794</v>
      </c>
      <c r="G144" s="18" t="s">
        <v>294</v>
      </c>
      <c r="H144" s="18" t="s">
        <v>162</v>
      </c>
      <c r="I144" s="18"/>
      <c r="J144" s="18"/>
      <c r="K144" s="18"/>
      <c r="L144" s="18" t="s">
        <v>129</v>
      </c>
      <c r="M144" s="18" t="s">
        <v>129</v>
      </c>
      <c r="N144" s="18"/>
      <c r="O144" s="18"/>
      <c r="P144" s="18"/>
      <c r="Q144" s="18" t="s">
        <v>149</v>
      </c>
      <c r="R144" s="18" t="s">
        <v>795</v>
      </c>
      <c r="S144" s="18" t="s">
        <v>242</v>
      </c>
      <c r="T144" s="18" t="s">
        <v>783</v>
      </c>
      <c r="U144" s="18" t="s">
        <v>796</v>
      </c>
      <c r="V144" s="19" t="s">
        <v>29</v>
      </c>
      <c r="W144" s="19"/>
      <c r="X144" s="19"/>
      <c r="Y144" s="20"/>
      <c r="Z144" s="19"/>
      <c r="AA144" s="18" t="str">
        <f aca="false">IF(OR(V144="Aprobada"),R144,IF(AND(OR(V144="Aprobada con ajuste",V144="Rechazada"),W144&lt;&gt;""),W144,""))</f>
        <v/>
      </c>
    </row>
    <row r="145" customFormat="false" ht="22.35" hidden="false" customHeight="false" outlineLevel="0" collapsed="false">
      <c r="A145" s="18" t="s">
        <v>797</v>
      </c>
      <c r="B145" s="18" t="s">
        <v>56</v>
      </c>
      <c r="C145" s="18" t="s">
        <v>57</v>
      </c>
      <c r="D145" s="18" t="s">
        <v>798</v>
      </c>
      <c r="E145" s="18" t="n">
        <v>290</v>
      </c>
      <c r="F145" s="18" t="s">
        <v>341</v>
      </c>
      <c r="G145" s="18" t="s">
        <v>205</v>
      </c>
      <c r="H145" s="18" t="s">
        <v>129</v>
      </c>
      <c r="I145" s="18" t="s">
        <v>298</v>
      </c>
      <c r="J145" s="18" t="s">
        <v>799</v>
      </c>
      <c r="K145" s="18"/>
      <c r="L145" s="18" t="s">
        <v>162</v>
      </c>
      <c r="M145" s="18" t="s">
        <v>129</v>
      </c>
      <c r="N145" s="18"/>
      <c r="O145" s="18"/>
      <c r="P145" s="18"/>
      <c r="Q145" s="18" t="s">
        <v>149</v>
      </c>
      <c r="R145" s="18" t="s">
        <v>800</v>
      </c>
      <c r="S145" s="18" t="s">
        <v>133</v>
      </c>
      <c r="T145" s="18" t="s">
        <v>801</v>
      </c>
      <c r="U145" s="18"/>
      <c r="V145" s="19" t="s">
        <v>29</v>
      </c>
      <c r="W145" s="19"/>
      <c r="X145" s="19"/>
      <c r="Y145" s="20"/>
      <c r="Z145" s="19"/>
      <c r="AA145" s="18" t="str">
        <f aca="false">IF(OR(V145="Aprobada"),R145,IF(AND(OR(V145="Aprobada con ajuste",V145="Rechazada"),W145&lt;&gt;""),W145,""))</f>
        <v/>
      </c>
    </row>
    <row r="146" customFormat="false" ht="22.35" hidden="false" customHeight="false" outlineLevel="0" collapsed="false">
      <c r="A146" s="18" t="s">
        <v>802</v>
      </c>
      <c r="B146" s="18" t="s">
        <v>56</v>
      </c>
      <c r="C146" s="18" t="s">
        <v>57</v>
      </c>
      <c r="D146" s="18" t="s">
        <v>803</v>
      </c>
      <c r="E146" s="18" t="n">
        <v>615</v>
      </c>
      <c r="F146" s="18" t="s">
        <v>197</v>
      </c>
      <c r="G146" s="18" t="s">
        <v>294</v>
      </c>
      <c r="H146" s="18" t="s">
        <v>129</v>
      </c>
      <c r="I146" s="18"/>
      <c r="J146" s="18"/>
      <c r="K146" s="18"/>
      <c r="L146" s="18" t="s">
        <v>129</v>
      </c>
      <c r="M146" s="18" t="s">
        <v>129</v>
      </c>
      <c r="N146" s="18"/>
      <c r="O146" s="18"/>
      <c r="P146" s="18" t="s">
        <v>804</v>
      </c>
      <c r="Q146" s="18" t="s">
        <v>149</v>
      </c>
      <c r="R146" s="18" t="s">
        <v>805</v>
      </c>
      <c r="S146" s="18" t="s">
        <v>140</v>
      </c>
      <c r="T146" s="18" t="s">
        <v>183</v>
      </c>
      <c r="U146" s="18" t="s">
        <v>757</v>
      </c>
      <c r="V146" s="19" t="s">
        <v>29</v>
      </c>
      <c r="W146" s="19"/>
      <c r="X146" s="19"/>
      <c r="Y146" s="20"/>
      <c r="Z146" s="19"/>
      <c r="AA146" s="18" t="str">
        <f aca="false">IF(OR(V146="Aprobada"),R146,IF(AND(OR(V146="Aprobada con ajuste",V146="Rechazada"),W146&lt;&gt;""),W146,""))</f>
        <v/>
      </c>
    </row>
    <row r="147" customFormat="false" ht="32.8" hidden="false" customHeight="false" outlineLevel="0" collapsed="false">
      <c r="A147" s="18" t="s">
        <v>806</v>
      </c>
      <c r="B147" s="18" t="s">
        <v>56</v>
      </c>
      <c r="C147" s="18" t="s">
        <v>57</v>
      </c>
      <c r="D147" s="18" t="s">
        <v>803</v>
      </c>
      <c r="E147" s="18" t="n">
        <v>615</v>
      </c>
      <c r="F147" s="18" t="s">
        <v>807</v>
      </c>
      <c r="G147" s="18" t="s">
        <v>205</v>
      </c>
      <c r="H147" s="18" t="s">
        <v>129</v>
      </c>
      <c r="I147" s="18"/>
      <c r="J147" s="18"/>
      <c r="K147" s="18"/>
      <c r="L147" s="18" t="s">
        <v>129</v>
      </c>
      <c r="M147" s="18" t="s">
        <v>129</v>
      </c>
      <c r="N147" s="18"/>
      <c r="O147" s="18"/>
      <c r="P147" s="18" t="s">
        <v>808</v>
      </c>
      <c r="Q147" s="18" t="s">
        <v>149</v>
      </c>
      <c r="R147" s="18" t="s">
        <v>809</v>
      </c>
      <c r="S147" s="18" t="s">
        <v>133</v>
      </c>
      <c r="T147" s="18" t="s">
        <v>158</v>
      </c>
      <c r="U147" s="18"/>
      <c r="V147" s="19" t="s">
        <v>29</v>
      </c>
      <c r="W147" s="19"/>
      <c r="X147" s="19"/>
      <c r="Y147" s="20"/>
      <c r="Z147" s="19"/>
      <c r="AA147" s="18" t="str">
        <f aca="false">IF(OR(V147="Aprobada"),R147,IF(AND(OR(V147="Aprobada con ajuste",V147="Rechazada"),W147&lt;&gt;""),W147,""))</f>
        <v/>
      </c>
    </row>
    <row r="148" customFormat="false" ht="32.8" hidden="false" customHeight="false" outlineLevel="0" collapsed="false">
      <c r="A148" s="18" t="s">
        <v>810</v>
      </c>
      <c r="B148" s="18" t="s">
        <v>56</v>
      </c>
      <c r="C148" s="18" t="s">
        <v>57</v>
      </c>
      <c r="D148" s="18" t="s">
        <v>803</v>
      </c>
      <c r="E148" s="18" t="n">
        <v>615</v>
      </c>
      <c r="F148" s="18" t="s">
        <v>811</v>
      </c>
      <c r="G148" s="18" t="s">
        <v>145</v>
      </c>
      <c r="H148" s="18" t="s">
        <v>129</v>
      </c>
      <c r="I148" s="18"/>
      <c r="J148" s="18"/>
      <c r="K148" s="18"/>
      <c r="L148" s="18" t="s">
        <v>129</v>
      </c>
      <c r="M148" s="18" t="s">
        <v>129</v>
      </c>
      <c r="N148" s="18"/>
      <c r="O148" s="18"/>
      <c r="P148" s="18" t="s">
        <v>812</v>
      </c>
      <c r="Q148" s="18" t="s">
        <v>149</v>
      </c>
      <c r="R148" s="18" t="s">
        <v>813</v>
      </c>
      <c r="S148" s="18" t="s">
        <v>133</v>
      </c>
      <c r="T148" s="18" t="s">
        <v>158</v>
      </c>
      <c r="U148" s="18"/>
      <c r="V148" s="19" t="s">
        <v>29</v>
      </c>
      <c r="W148" s="19"/>
      <c r="X148" s="19"/>
      <c r="Y148" s="20"/>
      <c r="Z148" s="19"/>
      <c r="AA148" s="18" t="str">
        <f aca="false">IF(OR(V148="Aprobada"),R148,IF(AND(OR(V148="Aprobada con ajuste",V148="Rechazada"),W148&lt;&gt;""),W148,""))</f>
        <v/>
      </c>
    </row>
    <row r="149" customFormat="false" ht="22.35" hidden="false" customHeight="false" outlineLevel="0" collapsed="false">
      <c r="A149" s="18" t="s">
        <v>814</v>
      </c>
      <c r="B149" s="18" t="s">
        <v>56</v>
      </c>
      <c r="C149" s="18" t="s">
        <v>57</v>
      </c>
      <c r="D149" s="18" t="s">
        <v>803</v>
      </c>
      <c r="E149" s="18" t="n">
        <v>615</v>
      </c>
      <c r="F149" s="18" t="s">
        <v>815</v>
      </c>
      <c r="G149" s="18" t="s">
        <v>154</v>
      </c>
      <c r="H149" s="18" t="s">
        <v>162</v>
      </c>
      <c r="I149" s="18"/>
      <c r="J149" s="18"/>
      <c r="K149" s="18"/>
      <c r="L149" s="18" t="s">
        <v>129</v>
      </c>
      <c r="M149" s="18" t="s">
        <v>129</v>
      </c>
      <c r="N149" s="18"/>
      <c r="O149" s="18"/>
      <c r="P149" s="18" t="s">
        <v>816</v>
      </c>
      <c r="Q149" s="18" t="s">
        <v>149</v>
      </c>
      <c r="R149" s="18" t="s">
        <v>817</v>
      </c>
      <c r="S149" s="18" t="s">
        <v>133</v>
      </c>
      <c r="T149" s="18" t="s">
        <v>183</v>
      </c>
      <c r="U149" s="18"/>
      <c r="V149" s="19" t="s">
        <v>29</v>
      </c>
      <c r="W149" s="19"/>
      <c r="X149" s="19"/>
      <c r="Y149" s="20"/>
      <c r="Z149" s="19"/>
      <c r="AA149" s="18" t="str">
        <f aca="false">IF(OR(V149="Aprobada"),R149,IF(AND(OR(V149="Aprobada con ajuste",V149="Rechazada"),W149&lt;&gt;""),W149,""))</f>
        <v/>
      </c>
    </row>
    <row r="150" customFormat="false" ht="22.35" hidden="false" customHeight="false" outlineLevel="0" collapsed="false">
      <c r="A150" s="18" t="s">
        <v>818</v>
      </c>
      <c r="B150" s="18" t="s">
        <v>56</v>
      </c>
      <c r="C150" s="18" t="s">
        <v>57</v>
      </c>
      <c r="D150" s="18" t="s">
        <v>803</v>
      </c>
      <c r="E150" s="18" t="n">
        <v>615</v>
      </c>
      <c r="F150" s="18" t="s">
        <v>397</v>
      </c>
      <c r="G150" s="18" t="s">
        <v>137</v>
      </c>
      <c r="H150" s="18" t="s">
        <v>162</v>
      </c>
      <c r="I150" s="18"/>
      <c r="J150" s="18"/>
      <c r="K150" s="18"/>
      <c r="L150" s="18" t="s">
        <v>129</v>
      </c>
      <c r="M150" s="18" t="s">
        <v>129</v>
      </c>
      <c r="N150" s="18"/>
      <c r="O150" s="18"/>
      <c r="P150" s="18" t="s">
        <v>819</v>
      </c>
      <c r="Q150" s="18" t="s">
        <v>149</v>
      </c>
      <c r="R150" s="18" t="s">
        <v>399</v>
      </c>
      <c r="S150" s="18" t="s">
        <v>133</v>
      </c>
      <c r="T150" s="18" t="s">
        <v>183</v>
      </c>
      <c r="U150" s="18"/>
      <c r="V150" s="19" t="s">
        <v>29</v>
      </c>
      <c r="W150" s="19"/>
      <c r="X150" s="19"/>
      <c r="Y150" s="20"/>
      <c r="Z150" s="19"/>
      <c r="AA150" s="18" t="str">
        <f aca="false">IF(OR(V150="Aprobada"),R150,IF(AND(OR(V150="Aprobada con ajuste",V150="Rechazada"),W150&lt;&gt;""),W150,""))</f>
        <v/>
      </c>
    </row>
    <row r="151" customFormat="false" ht="22.35" hidden="false" customHeight="false" outlineLevel="0" collapsed="false">
      <c r="A151" s="18" t="s">
        <v>820</v>
      </c>
      <c r="B151" s="18" t="s">
        <v>56</v>
      </c>
      <c r="C151" s="18" t="s">
        <v>57</v>
      </c>
      <c r="D151" s="18" t="s">
        <v>803</v>
      </c>
      <c r="E151" s="18" t="n">
        <v>615</v>
      </c>
      <c r="F151" s="18" t="s">
        <v>401</v>
      </c>
      <c r="G151" s="18" t="s">
        <v>137</v>
      </c>
      <c r="H151" s="18" t="s">
        <v>162</v>
      </c>
      <c r="I151" s="18"/>
      <c r="J151" s="18"/>
      <c r="K151" s="18"/>
      <c r="L151" s="18" t="s">
        <v>129</v>
      </c>
      <c r="M151" s="18" t="s">
        <v>129</v>
      </c>
      <c r="N151" s="18"/>
      <c r="O151" s="18"/>
      <c r="P151" s="18" t="s">
        <v>821</v>
      </c>
      <c r="Q151" s="18" t="s">
        <v>149</v>
      </c>
      <c r="R151" s="18" t="s">
        <v>403</v>
      </c>
      <c r="S151" s="18" t="s">
        <v>133</v>
      </c>
      <c r="T151" s="18" t="s">
        <v>183</v>
      </c>
      <c r="U151" s="18"/>
      <c r="V151" s="19" t="s">
        <v>29</v>
      </c>
      <c r="W151" s="19"/>
      <c r="X151" s="19"/>
      <c r="Y151" s="20"/>
      <c r="Z151" s="19"/>
      <c r="AA151" s="18" t="str">
        <f aca="false">IF(OR(V151="Aprobada"),R151,IF(AND(OR(V151="Aprobada con ajuste",V151="Rechazada"),W151&lt;&gt;""),W151,""))</f>
        <v/>
      </c>
    </row>
    <row r="152" customFormat="false" ht="22.35" hidden="false" customHeight="false" outlineLevel="0" collapsed="false">
      <c r="A152" s="18" t="s">
        <v>822</v>
      </c>
      <c r="B152" s="18" t="s">
        <v>56</v>
      </c>
      <c r="C152" s="18" t="s">
        <v>57</v>
      </c>
      <c r="D152" s="18" t="s">
        <v>803</v>
      </c>
      <c r="E152" s="18" t="n">
        <v>615</v>
      </c>
      <c r="F152" s="18" t="s">
        <v>405</v>
      </c>
      <c r="G152" s="18" t="s">
        <v>205</v>
      </c>
      <c r="H152" s="18" t="s">
        <v>162</v>
      </c>
      <c r="I152" s="18"/>
      <c r="J152" s="18"/>
      <c r="K152" s="18"/>
      <c r="L152" s="18" t="s">
        <v>129</v>
      </c>
      <c r="M152" s="18" t="s">
        <v>129</v>
      </c>
      <c r="N152" s="18"/>
      <c r="O152" s="18"/>
      <c r="P152" s="18" t="s">
        <v>823</v>
      </c>
      <c r="Q152" s="18" t="s">
        <v>149</v>
      </c>
      <c r="R152" s="18" t="s">
        <v>407</v>
      </c>
      <c r="S152" s="18" t="s">
        <v>140</v>
      </c>
      <c r="T152" s="18" t="s">
        <v>183</v>
      </c>
      <c r="U152" s="18" t="s">
        <v>408</v>
      </c>
      <c r="V152" s="19" t="s">
        <v>29</v>
      </c>
      <c r="W152" s="19"/>
      <c r="X152" s="19"/>
      <c r="Y152" s="20"/>
      <c r="Z152" s="19"/>
      <c r="AA152" s="18" t="str">
        <f aca="false">IF(OR(V152="Aprobada"),R152,IF(AND(OR(V152="Aprobada con ajuste",V152="Rechazada"),W152&lt;&gt;""),W152,""))</f>
        <v/>
      </c>
    </row>
    <row r="153" customFormat="false" ht="22.35" hidden="false" customHeight="false" outlineLevel="0" collapsed="false">
      <c r="A153" s="18" t="s">
        <v>824</v>
      </c>
      <c r="B153" s="18" t="s">
        <v>56</v>
      </c>
      <c r="C153" s="18" t="s">
        <v>57</v>
      </c>
      <c r="D153" s="18" t="s">
        <v>803</v>
      </c>
      <c r="E153" s="18" t="n">
        <v>615</v>
      </c>
      <c r="F153" s="18" t="s">
        <v>410</v>
      </c>
      <c r="G153" s="18" t="s">
        <v>205</v>
      </c>
      <c r="H153" s="18" t="s">
        <v>162</v>
      </c>
      <c r="I153" s="18"/>
      <c r="J153" s="18"/>
      <c r="K153" s="18"/>
      <c r="L153" s="18" t="s">
        <v>129</v>
      </c>
      <c r="M153" s="18" t="s">
        <v>129</v>
      </c>
      <c r="N153" s="18"/>
      <c r="O153" s="18"/>
      <c r="P153" s="18" t="s">
        <v>825</v>
      </c>
      <c r="Q153" s="18" t="s">
        <v>149</v>
      </c>
      <c r="R153" s="18" t="s">
        <v>412</v>
      </c>
      <c r="S153" s="18" t="s">
        <v>140</v>
      </c>
      <c r="T153" s="18" t="s">
        <v>183</v>
      </c>
      <c r="U153" s="18" t="s">
        <v>413</v>
      </c>
      <c r="V153" s="19" t="s">
        <v>29</v>
      </c>
      <c r="W153" s="19"/>
      <c r="X153" s="19"/>
      <c r="Y153" s="20"/>
      <c r="Z153" s="19"/>
      <c r="AA153" s="18" t="str">
        <f aca="false">IF(OR(V153="Aprobada"),R153,IF(AND(OR(V153="Aprobada con ajuste",V153="Rechazada"),W153&lt;&gt;""),W153,""))</f>
        <v/>
      </c>
    </row>
    <row r="154" customFormat="false" ht="22.35" hidden="false" customHeight="false" outlineLevel="0" collapsed="false">
      <c r="A154" s="18" t="s">
        <v>826</v>
      </c>
      <c r="B154" s="18" t="s">
        <v>56</v>
      </c>
      <c r="C154" s="18" t="s">
        <v>57</v>
      </c>
      <c r="D154" s="18" t="s">
        <v>803</v>
      </c>
      <c r="E154" s="18" t="n">
        <v>615</v>
      </c>
      <c r="F154" s="18" t="s">
        <v>827</v>
      </c>
      <c r="G154" s="18" t="s">
        <v>828</v>
      </c>
      <c r="H154" s="18" t="s">
        <v>162</v>
      </c>
      <c r="I154" s="18"/>
      <c r="J154" s="18"/>
      <c r="K154" s="18"/>
      <c r="L154" s="18" t="s">
        <v>129</v>
      </c>
      <c r="M154" s="18" t="s">
        <v>129</v>
      </c>
      <c r="N154" s="18"/>
      <c r="O154" s="18"/>
      <c r="P154" s="18" t="s">
        <v>829</v>
      </c>
      <c r="Q154" s="18" t="s">
        <v>149</v>
      </c>
      <c r="R154" s="18" t="s">
        <v>830</v>
      </c>
      <c r="S154" s="18" t="s">
        <v>242</v>
      </c>
      <c r="T154" s="18" t="s">
        <v>183</v>
      </c>
      <c r="U154" s="18" t="s">
        <v>831</v>
      </c>
      <c r="V154" s="19" t="s">
        <v>29</v>
      </c>
      <c r="W154" s="19"/>
      <c r="X154" s="19"/>
      <c r="Y154" s="20"/>
      <c r="Z154" s="19"/>
      <c r="AA154" s="18" t="str">
        <f aca="false">IF(OR(V154="Aprobada"),R154,IF(AND(OR(V154="Aprobada con ajuste",V154="Rechazada"),W154&lt;&gt;""),W154,""))</f>
        <v/>
      </c>
    </row>
    <row r="155" customFormat="false" ht="32.8" hidden="false" customHeight="false" outlineLevel="0" collapsed="false">
      <c r="A155" s="18" t="s">
        <v>832</v>
      </c>
      <c r="B155" s="18" t="s">
        <v>56</v>
      </c>
      <c r="C155" s="18" t="s">
        <v>57</v>
      </c>
      <c r="D155" s="18" t="s">
        <v>803</v>
      </c>
      <c r="E155" s="18" t="n">
        <v>615</v>
      </c>
      <c r="F155" s="18" t="s">
        <v>833</v>
      </c>
      <c r="G155" s="18" t="s">
        <v>186</v>
      </c>
      <c r="H155" s="18" t="s">
        <v>162</v>
      </c>
      <c r="I155" s="18"/>
      <c r="J155" s="18"/>
      <c r="K155" s="18"/>
      <c r="L155" s="18" t="s">
        <v>129</v>
      </c>
      <c r="M155" s="18" t="s">
        <v>129</v>
      </c>
      <c r="N155" s="18"/>
      <c r="O155" s="18"/>
      <c r="P155" s="18" t="s">
        <v>834</v>
      </c>
      <c r="Q155" s="18" t="s">
        <v>149</v>
      </c>
      <c r="R155" s="18" t="s">
        <v>835</v>
      </c>
      <c r="S155" s="18" t="s">
        <v>140</v>
      </c>
      <c r="T155" s="18" t="s">
        <v>836</v>
      </c>
      <c r="U155" s="18" t="s">
        <v>837</v>
      </c>
      <c r="V155" s="19" t="s">
        <v>29</v>
      </c>
      <c r="W155" s="19"/>
      <c r="X155" s="19"/>
      <c r="Y155" s="20"/>
      <c r="Z155" s="19"/>
      <c r="AA155" s="18" t="str">
        <f aca="false">IF(OR(V155="Aprobada"),R155,IF(AND(OR(V155="Aprobada con ajuste",V155="Rechazada"),W155&lt;&gt;""),W155,""))</f>
        <v/>
      </c>
    </row>
    <row r="156" customFormat="false" ht="22.35" hidden="false" customHeight="false" outlineLevel="0" collapsed="false">
      <c r="A156" s="18" t="s">
        <v>838</v>
      </c>
      <c r="B156" s="18" t="s">
        <v>56</v>
      </c>
      <c r="C156" s="18" t="s">
        <v>57</v>
      </c>
      <c r="D156" s="18" t="s">
        <v>803</v>
      </c>
      <c r="E156" s="18" t="n">
        <v>615</v>
      </c>
      <c r="F156" s="18" t="s">
        <v>839</v>
      </c>
      <c r="G156" s="18" t="s">
        <v>840</v>
      </c>
      <c r="H156" s="18" t="s">
        <v>162</v>
      </c>
      <c r="I156" s="18"/>
      <c r="J156" s="18"/>
      <c r="K156" s="18"/>
      <c r="L156" s="18" t="s">
        <v>129</v>
      </c>
      <c r="M156" s="18" t="s">
        <v>129</v>
      </c>
      <c r="N156" s="18"/>
      <c r="O156" s="18"/>
      <c r="P156" s="18" t="s">
        <v>841</v>
      </c>
      <c r="Q156" s="18" t="s">
        <v>149</v>
      </c>
      <c r="R156" s="18" t="s">
        <v>842</v>
      </c>
      <c r="S156" s="18" t="s">
        <v>133</v>
      </c>
      <c r="T156" s="18" t="s">
        <v>843</v>
      </c>
      <c r="U156" s="18"/>
      <c r="V156" s="19" t="s">
        <v>29</v>
      </c>
      <c r="W156" s="19"/>
      <c r="X156" s="19"/>
      <c r="Y156" s="20"/>
      <c r="Z156" s="19"/>
      <c r="AA156" s="18" t="str">
        <f aca="false">IF(OR(V156="Aprobada"),R156,IF(AND(OR(V156="Aprobada con ajuste",V156="Rechazada"),W156&lt;&gt;""),W156,""))</f>
        <v/>
      </c>
    </row>
    <row r="157" customFormat="false" ht="22.35" hidden="false" customHeight="false" outlineLevel="0" collapsed="false">
      <c r="A157" s="18" t="s">
        <v>844</v>
      </c>
      <c r="B157" s="18" t="s">
        <v>56</v>
      </c>
      <c r="C157" s="18" t="s">
        <v>57</v>
      </c>
      <c r="D157" s="18" t="s">
        <v>803</v>
      </c>
      <c r="E157" s="18" t="n">
        <v>615</v>
      </c>
      <c r="F157" s="18" t="s">
        <v>845</v>
      </c>
      <c r="G157" s="18" t="s">
        <v>840</v>
      </c>
      <c r="H157" s="18" t="s">
        <v>162</v>
      </c>
      <c r="I157" s="18"/>
      <c r="J157" s="18"/>
      <c r="K157" s="18"/>
      <c r="L157" s="18" t="s">
        <v>129</v>
      </c>
      <c r="M157" s="18" t="s">
        <v>129</v>
      </c>
      <c r="N157" s="18"/>
      <c r="O157" s="18"/>
      <c r="P157" s="18" t="s">
        <v>846</v>
      </c>
      <c r="Q157" s="18" t="s">
        <v>149</v>
      </c>
      <c r="R157" s="18" t="s">
        <v>847</v>
      </c>
      <c r="S157" s="18" t="s">
        <v>133</v>
      </c>
      <c r="T157" s="18" t="s">
        <v>848</v>
      </c>
      <c r="U157" s="18"/>
      <c r="V157" s="19" t="s">
        <v>29</v>
      </c>
      <c r="W157" s="19"/>
      <c r="X157" s="19"/>
      <c r="Y157" s="20"/>
      <c r="Z157" s="19"/>
      <c r="AA157" s="18" t="str">
        <f aca="false">IF(OR(V157="Aprobada"),R157,IF(AND(OR(V157="Aprobada con ajuste",V157="Rechazada"),W157&lt;&gt;""),W157,""))</f>
        <v/>
      </c>
    </row>
    <row r="158" customFormat="false" ht="43.25" hidden="false" customHeight="false" outlineLevel="0" collapsed="false">
      <c r="A158" s="18" t="s">
        <v>849</v>
      </c>
      <c r="B158" s="18" t="s">
        <v>56</v>
      </c>
      <c r="C158" s="18" t="s">
        <v>57</v>
      </c>
      <c r="D158" s="18" t="s">
        <v>803</v>
      </c>
      <c r="E158" s="18" t="n">
        <v>615</v>
      </c>
      <c r="F158" s="18" t="s">
        <v>850</v>
      </c>
      <c r="G158" s="18" t="s">
        <v>145</v>
      </c>
      <c r="H158" s="18" t="s">
        <v>162</v>
      </c>
      <c r="I158" s="18"/>
      <c r="J158" s="18"/>
      <c r="K158" s="18"/>
      <c r="L158" s="18" t="s">
        <v>129</v>
      </c>
      <c r="M158" s="18" t="s">
        <v>129</v>
      </c>
      <c r="N158" s="18"/>
      <c r="O158" s="18"/>
      <c r="P158" s="18" t="s">
        <v>851</v>
      </c>
      <c r="Q158" s="18" t="s">
        <v>131</v>
      </c>
      <c r="R158" s="18" t="s">
        <v>852</v>
      </c>
      <c r="S158" s="18" t="s">
        <v>133</v>
      </c>
      <c r="T158" s="18" t="s">
        <v>853</v>
      </c>
      <c r="U158" s="18"/>
      <c r="V158" s="19" t="s">
        <v>29</v>
      </c>
      <c r="W158" s="19"/>
      <c r="X158" s="19"/>
      <c r="Y158" s="20"/>
      <c r="Z158" s="19"/>
      <c r="AA158" s="18" t="str">
        <f aca="false">IF(OR(V158="Aprobada"),R158,IF(AND(OR(V158="Aprobada con ajuste",V158="Rechazada"),W158&lt;&gt;""),W158,""))</f>
        <v/>
      </c>
    </row>
    <row r="159" customFormat="false" ht="32.8" hidden="false" customHeight="false" outlineLevel="0" collapsed="false">
      <c r="A159" s="18" t="s">
        <v>854</v>
      </c>
      <c r="B159" s="18" t="s">
        <v>56</v>
      </c>
      <c r="C159" s="18" t="s">
        <v>57</v>
      </c>
      <c r="D159" s="18" t="s">
        <v>803</v>
      </c>
      <c r="E159" s="18" t="n">
        <v>615</v>
      </c>
      <c r="F159" s="18" t="s">
        <v>855</v>
      </c>
      <c r="G159" s="18" t="s">
        <v>486</v>
      </c>
      <c r="H159" s="18" t="s">
        <v>162</v>
      </c>
      <c r="I159" s="18"/>
      <c r="J159" s="18"/>
      <c r="K159" s="18"/>
      <c r="L159" s="18" t="s">
        <v>129</v>
      </c>
      <c r="M159" s="18" t="s">
        <v>129</v>
      </c>
      <c r="N159" s="18"/>
      <c r="O159" s="18"/>
      <c r="P159" s="18" t="s">
        <v>856</v>
      </c>
      <c r="Q159" s="18" t="s">
        <v>131</v>
      </c>
      <c r="R159" s="18" t="s">
        <v>857</v>
      </c>
      <c r="S159" s="18" t="s">
        <v>133</v>
      </c>
      <c r="T159" s="18" t="s">
        <v>858</v>
      </c>
      <c r="U159" s="18"/>
      <c r="V159" s="19" t="s">
        <v>29</v>
      </c>
      <c r="W159" s="19"/>
      <c r="X159" s="19"/>
      <c r="Y159" s="20"/>
      <c r="Z159" s="19"/>
      <c r="AA159" s="18" t="str">
        <f aca="false">IF(OR(V159="Aprobada"),R159,IF(AND(OR(V159="Aprobada con ajuste",V159="Rechazada"),W159&lt;&gt;""),W159,""))</f>
        <v/>
      </c>
    </row>
    <row r="160" customFormat="false" ht="32.8" hidden="false" customHeight="false" outlineLevel="0" collapsed="false">
      <c r="A160" s="18" t="s">
        <v>859</v>
      </c>
      <c r="B160" s="18" t="s">
        <v>56</v>
      </c>
      <c r="C160" s="18" t="s">
        <v>57</v>
      </c>
      <c r="D160" s="18" t="s">
        <v>803</v>
      </c>
      <c r="E160" s="18" t="n">
        <v>615</v>
      </c>
      <c r="F160" s="18" t="s">
        <v>860</v>
      </c>
      <c r="G160" s="18" t="s">
        <v>503</v>
      </c>
      <c r="H160" s="18" t="s">
        <v>162</v>
      </c>
      <c r="I160" s="18"/>
      <c r="J160" s="18"/>
      <c r="K160" s="18"/>
      <c r="L160" s="18" t="s">
        <v>129</v>
      </c>
      <c r="M160" s="18" t="s">
        <v>129</v>
      </c>
      <c r="N160" s="18"/>
      <c r="O160" s="18"/>
      <c r="P160" s="18" t="s">
        <v>861</v>
      </c>
      <c r="Q160" s="18" t="s">
        <v>131</v>
      </c>
      <c r="R160" s="18" t="s">
        <v>862</v>
      </c>
      <c r="S160" s="18" t="s">
        <v>140</v>
      </c>
      <c r="T160" s="18" t="s">
        <v>183</v>
      </c>
      <c r="U160" s="18" t="s">
        <v>863</v>
      </c>
      <c r="V160" s="19" t="s">
        <v>29</v>
      </c>
      <c r="W160" s="19"/>
      <c r="X160" s="19"/>
      <c r="Y160" s="20"/>
      <c r="Z160" s="19"/>
      <c r="AA160" s="18" t="str">
        <f aca="false">IF(OR(V160="Aprobada"),R160,IF(AND(OR(V160="Aprobada con ajuste",V160="Rechazada"),W160&lt;&gt;""),W160,""))</f>
        <v/>
      </c>
    </row>
    <row r="161" customFormat="false" ht="32.8" hidden="false" customHeight="false" outlineLevel="0" collapsed="false">
      <c r="A161" s="18" t="s">
        <v>864</v>
      </c>
      <c r="B161" s="18" t="s">
        <v>56</v>
      </c>
      <c r="C161" s="18" t="s">
        <v>57</v>
      </c>
      <c r="D161" s="18" t="s">
        <v>803</v>
      </c>
      <c r="E161" s="18" t="n">
        <v>615</v>
      </c>
      <c r="F161" s="18" t="s">
        <v>865</v>
      </c>
      <c r="G161" s="18" t="s">
        <v>503</v>
      </c>
      <c r="H161" s="18" t="s">
        <v>162</v>
      </c>
      <c r="I161" s="18"/>
      <c r="J161" s="18"/>
      <c r="K161" s="18"/>
      <c r="L161" s="18" t="s">
        <v>129</v>
      </c>
      <c r="M161" s="18" t="s">
        <v>129</v>
      </c>
      <c r="N161" s="18"/>
      <c r="O161" s="18"/>
      <c r="P161" s="18" t="s">
        <v>866</v>
      </c>
      <c r="Q161" s="18" t="s">
        <v>131</v>
      </c>
      <c r="R161" s="18" t="s">
        <v>867</v>
      </c>
      <c r="S161" s="18" t="s">
        <v>140</v>
      </c>
      <c r="T161" s="18" t="s">
        <v>183</v>
      </c>
      <c r="U161" s="18" t="s">
        <v>868</v>
      </c>
      <c r="V161" s="19" t="s">
        <v>29</v>
      </c>
      <c r="W161" s="19"/>
      <c r="X161" s="19"/>
      <c r="Y161" s="20"/>
      <c r="Z161" s="19"/>
      <c r="AA161" s="18" t="str">
        <f aca="false">IF(OR(V161="Aprobada"),R161,IF(AND(OR(V161="Aprobada con ajuste",V161="Rechazada"),W161&lt;&gt;""),W161,""))</f>
        <v/>
      </c>
    </row>
    <row r="162" customFormat="false" ht="32.8" hidden="false" customHeight="false" outlineLevel="0" collapsed="false">
      <c r="A162" s="18" t="s">
        <v>869</v>
      </c>
      <c r="B162" s="18" t="s">
        <v>56</v>
      </c>
      <c r="C162" s="18" t="s">
        <v>57</v>
      </c>
      <c r="D162" s="18" t="s">
        <v>803</v>
      </c>
      <c r="E162" s="18" t="n">
        <v>615</v>
      </c>
      <c r="F162" s="18" t="s">
        <v>870</v>
      </c>
      <c r="G162" s="18" t="s">
        <v>173</v>
      </c>
      <c r="H162" s="18" t="s">
        <v>162</v>
      </c>
      <c r="I162" s="18"/>
      <c r="J162" s="18"/>
      <c r="K162" s="18"/>
      <c r="L162" s="18" t="s">
        <v>129</v>
      </c>
      <c r="M162" s="18" t="s">
        <v>129</v>
      </c>
      <c r="N162" s="18"/>
      <c r="O162" s="18"/>
      <c r="P162" s="18" t="s">
        <v>871</v>
      </c>
      <c r="Q162" s="18" t="s">
        <v>131</v>
      </c>
      <c r="R162" s="18" t="s">
        <v>872</v>
      </c>
      <c r="S162" s="18" t="s">
        <v>140</v>
      </c>
      <c r="T162" s="18" t="s">
        <v>873</v>
      </c>
      <c r="U162" s="18" t="s">
        <v>874</v>
      </c>
      <c r="V162" s="19" t="s">
        <v>29</v>
      </c>
      <c r="W162" s="19"/>
      <c r="X162" s="19"/>
      <c r="Y162" s="20"/>
      <c r="Z162" s="19"/>
      <c r="AA162" s="18" t="str">
        <f aca="false">IF(OR(V162="Aprobada"),R162,IF(AND(OR(V162="Aprobada con ajuste",V162="Rechazada"),W162&lt;&gt;""),W162,""))</f>
        <v/>
      </c>
    </row>
    <row r="163" customFormat="false" ht="32.8" hidden="false" customHeight="false" outlineLevel="0" collapsed="false">
      <c r="A163" s="18" t="s">
        <v>875</v>
      </c>
      <c r="B163" s="18" t="s">
        <v>56</v>
      </c>
      <c r="C163" s="18" t="s">
        <v>57</v>
      </c>
      <c r="D163" s="18" t="s">
        <v>803</v>
      </c>
      <c r="E163" s="18" t="n">
        <v>615</v>
      </c>
      <c r="F163" s="18" t="s">
        <v>876</v>
      </c>
      <c r="G163" s="18" t="s">
        <v>173</v>
      </c>
      <c r="H163" s="18" t="s">
        <v>162</v>
      </c>
      <c r="I163" s="18"/>
      <c r="J163" s="18"/>
      <c r="K163" s="18"/>
      <c r="L163" s="18" t="s">
        <v>129</v>
      </c>
      <c r="M163" s="18" t="s">
        <v>129</v>
      </c>
      <c r="N163" s="18"/>
      <c r="O163" s="18"/>
      <c r="P163" s="18" t="s">
        <v>877</v>
      </c>
      <c r="Q163" s="18" t="s">
        <v>131</v>
      </c>
      <c r="R163" s="18" t="s">
        <v>878</v>
      </c>
      <c r="S163" s="18" t="s">
        <v>140</v>
      </c>
      <c r="T163" s="18" t="s">
        <v>873</v>
      </c>
      <c r="U163" s="18" t="s">
        <v>879</v>
      </c>
      <c r="V163" s="19" t="s">
        <v>29</v>
      </c>
      <c r="W163" s="19"/>
      <c r="X163" s="19"/>
      <c r="Y163" s="20"/>
      <c r="Z163" s="19"/>
      <c r="AA163" s="18" t="str">
        <f aca="false">IF(OR(V163="Aprobada"),R163,IF(AND(OR(V163="Aprobada con ajuste",V163="Rechazada"),W163&lt;&gt;""),W163,""))</f>
        <v/>
      </c>
    </row>
    <row r="164" customFormat="false" ht="32.8" hidden="false" customHeight="false" outlineLevel="0" collapsed="false">
      <c r="A164" s="18" t="s">
        <v>880</v>
      </c>
      <c r="B164" s="18" t="s">
        <v>56</v>
      </c>
      <c r="C164" s="18" t="s">
        <v>57</v>
      </c>
      <c r="D164" s="18" t="s">
        <v>803</v>
      </c>
      <c r="E164" s="18" t="n">
        <v>615</v>
      </c>
      <c r="F164" s="18" t="s">
        <v>881</v>
      </c>
      <c r="G164" s="18" t="s">
        <v>173</v>
      </c>
      <c r="H164" s="18" t="s">
        <v>162</v>
      </c>
      <c r="I164" s="18"/>
      <c r="J164" s="18"/>
      <c r="K164" s="18"/>
      <c r="L164" s="18" t="s">
        <v>129</v>
      </c>
      <c r="M164" s="18" t="s">
        <v>129</v>
      </c>
      <c r="N164" s="18"/>
      <c r="O164" s="18"/>
      <c r="P164" s="18" t="s">
        <v>882</v>
      </c>
      <c r="Q164" s="18" t="s">
        <v>131</v>
      </c>
      <c r="R164" s="18" t="s">
        <v>883</v>
      </c>
      <c r="S164" s="18" t="s">
        <v>140</v>
      </c>
      <c r="T164" s="18" t="s">
        <v>873</v>
      </c>
      <c r="U164" s="18" t="s">
        <v>884</v>
      </c>
      <c r="V164" s="19" t="s">
        <v>29</v>
      </c>
      <c r="W164" s="19"/>
      <c r="X164" s="19"/>
      <c r="Y164" s="20"/>
      <c r="Z164" s="19"/>
      <c r="AA164" s="18" t="str">
        <f aca="false">IF(OR(V164="Aprobada"),R164,IF(AND(OR(V164="Aprobada con ajuste",V164="Rechazada"),W164&lt;&gt;""),W164,""))</f>
        <v/>
      </c>
    </row>
    <row r="165" customFormat="false" ht="32.8" hidden="false" customHeight="false" outlineLevel="0" collapsed="false">
      <c r="A165" s="18" t="s">
        <v>885</v>
      </c>
      <c r="B165" s="18" t="s">
        <v>56</v>
      </c>
      <c r="C165" s="18" t="s">
        <v>57</v>
      </c>
      <c r="D165" s="18" t="s">
        <v>803</v>
      </c>
      <c r="E165" s="18" t="n">
        <v>615</v>
      </c>
      <c r="F165" s="18" t="s">
        <v>886</v>
      </c>
      <c r="G165" s="18" t="s">
        <v>128</v>
      </c>
      <c r="H165" s="18" t="s">
        <v>162</v>
      </c>
      <c r="I165" s="18"/>
      <c r="J165" s="18"/>
      <c r="K165" s="18"/>
      <c r="L165" s="18" t="s">
        <v>129</v>
      </c>
      <c r="M165" s="18" t="s">
        <v>129</v>
      </c>
      <c r="N165" s="18"/>
      <c r="O165" s="18"/>
      <c r="P165" s="18" t="s">
        <v>887</v>
      </c>
      <c r="Q165" s="18" t="s">
        <v>131</v>
      </c>
      <c r="R165" s="18" t="s">
        <v>888</v>
      </c>
      <c r="S165" s="18" t="s">
        <v>133</v>
      </c>
      <c r="T165" s="18" t="s">
        <v>873</v>
      </c>
      <c r="U165" s="18"/>
      <c r="V165" s="19" t="s">
        <v>29</v>
      </c>
      <c r="W165" s="19"/>
      <c r="X165" s="19"/>
      <c r="Y165" s="20"/>
      <c r="Z165" s="19"/>
      <c r="AA165" s="18" t="str">
        <f aca="false">IF(OR(V165="Aprobada"),R165,IF(AND(OR(V165="Aprobada con ajuste",V165="Rechazada"),W165&lt;&gt;""),W165,""))</f>
        <v/>
      </c>
    </row>
    <row r="166" customFormat="false" ht="32.8" hidden="false" customHeight="false" outlineLevel="0" collapsed="false">
      <c r="A166" s="18" t="s">
        <v>889</v>
      </c>
      <c r="B166" s="18" t="s">
        <v>56</v>
      </c>
      <c r="C166" s="18" t="s">
        <v>57</v>
      </c>
      <c r="D166" s="18" t="s">
        <v>890</v>
      </c>
      <c r="E166" s="18" t="n">
        <v>1</v>
      </c>
      <c r="F166" s="18" t="s">
        <v>891</v>
      </c>
      <c r="G166" s="18" t="s">
        <v>128</v>
      </c>
      <c r="H166" s="18" t="s">
        <v>162</v>
      </c>
      <c r="I166" s="18"/>
      <c r="J166" s="18"/>
      <c r="K166" s="18"/>
      <c r="L166" s="18" t="s">
        <v>162</v>
      </c>
      <c r="M166" s="18" t="s">
        <v>129</v>
      </c>
      <c r="N166" s="18"/>
      <c r="O166" s="18"/>
      <c r="P166" s="18" t="s">
        <v>892</v>
      </c>
      <c r="Q166" s="18" t="s">
        <v>149</v>
      </c>
      <c r="R166" s="18" t="s">
        <v>893</v>
      </c>
      <c r="S166" s="18" t="s">
        <v>133</v>
      </c>
      <c r="T166" s="18" t="s">
        <v>894</v>
      </c>
      <c r="U166" s="18"/>
      <c r="V166" s="19" t="s">
        <v>29</v>
      </c>
      <c r="W166" s="19"/>
      <c r="X166" s="19"/>
      <c r="Y166" s="20"/>
      <c r="Z166" s="19"/>
      <c r="AA166" s="18" t="str">
        <f aca="false">IF(OR(V166="Aprobada"),R166,IF(AND(OR(V166="Aprobada con ajuste",V166="Rechazada"),W166&lt;&gt;""),W166,""))</f>
        <v/>
      </c>
    </row>
    <row r="167" customFormat="false" ht="53.7" hidden="false" customHeight="false" outlineLevel="0" collapsed="false">
      <c r="A167" s="18" t="s">
        <v>895</v>
      </c>
      <c r="B167" s="18" t="s">
        <v>56</v>
      </c>
      <c r="C167" s="18" t="s">
        <v>57</v>
      </c>
      <c r="D167" s="18" t="s">
        <v>896</v>
      </c>
      <c r="E167" s="18" t="n">
        <v>4</v>
      </c>
      <c r="F167" s="18" t="s">
        <v>160</v>
      </c>
      <c r="G167" s="18" t="s">
        <v>128</v>
      </c>
      <c r="H167" s="18" t="s">
        <v>162</v>
      </c>
      <c r="I167" s="18"/>
      <c r="J167" s="18"/>
      <c r="K167" s="18"/>
      <c r="L167" s="18" t="s">
        <v>162</v>
      </c>
      <c r="M167" s="18" t="s">
        <v>129</v>
      </c>
      <c r="N167" s="18"/>
      <c r="O167" s="18"/>
      <c r="P167" s="18" t="s">
        <v>897</v>
      </c>
      <c r="Q167" s="18" t="s">
        <v>138</v>
      </c>
      <c r="R167" s="18" t="s">
        <v>898</v>
      </c>
      <c r="S167" s="18" t="s">
        <v>140</v>
      </c>
      <c r="T167" s="18" t="s">
        <v>141</v>
      </c>
      <c r="U167" s="18"/>
      <c r="V167" s="19" t="s">
        <v>29</v>
      </c>
      <c r="W167" s="19"/>
      <c r="X167" s="19"/>
      <c r="Y167" s="20"/>
      <c r="Z167" s="19"/>
      <c r="AA167" s="18" t="str">
        <f aca="false">IF(OR(V167="Aprobada"),R167,IF(AND(OR(V167="Aprobada con ajuste",V167="Rechazada"),W167&lt;&gt;""),W167,""))</f>
        <v/>
      </c>
    </row>
    <row r="168" customFormat="false" ht="22.35" hidden="false" customHeight="false" outlineLevel="0" collapsed="false">
      <c r="A168" s="18" t="s">
        <v>899</v>
      </c>
      <c r="B168" s="18" t="s">
        <v>56</v>
      </c>
      <c r="C168" s="18" t="s">
        <v>57</v>
      </c>
      <c r="D168" s="18" t="s">
        <v>896</v>
      </c>
      <c r="E168" s="18" t="n">
        <v>4</v>
      </c>
      <c r="F168" s="18" t="s">
        <v>900</v>
      </c>
      <c r="G168" s="18" t="s">
        <v>282</v>
      </c>
      <c r="H168" s="18" t="s">
        <v>129</v>
      </c>
      <c r="I168" s="18"/>
      <c r="J168" s="18"/>
      <c r="K168" s="18"/>
      <c r="L168" s="18" t="s">
        <v>162</v>
      </c>
      <c r="M168" s="18" t="s">
        <v>129</v>
      </c>
      <c r="N168" s="18"/>
      <c r="O168" s="18"/>
      <c r="P168" s="18" t="s">
        <v>901</v>
      </c>
      <c r="Q168" s="18" t="s">
        <v>149</v>
      </c>
      <c r="R168" s="18" t="s">
        <v>902</v>
      </c>
      <c r="S168" s="18" t="s">
        <v>133</v>
      </c>
      <c r="T168" s="18" t="s">
        <v>169</v>
      </c>
      <c r="U168" s="18"/>
      <c r="V168" s="19" t="s">
        <v>29</v>
      </c>
      <c r="W168" s="19"/>
      <c r="X168" s="19"/>
      <c r="Y168" s="20"/>
      <c r="Z168" s="19"/>
      <c r="AA168" s="18" t="str">
        <f aca="false">IF(OR(V168="Aprobada"),R168,IF(AND(OR(V168="Aprobada con ajuste",V168="Rechazada"),W168&lt;&gt;""),W168,""))</f>
        <v/>
      </c>
    </row>
    <row r="169" customFormat="false" ht="32.8" hidden="false" customHeight="false" outlineLevel="0" collapsed="false">
      <c r="A169" s="18" t="s">
        <v>903</v>
      </c>
      <c r="B169" s="18" t="s">
        <v>56</v>
      </c>
      <c r="C169" s="18" t="s">
        <v>57</v>
      </c>
      <c r="D169" s="18" t="s">
        <v>896</v>
      </c>
      <c r="E169" s="18" t="n">
        <v>4</v>
      </c>
      <c r="F169" s="18" t="s">
        <v>498</v>
      </c>
      <c r="G169" s="18" t="s">
        <v>205</v>
      </c>
      <c r="H169" s="18" t="s">
        <v>129</v>
      </c>
      <c r="I169" s="18"/>
      <c r="J169" s="18"/>
      <c r="K169" s="18"/>
      <c r="L169" s="18" t="s">
        <v>162</v>
      </c>
      <c r="M169" s="18" t="s">
        <v>129</v>
      </c>
      <c r="N169" s="18"/>
      <c r="O169" s="18"/>
      <c r="P169" s="18" t="s">
        <v>904</v>
      </c>
      <c r="Q169" s="18" t="s">
        <v>149</v>
      </c>
      <c r="R169" s="18" t="s">
        <v>905</v>
      </c>
      <c r="S169" s="18" t="s">
        <v>133</v>
      </c>
      <c r="T169" s="18" t="s">
        <v>169</v>
      </c>
      <c r="U169" s="18"/>
      <c r="V169" s="19" t="s">
        <v>29</v>
      </c>
      <c r="W169" s="19"/>
      <c r="X169" s="19"/>
      <c r="Y169" s="20"/>
      <c r="Z169" s="19"/>
      <c r="AA169" s="18" t="str">
        <f aca="false">IF(OR(V169="Aprobada"),R169,IF(AND(OR(V169="Aprobada con ajuste",V169="Rechazada"),W169&lt;&gt;""),W169,""))</f>
        <v/>
      </c>
    </row>
    <row r="170" customFormat="false" ht="22.35" hidden="false" customHeight="false" outlineLevel="0" collapsed="false">
      <c r="A170" s="18" t="s">
        <v>906</v>
      </c>
      <c r="B170" s="18" t="s">
        <v>56</v>
      </c>
      <c r="C170" s="18" t="s">
        <v>57</v>
      </c>
      <c r="D170" s="18" t="s">
        <v>896</v>
      </c>
      <c r="E170" s="18" t="n">
        <v>4</v>
      </c>
      <c r="F170" s="18" t="s">
        <v>907</v>
      </c>
      <c r="G170" s="18" t="s">
        <v>173</v>
      </c>
      <c r="H170" s="18" t="s">
        <v>129</v>
      </c>
      <c r="I170" s="18"/>
      <c r="J170" s="18"/>
      <c r="K170" s="18"/>
      <c r="L170" s="18" t="s">
        <v>162</v>
      </c>
      <c r="M170" s="18" t="s">
        <v>129</v>
      </c>
      <c r="N170" s="18"/>
      <c r="O170" s="18"/>
      <c r="P170" s="18" t="s">
        <v>908</v>
      </c>
      <c r="Q170" s="18" t="s">
        <v>138</v>
      </c>
      <c r="R170" s="18" t="s">
        <v>909</v>
      </c>
      <c r="S170" s="18" t="s">
        <v>140</v>
      </c>
      <c r="T170" s="18" t="s">
        <v>141</v>
      </c>
      <c r="U170" s="18"/>
      <c r="V170" s="19" t="s">
        <v>29</v>
      </c>
      <c r="W170" s="19"/>
      <c r="X170" s="19"/>
      <c r="Y170" s="20"/>
      <c r="Z170" s="19"/>
      <c r="AA170" s="18" t="str">
        <f aca="false">IF(OR(V170="Aprobada"),R170,IF(AND(OR(V170="Aprobada con ajuste",V170="Rechazada"),W170&lt;&gt;""),W170,""))</f>
        <v/>
      </c>
    </row>
    <row r="171" customFormat="false" ht="22.35" hidden="false" customHeight="false" outlineLevel="0" collapsed="false">
      <c r="A171" s="18" t="s">
        <v>910</v>
      </c>
      <c r="B171" s="18" t="s">
        <v>56</v>
      </c>
      <c r="C171" s="18" t="s">
        <v>57</v>
      </c>
      <c r="D171" s="18" t="s">
        <v>896</v>
      </c>
      <c r="E171" s="18" t="n">
        <v>4</v>
      </c>
      <c r="F171" s="18" t="s">
        <v>911</v>
      </c>
      <c r="G171" s="18" t="s">
        <v>173</v>
      </c>
      <c r="H171" s="18" t="s">
        <v>129</v>
      </c>
      <c r="I171" s="18"/>
      <c r="J171" s="18"/>
      <c r="K171" s="18"/>
      <c r="L171" s="18" t="s">
        <v>162</v>
      </c>
      <c r="M171" s="18" t="s">
        <v>129</v>
      </c>
      <c r="N171" s="18"/>
      <c r="O171" s="18"/>
      <c r="P171" s="18" t="s">
        <v>912</v>
      </c>
      <c r="Q171" s="18" t="s">
        <v>138</v>
      </c>
      <c r="R171" s="18" t="s">
        <v>913</v>
      </c>
      <c r="S171" s="18" t="s">
        <v>140</v>
      </c>
      <c r="T171" s="18" t="s">
        <v>141</v>
      </c>
      <c r="U171" s="18"/>
      <c r="V171" s="19" t="s">
        <v>29</v>
      </c>
      <c r="W171" s="19"/>
      <c r="X171" s="19"/>
      <c r="Y171" s="20"/>
      <c r="Z171" s="19"/>
      <c r="AA171" s="18" t="str">
        <f aca="false">IF(OR(V171="Aprobada"),R171,IF(AND(OR(V171="Aprobada con ajuste",V171="Rechazada"),W171&lt;&gt;""),W171,""))</f>
        <v/>
      </c>
    </row>
    <row r="172" customFormat="false" ht="22.35" hidden="false" customHeight="false" outlineLevel="0" collapsed="false">
      <c r="A172" s="18" t="s">
        <v>914</v>
      </c>
      <c r="B172" s="18" t="s">
        <v>56</v>
      </c>
      <c r="C172" s="18" t="s">
        <v>57</v>
      </c>
      <c r="D172" s="18" t="s">
        <v>896</v>
      </c>
      <c r="E172" s="18" t="n">
        <v>4</v>
      </c>
      <c r="F172" s="18" t="s">
        <v>915</v>
      </c>
      <c r="G172" s="18" t="s">
        <v>651</v>
      </c>
      <c r="H172" s="18" t="s">
        <v>129</v>
      </c>
      <c r="I172" s="18"/>
      <c r="J172" s="18"/>
      <c r="K172" s="18"/>
      <c r="L172" s="18" t="s">
        <v>162</v>
      </c>
      <c r="M172" s="18" t="s">
        <v>129</v>
      </c>
      <c r="N172" s="18"/>
      <c r="O172" s="18"/>
      <c r="P172" s="18" t="s">
        <v>916</v>
      </c>
      <c r="Q172" s="18" t="s">
        <v>149</v>
      </c>
      <c r="R172" s="18" t="s">
        <v>917</v>
      </c>
      <c r="S172" s="18" t="s">
        <v>133</v>
      </c>
      <c r="T172" s="18" t="s">
        <v>169</v>
      </c>
      <c r="U172" s="18"/>
      <c r="V172" s="19" t="s">
        <v>29</v>
      </c>
      <c r="W172" s="19"/>
      <c r="X172" s="19"/>
      <c r="Y172" s="20"/>
      <c r="Z172" s="19"/>
      <c r="AA172" s="18" t="str">
        <f aca="false">IF(OR(V172="Aprobada"),R172,IF(AND(OR(V172="Aprobada con ajuste",V172="Rechazada"),W172&lt;&gt;""),W172,""))</f>
        <v/>
      </c>
    </row>
    <row r="173" customFormat="false" ht="22.35" hidden="false" customHeight="false" outlineLevel="0" collapsed="false">
      <c r="A173" s="18" t="s">
        <v>918</v>
      </c>
      <c r="B173" s="18" t="s">
        <v>56</v>
      </c>
      <c r="C173" s="18" t="s">
        <v>57</v>
      </c>
      <c r="D173" s="18" t="s">
        <v>896</v>
      </c>
      <c r="E173" s="18" t="n">
        <v>4</v>
      </c>
      <c r="F173" s="18" t="s">
        <v>919</v>
      </c>
      <c r="G173" s="18" t="s">
        <v>503</v>
      </c>
      <c r="H173" s="18" t="s">
        <v>129</v>
      </c>
      <c r="I173" s="18"/>
      <c r="J173" s="18"/>
      <c r="K173" s="18"/>
      <c r="L173" s="18" t="s">
        <v>162</v>
      </c>
      <c r="M173" s="18" t="s">
        <v>129</v>
      </c>
      <c r="N173" s="18"/>
      <c r="O173" s="18"/>
      <c r="P173" s="18" t="s">
        <v>920</v>
      </c>
      <c r="Q173" s="18" t="s">
        <v>149</v>
      </c>
      <c r="R173" s="18" t="s">
        <v>921</v>
      </c>
      <c r="S173" s="18" t="s">
        <v>133</v>
      </c>
      <c r="T173" s="18" t="s">
        <v>169</v>
      </c>
      <c r="U173" s="18"/>
      <c r="V173" s="19" t="s">
        <v>29</v>
      </c>
      <c r="W173" s="19"/>
      <c r="X173" s="19"/>
      <c r="Y173" s="20"/>
      <c r="Z173" s="19"/>
      <c r="AA173" s="18" t="str">
        <f aca="false">IF(OR(V173="Aprobada"),R173,IF(AND(OR(V173="Aprobada con ajuste",V173="Rechazada"),W173&lt;&gt;""),W173,""))</f>
        <v/>
      </c>
    </row>
    <row r="174" customFormat="false" ht="32.8" hidden="false" customHeight="false" outlineLevel="0" collapsed="false">
      <c r="A174" s="18" t="s">
        <v>922</v>
      </c>
      <c r="B174" s="18" t="s">
        <v>56</v>
      </c>
      <c r="C174" s="18" t="s">
        <v>57</v>
      </c>
      <c r="D174" s="18" t="s">
        <v>896</v>
      </c>
      <c r="E174" s="18" t="n">
        <v>4</v>
      </c>
      <c r="F174" s="18" t="s">
        <v>172</v>
      </c>
      <c r="G174" s="18" t="s">
        <v>173</v>
      </c>
      <c r="H174" s="18" t="s">
        <v>129</v>
      </c>
      <c r="I174" s="18"/>
      <c r="J174" s="18"/>
      <c r="K174" s="18"/>
      <c r="L174" s="18" t="s">
        <v>162</v>
      </c>
      <c r="M174" s="18" t="s">
        <v>129</v>
      </c>
      <c r="N174" s="18"/>
      <c r="O174" s="18" t="s">
        <v>923</v>
      </c>
      <c r="P174" s="18" t="s">
        <v>924</v>
      </c>
      <c r="Q174" s="18" t="s">
        <v>138</v>
      </c>
      <c r="R174" s="18" t="s">
        <v>176</v>
      </c>
      <c r="S174" s="18" t="s">
        <v>140</v>
      </c>
      <c r="T174" s="18" t="s">
        <v>141</v>
      </c>
      <c r="U174" s="18"/>
      <c r="V174" s="19" t="s">
        <v>29</v>
      </c>
      <c r="W174" s="19"/>
      <c r="X174" s="19"/>
      <c r="Y174" s="20"/>
      <c r="Z174" s="19"/>
      <c r="AA174" s="18" t="str">
        <f aca="false">IF(OR(V174="Aprobada"),R174,IF(AND(OR(V174="Aprobada con ajuste",V174="Rechazada"),W174&lt;&gt;""),W174,""))</f>
        <v/>
      </c>
    </row>
    <row r="175" customFormat="false" ht="22.35" hidden="false" customHeight="false" outlineLevel="0" collapsed="false">
      <c r="A175" s="18" t="s">
        <v>925</v>
      </c>
      <c r="B175" s="18" t="s">
        <v>56</v>
      </c>
      <c r="C175" s="18" t="s">
        <v>57</v>
      </c>
      <c r="D175" s="18" t="s">
        <v>896</v>
      </c>
      <c r="E175" s="18" t="n">
        <v>4</v>
      </c>
      <c r="F175" s="18" t="s">
        <v>926</v>
      </c>
      <c r="G175" s="18" t="s">
        <v>173</v>
      </c>
      <c r="H175" s="18" t="s">
        <v>129</v>
      </c>
      <c r="I175" s="18"/>
      <c r="J175" s="18"/>
      <c r="K175" s="18"/>
      <c r="L175" s="18" t="s">
        <v>162</v>
      </c>
      <c r="M175" s="18" t="s">
        <v>129</v>
      </c>
      <c r="N175" s="18"/>
      <c r="O175" s="18"/>
      <c r="P175" s="18" t="s">
        <v>927</v>
      </c>
      <c r="Q175" s="18" t="s">
        <v>138</v>
      </c>
      <c r="R175" s="18" t="s">
        <v>928</v>
      </c>
      <c r="S175" s="18" t="s">
        <v>140</v>
      </c>
      <c r="T175" s="18" t="s">
        <v>141</v>
      </c>
      <c r="U175" s="18"/>
      <c r="V175" s="19" t="s">
        <v>29</v>
      </c>
      <c r="W175" s="19"/>
      <c r="X175" s="19"/>
      <c r="Y175" s="20"/>
      <c r="Z175" s="19"/>
      <c r="AA175" s="18" t="str">
        <f aca="false">IF(OR(V175="Aprobada"),R175,IF(AND(OR(V175="Aprobada con ajuste",V175="Rechazada"),W175&lt;&gt;""),W175,""))</f>
        <v/>
      </c>
    </row>
    <row r="176" customFormat="false" ht="22.35" hidden="false" customHeight="false" outlineLevel="0" collapsed="false">
      <c r="A176" s="18" t="s">
        <v>929</v>
      </c>
      <c r="B176" s="18" t="s">
        <v>56</v>
      </c>
      <c r="C176" s="18" t="s">
        <v>57</v>
      </c>
      <c r="D176" s="18" t="s">
        <v>896</v>
      </c>
      <c r="E176" s="18" t="n">
        <v>4</v>
      </c>
      <c r="F176" s="18" t="s">
        <v>930</v>
      </c>
      <c r="G176" s="18" t="s">
        <v>931</v>
      </c>
      <c r="H176" s="18" t="s">
        <v>162</v>
      </c>
      <c r="I176" s="18"/>
      <c r="J176" s="18"/>
      <c r="K176" s="18"/>
      <c r="L176" s="18" t="s">
        <v>162</v>
      </c>
      <c r="M176" s="18" t="s">
        <v>129</v>
      </c>
      <c r="N176" s="18"/>
      <c r="O176" s="18"/>
      <c r="P176" s="18" t="s">
        <v>932</v>
      </c>
      <c r="Q176" s="18" t="s">
        <v>149</v>
      </c>
      <c r="R176" s="18" t="s">
        <v>933</v>
      </c>
      <c r="S176" s="18" t="s">
        <v>140</v>
      </c>
      <c r="T176" s="18" t="s">
        <v>934</v>
      </c>
      <c r="U176" s="18" t="s">
        <v>935</v>
      </c>
      <c r="V176" s="19" t="s">
        <v>29</v>
      </c>
      <c r="W176" s="19"/>
      <c r="X176" s="19"/>
      <c r="Y176" s="20"/>
      <c r="Z176" s="19"/>
      <c r="AA176" s="18" t="str">
        <f aca="false">IF(OR(V176="Aprobada"),R176,IF(AND(OR(V176="Aprobada con ajuste",V176="Rechazada"),W176&lt;&gt;""),W176,""))</f>
        <v/>
      </c>
    </row>
    <row r="177" customFormat="false" ht="22.35" hidden="false" customHeight="false" outlineLevel="0" collapsed="false">
      <c r="A177" s="18" t="s">
        <v>936</v>
      </c>
      <c r="B177" s="18" t="s">
        <v>56</v>
      </c>
      <c r="C177" s="18" t="s">
        <v>57</v>
      </c>
      <c r="D177" s="18" t="s">
        <v>896</v>
      </c>
      <c r="E177" s="18" t="n">
        <v>4</v>
      </c>
      <c r="F177" s="18" t="s">
        <v>937</v>
      </c>
      <c r="G177" s="18" t="s">
        <v>503</v>
      </c>
      <c r="H177" s="18" t="s">
        <v>129</v>
      </c>
      <c r="I177" s="18"/>
      <c r="J177" s="18"/>
      <c r="K177" s="18"/>
      <c r="L177" s="18" t="s">
        <v>162</v>
      </c>
      <c r="M177" s="18" t="s">
        <v>129</v>
      </c>
      <c r="N177" s="18"/>
      <c r="O177" s="18"/>
      <c r="P177" s="18" t="s">
        <v>938</v>
      </c>
      <c r="Q177" s="18" t="s">
        <v>138</v>
      </c>
      <c r="R177" s="18" t="s">
        <v>939</v>
      </c>
      <c r="S177" s="18" t="s">
        <v>140</v>
      </c>
      <c r="T177" s="18" t="s">
        <v>141</v>
      </c>
      <c r="U177" s="18"/>
      <c r="V177" s="19" t="s">
        <v>29</v>
      </c>
      <c r="W177" s="19"/>
      <c r="X177" s="19"/>
      <c r="Y177" s="20"/>
      <c r="Z177" s="19"/>
      <c r="AA177" s="18" t="str">
        <f aca="false">IF(OR(V177="Aprobada"),R177,IF(AND(OR(V177="Aprobada con ajuste",V177="Rechazada"),W177&lt;&gt;""),W177,""))</f>
        <v/>
      </c>
    </row>
    <row r="178" customFormat="false" ht="22.35" hidden="false" customHeight="false" outlineLevel="0" collapsed="false">
      <c r="A178" s="18" t="s">
        <v>940</v>
      </c>
      <c r="B178" s="18" t="s">
        <v>56</v>
      </c>
      <c r="C178" s="18" t="s">
        <v>57</v>
      </c>
      <c r="D178" s="18" t="s">
        <v>896</v>
      </c>
      <c r="E178" s="18" t="n">
        <v>4</v>
      </c>
      <c r="F178" s="18" t="s">
        <v>941</v>
      </c>
      <c r="G178" s="18" t="s">
        <v>288</v>
      </c>
      <c r="H178" s="18" t="s">
        <v>129</v>
      </c>
      <c r="I178" s="18"/>
      <c r="J178" s="18"/>
      <c r="K178" s="18"/>
      <c r="L178" s="18" t="s">
        <v>162</v>
      </c>
      <c r="M178" s="18" t="s">
        <v>129</v>
      </c>
      <c r="N178" s="18"/>
      <c r="O178" s="18"/>
      <c r="P178" s="18" t="s">
        <v>942</v>
      </c>
      <c r="Q178" s="18" t="s">
        <v>149</v>
      </c>
      <c r="R178" s="18" t="s">
        <v>943</v>
      </c>
      <c r="S178" s="18" t="s">
        <v>242</v>
      </c>
      <c r="T178" s="18" t="s">
        <v>944</v>
      </c>
      <c r="U178" s="18" t="s">
        <v>945</v>
      </c>
      <c r="V178" s="19" t="s">
        <v>29</v>
      </c>
      <c r="W178" s="19"/>
      <c r="X178" s="19"/>
      <c r="Y178" s="20"/>
      <c r="Z178" s="19"/>
      <c r="AA178" s="18" t="str">
        <f aca="false">IF(OR(V178="Aprobada"),R178,IF(AND(OR(V178="Aprobada con ajuste",V178="Rechazada"),W178&lt;&gt;""),W178,""))</f>
        <v/>
      </c>
    </row>
    <row r="179" customFormat="false" ht="22.35" hidden="false" customHeight="false" outlineLevel="0" collapsed="false">
      <c r="A179" s="18" t="s">
        <v>946</v>
      </c>
      <c r="B179" s="18" t="s">
        <v>56</v>
      </c>
      <c r="C179" s="18" t="s">
        <v>57</v>
      </c>
      <c r="D179" s="18" t="s">
        <v>896</v>
      </c>
      <c r="E179" s="18" t="n">
        <v>4</v>
      </c>
      <c r="F179" s="18" t="s">
        <v>947</v>
      </c>
      <c r="G179" s="18" t="s">
        <v>180</v>
      </c>
      <c r="H179" s="18" t="s">
        <v>162</v>
      </c>
      <c r="I179" s="18"/>
      <c r="J179" s="18"/>
      <c r="K179" s="18"/>
      <c r="L179" s="18" t="s">
        <v>162</v>
      </c>
      <c r="M179" s="18" t="s">
        <v>129</v>
      </c>
      <c r="N179" s="18"/>
      <c r="O179" s="18"/>
      <c r="P179" s="18" t="s">
        <v>948</v>
      </c>
      <c r="Q179" s="18" t="s">
        <v>149</v>
      </c>
      <c r="R179" s="18" t="s">
        <v>949</v>
      </c>
      <c r="S179" s="18" t="s">
        <v>242</v>
      </c>
      <c r="T179" s="18" t="s">
        <v>950</v>
      </c>
      <c r="U179" s="18" t="s">
        <v>951</v>
      </c>
      <c r="V179" s="19" t="s">
        <v>29</v>
      </c>
      <c r="W179" s="19"/>
      <c r="X179" s="19"/>
      <c r="Y179" s="20"/>
      <c r="Z179" s="19"/>
      <c r="AA179" s="18" t="str">
        <f aca="false">IF(OR(V179="Aprobada"),R179,IF(AND(OR(V179="Aprobada con ajuste",V179="Rechazada"),W179&lt;&gt;""),W179,""))</f>
        <v/>
      </c>
    </row>
    <row r="180" customFormat="false" ht="32.8" hidden="false" customHeight="false" outlineLevel="0" collapsed="false">
      <c r="A180" s="18" t="s">
        <v>952</v>
      </c>
      <c r="B180" s="18" t="s">
        <v>56</v>
      </c>
      <c r="C180" s="18" t="s">
        <v>57</v>
      </c>
      <c r="D180" s="18" t="s">
        <v>953</v>
      </c>
      <c r="E180" s="18" t="n">
        <v>390</v>
      </c>
      <c r="F180" s="18" t="s">
        <v>954</v>
      </c>
      <c r="G180" s="18" t="s">
        <v>486</v>
      </c>
      <c r="H180" s="18" t="s">
        <v>129</v>
      </c>
      <c r="I180" s="18"/>
      <c r="J180" s="18"/>
      <c r="K180" s="18"/>
      <c r="L180" s="18" t="s">
        <v>129</v>
      </c>
      <c r="M180" s="18" t="s">
        <v>129</v>
      </c>
      <c r="N180" s="18"/>
      <c r="O180" s="18"/>
      <c r="P180" s="18" t="s">
        <v>955</v>
      </c>
      <c r="Q180" s="18" t="s">
        <v>149</v>
      </c>
      <c r="R180" s="18" t="s">
        <v>956</v>
      </c>
      <c r="S180" s="18" t="s">
        <v>133</v>
      </c>
      <c r="T180" s="18" t="s">
        <v>183</v>
      </c>
      <c r="U180" s="18"/>
      <c r="V180" s="19" t="s">
        <v>29</v>
      </c>
      <c r="W180" s="19"/>
      <c r="X180" s="19"/>
      <c r="Y180" s="20"/>
      <c r="Z180" s="19"/>
      <c r="AA180" s="18" t="str">
        <f aca="false">IF(OR(V180="Aprobada"),R180,IF(AND(OR(V180="Aprobada con ajuste",V180="Rechazada"),W180&lt;&gt;""),W180,""))</f>
        <v/>
      </c>
    </row>
    <row r="181" customFormat="false" ht="22.35" hidden="false" customHeight="false" outlineLevel="0" collapsed="false">
      <c r="A181" s="18" t="s">
        <v>957</v>
      </c>
      <c r="B181" s="18" t="s">
        <v>56</v>
      </c>
      <c r="C181" s="18" t="s">
        <v>57</v>
      </c>
      <c r="D181" s="18" t="s">
        <v>953</v>
      </c>
      <c r="E181" s="18" t="n">
        <v>390</v>
      </c>
      <c r="F181" s="18" t="s">
        <v>958</v>
      </c>
      <c r="G181" s="18" t="s">
        <v>180</v>
      </c>
      <c r="H181" s="18" t="s">
        <v>129</v>
      </c>
      <c r="I181" s="18"/>
      <c r="J181" s="18"/>
      <c r="K181" s="18"/>
      <c r="L181" s="18" t="s">
        <v>129</v>
      </c>
      <c r="M181" s="18" t="s">
        <v>129</v>
      </c>
      <c r="N181" s="18"/>
      <c r="O181" s="18"/>
      <c r="P181" s="18" t="s">
        <v>959</v>
      </c>
      <c r="Q181" s="18" t="s">
        <v>149</v>
      </c>
      <c r="R181" s="18" t="s">
        <v>960</v>
      </c>
      <c r="S181" s="18" t="s">
        <v>133</v>
      </c>
      <c r="T181" s="18" t="s">
        <v>183</v>
      </c>
      <c r="U181" s="18"/>
      <c r="V181" s="19" t="s">
        <v>29</v>
      </c>
      <c r="W181" s="19"/>
      <c r="X181" s="19"/>
      <c r="Y181" s="20"/>
      <c r="Z181" s="19"/>
      <c r="AA181" s="18" t="str">
        <f aca="false">IF(OR(V181="Aprobada"),R181,IF(AND(OR(V181="Aprobada con ajuste",V181="Rechazada"),W181&lt;&gt;""),W181,""))</f>
        <v/>
      </c>
    </row>
    <row r="182" customFormat="false" ht="32.8" hidden="false" customHeight="false" outlineLevel="0" collapsed="false">
      <c r="A182" s="18" t="s">
        <v>961</v>
      </c>
      <c r="B182" s="18" t="s">
        <v>56</v>
      </c>
      <c r="C182" s="18" t="s">
        <v>57</v>
      </c>
      <c r="D182" s="18" t="s">
        <v>953</v>
      </c>
      <c r="E182" s="18" t="n">
        <v>390</v>
      </c>
      <c r="F182" s="18" t="s">
        <v>512</v>
      </c>
      <c r="G182" s="18" t="s">
        <v>173</v>
      </c>
      <c r="H182" s="18" t="s">
        <v>162</v>
      </c>
      <c r="I182" s="18"/>
      <c r="J182" s="18"/>
      <c r="K182" s="18"/>
      <c r="L182" s="18" t="s">
        <v>129</v>
      </c>
      <c r="M182" s="18" t="s">
        <v>129</v>
      </c>
      <c r="N182" s="18"/>
      <c r="O182" s="18"/>
      <c r="P182" s="18" t="s">
        <v>962</v>
      </c>
      <c r="Q182" s="18" t="s">
        <v>138</v>
      </c>
      <c r="R182" s="18" t="s">
        <v>176</v>
      </c>
      <c r="S182" s="18" t="s">
        <v>140</v>
      </c>
      <c r="T182" s="18" t="s">
        <v>141</v>
      </c>
      <c r="U182" s="18"/>
      <c r="V182" s="19" t="s">
        <v>29</v>
      </c>
      <c r="W182" s="19"/>
      <c r="X182" s="19"/>
      <c r="Y182" s="20"/>
      <c r="Z182" s="19"/>
      <c r="AA182" s="18" t="str">
        <f aca="false">IF(OR(V182="Aprobada"),R182,IF(AND(OR(V182="Aprobada con ajuste",V182="Rechazada"),W182&lt;&gt;""),W182,""))</f>
        <v/>
      </c>
    </row>
    <row r="183" customFormat="false" ht="32.8" hidden="false" customHeight="false" outlineLevel="0" collapsed="false">
      <c r="A183" s="18" t="s">
        <v>963</v>
      </c>
      <c r="B183" s="18" t="s">
        <v>56</v>
      </c>
      <c r="C183" s="18" t="s">
        <v>57</v>
      </c>
      <c r="D183" s="18" t="s">
        <v>953</v>
      </c>
      <c r="E183" s="18" t="n">
        <v>390</v>
      </c>
      <c r="F183" s="18" t="s">
        <v>964</v>
      </c>
      <c r="G183" s="18" t="s">
        <v>503</v>
      </c>
      <c r="H183" s="18" t="s">
        <v>162</v>
      </c>
      <c r="I183" s="18"/>
      <c r="J183" s="18"/>
      <c r="K183" s="18"/>
      <c r="L183" s="18" t="s">
        <v>129</v>
      </c>
      <c r="M183" s="18" t="s">
        <v>129</v>
      </c>
      <c r="N183" s="18"/>
      <c r="O183" s="18"/>
      <c r="P183" s="18" t="s">
        <v>965</v>
      </c>
      <c r="Q183" s="18" t="s">
        <v>149</v>
      </c>
      <c r="R183" s="18" t="s">
        <v>966</v>
      </c>
      <c r="S183" s="18" t="s">
        <v>242</v>
      </c>
      <c r="T183" s="18" t="s">
        <v>967</v>
      </c>
      <c r="U183" s="18" t="s">
        <v>968</v>
      </c>
      <c r="V183" s="19" t="s">
        <v>29</v>
      </c>
      <c r="W183" s="19"/>
      <c r="X183" s="19"/>
      <c r="Y183" s="20"/>
      <c r="Z183" s="19"/>
      <c r="AA183" s="18" t="str">
        <f aca="false">IF(OR(V183="Aprobada"),R183,IF(AND(OR(V183="Aprobada con ajuste",V183="Rechazada"),W183&lt;&gt;""),W183,""))</f>
        <v/>
      </c>
    </row>
    <row r="184" customFormat="false" ht="22.35" hidden="false" customHeight="false" outlineLevel="0" collapsed="false">
      <c r="A184" s="18" t="s">
        <v>969</v>
      </c>
      <c r="B184" s="18" t="s">
        <v>56</v>
      </c>
      <c r="C184" s="18" t="s">
        <v>57</v>
      </c>
      <c r="D184" s="18" t="s">
        <v>953</v>
      </c>
      <c r="E184" s="18" t="n">
        <v>390</v>
      </c>
      <c r="F184" s="18" t="s">
        <v>970</v>
      </c>
      <c r="G184" s="18" t="s">
        <v>173</v>
      </c>
      <c r="H184" s="18" t="s">
        <v>162</v>
      </c>
      <c r="I184" s="18"/>
      <c r="J184" s="18"/>
      <c r="K184" s="18"/>
      <c r="L184" s="18" t="s">
        <v>129</v>
      </c>
      <c r="M184" s="18" t="s">
        <v>129</v>
      </c>
      <c r="N184" s="18"/>
      <c r="O184" s="18"/>
      <c r="P184" s="18" t="s">
        <v>971</v>
      </c>
      <c r="Q184" s="18" t="s">
        <v>138</v>
      </c>
      <c r="R184" s="18" t="s">
        <v>972</v>
      </c>
      <c r="S184" s="18" t="s">
        <v>140</v>
      </c>
      <c r="T184" s="18" t="s">
        <v>141</v>
      </c>
      <c r="U184" s="18"/>
      <c r="V184" s="19" t="s">
        <v>29</v>
      </c>
      <c r="W184" s="19"/>
      <c r="X184" s="19"/>
      <c r="Y184" s="20"/>
      <c r="Z184" s="19"/>
      <c r="AA184" s="18" t="str">
        <f aca="false">IF(OR(V184="Aprobada"),R184,IF(AND(OR(V184="Aprobada con ajuste",V184="Rechazada"),W184&lt;&gt;""),W184,""))</f>
        <v/>
      </c>
    </row>
    <row r="185" customFormat="false" ht="32.8" hidden="false" customHeight="false" outlineLevel="0" collapsed="false">
      <c r="A185" s="18" t="s">
        <v>973</v>
      </c>
      <c r="B185" s="18" t="s">
        <v>56</v>
      </c>
      <c r="C185" s="18" t="s">
        <v>57</v>
      </c>
      <c r="D185" s="18" t="s">
        <v>953</v>
      </c>
      <c r="E185" s="18" t="n">
        <v>390</v>
      </c>
      <c r="F185" s="18" t="s">
        <v>974</v>
      </c>
      <c r="G185" s="18" t="s">
        <v>180</v>
      </c>
      <c r="H185" s="18" t="s">
        <v>162</v>
      </c>
      <c r="I185" s="18"/>
      <c r="J185" s="18"/>
      <c r="K185" s="18"/>
      <c r="L185" s="18" t="s">
        <v>129</v>
      </c>
      <c r="M185" s="18" t="s">
        <v>129</v>
      </c>
      <c r="N185" s="18"/>
      <c r="O185" s="18"/>
      <c r="P185" s="18" t="s">
        <v>975</v>
      </c>
      <c r="Q185" s="18" t="s">
        <v>149</v>
      </c>
      <c r="R185" s="18" t="s">
        <v>976</v>
      </c>
      <c r="S185" s="18" t="s">
        <v>242</v>
      </c>
      <c r="T185" s="18" t="s">
        <v>183</v>
      </c>
      <c r="U185" s="18" t="s">
        <v>977</v>
      </c>
      <c r="V185" s="19" t="s">
        <v>29</v>
      </c>
      <c r="W185" s="19"/>
      <c r="X185" s="19"/>
      <c r="Y185" s="20"/>
      <c r="Z185" s="19"/>
      <c r="AA185" s="18" t="str">
        <f aca="false">IF(OR(V185="Aprobada"),R185,IF(AND(OR(V185="Aprobada con ajuste",V185="Rechazada"),W185&lt;&gt;""),W185,""))</f>
        <v/>
      </c>
    </row>
    <row r="186" customFormat="false" ht="22.35" hidden="false" customHeight="false" outlineLevel="0" collapsed="false">
      <c r="A186" s="18" t="s">
        <v>978</v>
      </c>
      <c r="B186" s="18" t="s">
        <v>56</v>
      </c>
      <c r="C186" s="18" t="s">
        <v>57</v>
      </c>
      <c r="D186" s="18" t="s">
        <v>953</v>
      </c>
      <c r="E186" s="18" t="n">
        <v>390</v>
      </c>
      <c r="F186" s="18" t="s">
        <v>979</v>
      </c>
      <c r="G186" s="18" t="s">
        <v>173</v>
      </c>
      <c r="H186" s="18" t="s">
        <v>162</v>
      </c>
      <c r="I186" s="18"/>
      <c r="J186" s="18"/>
      <c r="K186" s="18"/>
      <c r="L186" s="18" t="s">
        <v>129</v>
      </c>
      <c r="M186" s="18" t="s">
        <v>129</v>
      </c>
      <c r="N186" s="18"/>
      <c r="O186" s="18"/>
      <c r="P186" s="18"/>
      <c r="Q186" s="18" t="s">
        <v>138</v>
      </c>
      <c r="R186" s="18" t="s">
        <v>980</v>
      </c>
      <c r="S186" s="18" t="s">
        <v>140</v>
      </c>
      <c r="T186" s="18" t="s">
        <v>141</v>
      </c>
      <c r="U186" s="18"/>
      <c r="V186" s="19" t="s">
        <v>29</v>
      </c>
      <c r="W186" s="19"/>
      <c r="X186" s="19"/>
      <c r="Y186" s="20"/>
      <c r="Z186" s="19"/>
      <c r="AA186" s="18" t="str">
        <f aca="false">IF(OR(V186="Aprobada"),R186,IF(AND(OR(V186="Aprobada con ajuste",V186="Rechazada"),W186&lt;&gt;""),W186,""))</f>
        <v/>
      </c>
    </row>
    <row r="187" customFormat="false" ht="22.35" hidden="false" customHeight="false" outlineLevel="0" collapsed="false">
      <c r="A187" s="18" t="s">
        <v>981</v>
      </c>
      <c r="B187" s="18" t="s">
        <v>56</v>
      </c>
      <c r="C187" s="18" t="s">
        <v>57</v>
      </c>
      <c r="D187" s="18" t="s">
        <v>953</v>
      </c>
      <c r="E187" s="18" t="n">
        <v>390</v>
      </c>
      <c r="F187" s="18" t="s">
        <v>982</v>
      </c>
      <c r="G187" s="18" t="s">
        <v>312</v>
      </c>
      <c r="H187" s="18" t="s">
        <v>129</v>
      </c>
      <c r="I187" s="18" t="s">
        <v>146</v>
      </c>
      <c r="J187" s="18"/>
      <c r="K187" s="18"/>
      <c r="L187" s="18" t="s">
        <v>129</v>
      </c>
      <c r="M187" s="18" t="s">
        <v>129</v>
      </c>
      <c r="N187" s="18"/>
      <c r="O187" s="18" t="s">
        <v>983</v>
      </c>
      <c r="P187" s="18" t="s">
        <v>984</v>
      </c>
      <c r="Q187" s="18" t="s">
        <v>149</v>
      </c>
      <c r="R187" s="18" t="s">
        <v>985</v>
      </c>
      <c r="S187" s="18" t="s">
        <v>140</v>
      </c>
      <c r="T187" s="18" t="s">
        <v>986</v>
      </c>
      <c r="U187" s="18" t="s">
        <v>987</v>
      </c>
      <c r="V187" s="19" t="s">
        <v>29</v>
      </c>
      <c r="W187" s="19"/>
      <c r="X187" s="19"/>
      <c r="Y187" s="20"/>
      <c r="Z187" s="19"/>
      <c r="AA187" s="18" t="str">
        <f aca="false">IF(OR(V187="Aprobada"),R187,IF(AND(OR(V187="Aprobada con ajuste",V187="Rechazada"),W187&lt;&gt;""),W187,""))</f>
        <v/>
      </c>
    </row>
    <row r="188" customFormat="false" ht="22.35" hidden="false" customHeight="false" outlineLevel="0" collapsed="false">
      <c r="A188" s="18" t="s">
        <v>988</v>
      </c>
      <c r="B188" s="18" t="s">
        <v>56</v>
      </c>
      <c r="C188" s="18" t="s">
        <v>57</v>
      </c>
      <c r="D188" s="18" t="s">
        <v>953</v>
      </c>
      <c r="E188" s="18" t="n">
        <v>390</v>
      </c>
      <c r="F188" s="18" t="s">
        <v>989</v>
      </c>
      <c r="G188" s="18" t="s">
        <v>990</v>
      </c>
      <c r="H188" s="18" t="s">
        <v>162</v>
      </c>
      <c r="I188" s="18"/>
      <c r="J188" s="18"/>
      <c r="K188" s="18"/>
      <c r="L188" s="18" t="s">
        <v>129</v>
      </c>
      <c r="M188" s="18" t="s">
        <v>129</v>
      </c>
      <c r="N188" s="18"/>
      <c r="O188" s="18"/>
      <c r="P188" s="18" t="s">
        <v>991</v>
      </c>
      <c r="Q188" s="18" t="s">
        <v>149</v>
      </c>
      <c r="R188" s="18" t="s">
        <v>992</v>
      </c>
      <c r="S188" s="18" t="s">
        <v>242</v>
      </c>
      <c r="T188" s="18" t="s">
        <v>183</v>
      </c>
      <c r="U188" s="18" t="s">
        <v>993</v>
      </c>
      <c r="V188" s="19" t="s">
        <v>29</v>
      </c>
      <c r="W188" s="19"/>
      <c r="X188" s="19"/>
      <c r="Y188" s="20"/>
      <c r="Z188" s="19"/>
      <c r="AA188" s="18" t="str">
        <f aca="false">IF(OR(V188="Aprobada"),R188,IF(AND(OR(V188="Aprobada con ajuste",V188="Rechazada"),W188&lt;&gt;""),W188,""))</f>
        <v/>
      </c>
    </row>
    <row r="189" customFormat="false" ht="22.35" hidden="false" customHeight="false" outlineLevel="0" collapsed="false">
      <c r="A189" s="18" t="s">
        <v>994</v>
      </c>
      <c r="B189" s="18" t="s">
        <v>56</v>
      </c>
      <c r="C189" s="18" t="s">
        <v>57</v>
      </c>
      <c r="D189" s="18" t="s">
        <v>995</v>
      </c>
      <c r="E189" s="18" t="n">
        <v>408</v>
      </c>
      <c r="F189" s="18" t="s">
        <v>512</v>
      </c>
      <c r="G189" s="18" t="s">
        <v>173</v>
      </c>
      <c r="H189" s="18" t="s">
        <v>162</v>
      </c>
      <c r="I189" s="18"/>
      <c r="J189" s="18"/>
      <c r="K189" s="18"/>
      <c r="L189" s="18" t="s">
        <v>129</v>
      </c>
      <c r="M189" s="18" t="s">
        <v>129</v>
      </c>
      <c r="N189" s="18"/>
      <c r="O189" s="18"/>
      <c r="P189" s="18" t="s">
        <v>996</v>
      </c>
      <c r="Q189" s="18" t="s">
        <v>138</v>
      </c>
      <c r="R189" s="18" t="s">
        <v>176</v>
      </c>
      <c r="S189" s="18" t="s">
        <v>140</v>
      </c>
      <c r="T189" s="18" t="s">
        <v>141</v>
      </c>
      <c r="U189" s="18"/>
      <c r="V189" s="19" t="s">
        <v>29</v>
      </c>
      <c r="W189" s="19"/>
      <c r="X189" s="19"/>
      <c r="Y189" s="20"/>
      <c r="Z189" s="19"/>
      <c r="AA189" s="18" t="str">
        <f aca="false">IF(OR(V189="Aprobada"),R189,IF(AND(OR(V189="Aprobada con ajuste",V189="Rechazada"),W189&lt;&gt;""),W189,""))</f>
        <v/>
      </c>
    </row>
    <row r="190" customFormat="false" ht="43.25" hidden="false" customHeight="false" outlineLevel="0" collapsed="false">
      <c r="A190" s="18" t="s">
        <v>997</v>
      </c>
      <c r="B190" s="18" t="s">
        <v>58</v>
      </c>
      <c r="C190" s="18" t="s">
        <v>59</v>
      </c>
      <c r="D190" s="18" t="s">
        <v>998</v>
      </c>
      <c r="E190" s="18" t="n">
        <v>1</v>
      </c>
      <c r="F190" s="18" t="s">
        <v>999</v>
      </c>
      <c r="G190" s="18" t="s">
        <v>128</v>
      </c>
      <c r="H190" s="18" t="s">
        <v>162</v>
      </c>
      <c r="I190" s="18"/>
      <c r="J190" s="18"/>
      <c r="K190" s="18"/>
      <c r="L190" s="18" t="s">
        <v>129</v>
      </c>
      <c r="M190" s="18" t="s">
        <v>129</v>
      </c>
      <c r="N190" s="18"/>
      <c r="O190" s="18"/>
      <c r="P190" s="18" t="s">
        <v>1000</v>
      </c>
      <c r="Q190" s="18" t="s">
        <v>131</v>
      </c>
      <c r="R190" s="18" t="s">
        <v>1001</v>
      </c>
      <c r="S190" s="18" t="s">
        <v>133</v>
      </c>
      <c r="T190" s="18" t="s">
        <v>1002</v>
      </c>
      <c r="U190" s="18"/>
      <c r="V190" s="19" t="s">
        <v>29</v>
      </c>
      <c r="W190" s="19"/>
      <c r="X190" s="19"/>
      <c r="Y190" s="20"/>
      <c r="Z190" s="19"/>
      <c r="AA190" s="18" t="str">
        <f aca="false">IF(OR(V190="Aprobada"),R190,IF(AND(OR(V190="Aprobada con ajuste",V190="Rechazada"),W190&lt;&gt;""),W190,""))</f>
        <v/>
      </c>
    </row>
    <row r="191" customFormat="false" ht="32.8" hidden="false" customHeight="false" outlineLevel="0" collapsed="false">
      <c r="A191" s="18" t="s">
        <v>1003</v>
      </c>
      <c r="B191" s="18" t="s">
        <v>58</v>
      </c>
      <c r="C191" s="18" t="s">
        <v>59</v>
      </c>
      <c r="D191" s="18" t="s">
        <v>998</v>
      </c>
      <c r="E191" s="18" t="n">
        <v>1</v>
      </c>
      <c r="F191" s="18" t="s">
        <v>1004</v>
      </c>
      <c r="G191" s="18" t="s">
        <v>180</v>
      </c>
      <c r="H191" s="18" t="s">
        <v>162</v>
      </c>
      <c r="I191" s="18"/>
      <c r="J191" s="18"/>
      <c r="K191" s="18"/>
      <c r="L191" s="18" t="s">
        <v>129</v>
      </c>
      <c r="M191" s="18" t="s">
        <v>129</v>
      </c>
      <c r="N191" s="18"/>
      <c r="O191" s="18"/>
      <c r="P191" s="18" t="s">
        <v>1005</v>
      </c>
      <c r="Q191" s="18" t="s">
        <v>149</v>
      </c>
      <c r="R191" s="18" t="s">
        <v>1006</v>
      </c>
      <c r="S191" s="18" t="s">
        <v>133</v>
      </c>
      <c r="T191" s="18" t="s">
        <v>183</v>
      </c>
      <c r="U191" s="18"/>
      <c r="V191" s="19" t="s">
        <v>29</v>
      </c>
      <c r="W191" s="19"/>
      <c r="X191" s="19"/>
      <c r="Y191" s="20"/>
      <c r="Z191" s="19"/>
      <c r="AA191" s="18" t="str">
        <f aca="false">IF(OR(V191="Aprobada"),R191,IF(AND(OR(V191="Aprobada con ajuste",V191="Rechazada"),W191&lt;&gt;""),W191,""))</f>
        <v/>
      </c>
    </row>
    <row r="192" customFormat="false" ht="43.25" hidden="false" customHeight="false" outlineLevel="0" collapsed="false">
      <c r="A192" s="18" t="s">
        <v>1007</v>
      </c>
      <c r="B192" s="18" t="s">
        <v>58</v>
      </c>
      <c r="C192" s="18" t="s">
        <v>59</v>
      </c>
      <c r="D192" s="18" t="s">
        <v>998</v>
      </c>
      <c r="E192" s="18" t="n">
        <v>1</v>
      </c>
      <c r="F192" s="18" t="s">
        <v>1008</v>
      </c>
      <c r="G192" s="18" t="s">
        <v>486</v>
      </c>
      <c r="H192" s="18" t="s">
        <v>162</v>
      </c>
      <c r="I192" s="18"/>
      <c r="J192" s="18"/>
      <c r="K192" s="18"/>
      <c r="L192" s="18" t="s">
        <v>129</v>
      </c>
      <c r="M192" s="18" t="s">
        <v>129</v>
      </c>
      <c r="N192" s="18"/>
      <c r="O192" s="18"/>
      <c r="P192" s="18" t="s">
        <v>1009</v>
      </c>
      <c r="Q192" s="18" t="s">
        <v>131</v>
      </c>
      <c r="R192" s="18" t="s">
        <v>1010</v>
      </c>
      <c r="S192" s="18" t="s">
        <v>133</v>
      </c>
      <c r="T192" s="18" t="s">
        <v>1011</v>
      </c>
      <c r="U192" s="18"/>
      <c r="V192" s="19" t="s">
        <v>29</v>
      </c>
      <c r="W192" s="19"/>
      <c r="X192" s="19"/>
      <c r="Y192" s="20"/>
      <c r="Z192" s="19"/>
      <c r="AA192" s="18" t="str">
        <f aca="false">IF(OR(V192="Aprobada"),R192,IF(AND(OR(V192="Aprobada con ajuste",V192="Rechazada"),W192&lt;&gt;""),W192,""))</f>
        <v/>
      </c>
    </row>
    <row r="193" customFormat="false" ht="43.25" hidden="false" customHeight="false" outlineLevel="0" collapsed="false">
      <c r="A193" s="18" t="s">
        <v>1012</v>
      </c>
      <c r="B193" s="18" t="s">
        <v>58</v>
      </c>
      <c r="C193" s="18" t="s">
        <v>59</v>
      </c>
      <c r="D193" s="18" t="s">
        <v>998</v>
      </c>
      <c r="E193" s="18" t="n">
        <v>1</v>
      </c>
      <c r="F193" s="18" t="s">
        <v>1013</v>
      </c>
      <c r="G193" s="18" t="s">
        <v>128</v>
      </c>
      <c r="H193" s="18" t="s">
        <v>129</v>
      </c>
      <c r="I193" s="18"/>
      <c r="J193" s="18"/>
      <c r="K193" s="18"/>
      <c r="L193" s="18" t="s">
        <v>129</v>
      </c>
      <c r="M193" s="18" t="s">
        <v>129</v>
      </c>
      <c r="N193" s="18"/>
      <c r="O193" s="18"/>
      <c r="P193" s="18" t="s">
        <v>1014</v>
      </c>
      <c r="Q193" s="18" t="s">
        <v>131</v>
      </c>
      <c r="R193" s="18" t="s">
        <v>1015</v>
      </c>
      <c r="S193" s="18" t="s">
        <v>133</v>
      </c>
      <c r="T193" s="18" t="s">
        <v>1016</v>
      </c>
      <c r="U193" s="18"/>
      <c r="V193" s="19" t="s">
        <v>29</v>
      </c>
      <c r="W193" s="19"/>
      <c r="X193" s="19"/>
      <c r="Y193" s="20"/>
      <c r="Z193" s="19"/>
      <c r="AA193" s="18" t="str">
        <f aca="false">IF(OR(V193="Aprobada"),R193,IF(AND(OR(V193="Aprobada con ajuste",V193="Rechazada"),W193&lt;&gt;""),W193,""))</f>
        <v/>
      </c>
    </row>
    <row r="194" customFormat="false" ht="43.25" hidden="false" customHeight="false" outlineLevel="0" collapsed="false">
      <c r="A194" s="18" t="s">
        <v>1017</v>
      </c>
      <c r="B194" s="18" t="s">
        <v>58</v>
      </c>
      <c r="C194" s="18" t="s">
        <v>59</v>
      </c>
      <c r="D194" s="18" t="s">
        <v>998</v>
      </c>
      <c r="E194" s="18" t="n">
        <v>1</v>
      </c>
      <c r="F194" s="18" t="s">
        <v>1018</v>
      </c>
      <c r="G194" s="18" t="s">
        <v>145</v>
      </c>
      <c r="H194" s="18" t="s">
        <v>162</v>
      </c>
      <c r="I194" s="18"/>
      <c r="J194" s="18"/>
      <c r="K194" s="18"/>
      <c r="L194" s="18" t="s">
        <v>129</v>
      </c>
      <c r="M194" s="18" t="s">
        <v>129</v>
      </c>
      <c r="N194" s="18"/>
      <c r="O194" s="18"/>
      <c r="P194" s="18" t="s">
        <v>1019</v>
      </c>
      <c r="Q194" s="18" t="s">
        <v>131</v>
      </c>
      <c r="R194" s="18" t="s">
        <v>1020</v>
      </c>
      <c r="S194" s="18" t="s">
        <v>133</v>
      </c>
      <c r="T194" s="18" t="s">
        <v>1021</v>
      </c>
      <c r="U194" s="18"/>
      <c r="V194" s="19" t="s">
        <v>29</v>
      </c>
      <c r="W194" s="19"/>
      <c r="X194" s="19"/>
      <c r="Y194" s="20"/>
      <c r="Z194" s="19"/>
      <c r="AA194" s="18" t="str">
        <f aca="false">IF(OR(V194="Aprobada"),R194,IF(AND(OR(V194="Aprobada con ajuste",V194="Rechazada"),W194&lt;&gt;""),W194,""))</f>
        <v/>
      </c>
    </row>
    <row r="195" customFormat="false" ht="43.25" hidden="false" customHeight="false" outlineLevel="0" collapsed="false">
      <c r="A195" s="18" t="s">
        <v>1022</v>
      </c>
      <c r="B195" s="18" t="s">
        <v>58</v>
      </c>
      <c r="C195" s="18" t="s">
        <v>59</v>
      </c>
      <c r="D195" s="18" t="s">
        <v>998</v>
      </c>
      <c r="E195" s="18" t="n">
        <v>1</v>
      </c>
      <c r="F195" s="18" t="s">
        <v>1023</v>
      </c>
      <c r="G195" s="18" t="s">
        <v>145</v>
      </c>
      <c r="H195" s="18" t="s">
        <v>162</v>
      </c>
      <c r="I195" s="18" t="s">
        <v>298</v>
      </c>
      <c r="J195" s="18" t="s">
        <v>1024</v>
      </c>
      <c r="K195" s="18"/>
      <c r="L195" s="18" t="s">
        <v>162</v>
      </c>
      <c r="M195" s="18" t="s">
        <v>129</v>
      </c>
      <c r="N195" s="18"/>
      <c r="O195" s="18" t="s">
        <v>1025</v>
      </c>
      <c r="P195" s="18" t="s">
        <v>1026</v>
      </c>
      <c r="Q195" s="18" t="s">
        <v>131</v>
      </c>
      <c r="R195" s="18" t="s">
        <v>1027</v>
      </c>
      <c r="S195" s="18" t="s">
        <v>133</v>
      </c>
      <c r="T195" s="18" t="s">
        <v>1028</v>
      </c>
      <c r="U195" s="18"/>
      <c r="V195" s="19" t="s">
        <v>29</v>
      </c>
      <c r="W195" s="19"/>
      <c r="X195" s="19"/>
      <c r="Y195" s="20"/>
      <c r="Z195" s="19"/>
      <c r="AA195" s="18" t="str">
        <f aca="false">IF(OR(V195="Aprobada"),R195,IF(AND(OR(V195="Aprobada con ajuste",V195="Rechazada"),W195&lt;&gt;""),W195,""))</f>
        <v/>
      </c>
    </row>
    <row r="196" customFormat="false" ht="22.35" hidden="false" customHeight="false" outlineLevel="0" collapsed="false">
      <c r="A196" s="18" t="s">
        <v>1029</v>
      </c>
      <c r="B196" s="18" t="s">
        <v>58</v>
      </c>
      <c r="C196" s="18" t="s">
        <v>59</v>
      </c>
      <c r="D196" s="18" t="s">
        <v>998</v>
      </c>
      <c r="E196" s="18" t="n">
        <v>1</v>
      </c>
      <c r="F196" s="18" t="s">
        <v>512</v>
      </c>
      <c r="G196" s="18" t="s">
        <v>173</v>
      </c>
      <c r="H196" s="18" t="s">
        <v>162</v>
      </c>
      <c r="I196" s="18"/>
      <c r="J196" s="18"/>
      <c r="K196" s="18"/>
      <c r="L196" s="18" t="s">
        <v>129</v>
      </c>
      <c r="M196" s="18" t="s">
        <v>129</v>
      </c>
      <c r="N196" s="18"/>
      <c r="O196" s="18" t="s">
        <v>1030</v>
      </c>
      <c r="P196" s="18" t="s">
        <v>1031</v>
      </c>
      <c r="Q196" s="18" t="s">
        <v>138</v>
      </c>
      <c r="R196" s="18" t="s">
        <v>176</v>
      </c>
      <c r="S196" s="18" t="s">
        <v>140</v>
      </c>
      <c r="T196" s="18" t="s">
        <v>141</v>
      </c>
      <c r="U196" s="18"/>
      <c r="V196" s="19" t="s">
        <v>29</v>
      </c>
      <c r="W196" s="19"/>
      <c r="X196" s="19"/>
      <c r="Y196" s="20"/>
      <c r="Z196" s="19"/>
      <c r="AA196" s="18" t="str">
        <f aca="false">IF(OR(V196="Aprobada"),R196,IF(AND(OR(V196="Aprobada con ajuste",V196="Rechazada"),W196&lt;&gt;""),W196,""))</f>
        <v/>
      </c>
    </row>
    <row r="197" customFormat="false" ht="32.8" hidden="false" customHeight="false" outlineLevel="0" collapsed="false">
      <c r="A197" s="18" t="s">
        <v>1032</v>
      </c>
      <c r="B197" s="18" t="s">
        <v>58</v>
      </c>
      <c r="C197" s="18" t="s">
        <v>59</v>
      </c>
      <c r="D197" s="18" t="s">
        <v>998</v>
      </c>
      <c r="E197" s="18" t="n">
        <v>1</v>
      </c>
      <c r="F197" s="18" t="s">
        <v>1033</v>
      </c>
      <c r="G197" s="18" t="s">
        <v>128</v>
      </c>
      <c r="H197" s="18" t="s">
        <v>162</v>
      </c>
      <c r="I197" s="18"/>
      <c r="J197" s="18"/>
      <c r="K197" s="18"/>
      <c r="L197" s="18" t="s">
        <v>129</v>
      </c>
      <c r="M197" s="18" t="s">
        <v>129</v>
      </c>
      <c r="N197" s="18"/>
      <c r="O197" s="18"/>
      <c r="P197" s="18" t="s">
        <v>1034</v>
      </c>
      <c r="Q197" s="18" t="s">
        <v>131</v>
      </c>
      <c r="R197" s="18" t="s">
        <v>1035</v>
      </c>
      <c r="S197" s="18" t="s">
        <v>133</v>
      </c>
      <c r="T197" s="18" t="s">
        <v>1036</v>
      </c>
      <c r="U197" s="18"/>
      <c r="V197" s="19" t="s">
        <v>29</v>
      </c>
      <c r="W197" s="19"/>
      <c r="X197" s="19"/>
      <c r="Y197" s="20"/>
      <c r="Z197" s="19"/>
      <c r="AA197" s="18" t="str">
        <f aca="false">IF(OR(V197="Aprobada"),R197,IF(AND(OR(V197="Aprobada con ajuste",V197="Rechazada"),W197&lt;&gt;""),W197,""))</f>
        <v/>
      </c>
    </row>
    <row r="198" customFormat="false" ht="32.8" hidden="false" customHeight="false" outlineLevel="0" collapsed="false">
      <c r="A198" s="18" t="s">
        <v>1037</v>
      </c>
      <c r="B198" s="18" t="s">
        <v>58</v>
      </c>
      <c r="C198" s="18" t="s">
        <v>59</v>
      </c>
      <c r="D198" s="18" t="s">
        <v>998</v>
      </c>
      <c r="E198" s="18" t="n">
        <v>1</v>
      </c>
      <c r="F198" s="18" t="s">
        <v>1038</v>
      </c>
      <c r="G198" s="18" t="s">
        <v>180</v>
      </c>
      <c r="H198" s="18" t="s">
        <v>162</v>
      </c>
      <c r="I198" s="18"/>
      <c r="J198" s="18"/>
      <c r="K198" s="18"/>
      <c r="L198" s="18" t="s">
        <v>129</v>
      </c>
      <c r="M198" s="18" t="s">
        <v>129</v>
      </c>
      <c r="N198" s="18"/>
      <c r="O198" s="18"/>
      <c r="P198" s="18" t="s">
        <v>1039</v>
      </c>
      <c r="Q198" s="18" t="s">
        <v>149</v>
      </c>
      <c r="R198" s="18" t="s">
        <v>1040</v>
      </c>
      <c r="S198" s="18" t="s">
        <v>133</v>
      </c>
      <c r="T198" s="18" t="s">
        <v>183</v>
      </c>
      <c r="U198" s="18"/>
      <c r="V198" s="19" t="s">
        <v>29</v>
      </c>
      <c r="W198" s="19"/>
      <c r="X198" s="19"/>
      <c r="Y198" s="20"/>
      <c r="Z198" s="19"/>
      <c r="AA198" s="18" t="str">
        <f aca="false">IF(OR(V198="Aprobada"),R198,IF(AND(OR(V198="Aprobada con ajuste",V198="Rechazada"),W198&lt;&gt;""),W198,""))</f>
        <v/>
      </c>
    </row>
    <row r="199" customFormat="false" ht="43.25" hidden="false" customHeight="false" outlineLevel="0" collapsed="false">
      <c r="A199" s="18" t="s">
        <v>1041</v>
      </c>
      <c r="B199" s="18" t="s">
        <v>58</v>
      </c>
      <c r="C199" s="18" t="s">
        <v>59</v>
      </c>
      <c r="D199" s="18" t="s">
        <v>1042</v>
      </c>
      <c r="E199" s="18" t="n">
        <v>153</v>
      </c>
      <c r="F199" s="18" t="s">
        <v>1043</v>
      </c>
      <c r="G199" s="18" t="s">
        <v>317</v>
      </c>
      <c r="H199" s="18" t="s">
        <v>162</v>
      </c>
      <c r="I199" s="18"/>
      <c r="J199" s="18"/>
      <c r="K199" s="18"/>
      <c r="L199" s="18" t="s">
        <v>129</v>
      </c>
      <c r="M199" s="18" t="s">
        <v>129</v>
      </c>
      <c r="N199" s="18"/>
      <c r="O199" s="18" t="s">
        <v>1044</v>
      </c>
      <c r="P199" s="18" t="s">
        <v>1045</v>
      </c>
      <c r="Q199" s="18" t="s">
        <v>131</v>
      </c>
      <c r="R199" s="18" t="s">
        <v>1046</v>
      </c>
      <c r="S199" s="18" t="s">
        <v>133</v>
      </c>
      <c r="T199" s="18" t="s">
        <v>1047</v>
      </c>
      <c r="U199" s="18"/>
      <c r="V199" s="19" t="s">
        <v>29</v>
      </c>
      <c r="W199" s="19"/>
      <c r="X199" s="19"/>
      <c r="Y199" s="20"/>
      <c r="Z199" s="19"/>
      <c r="AA199" s="18" t="str">
        <f aca="false">IF(OR(V199="Aprobada"),R199,IF(AND(OR(V199="Aprobada con ajuste",V199="Rechazada"),W199&lt;&gt;""),W199,""))</f>
        <v/>
      </c>
    </row>
    <row r="200" customFormat="false" ht="43.25" hidden="false" customHeight="false" outlineLevel="0" collapsed="false">
      <c r="A200" s="18" t="s">
        <v>1048</v>
      </c>
      <c r="B200" s="18" t="s">
        <v>58</v>
      </c>
      <c r="C200" s="18" t="s">
        <v>59</v>
      </c>
      <c r="D200" s="18" t="s">
        <v>1042</v>
      </c>
      <c r="E200" s="18" t="n">
        <v>153</v>
      </c>
      <c r="F200" s="18" t="s">
        <v>1049</v>
      </c>
      <c r="G200" s="18" t="s">
        <v>145</v>
      </c>
      <c r="H200" s="18" t="s">
        <v>162</v>
      </c>
      <c r="I200" s="18"/>
      <c r="J200" s="18"/>
      <c r="K200" s="18"/>
      <c r="L200" s="18" t="s">
        <v>129</v>
      </c>
      <c r="M200" s="18" t="s">
        <v>129</v>
      </c>
      <c r="N200" s="18"/>
      <c r="O200" s="18"/>
      <c r="P200" s="18" t="s">
        <v>1050</v>
      </c>
      <c r="Q200" s="18" t="s">
        <v>131</v>
      </c>
      <c r="R200" s="18" t="s">
        <v>1051</v>
      </c>
      <c r="S200" s="18" t="s">
        <v>133</v>
      </c>
      <c r="T200" s="18" t="s">
        <v>1052</v>
      </c>
      <c r="U200" s="18"/>
      <c r="V200" s="19" t="s">
        <v>29</v>
      </c>
      <c r="W200" s="19"/>
      <c r="X200" s="19"/>
      <c r="Y200" s="20"/>
      <c r="Z200" s="19"/>
      <c r="AA200" s="18" t="str">
        <f aca="false">IF(OR(V200="Aprobada"),R200,IF(AND(OR(V200="Aprobada con ajuste",V200="Rechazada"),W200&lt;&gt;""),W200,""))</f>
        <v/>
      </c>
    </row>
    <row r="201" customFormat="false" ht="32.8" hidden="false" customHeight="false" outlineLevel="0" collapsed="false">
      <c r="A201" s="18" t="s">
        <v>1053</v>
      </c>
      <c r="B201" s="18" t="s">
        <v>58</v>
      </c>
      <c r="C201" s="18" t="s">
        <v>59</v>
      </c>
      <c r="D201" s="18" t="s">
        <v>1042</v>
      </c>
      <c r="E201" s="18" t="n">
        <v>153</v>
      </c>
      <c r="F201" s="18" t="s">
        <v>1054</v>
      </c>
      <c r="G201" s="18" t="s">
        <v>128</v>
      </c>
      <c r="H201" s="18" t="s">
        <v>162</v>
      </c>
      <c r="I201" s="18"/>
      <c r="J201" s="18"/>
      <c r="K201" s="18"/>
      <c r="L201" s="18" t="s">
        <v>129</v>
      </c>
      <c r="M201" s="18" t="s">
        <v>129</v>
      </c>
      <c r="N201" s="18"/>
      <c r="O201" s="18"/>
      <c r="P201" s="18" t="s">
        <v>1055</v>
      </c>
      <c r="Q201" s="18" t="s">
        <v>138</v>
      </c>
      <c r="R201" s="18" t="s">
        <v>1056</v>
      </c>
      <c r="S201" s="18" t="s">
        <v>140</v>
      </c>
      <c r="T201" s="18" t="s">
        <v>141</v>
      </c>
      <c r="U201" s="18"/>
      <c r="V201" s="19" t="s">
        <v>29</v>
      </c>
      <c r="W201" s="19"/>
      <c r="X201" s="19"/>
      <c r="Y201" s="20"/>
      <c r="Z201" s="19"/>
      <c r="AA201" s="18" t="str">
        <f aca="false">IF(OR(V201="Aprobada"),R201,IF(AND(OR(V201="Aprobada con ajuste",V201="Rechazada"),W201&lt;&gt;""),W201,""))</f>
        <v/>
      </c>
    </row>
    <row r="202" customFormat="false" ht="32.8" hidden="false" customHeight="false" outlineLevel="0" collapsed="false">
      <c r="A202" s="18" t="s">
        <v>1057</v>
      </c>
      <c r="B202" s="18" t="s">
        <v>58</v>
      </c>
      <c r="C202" s="18" t="s">
        <v>59</v>
      </c>
      <c r="D202" s="18" t="s">
        <v>1042</v>
      </c>
      <c r="E202" s="18" t="n">
        <v>153</v>
      </c>
      <c r="F202" s="18" t="s">
        <v>1058</v>
      </c>
      <c r="G202" s="18" t="s">
        <v>180</v>
      </c>
      <c r="H202" s="18" t="s">
        <v>162</v>
      </c>
      <c r="I202" s="18"/>
      <c r="J202" s="18"/>
      <c r="K202" s="18"/>
      <c r="L202" s="18" t="s">
        <v>129</v>
      </c>
      <c r="M202" s="18" t="s">
        <v>129</v>
      </c>
      <c r="N202" s="18"/>
      <c r="O202" s="18"/>
      <c r="P202" s="18" t="s">
        <v>1059</v>
      </c>
      <c r="Q202" s="18" t="s">
        <v>131</v>
      </c>
      <c r="R202" s="18" t="s">
        <v>1060</v>
      </c>
      <c r="S202" s="18" t="s">
        <v>133</v>
      </c>
      <c r="T202" s="18" t="s">
        <v>1061</v>
      </c>
      <c r="U202" s="18"/>
      <c r="V202" s="19" t="s">
        <v>29</v>
      </c>
      <c r="W202" s="19"/>
      <c r="X202" s="19"/>
      <c r="Y202" s="20"/>
      <c r="Z202" s="19"/>
      <c r="AA202" s="18" t="str">
        <f aca="false">IF(OR(V202="Aprobada"),R202,IF(AND(OR(V202="Aprobada con ajuste",V202="Rechazada"),W202&lt;&gt;""),W202,""))</f>
        <v/>
      </c>
    </row>
    <row r="203" customFormat="false" ht="64.15" hidden="false" customHeight="false" outlineLevel="0" collapsed="false">
      <c r="A203" s="18" t="s">
        <v>1062</v>
      </c>
      <c r="B203" s="18" t="s">
        <v>58</v>
      </c>
      <c r="C203" s="18" t="s">
        <v>59</v>
      </c>
      <c r="D203" s="18" t="s">
        <v>1042</v>
      </c>
      <c r="E203" s="18" t="n">
        <v>153</v>
      </c>
      <c r="F203" s="18" t="s">
        <v>1063</v>
      </c>
      <c r="G203" s="18" t="s">
        <v>145</v>
      </c>
      <c r="H203" s="18" t="s">
        <v>129</v>
      </c>
      <c r="I203" s="18" t="s">
        <v>298</v>
      </c>
      <c r="J203" s="18" t="s">
        <v>1064</v>
      </c>
      <c r="K203" s="18"/>
      <c r="L203" s="18" t="s">
        <v>162</v>
      </c>
      <c r="M203" s="18" t="s">
        <v>129</v>
      </c>
      <c r="N203" s="18"/>
      <c r="O203" s="18"/>
      <c r="P203" s="18" t="s">
        <v>1065</v>
      </c>
      <c r="Q203" s="18" t="s">
        <v>131</v>
      </c>
      <c r="R203" s="18" t="s">
        <v>1066</v>
      </c>
      <c r="S203" s="18" t="s">
        <v>133</v>
      </c>
      <c r="T203" s="18" t="s">
        <v>1067</v>
      </c>
      <c r="U203" s="18"/>
      <c r="V203" s="19" t="s">
        <v>29</v>
      </c>
      <c r="W203" s="19"/>
      <c r="X203" s="19"/>
      <c r="Y203" s="20"/>
      <c r="Z203" s="19"/>
      <c r="AA203" s="18" t="str">
        <f aca="false">IF(OR(V203="Aprobada"),R203,IF(AND(OR(V203="Aprobada con ajuste",V203="Rechazada"),W203&lt;&gt;""),W203,""))</f>
        <v/>
      </c>
    </row>
    <row r="204" customFormat="false" ht="22.35" hidden="false" customHeight="false" outlineLevel="0" collapsed="false">
      <c r="A204" s="18" t="s">
        <v>1068</v>
      </c>
      <c r="B204" s="18" t="s">
        <v>58</v>
      </c>
      <c r="C204" s="18" t="s">
        <v>59</v>
      </c>
      <c r="D204" s="18" t="s">
        <v>1069</v>
      </c>
      <c r="E204" s="18" t="n">
        <v>41</v>
      </c>
      <c r="F204" s="18" t="s">
        <v>1070</v>
      </c>
      <c r="G204" s="18" t="s">
        <v>180</v>
      </c>
      <c r="H204" s="18" t="s">
        <v>129</v>
      </c>
      <c r="I204" s="18"/>
      <c r="J204" s="18"/>
      <c r="K204" s="18"/>
      <c r="L204" s="18" t="s">
        <v>129</v>
      </c>
      <c r="M204" s="18" t="s">
        <v>129</v>
      </c>
      <c r="N204" s="18"/>
      <c r="O204" s="18"/>
      <c r="P204" s="18" t="s">
        <v>1071</v>
      </c>
      <c r="Q204" s="18" t="s">
        <v>149</v>
      </c>
      <c r="R204" s="18" t="s">
        <v>1072</v>
      </c>
      <c r="S204" s="18" t="s">
        <v>133</v>
      </c>
      <c r="T204" s="18" t="s">
        <v>1073</v>
      </c>
      <c r="U204" s="18"/>
      <c r="V204" s="19" t="s">
        <v>29</v>
      </c>
      <c r="W204" s="19"/>
      <c r="X204" s="19"/>
      <c r="Y204" s="20"/>
      <c r="Z204" s="19"/>
      <c r="AA204" s="18" t="str">
        <f aca="false">IF(OR(V204="Aprobada"),R204,IF(AND(OR(V204="Aprobada con ajuste",V204="Rechazada"),W204&lt;&gt;""),W204,""))</f>
        <v/>
      </c>
    </row>
    <row r="205" customFormat="false" ht="22.35" hidden="false" customHeight="false" outlineLevel="0" collapsed="false">
      <c r="A205" s="18" t="s">
        <v>1074</v>
      </c>
      <c r="B205" s="18" t="s">
        <v>58</v>
      </c>
      <c r="C205" s="18" t="s">
        <v>59</v>
      </c>
      <c r="D205" s="18" t="s">
        <v>1069</v>
      </c>
      <c r="E205" s="18" t="n">
        <v>41</v>
      </c>
      <c r="F205" s="18" t="s">
        <v>1075</v>
      </c>
      <c r="G205" s="18" t="s">
        <v>180</v>
      </c>
      <c r="H205" s="18" t="s">
        <v>129</v>
      </c>
      <c r="I205" s="18"/>
      <c r="J205" s="18"/>
      <c r="K205" s="18"/>
      <c r="L205" s="18" t="s">
        <v>129</v>
      </c>
      <c r="M205" s="18" t="s">
        <v>129</v>
      </c>
      <c r="N205" s="18"/>
      <c r="O205" s="18"/>
      <c r="P205" s="18" t="s">
        <v>1076</v>
      </c>
      <c r="Q205" s="18" t="s">
        <v>149</v>
      </c>
      <c r="R205" s="18" t="s">
        <v>1077</v>
      </c>
      <c r="S205" s="18" t="s">
        <v>133</v>
      </c>
      <c r="T205" s="18" t="s">
        <v>1078</v>
      </c>
      <c r="U205" s="18"/>
      <c r="V205" s="19" t="s">
        <v>29</v>
      </c>
      <c r="W205" s="19"/>
      <c r="X205" s="19"/>
      <c r="Y205" s="20"/>
      <c r="Z205" s="19"/>
      <c r="AA205" s="18" t="str">
        <f aca="false">IF(OR(V205="Aprobada"),R205,IF(AND(OR(V205="Aprobada con ajuste",V205="Rechazada"),W205&lt;&gt;""),W205,""))</f>
        <v/>
      </c>
    </row>
    <row r="206" customFormat="false" ht="22.35" hidden="false" customHeight="false" outlineLevel="0" collapsed="false">
      <c r="A206" s="18" t="s">
        <v>1079</v>
      </c>
      <c r="B206" s="18" t="s">
        <v>58</v>
      </c>
      <c r="C206" s="18" t="s">
        <v>59</v>
      </c>
      <c r="D206" s="18" t="s">
        <v>1069</v>
      </c>
      <c r="E206" s="18" t="n">
        <v>41</v>
      </c>
      <c r="F206" s="18" t="s">
        <v>1080</v>
      </c>
      <c r="G206" s="18" t="s">
        <v>337</v>
      </c>
      <c r="H206" s="18" t="s">
        <v>129</v>
      </c>
      <c r="I206" s="18"/>
      <c r="J206" s="18"/>
      <c r="K206" s="18"/>
      <c r="L206" s="18" t="s">
        <v>129</v>
      </c>
      <c r="M206" s="18" t="s">
        <v>129</v>
      </c>
      <c r="N206" s="18"/>
      <c r="O206" s="18"/>
      <c r="P206" s="18" t="s">
        <v>1081</v>
      </c>
      <c r="Q206" s="18" t="s">
        <v>138</v>
      </c>
      <c r="R206" s="18" t="s">
        <v>1082</v>
      </c>
      <c r="S206" s="18" t="s">
        <v>140</v>
      </c>
      <c r="T206" s="18" t="s">
        <v>141</v>
      </c>
      <c r="U206" s="18"/>
      <c r="V206" s="19" t="s">
        <v>29</v>
      </c>
      <c r="W206" s="19"/>
      <c r="X206" s="19"/>
      <c r="Y206" s="20"/>
      <c r="Z206" s="19"/>
      <c r="AA206" s="18" t="str">
        <f aca="false">IF(OR(V206="Aprobada"),R206,IF(AND(OR(V206="Aprobada con ajuste",V206="Rechazada"),W206&lt;&gt;""),W206,""))</f>
        <v/>
      </c>
    </row>
    <row r="207" customFormat="false" ht="22.35" hidden="false" customHeight="false" outlineLevel="0" collapsed="false">
      <c r="A207" s="18" t="s">
        <v>1083</v>
      </c>
      <c r="B207" s="18" t="s">
        <v>58</v>
      </c>
      <c r="C207" s="18" t="s">
        <v>59</v>
      </c>
      <c r="D207" s="18" t="s">
        <v>1069</v>
      </c>
      <c r="E207" s="18" t="n">
        <v>41</v>
      </c>
      <c r="F207" s="18" t="s">
        <v>1084</v>
      </c>
      <c r="G207" s="18" t="s">
        <v>503</v>
      </c>
      <c r="H207" s="18" t="s">
        <v>129</v>
      </c>
      <c r="I207" s="18"/>
      <c r="J207" s="18"/>
      <c r="K207" s="18"/>
      <c r="L207" s="18" t="s">
        <v>129</v>
      </c>
      <c r="M207" s="18" t="s">
        <v>129</v>
      </c>
      <c r="N207" s="18"/>
      <c r="O207" s="18"/>
      <c r="P207" s="18" t="s">
        <v>1085</v>
      </c>
      <c r="Q207" s="18" t="s">
        <v>138</v>
      </c>
      <c r="R207" s="18" t="s">
        <v>296</v>
      </c>
      <c r="S207" s="18" t="s">
        <v>140</v>
      </c>
      <c r="T207" s="18" t="s">
        <v>141</v>
      </c>
      <c r="U207" s="18"/>
      <c r="V207" s="19" t="s">
        <v>29</v>
      </c>
      <c r="W207" s="19"/>
      <c r="X207" s="19"/>
      <c r="Y207" s="20"/>
      <c r="Z207" s="19"/>
      <c r="AA207" s="18" t="str">
        <f aca="false">IF(OR(V207="Aprobada"),R207,IF(AND(OR(V207="Aprobada con ajuste",V207="Rechazada"),W207&lt;&gt;""),W207,""))</f>
        <v/>
      </c>
    </row>
    <row r="208" customFormat="false" ht="22.35" hidden="false" customHeight="false" outlineLevel="0" collapsed="false">
      <c r="A208" s="18" t="s">
        <v>1086</v>
      </c>
      <c r="B208" s="18" t="s">
        <v>58</v>
      </c>
      <c r="C208" s="18" t="s">
        <v>59</v>
      </c>
      <c r="D208" s="18" t="s">
        <v>1069</v>
      </c>
      <c r="E208" s="18" t="n">
        <v>41</v>
      </c>
      <c r="F208" s="18" t="s">
        <v>1087</v>
      </c>
      <c r="G208" s="18" t="s">
        <v>180</v>
      </c>
      <c r="H208" s="18" t="s">
        <v>162</v>
      </c>
      <c r="I208" s="18"/>
      <c r="J208" s="18"/>
      <c r="K208" s="18"/>
      <c r="L208" s="18" t="s">
        <v>129</v>
      </c>
      <c r="M208" s="18" t="s">
        <v>129</v>
      </c>
      <c r="N208" s="18"/>
      <c r="O208" s="18"/>
      <c r="P208" s="18" t="s">
        <v>1088</v>
      </c>
      <c r="Q208" s="18" t="s">
        <v>149</v>
      </c>
      <c r="R208" s="18" t="s">
        <v>1089</v>
      </c>
      <c r="S208" s="18" t="s">
        <v>140</v>
      </c>
      <c r="T208" s="18" t="s">
        <v>183</v>
      </c>
      <c r="U208" s="18" t="s">
        <v>1090</v>
      </c>
      <c r="V208" s="19" t="s">
        <v>29</v>
      </c>
      <c r="W208" s="19"/>
      <c r="X208" s="19"/>
      <c r="Y208" s="20"/>
      <c r="Z208" s="19"/>
      <c r="AA208" s="18" t="str">
        <f aca="false">IF(OR(V208="Aprobada"),R208,IF(AND(OR(V208="Aprobada con ajuste",V208="Rechazada"),W208&lt;&gt;""),W208,""))</f>
        <v/>
      </c>
    </row>
    <row r="209" customFormat="false" ht="22.35" hidden="false" customHeight="false" outlineLevel="0" collapsed="false">
      <c r="A209" s="18" t="s">
        <v>1091</v>
      </c>
      <c r="B209" s="18" t="s">
        <v>58</v>
      </c>
      <c r="C209" s="18" t="s">
        <v>59</v>
      </c>
      <c r="D209" s="18" t="s">
        <v>1069</v>
      </c>
      <c r="E209" s="18" t="n">
        <v>41</v>
      </c>
      <c r="F209" s="18" t="s">
        <v>1092</v>
      </c>
      <c r="G209" s="18" t="s">
        <v>317</v>
      </c>
      <c r="H209" s="18" t="s">
        <v>162</v>
      </c>
      <c r="I209" s="18"/>
      <c r="J209" s="18"/>
      <c r="K209" s="18"/>
      <c r="L209" s="18" t="s">
        <v>129</v>
      </c>
      <c r="M209" s="18" t="s">
        <v>129</v>
      </c>
      <c r="N209" s="18"/>
      <c r="O209" s="18"/>
      <c r="P209" s="18" t="s">
        <v>1093</v>
      </c>
      <c r="Q209" s="18" t="s">
        <v>138</v>
      </c>
      <c r="R209" s="18" t="s">
        <v>1094</v>
      </c>
      <c r="S209" s="18" t="s">
        <v>140</v>
      </c>
      <c r="T209" s="18" t="s">
        <v>141</v>
      </c>
      <c r="U209" s="18"/>
      <c r="V209" s="19" t="s">
        <v>29</v>
      </c>
      <c r="W209" s="19"/>
      <c r="X209" s="19"/>
      <c r="Y209" s="20"/>
      <c r="Z209" s="19"/>
      <c r="AA209" s="18" t="str">
        <f aca="false">IF(OR(V209="Aprobada"),R209,IF(AND(OR(V209="Aprobada con ajuste",V209="Rechazada"),W209&lt;&gt;""),W209,""))</f>
        <v/>
      </c>
    </row>
    <row r="210" customFormat="false" ht="32.8" hidden="false" customHeight="false" outlineLevel="0" collapsed="false">
      <c r="A210" s="18" t="s">
        <v>1095</v>
      </c>
      <c r="B210" s="18" t="s">
        <v>58</v>
      </c>
      <c r="C210" s="18" t="s">
        <v>59</v>
      </c>
      <c r="D210" s="18" t="s">
        <v>1096</v>
      </c>
      <c r="E210" s="18" t="n">
        <v>1</v>
      </c>
      <c r="F210" s="18" t="s">
        <v>485</v>
      </c>
      <c r="G210" s="18" t="s">
        <v>180</v>
      </c>
      <c r="H210" s="18" t="s">
        <v>129</v>
      </c>
      <c r="I210" s="18" t="s">
        <v>298</v>
      </c>
      <c r="J210" s="18"/>
      <c r="K210" s="18"/>
      <c r="L210" s="18" t="s">
        <v>162</v>
      </c>
      <c r="M210" s="18" t="s">
        <v>129</v>
      </c>
      <c r="N210" s="18"/>
      <c r="O210" s="18"/>
      <c r="P210" s="18" t="s">
        <v>1097</v>
      </c>
      <c r="Q210" s="18" t="s">
        <v>138</v>
      </c>
      <c r="R210" s="18" t="s">
        <v>1098</v>
      </c>
      <c r="S210" s="18" t="s">
        <v>140</v>
      </c>
      <c r="T210" s="18" t="s">
        <v>141</v>
      </c>
      <c r="U210" s="18"/>
      <c r="V210" s="19" t="s">
        <v>29</v>
      </c>
      <c r="W210" s="19"/>
      <c r="X210" s="19"/>
      <c r="Y210" s="20"/>
      <c r="Z210" s="19"/>
      <c r="AA210" s="18" t="str">
        <f aca="false">IF(OR(V210="Aprobada"),R210,IF(AND(OR(V210="Aprobada con ajuste",V210="Rechazada"),W210&lt;&gt;""),W210,""))</f>
        <v/>
      </c>
    </row>
    <row r="211" customFormat="false" ht="32.8" hidden="false" customHeight="false" outlineLevel="0" collapsed="false">
      <c r="A211" s="18" t="s">
        <v>1099</v>
      </c>
      <c r="B211" s="18" t="s">
        <v>58</v>
      </c>
      <c r="C211" s="18" t="s">
        <v>59</v>
      </c>
      <c r="D211" s="18" t="s">
        <v>1096</v>
      </c>
      <c r="E211" s="18" t="n">
        <v>1</v>
      </c>
      <c r="F211" s="18" t="s">
        <v>1100</v>
      </c>
      <c r="G211" s="18" t="s">
        <v>180</v>
      </c>
      <c r="H211" s="18" t="s">
        <v>129</v>
      </c>
      <c r="I211" s="18" t="s">
        <v>1101</v>
      </c>
      <c r="J211" s="18"/>
      <c r="K211" s="18"/>
      <c r="L211" s="18" t="s">
        <v>162</v>
      </c>
      <c r="M211" s="18" t="s">
        <v>129</v>
      </c>
      <c r="N211" s="18"/>
      <c r="O211" s="18" t="s">
        <v>1102</v>
      </c>
      <c r="P211" s="18" t="s">
        <v>1103</v>
      </c>
      <c r="Q211" s="18" t="s">
        <v>149</v>
      </c>
      <c r="R211" s="18" t="s">
        <v>1104</v>
      </c>
      <c r="S211" s="18" t="s">
        <v>140</v>
      </c>
      <c r="T211" s="18" t="s">
        <v>1105</v>
      </c>
      <c r="U211" s="18" t="s">
        <v>1106</v>
      </c>
      <c r="V211" s="19" t="s">
        <v>29</v>
      </c>
      <c r="W211" s="19"/>
      <c r="X211" s="19"/>
      <c r="Y211" s="20"/>
      <c r="Z211" s="19"/>
      <c r="AA211" s="18" t="str">
        <f aca="false">IF(OR(V211="Aprobada"),R211,IF(AND(OR(V211="Aprobada con ajuste",V211="Rechazada"),W211&lt;&gt;""),W211,""))</f>
        <v/>
      </c>
    </row>
    <row r="212" customFormat="false" ht="43.25" hidden="false" customHeight="false" outlineLevel="0" collapsed="false">
      <c r="A212" s="18" t="s">
        <v>1107</v>
      </c>
      <c r="B212" s="18" t="s">
        <v>58</v>
      </c>
      <c r="C212" s="18" t="s">
        <v>59</v>
      </c>
      <c r="D212" s="18" t="s">
        <v>1108</v>
      </c>
      <c r="E212" s="18" t="n">
        <v>10429</v>
      </c>
      <c r="F212" s="18" t="s">
        <v>1109</v>
      </c>
      <c r="G212" s="18" t="s">
        <v>312</v>
      </c>
      <c r="H212" s="18" t="s">
        <v>129</v>
      </c>
      <c r="I212" s="18"/>
      <c r="J212" s="18"/>
      <c r="K212" s="18"/>
      <c r="L212" s="18" t="s">
        <v>129</v>
      </c>
      <c r="M212" s="18" t="s">
        <v>129</v>
      </c>
      <c r="N212" s="18"/>
      <c r="O212" s="18" t="s">
        <v>1110</v>
      </c>
      <c r="P212" s="18" t="s">
        <v>1111</v>
      </c>
      <c r="Q212" s="18" t="s">
        <v>131</v>
      </c>
      <c r="R212" s="18" t="s">
        <v>1112</v>
      </c>
      <c r="S212" s="18" t="s">
        <v>140</v>
      </c>
      <c r="T212" s="18" t="s">
        <v>1113</v>
      </c>
      <c r="U212" s="18" t="s">
        <v>1114</v>
      </c>
      <c r="V212" s="19" t="s">
        <v>29</v>
      </c>
      <c r="W212" s="19"/>
      <c r="X212" s="19"/>
      <c r="Y212" s="20"/>
      <c r="Z212" s="19"/>
      <c r="AA212" s="18" t="str">
        <f aca="false">IF(OR(V212="Aprobada"),R212,IF(AND(OR(V212="Aprobada con ajuste",V212="Rechazada"),W212&lt;&gt;""),W212,""))</f>
        <v/>
      </c>
    </row>
    <row r="213" customFormat="false" ht="22.35" hidden="false" customHeight="false" outlineLevel="0" collapsed="false">
      <c r="A213" s="18" t="s">
        <v>1115</v>
      </c>
      <c r="B213" s="18" t="s">
        <v>58</v>
      </c>
      <c r="C213" s="18" t="s">
        <v>59</v>
      </c>
      <c r="D213" s="18" t="s">
        <v>1108</v>
      </c>
      <c r="E213" s="18" t="n">
        <v>10429</v>
      </c>
      <c r="F213" s="18" t="s">
        <v>1116</v>
      </c>
      <c r="G213" s="18" t="s">
        <v>180</v>
      </c>
      <c r="H213" s="18" t="s">
        <v>129</v>
      </c>
      <c r="I213" s="18" t="s">
        <v>298</v>
      </c>
      <c r="J213" s="18"/>
      <c r="K213" s="18"/>
      <c r="L213" s="18" t="s">
        <v>129</v>
      </c>
      <c r="M213" s="18" t="s">
        <v>162</v>
      </c>
      <c r="N213" s="18" t="s">
        <v>1117</v>
      </c>
      <c r="O213" s="18"/>
      <c r="P213" s="18" t="s">
        <v>1118</v>
      </c>
      <c r="Q213" s="18" t="s">
        <v>149</v>
      </c>
      <c r="R213" s="18" t="s">
        <v>1119</v>
      </c>
      <c r="S213" s="18" t="s">
        <v>133</v>
      </c>
      <c r="T213" s="18" t="s">
        <v>183</v>
      </c>
      <c r="U213" s="18"/>
      <c r="V213" s="19" t="s">
        <v>29</v>
      </c>
      <c r="W213" s="19"/>
      <c r="X213" s="19"/>
      <c r="Y213" s="20"/>
      <c r="Z213" s="19"/>
      <c r="AA213" s="18" t="str">
        <f aca="false">IF(OR(V213="Aprobada"),R213,IF(AND(OR(V213="Aprobada con ajuste",V213="Rechazada"),W213&lt;&gt;""),W213,""))</f>
        <v/>
      </c>
    </row>
    <row r="214" customFormat="false" ht="43.25" hidden="false" customHeight="false" outlineLevel="0" collapsed="false">
      <c r="A214" s="18" t="s">
        <v>1120</v>
      </c>
      <c r="B214" s="18" t="s">
        <v>58</v>
      </c>
      <c r="C214" s="18" t="s">
        <v>59</v>
      </c>
      <c r="D214" s="18" t="s">
        <v>1108</v>
      </c>
      <c r="E214" s="18" t="n">
        <v>10429</v>
      </c>
      <c r="F214" s="18" t="s">
        <v>1121</v>
      </c>
      <c r="G214" s="18" t="s">
        <v>145</v>
      </c>
      <c r="H214" s="18" t="s">
        <v>129</v>
      </c>
      <c r="I214" s="18" t="s">
        <v>298</v>
      </c>
      <c r="J214" s="18"/>
      <c r="K214" s="18"/>
      <c r="L214" s="18" t="s">
        <v>129</v>
      </c>
      <c r="M214" s="18" t="s">
        <v>162</v>
      </c>
      <c r="N214" s="18" t="s">
        <v>1117</v>
      </c>
      <c r="O214" s="18" t="s">
        <v>1122</v>
      </c>
      <c r="P214" s="18" t="s">
        <v>1123</v>
      </c>
      <c r="Q214" s="18" t="s">
        <v>149</v>
      </c>
      <c r="R214" s="18" t="s">
        <v>1124</v>
      </c>
      <c r="S214" s="18" t="s">
        <v>133</v>
      </c>
      <c r="T214" s="18" t="s">
        <v>1125</v>
      </c>
      <c r="U214" s="18"/>
      <c r="V214" s="19" t="s">
        <v>29</v>
      </c>
      <c r="W214" s="19"/>
      <c r="X214" s="19"/>
      <c r="Y214" s="20"/>
      <c r="Z214" s="19"/>
      <c r="AA214" s="18" t="str">
        <f aca="false">IF(OR(V214="Aprobada"),R214,IF(AND(OR(V214="Aprobada con ajuste",V214="Rechazada"),W214&lt;&gt;""),W214,""))</f>
        <v/>
      </c>
    </row>
    <row r="215" customFormat="false" ht="22.35" hidden="false" customHeight="false" outlineLevel="0" collapsed="false">
      <c r="A215" s="18" t="s">
        <v>1126</v>
      </c>
      <c r="B215" s="18" t="s">
        <v>58</v>
      </c>
      <c r="C215" s="18" t="s">
        <v>59</v>
      </c>
      <c r="D215" s="18" t="s">
        <v>1108</v>
      </c>
      <c r="E215" s="18" t="n">
        <v>10429</v>
      </c>
      <c r="F215" s="18" t="s">
        <v>1127</v>
      </c>
      <c r="G215" s="18" t="s">
        <v>180</v>
      </c>
      <c r="H215" s="18" t="s">
        <v>162</v>
      </c>
      <c r="I215" s="18" t="s">
        <v>298</v>
      </c>
      <c r="J215" s="18"/>
      <c r="K215" s="18"/>
      <c r="L215" s="18" t="s">
        <v>129</v>
      </c>
      <c r="M215" s="18" t="s">
        <v>162</v>
      </c>
      <c r="N215" s="18" t="s">
        <v>1117</v>
      </c>
      <c r="O215" s="18"/>
      <c r="P215" s="18" t="s">
        <v>1128</v>
      </c>
      <c r="Q215" s="18" t="s">
        <v>138</v>
      </c>
      <c r="R215" s="18" t="s">
        <v>1129</v>
      </c>
      <c r="S215" s="18" t="s">
        <v>140</v>
      </c>
      <c r="T215" s="18" t="s">
        <v>141</v>
      </c>
      <c r="U215" s="18"/>
      <c r="V215" s="19" t="s">
        <v>29</v>
      </c>
      <c r="W215" s="19"/>
      <c r="X215" s="19"/>
      <c r="Y215" s="20"/>
      <c r="Z215" s="19"/>
      <c r="AA215" s="18" t="str">
        <f aca="false">IF(OR(V215="Aprobada"),R215,IF(AND(OR(V215="Aprobada con ajuste",V215="Rechazada"),W215&lt;&gt;""),W215,""))</f>
        <v/>
      </c>
    </row>
    <row r="216" customFormat="false" ht="22.35" hidden="false" customHeight="false" outlineLevel="0" collapsed="false">
      <c r="A216" s="18" t="s">
        <v>1130</v>
      </c>
      <c r="B216" s="18" t="s">
        <v>58</v>
      </c>
      <c r="C216" s="18" t="s">
        <v>59</v>
      </c>
      <c r="D216" s="18" t="s">
        <v>1108</v>
      </c>
      <c r="E216" s="18" t="n">
        <v>10429</v>
      </c>
      <c r="F216" s="18" t="s">
        <v>1131</v>
      </c>
      <c r="G216" s="18" t="s">
        <v>145</v>
      </c>
      <c r="H216" s="18" t="s">
        <v>162</v>
      </c>
      <c r="I216" s="18"/>
      <c r="J216" s="18"/>
      <c r="K216" s="18"/>
      <c r="L216" s="18" t="s">
        <v>129</v>
      </c>
      <c r="M216" s="18" t="s">
        <v>129</v>
      </c>
      <c r="N216" s="18"/>
      <c r="O216" s="18"/>
      <c r="P216" s="18" t="s">
        <v>1132</v>
      </c>
      <c r="Q216" s="18" t="s">
        <v>149</v>
      </c>
      <c r="R216" s="18" t="s">
        <v>1133</v>
      </c>
      <c r="S216" s="18" t="s">
        <v>133</v>
      </c>
      <c r="T216" s="18" t="s">
        <v>183</v>
      </c>
      <c r="U216" s="18"/>
      <c r="V216" s="19" t="s">
        <v>29</v>
      </c>
      <c r="W216" s="19"/>
      <c r="X216" s="19"/>
      <c r="Y216" s="20"/>
      <c r="Z216" s="19"/>
      <c r="AA216" s="18" t="str">
        <f aca="false">IF(OR(V216="Aprobada"),R216,IF(AND(OR(V216="Aprobada con ajuste",V216="Rechazada"),W216&lt;&gt;""),W216,""))</f>
        <v/>
      </c>
    </row>
    <row r="217" customFormat="false" ht="43.25" hidden="false" customHeight="false" outlineLevel="0" collapsed="false">
      <c r="A217" s="18" t="s">
        <v>1134</v>
      </c>
      <c r="B217" s="18" t="s">
        <v>58</v>
      </c>
      <c r="C217" s="18" t="s">
        <v>59</v>
      </c>
      <c r="D217" s="18" t="s">
        <v>1108</v>
      </c>
      <c r="E217" s="18" t="n">
        <v>10429</v>
      </c>
      <c r="F217" s="18" t="s">
        <v>1135</v>
      </c>
      <c r="G217" s="18" t="s">
        <v>312</v>
      </c>
      <c r="H217" s="18" t="s">
        <v>129</v>
      </c>
      <c r="I217" s="18"/>
      <c r="J217" s="18"/>
      <c r="K217" s="18"/>
      <c r="L217" s="18" t="s">
        <v>129</v>
      </c>
      <c r="M217" s="18" t="s">
        <v>129</v>
      </c>
      <c r="N217" s="18"/>
      <c r="O217" s="18" t="s">
        <v>1136</v>
      </c>
      <c r="P217" s="18" t="s">
        <v>1137</v>
      </c>
      <c r="Q217" s="18" t="s">
        <v>131</v>
      </c>
      <c r="R217" s="18" t="s">
        <v>1138</v>
      </c>
      <c r="S217" s="18" t="s">
        <v>133</v>
      </c>
      <c r="T217" s="18" t="s">
        <v>1139</v>
      </c>
      <c r="U217" s="18"/>
      <c r="V217" s="19" t="s">
        <v>29</v>
      </c>
      <c r="W217" s="19"/>
      <c r="X217" s="19"/>
      <c r="Y217" s="20"/>
      <c r="Z217" s="19"/>
      <c r="AA217" s="18" t="str">
        <f aca="false">IF(OR(V217="Aprobada"),R217,IF(AND(OR(V217="Aprobada con ajuste",V217="Rechazada"),W217&lt;&gt;""),W217,""))</f>
        <v/>
      </c>
    </row>
    <row r="218" customFormat="false" ht="22.35" hidden="false" customHeight="false" outlineLevel="0" collapsed="false">
      <c r="A218" s="18" t="s">
        <v>1140</v>
      </c>
      <c r="B218" s="18" t="s">
        <v>58</v>
      </c>
      <c r="C218" s="18" t="s">
        <v>59</v>
      </c>
      <c r="D218" s="18" t="s">
        <v>1108</v>
      </c>
      <c r="E218" s="18" t="n">
        <v>10429</v>
      </c>
      <c r="F218" s="18" t="s">
        <v>1141</v>
      </c>
      <c r="G218" s="18" t="s">
        <v>180</v>
      </c>
      <c r="H218" s="18" t="s">
        <v>129</v>
      </c>
      <c r="I218" s="18"/>
      <c r="J218" s="18"/>
      <c r="K218" s="18"/>
      <c r="L218" s="18" t="s">
        <v>129</v>
      </c>
      <c r="M218" s="18" t="s">
        <v>129</v>
      </c>
      <c r="N218" s="18"/>
      <c r="O218" s="18" t="s">
        <v>1142</v>
      </c>
      <c r="P218" s="18" t="s">
        <v>1143</v>
      </c>
      <c r="Q218" s="18" t="s">
        <v>149</v>
      </c>
      <c r="R218" s="18" t="s">
        <v>1144</v>
      </c>
      <c r="S218" s="18" t="s">
        <v>133</v>
      </c>
      <c r="T218" s="18" t="s">
        <v>1125</v>
      </c>
      <c r="U218" s="18"/>
      <c r="V218" s="19" t="s">
        <v>29</v>
      </c>
      <c r="W218" s="19"/>
      <c r="X218" s="19"/>
      <c r="Y218" s="20"/>
      <c r="Z218" s="19"/>
      <c r="AA218" s="18" t="str">
        <f aca="false">IF(OR(V218="Aprobada"),R218,IF(AND(OR(V218="Aprobada con ajuste",V218="Rechazada"),W218&lt;&gt;""),W218,""))</f>
        <v/>
      </c>
    </row>
    <row r="219" customFormat="false" ht="43.25" hidden="false" customHeight="false" outlineLevel="0" collapsed="false">
      <c r="A219" s="18" t="s">
        <v>1145</v>
      </c>
      <c r="B219" s="18" t="s">
        <v>58</v>
      </c>
      <c r="C219" s="18" t="s">
        <v>59</v>
      </c>
      <c r="D219" s="18" t="s">
        <v>1108</v>
      </c>
      <c r="E219" s="18" t="n">
        <v>10429</v>
      </c>
      <c r="F219" s="18" t="s">
        <v>1146</v>
      </c>
      <c r="G219" s="18" t="s">
        <v>145</v>
      </c>
      <c r="H219" s="18" t="s">
        <v>129</v>
      </c>
      <c r="I219" s="18"/>
      <c r="J219" s="18"/>
      <c r="K219" s="18"/>
      <c r="L219" s="18" t="s">
        <v>129</v>
      </c>
      <c r="M219" s="18" t="s">
        <v>129</v>
      </c>
      <c r="N219" s="18"/>
      <c r="O219" s="18"/>
      <c r="P219" s="18" t="s">
        <v>1147</v>
      </c>
      <c r="Q219" s="18" t="s">
        <v>131</v>
      </c>
      <c r="R219" s="18" t="s">
        <v>1148</v>
      </c>
      <c r="S219" s="18" t="s">
        <v>133</v>
      </c>
      <c r="T219" s="18" t="s">
        <v>1149</v>
      </c>
      <c r="U219" s="18"/>
      <c r="V219" s="19" t="s">
        <v>29</v>
      </c>
      <c r="W219" s="19"/>
      <c r="X219" s="19"/>
      <c r="Y219" s="20"/>
      <c r="Z219" s="19"/>
      <c r="AA219" s="18" t="str">
        <f aca="false">IF(OR(V219="Aprobada"),R219,IF(AND(OR(V219="Aprobada con ajuste",V219="Rechazada"),W219&lt;&gt;""),W219,""))</f>
        <v/>
      </c>
    </row>
    <row r="220" customFormat="false" ht="43.25" hidden="false" customHeight="false" outlineLevel="0" collapsed="false">
      <c r="A220" s="18" t="s">
        <v>1150</v>
      </c>
      <c r="B220" s="18" t="s">
        <v>58</v>
      </c>
      <c r="C220" s="18" t="s">
        <v>59</v>
      </c>
      <c r="D220" s="18" t="s">
        <v>1108</v>
      </c>
      <c r="E220" s="18" t="n">
        <v>10429</v>
      </c>
      <c r="F220" s="18" t="s">
        <v>1151</v>
      </c>
      <c r="G220" s="18" t="s">
        <v>137</v>
      </c>
      <c r="H220" s="18" t="s">
        <v>162</v>
      </c>
      <c r="I220" s="18"/>
      <c r="J220" s="18"/>
      <c r="K220" s="18"/>
      <c r="L220" s="18" t="s">
        <v>129</v>
      </c>
      <c r="M220" s="18" t="s">
        <v>129</v>
      </c>
      <c r="N220" s="18"/>
      <c r="O220" s="18"/>
      <c r="P220" s="18" t="s">
        <v>1152</v>
      </c>
      <c r="Q220" s="18" t="s">
        <v>131</v>
      </c>
      <c r="R220" s="18" t="s">
        <v>1153</v>
      </c>
      <c r="S220" s="18" t="s">
        <v>140</v>
      </c>
      <c r="T220" s="18" t="s">
        <v>1154</v>
      </c>
      <c r="U220" s="18" t="s">
        <v>1155</v>
      </c>
      <c r="V220" s="19" t="s">
        <v>29</v>
      </c>
      <c r="W220" s="19"/>
      <c r="X220" s="19"/>
      <c r="Y220" s="20"/>
      <c r="Z220" s="19"/>
      <c r="AA220" s="18" t="str">
        <f aca="false">IF(OR(V220="Aprobada"),R220,IF(AND(OR(V220="Aprobada con ajuste",V220="Rechazada"),W220&lt;&gt;""),W220,""))</f>
        <v/>
      </c>
    </row>
    <row r="221" customFormat="false" ht="22.35" hidden="false" customHeight="false" outlineLevel="0" collapsed="false">
      <c r="A221" s="18" t="s">
        <v>1156</v>
      </c>
      <c r="B221" s="18" t="s">
        <v>58</v>
      </c>
      <c r="C221" s="18" t="s">
        <v>59</v>
      </c>
      <c r="D221" s="18" t="s">
        <v>1108</v>
      </c>
      <c r="E221" s="18" t="n">
        <v>10429</v>
      </c>
      <c r="F221" s="18" t="s">
        <v>1157</v>
      </c>
      <c r="G221" s="18" t="s">
        <v>137</v>
      </c>
      <c r="H221" s="18" t="s">
        <v>129</v>
      </c>
      <c r="I221" s="18"/>
      <c r="J221" s="18"/>
      <c r="K221" s="18"/>
      <c r="L221" s="18" t="s">
        <v>129</v>
      </c>
      <c r="M221" s="18" t="s">
        <v>129</v>
      </c>
      <c r="N221" s="18"/>
      <c r="O221" s="18" t="s">
        <v>1158</v>
      </c>
      <c r="P221" s="18" t="s">
        <v>1159</v>
      </c>
      <c r="Q221" s="18" t="s">
        <v>149</v>
      </c>
      <c r="R221" s="18" t="s">
        <v>1160</v>
      </c>
      <c r="S221" s="18" t="s">
        <v>133</v>
      </c>
      <c r="T221" s="18" t="s">
        <v>183</v>
      </c>
      <c r="U221" s="18"/>
      <c r="V221" s="19" t="s">
        <v>29</v>
      </c>
      <c r="W221" s="19"/>
      <c r="X221" s="19"/>
      <c r="Y221" s="20"/>
      <c r="Z221" s="19"/>
      <c r="AA221" s="18" t="str">
        <f aca="false">IF(OR(V221="Aprobada"),R221,IF(AND(OR(V221="Aprobada con ajuste",V221="Rechazada"),W221&lt;&gt;""),W221,""))</f>
        <v/>
      </c>
    </row>
    <row r="222" customFormat="false" ht="22.35" hidden="false" customHeight="false" outlineLevel="0" collapsed="false">
      <c r="A222" s="18" t="s">
        <v>1161</v>
      </c>
      <c r="B222" s="18" t="s">
        <v>58</v>
      </c>
      <c r="C222" s="18" t="s">
        <v>59</v>
      </c>
      <c r="D222" s="18" t="s">
        <v>1108</v>
      </c>
      <c r="E222" s="18" t="n">
        <v>10429</v>
      </c>
      <c r="F222" s="18" t="s">
        <v>1162</v>
      </c>
      <c r="G222" s="18" t="s">
        <v>137</v>
      </c>
      <c r="H222" s="18" t="s">
        <v>162</v>
      </c>
      <c r="I222" s="18"/>
      <c r="J222" s="18"/>
      <c r="K222" s="18"/>
      <c r="L222" s="18" t="s">
        <v>129</v>
      </c>
      <c r="M222" s="18" t="s">
        <v>129</v>
      </c>
      <c r="N222" s="18"/>
      <c r="O222" s="18"/>
      <c r="P222" s="18" t="s">
        <v>1163</v>
      </c>
      <c r="Q222" s="18" t="s">
        <v>149</v>
      </c>
      <c r="R222" s="18" t="s">
        <v>1164</v>
      </c>
      <c r="S222" s="18" t="s">
        <v>133</v>
      </c>
      <c r="T222" s="18" t="s">
        <v>1165</v>
      </c>
      <c r="U222" s="18"/>
      <c r="V222" s="19" t="s">
        <v>29</v>
      </c>
      <c r="W222" s="19"/>
      <c r="X222" s="19"/>
      <c r="Y222" s="20"/>
      <c r="Z222" s="19"/>
      <c r="AA222" s="18" t="str">
        <f aca="false">IF(OR(V222="Aprobada"),R222,IF(AND(OR(V222="Aprobada con ajuste",V222="Rechazada"),W222&lt;&gt;""),W222,""))</f>
        <v/>
      </c>
    </row>
    <row r="223" customFormat="false" ht="43.25" hidden="false" customHeight="false" outlineLevel="0" collapsed="false">
      <c r="A223" s="18" t="s">
        <v>1166</v>
      </c>
      <c r="B223" s="18" t="s">
        <v>58</v>
      </c>
      <c r="C223" s="18" t="s">
        <v>59</v>
      </c>
      <c r="D223" s="18" t="s">
        <v>1108</v>
      </c>
      <c r="E223" s="18" t="n">
        <v>10429</v>
      </c>
      <c r="F223" s="18" t="s">
        <v>1167</v>
      </c>
      <c r="G223" s="18" t="s">
        <v>180</v>
      </c>
      <c r="H223" s="18" t="s">
        <v>129</v>
      </c>
      <c r="I223" s="18"/>
      <c r="J223" s="18"/>
      <c r="K223" s="18"/>
      <c r="L223" s="18" t="s">
        <v>129</v>
      </c>
      <c r="M223" s="18" t="s">
        <v>129</v>
      </c>
      <c r="N223" s="18"/>
      <c r="O223" s="18"/>
      <c r="P223" s="18" t="s">
        <v>1168</v>
      </c>
      <c r="Q223" s="18" t="s">
        <v>131</v>
      </c>
      <c r="R223" s="18" t="s">
        <v>1169</v>
      </c>
      <c r="S223" s="18" t="s">
        <v>133</v>
      </c>
      <c r="T223" s="18" t="s">
        <v>1170</v>
      </c>
      <c r="U223" s="18"/>
      <c r="V223" s="19" t="s">
        <v>29</v>
      </c>
      <c r="W223" s="19"/>
      <c r="X223" s="19"/>
      <c r="Y223" s="20"/>
      <c r="Z223" s="19"/>
      <c r="AA223" s="18" t="str">
        <f aca="false">IF(OR(V223="Aprobada"),R223,IF(AND(OR(V223="Aprobada con ajuste",V223="Rechazada"),W223&lt;&gt;""),W223,""))</f>
        <v/>
      </c>
    </row>
    <row r="224" customFormat="false" ht="43.25" hidden="false" customHeight="false" outlineLevel="0" collapsed="false">
      <c r="A224" s="18" t="s">
        <v>1171</v>
      </c>
      <c r="B224" s="18" t="s">
        <v>58</v>
      </c>
      <c r="C224" s="18" t="s">
        <v>59</v>
      </c>
      <c r="D224" s="18" t="s">
        <v>1108</v>
      </c>
      <c r="E224" s="18" t="n">
        <v>10429</v>
      </c>
      <c r="F224" s="18" t="s">
        <v>1172</v>
      </c>
      <c r="G224" s="18" t="s">
        <v>486</v>
      </c>
      <c r="H224" s="18" t="s">
        <v>162</v>
      </c>
      <c r="I224" s="18" t="s">
        <v>146</v>
      </c>
      <c r="J224" s="18"/>
      <c r="K224" s="18"/>
      <c r="L224" s="18" t="s">
        <v>129</v>
      </c>
      <c r="M224" s="18" t="s">
        <v>129</v>
      </c>
      <c r="N224" s="18"/>
      <c r="O224" s="18" t="s">
        <v>1173</v>
      </c>
      <c r="P224" s="18" t="s">
        <v>1174</v>
      </c>
      <c r="Q224" s="18" t="s">
        <v>149</v>
      </c>
      <c r="R224" s="18" t="s">
        <v>1175</v>
      </c>
      <c r="S224" s="18" t="s">
        <v>133</v>
      </c>
      <c r="T224" s="18" t="s">
        <v>1105</v>
      </c>
      <c r="U224" s="18"/>
      <c r="V224" s="19" t="s">
        <v>29</v>
      </c>
      <c r="W224" s="19"/>
      <c r="X224" s="19"/>
      <c r="Y224" s="20"/>
      <c r="Z224" s="19"/>
      <c r="AA224" s="18" t="str">
        <f aca="false">IF(OR(V224="Aprobada"),R224,IF(AND(OR(V224="Aprobada con ajuste",V224="Rechazada"),W224&lt;&gt;""),W224,""))</f>
        <v/>
      </c>
    </row>
    <row r="225" customFormat="false" ht="32.8" hidden="false" customHeight="false" outlineLevel="0" collapsed="false">
      <c r="A225" s="18" t="s">
        <v>1176</v>
      </c>
      <c r="B225" s="18" t="s">
        <v>58</v>
      </c>
      <c r="C225" s="18" t="s">
        <v>59</v>
      </c>
      <c r="D225" s="18" t="s">
        <v>1108</v>
      </c>
      <c r="E225" s="18" t="n">
        <v>10429</v>
      </c>
      <c r="F225" s="18" t="s">
        <v>1177</v>
      </c>
      <c r="G225" s="18" t="s">
        <v>486</v>
      </c>
      <c r="H225" s="18" t="s">
        <v>162</v>
      </c>
      <c r="I225" s="18"/>
      <c r="J225" s="18"/>
      <c r="K225" s="18"/>
      <c r="L225" s="18" t="s">
        <v>129</v>
      </c>
      <c r="M225" s="18" t="s">
        <v>129</v>
      </c>
      <c r="N225" s="18"/>
      <c r="O225" s="18"/>
      <c r="P225" s="18" t="s">
        <v>1178</v>
      </c>
      <c r="Q225" s="18" t="s">
        <v>131</v>
      </c>
      <c r="R225" s="18" t="s">
        <v>1179</v>
      </c>
      <c r="S225" s="18" t="s">
        <v>133</v>
      </c>
      <c r="T225" s="18" t="s">
        <v>1180</v>
      </c>
      <c r="U225" s="18"/>
      <c r="V225" s="19" t="s">
        <v>29</v>
      </c>
      <c r="W225" s="19"/>
      <c r="X225" s="19"/>
      <c r="Y225" s="20"/>
      <c r="Z225" s="19"/>
      <c r="AA225" s="18" t="str">
        <f aca="false">IF(OR(V225="Aprobada"),R225,IF(AND(OR(V225="Aprobada con ajuste",V225="Rechazada"),W225&lt;&gt;""),W225,""))</f>
        <v/>
      </c>
    </row>
    <row r="226" customFormat="false" ht="53.7" hidden="false" customHeight="false" outlineLevel="0" collapsed="false">
      <c r="A226" s="18" t="s">
        <v>1181</v>
      </c>
      <c r="B226" s="18" t="s">
        <v>58</v>
      </c>
      <c r="C226" s="18" t="s">
        <v>59</v>
      </c>
      <c r="D226" s="18" t="s">
        <v>1108</v>
      </c>
      <c r="E226" s="18" t="n">
        <v>10429</v>
      </c>
      <c r="F226" s="18" t="s">
        <v>1023</v>
      </c>
      <c r="G226" s="18" t="s">
        <v>145</v>
      </c>
      <c r="H226" s="18" t="s">
        <v>162</v>
      </c>
      <c r="I226" s="18" t="s">
        <v>298</v>
      </c>
      <c r="J226" s="18" t="s">
        <v>1182</v>
      </c>
      <c r="K226" s="18"/>
      <c r="L226" s="18" t="s">
        <v>162</v>
      </c>
      <c r="M226" s="18" t="s">
        <v>129</v>
      </c>
      <c r="N226" s="18"/>
      <c r="O226" s="18"/>
      <c r="P226" s="18" t="s">
        <v>1183</v>
      </c>
      <c r="Q226" s="18" t="s">
        <v>131</v>
      </c>
      <c r="R226" s="18" t="s">
        <v>1184</v>
      </c>
      <c r="S226" s="18" t="s">
        <v>133</v>
      </c>
      <c r="T226" s="18" t="s">
        <v>1185</v>
      </c>
      <c r="U226" s="18"/>
      <c r="V226" s="19" t="s">
        <v>29</v>
      </c>
      <c r="W226" s="19"/>
      <c r="X226" s="19"/>
      <c r="Y226" s="20"/>
      <c r="Z226" s="19"/>
      <c r="AA226" s="18" t="str">
        <f aca="false">IF(OR(V226="Aprobada"),R226,IF(AND(OR(V226="Aprobada con ajuste",V226="Rechazada"),W226&lt;&gt;""),W226,""))</f>
        <v/>
      </c>
    </row>
    <row r="227" customFormat="false" ht="22.35" hidden="false" customHeight="false" outlineLevel="0" collapsed="false">
      <c r="A227" s="18" t="s">
        <v>1186</v>
      </c>
      <c r="B227" s="18" t="s">
        <v>58</v>
      </c>
      <c r="C227" s="18" t="s">
        <v>59</v>
      </c>
      <c r="D227" s="18" t="s">
        <v>1108</v>
      </c>
      <c r="E227" s="18" t="n">
        <v>10429</v>
      </c>
      <c r="F227" s="18" t="s">
        <v>1187</v>
      </c>
      <c r="G227" s="18" t="s">
        <v>173</v>
      </c>
      <c r="H227" s="18" t="s">
        <v>162</v>
      </c>
      <c r="I227" s="18"/>
      <c r="J227" s="18"/>
      <c r="K227" s="18"/>
      <c r="L227" s="18" t="s">
        <v>129</v>
      </c>
      <c r="M227" s="18" t="s">
        <v>129</v>
      </c>
      <c r="N227" s="18"/>
      <c r="O227" s="18"/>
      <c r="P227" s="18" t="s">
        <v>1188</v>
      </c>
      <c r="Q227" s="18" t="s">
        <v>138</v>
      </c>
      <c r="R227" s="18" t="s">
        <v>1189</v>
      </c>
      <c r="S227" s="18" t="s">
        <v>140</v>
      </c>
      <c r="T227" s="18" t="s">
        <v>141</v>
      </c>
      <c r="U227" s="18"/>
      <c r="V227" s="19" t="s">
        <v>29</v>
      </c>
      <c r="W227" s="19"/>
      <c r="X227" s="19"/>
      <c r="Y227" s="20"/>
      <c r="Z227" s="19"/>
      <c r="AA227" s="18" t="str">
        <f aca="false">IF(OR(V227="Aprobada"),R227,IF(AND(OR(V227="Aprobada con ajuste",V227="Rechazada"),W227&lt;&gt;""),W227,""))</f>
        <v/>
      </c>
    </row>
    <row r="228" customFormat="false" ht="43.25" hidden="false" customHeight="false" outlineLevel="0" collapsed="false">
      <c r="A228" s="18" t="s">
        <v>1190</v>
      </c>
      <c r="B228" s="18" t="s">
        <v>58</v>
      </c>
      <c r="C228" s="18" t="s">
        <v>59</v>
      </c>
      <c r="D228" s="18" t="s">
        <v>1108</v>
      </c>
      <c r="E228" s="18" t="n">
        <v>10429</v>
      </c>
      <c r="F228" s="18" t="s">
        <v>1191</v>
      </c>
      <c r="G228" s="18" t="s">
        <v>486</v>
      </c>
      <c r="H228" s="18" t="s">
        <v>162</v>
      </c>
      <c r="I228" s="18"/>
      <c r="J228" s="18"/>
      <c r="K228" s="18"/>
      <c r="L228" s="18" t="s">
        <v>129</v>
      </c>
      <c r="M228" s="18" t="s">
        <v>129</v>
      </c>
      <c r="N228" s="18"/>
      <c r="O228" s="18"/>
      <c r="P228" s="18" t="s">
        <v>1192</v>
      </c>
      <c r="Q228" s="18" t="s">
        <v>131</v>
      </c>
      <c r="R228" s="18" t="s">
        <v>1193</v>
      </c>
      <c r="S228" s="18" t="s">
        <v>133</v>
      </c>
      <c r="T228" s="18" t="s">
        <v>1194</v>
      </c>
      <c r="U228" s="18"/>
      <c r="V228" s="19" t="s">
        <v>29</v>
      </c>
      <c r="W228" s="19"/>
      <c r="X228" s="19"/>
      <c r="Y228" s="20"/>
      <c r="Z228" s="19"/>
      <c r="AA228" s="18" t="str">
        <f aca="false">IF(OR(V228="Aprobada"),R228,IF(AND(OR(V228="Aprobada con ajuste",V228="Rechazada"),W228&lt;&gt;""),W228,""))</f>
        <v/>
      </c>
    </row>
    <row r="229" customFormat="false" ht="22.35" hidden="false" customHeight="false" outlineLevel="0" collapsed="false">
      <c r="A229" s="18" t="s">
        <v>1195</v>
      </c>
      <c r="B229" s="18" t="s">
        <v>58</v>
      </c>
      <c r="C229" s="18" t="s">
        <v>59</v>
      </c>
      <c r="D229" s="18" t="s">
        <v>1108</v>
      </c>
      <c r="E229" s="18" t="n">
        <v>10429</v>
      </c>
      <c r="F229" s="18" t="s">
        <v>1196</v>
      </c>
      <c r="G229" s="18" t="s">
        <v>180</v>
      </c>
      <c r="H229" s="18" t="s">
        <v>162</v>
      </c>
      <c r="I229" s="18"/>
      <c r="J229" s="18"/>
      <c r="K229" s="18"/>
      <c r="L229" s="18" t="s">
        <v>129</v>
      </c>
      <c r="M229" s="18" t="s">
        <v>162</v>
      </c>
      <c r="N229" s="18" t="s">
        <v>1117</v>
      </c>
      <c r="O229" s="18"/>
      <c r="P229" s="18" t="s">
        <v>1197</v>
      </c>
      <c r="Q229" s="18" t="s">
        <v>149</v>
      </c>
      <c r="R229" s="18" t="s">
        <v>1198</v>
      </c>
      <c r="S229" s="18" t="s">
        <v>133</v>
      </c>
      <c r="T229" s="18" t="s">
        <v>1199</v>
      </c>
      <c r="U229" s="18"/>
      <c r="V229" s="19" t="s">
        <v>29</v>
      </c>
      <c r="W229" s="19"/>
      <c r="X229" s="19"/>
      <c r="Y229" s="20"/>
      <c r="Z229" s="19"/>
      <c r="AA229" s="18" t="str">
        <f aca="false">IF(OR(V229="Aprobada"),R229,IF(AND(OR(V229="Aprobada con ajuste",V229="Rechazada"),W229&lt;&gt;""),W229,""))</f>
        <v/>
      </c>
    </row>
    <row r="230" customFormat="false" ht="22.35" hidden="false" customHeight="false" outlineLevel="0" collapsed="false">
      <c r="A230" s="18" t="s">
        <v>1200</v>
      </c>
      <c r="B230" s="18" t="s">
        <v>58</v>
      </c>
      <c r="C230" s="18" t="s">
        <v>59</v>
      </c>
      <c r="D230" s="18" t="s">
        <v>1108</v>
      </c>
      <c r="E230" s="18" t="n">
        <v>10429</v>
      </c>
      <c r="F230" s="18" t="s">
        <v>1201</v>
      </c>
      <c r="G230" s="18" t="s">
        <v>180</v>
      </c>
      <c r="H230" s="18" t="s">
        <v>162</v>
      </c>
      <c r="I230" s="18"/>
      <c r="J230" s="18"/>
      <c r="K230" s="18"/>
      <c r="L230" s="18" t="s">
        <v>129</v>
      </c>
      <c r="M230" s="18" t="s">
        <v>162</v>
      </c>
      <c r="N230" s="18" t="s">
        <v>1117</v>
      </c>
      <c r="O230" s="18"/>
      <c r="P230" s="18" t="s">
        <v>1202</v>
      </c>
      <c r="Q230" s="18" t="s">
        <v>149</v>
      </c>
      <c r="R230" s="18" t="s">
        <v>1203</v>
      </c>
      <c r="S230" s="18" t="s">
        <v>133</v>
      </c>
      <c r="T230" s="18" t="s">
        <v>1204</v>
      </c>
      <c r="U230" s="18"/>
      <c r="V230" s="19" t="s">
        <v>29</v>
      </c>
      <c r="W230" s="19"/>
      <c r="X230" s="19"/>
      <c r="Y230" s="20"/>
      <c r="Z230" s="19"/>
      <c r="AA230" s="18" t="str">
        <f aca="false">IF(OR(V230="Aprobada"),R230,IF(AND(OR(V230="Aprobada con ajuste",V230="Rechazada"),W230&lt;&gt;""),W230,""))</f>
        <v/>
      </c>
    </row>
    <row r="231" customFormat="false" ht="53.7" hidden="false" customHeight="false" outlineLevel="0" collapsed="false">
      <c r="A231" s="18" t="s">
        <v>1205</v>
      </c>
      <c r="B231" s="18" t="s">
        <v>58</v>
      </c>
      <c r="C231" s="18" t="s">
        <v>59</v>
      </c>
      <c r="D231" s="18" t="s">
        <v>1206</v>
      </c>
      <c r="E231" s="18" t="n">
        <v>392</v>
      </c>
      <c r="F231" s="18" t="s">
        <v>1207</v>
      </c>
      <c r="G231" s="18" t="s">
        <v>486</v>
      </c>
      <c r="H231" s="18" t="s">
        <v>129</v>
      </c>
      <c r="I231" s="18" t="s">
        <v>146</v>
      </c>
      <c r="J231" s="18"/>
      <c r="K231" s="18"/>
      <c r="L231" s="18" t="s">
        <v>129</v>
      </c>
      <c r="M231" s="18" t="s">
        <v>129</v>
      </c>
      <c r="N231" s="18"/>
      <c r="O231" s="18" t="s">
        <v>1208</v>
      </c>
      <c r="P231" s="18" t="s">
        <v>1209</v>
      </c>
      <c r="Q231" s="18" t="s">
        <v>131</v>
      </c>
      <c r="R231" s="18" t="s">
        <v>1210</v>
      </c>
      <c r="S231" s="18" t="s">
        <v>133</v>
      </c>
      <c r="T231" s="18" t="s">
        <v>1211</v>
      </c>
      <c r="U231" s="18"/>
      <c r="V231" s="19" t="s">
        <v>29</v>
      </c>
      <c r="W231" s="19"/>
      <c r="X231" s="19"/>
      <c r="Y231" s="20"/>
      <c r="Z231" s="19"/>
      <c r="AA231" s="18" t="str">
        <f aca="false">IF(OR(V231="Aprobada"),R231,IF(AND(OR(V231="Aprobada con ajuste",V231="Rechazada"),W231&lt;&gt;""),W231,""))</f>
        <v/>
      </c>
    </row>
    <row r="232" customFormat="false" ht="53.7" hidden="false" customHeight="false" outlineLevel="0" collapsed="false">
      <c r="A232" s="18" t="s">
        <v>1212</v>
      </c>
      <c r="B232" s="18" t="s">
        <v>58</v>
      </c>
      <c r="C232" s="18" t="s">
        <v>59</v>
      </c>
      <c r="D232" s="18" t="s">
        <v>1206</v>
      </c>
      <c r="E232" s="18" t="n">
        <v>392</v>
      </c>
      <c r="F232" s="18" t="s">
        <v>1213</v>
      </c>
      <c r="G232" s="18" t="s">
        <v>145</v>
      </c>
      <c r="H232" s="18" t="s">
        <v>129</v>
      </c>
      <c r="I232" s="18" t="s">
        <v>298</v>
      </c>
      <c r="J232" s="18" t="s">
        <v>1214</v>
      </c>
      <c r="K232" s="18"/>
      <c r="L232" s="18" t="s">
        <v>162</v>
      </c>
      <c r="M232" s="18" t="s">
        <v>129</v>
      </c>
      <c r="N232" s="18"/>
      <c r="O232" s="18"/>
      <c r="P232" s="18" t="s">
        <v>1215</v>
      </c>
      <c r="Q232" s="18" t="s">
        <v>131</v>
      </c>
      <c r="R232" s="18" t="s">
        <v>1216</v>
      </c>
      <c r="S232" s="18" t="s">
        <v>133</v>
      </c>
      <c r="T232" s="18" t="s">
        <v>1217</v>
      </c>
      <c r="U232" s="18"/>
      <c r="V232" s="19" t="s">
        <v>29</v>
      </c>
      <c r="W232" s="19"/>
      <c r="X232" s="19"/>
      <c r="Y232" s="20"/>
      <c r="Z232" s="19"/>
      <c r="AA232" s="18" t="str">
        <f aca="false">IF(OR(V232="Aprobada"),R232,IF(AND(OR(V232="Aprobada con ajuste",V232="Rechazada"),W232&lt;&gt;""),W232,""))</f>
        <v/>
      </c>
    </row>
    <row r="233" customFormat="false" ht="64.15" hidden="false" customHeight="false" outlineLevel="0" collapsed="false">
      <c r="A233" s="18" t="s">
        <v>1218</v>
      </c>
      <c r="B233" s="18" t="s">
        <v>58</v>
      </c>
      <c r="C233" s="18" t="s">
        <v>59</v>
      </c>
      <c r="D233" s="18" t="s">
        <v>1206</v>
      </c>
      <c r="E233" s="18" t="n">
        <v>392</v>
      </c>
      <c r="F233" s="18" t="s">
        <v>1219</v>
      </c>
      <c r="G233" s="18" t="s">
        <v>312</v>
      </c>
      <c r="H233" s="18" t="s">
        <v>162</v>
      </c>
      <c r="I233" s="18"/>
      <c r="J233" s="18"/>
      <c r="K233" s="18"/>
      <c r="L233" s="18" t="s">
        <v>129</v>
      </c>
      <c r="M233" s="18" t="s">
        <v>129</v>
      </c>
      <c r="N233" s="18"/>
      <c r="O233" s="18" t="s">
        <v>1220</v>
      </c>
      <c r="P233" s="18" t="s">
        <v>1221</v>
      </c>
      <c r="Q233" s="18" t="s">
        <v>131</v>
      </c>
      <c r="R233" s="18" t="s">
        <v>1222</v>
      </c>
      <c r="S233" s="18" t="s">
        <v>133</v>
      </c>
      <c r="T233" s="18" t="s">
        <v>1223</v>
      </c>
      <c r="U233" s="18"/>
      <c r="V233" s="19" t="s">
        <v>29</v>
      </c>
      <c r="W233" s="19"/>
      <c r="X233" s="19"/>
      <c r="Y233" s="20"/>
      <c r="Z233" s="19"/>
      <c r="AA233" s="18" t="str">
        <f aca="false">IF(OR(V233="Aprobada"),R233,IF(AND(OR(V233="Aprobada con ajuste",V233="Rechazada"),W233&lt;&gt;""),W233,""))</f>
        <v/>
      </c>
    </row>
    <row r="234" customFormat="false" ht="32.8" hidden="false" customHeight="false" outlineLevel="0" collapsed="false">
      <c r="A234" s="18" t="s">
        <v>1224</v>
      </c>
      <c r="B234" s="18" t="s">
        <v>58</v>
      </c>
      <c r="C234" s="18" t="s">
        <v>59</v>
      </c>
      <c r="D234" s="18" t="s">
        <v>1206</v>
      </c>
      <c r="E234" s="18" t="n">
        <v>392</v>
      </c>
      <c r="F234" s="18" t="s">
        <v>1121</v>
      </c>
      <c r="G234" s="18" t="s">
        <v>145</v>
      </c>
      <c r="H234" s="18" t="s">
        <v>129</v>
      </c>
      <c r="I234" s="18"/>
      <c r="J234" s="18"/>
      <c r="K234" s="18"/>
      <c r="L234" s="18" t="s">
        <v>129</v>
      </c>
      <c r="M234" s="18" t="s">
        <v>129</v>
      </c>
      <c r="N234" s="18"/>
      <c r="O234" s="18" t="s">
        <v>1225</v>
      </c>
      <c r="P234" s="18" t="s">
        <v>1226</v>
      </c>
      <c r="Q234" s="18" t="s">
        <v>131</v>
      </c>
      <c r="R234" s="18" t="s">
        <v>1227</v>
      </c>
      <c r="S234" s="18" t="s">
        <v>133</v>
      </c>
      <c r="T234" s="18" t="s">
        <v>1228</v>
      </c>
      <c r="U234" s="18"/>
      <c r="V234" s="19" t="s">
        <v>29</v>
      </c>
      <c r="W234" s="19"/>
      <c r="X234" s="19"/>
      <c r="Y234" s="20"/>
      <c r="Z234" s="19"/>
      <c r="AA234" s="18" t="str">
        <f aca="false">IF(OR(V234="Aprobada"),R234,IF(AND(OR(V234="Aprobada con ajuste",V234="Rechazada"),W234&lt;&gt;""),W234,""))</f>
        <v/>
      </c>
    </row>
    <row r="235" customFormat="false" ht="32.8" hidden="false" customHeight="false" outlineLevel="0" collapsed="false">
      <c r="A235" s="18" t="s">
        <v>1229</v>
      </c>
      <c r="B235" s="18" t="s">
        <v>58</v>
      </c>
      <c r="C235" s="18" t="s">
        <v>59</v>
      </c>
      <c r="D235" s="18" t="s">
        <v>1206</v>
      </c>
      <c r="E235" s="18" t="n">
        <v>392</v>
      </c>
      <c r="F235" s="18" t="s">
        <v>1116</v>
      </c>
      <c r="G235" s="18" t="s">
        <v>180</v>
      </c>
      <c r="H235" s="18" t="s">
        <v>129</v>
      </c>
      <c r="I235" s="18"/>
      <c r="J235" s="18"/>
      <c r="K235" s="18"/>
      <c r="L235" s="18" t="s">
        <v>129</v>
      </c>
      <c r="M235" s="18" t="s">
        <v>129</v>
      </c>
      <c r="N235" s="18"/>
      <c r="O235" s="18"/>
      <c r="P235" s="18" t="s">
        <v>1230</v>
      </c>
      <c r="Q235" s="18" t="s">
        <v>149</v>
      </c>
      <c r="R235" s="18" t="s">
        <v>1231</v>
      </c>
      <c r="S235" s="18" t="s">
        <v>133</v>
      </c>
      <c r="T235" s="18" t="s">
        <v>183</v>
      </c>
      <c r="U235" s="18"/>
      <c r="V235" s="19" t="s">
        <v>29</v>
      </c>
      <c r="W235" s="19"/>
      <c r="X235" s="19"/>
      <c r="Y235" s="20"/>
      <c r="Z235" s="19"/>
      <c r="AA235" s="18" t="str">
        <f aca="false">IF(OR(V235="Aprobada"),R235,IF(AND(OR(V235="Aprobada con ajuste",V235="Rechazada"),W235&lt;&gt;""),W235,""))</f>
        <v/>
      </c>
    </row>
    <row r="236" customFormat="false" ht="53.7" hidden="false" customHeight="false" outlineLevel="0" collapsed="false">
      <c r="A236" s="18" t="s">
        <v>1232</v>
      </c>
      <c r="B236" s="18" t="s">
        <v>58</v>
      </c>
      <c r="C236" s="18" t="s">
        <v>59</v>
      </c>
      <c r="D236" s="18" t="s">
        <v>1206</v>
      </c>
      <c r="E236" s="18" t="n">
        <v>392</v>
      </c>
      <c r="F236" s="18" t="s">
        <v>1141</v>
      </c>
      <c r="G236" s="18" t="s">
        <v>180</v>
      </c>
      <c r="H236" s="18" t="s">
        <v>129</v>
      </c>
      <c r="I236" s="18"/>
      <c r="J236" s="18"/>
      <c r="K236" s="18"/>
      <c r="L236" s="18" t="s">
        <v>129</v>
      </c>
      <c r="M236" s="18" t="s">
        <v>129</v>
      </c>
      <c r="N236" s="18"/>
      <c r="O236" s="18"/>
      <c r="P236" s="18" t="s">
        <v>1233</v>
      </c>
      <c r="Q236" s="18" t="s">
        <v>131</v>
      </c>
      <c r="R236" s="18" t="s">
        <v>1234</v>
      </c>
      <c r="S236" s="18" t="s">
        <v>133</v>
      </c>
      <c r="T236" s="18" t="s">
        <v>1235</v>
      </c>
      <c r="U236" s="18"/>
      <c r="V236" s="19" t="s">
        <v>29</v>
      </c>
      <c r="W236" s="19"/>
      <c r="X236" s="19"/>
      <c r="Y236" s="20"/>
      <c r="Z236" s="19"/>
      <c r="AA236" s="18" t="str">
        <f aca="false">IF(OR(V236="Aprobada"),R236,IF(AND(OR(V236="Aprobada con ajuste",V236="Rechazada"),W236&lt;&gt;""),W236,""))</f>
        <v/>
      </c>
    </row>
    <row r="237" customFormat="false" ht="32.8" hidden="false" customHeight="false" outlineLevel="0" collapsed="false">
      <c r="A237" s="18" t="s">
        <v>1236</v>
      </c>
      <c r="B237" s="18" t="s">
        <v>58</v>
      </c>
      <c r="C237" s="18" t="s">
        <v>59</v>
      </c>
      <c r="D237" s="18" t="s">
        <v>1206</v>
      </c>
      <c r="E237" s="18" t="n">
        <v>392</v>
      </c>
      <c r="F237" s="18" t="s">
        <v>1157</v>
      </c>
      <c r="G237" s="18" t="s">
        <v>137</v>
      </c>
      <c r="H237" s="18" t="s">
        <v>162</v>
      </c>
      <c r="I237" s="18"/>
      <c r="J237" s="18"/>
      <c r="K237" s="18"/>
      <c r="L237" s="18" t="s">
        <v>129</v>
      </c>
      <c r="M237" s="18" t="s">
        <v>129</v>
      </c>
      <c r="N237" s="18"/>
      <c r="O237" s="18"/>
      <c r="P237" s="18" t="s">
        <v>1237</v>
      </c>
      <c r="Q237" s="18" t="s">
        <v>149</v>
      </c>
      <c r="R237" s="18" t="s">
        <v>1238</v>
      </c>
      <c r="S237" s="18" t="s">
        <v>133</v>
      </c>
      <c r="T237" s="18" t="s">
        <v>183</v>
      </c>
      <c r="U237" s="18"/>
      <c r="V237" s="19" t="s">
        <v>29</v>
      </c>
      <c r="W237" s="19"/>
      <c r="X237" s="19"/>
      <c r="Y237" s="20"/>
      <c r="Z237" s="19"/>
      <c r="AA237" s="18" t="str">
        <f aca="false">IF(OR(V237="Aprobada"),R237,IF(AND(OR(V237="Aprobada con ajuste",V237="Rechazada"),W237&lt;&gt;""),W237,""))</f>
        <v/>
      </c>
    </row>
    <row r="238" customFormat="false" ht="64.15" hidden="false" customHeight="false" outlineLevel="0" collapsed="false">
      <c r="A238" s="18" t="s">
        <v>1239</v>
      </c>
      <c r="B238" s="18" t="s">
        <v>58</v>
      </c>
      <c r="C238" s="18" t="s">
        <v>59</v>
      </c>
      <c r="D238" s="18" t="s">
        <v>1206</v>
      </c>
      <c r="E238" s="18" t="n">
        <v>392</v>
      </c>
      <c r="F238" s="18" t="s">
        <v>1240</v>
      </c>
      <c r="G238" s="18" t="s">
        <v>180</v>
      </c>
      <c r="H238" s="18" t="s">
        <v>162</v>
      </c>
      <c r="I238" s="18"/>
      <c r="J238" s="18"/>
      <c r="K238" s="18"/>
      <c r="L238" s="18" t="s">
        <v>129</v>
      </c>
      <c r="M238" s="18" t="s">
        <v>129</v>
      </c>
      <c r="N238" s="18"/>
      <c r="O238" s="18"/>
      <c r="P238" s="18" t="s">
        <v>1241</v>
      </c>
      <c r="Q238" s="18" t="s">
        <v>131</v>
      </c>
      <c r="R238" s="18" t="s">
        <v>1242</v>
      </c>
      <c r="S238" s="18" t="s">
        <v>133</v>
      </c>
      <c r="T238" s="18" t="s">
        <v>1243</v>
      </c>
      <c r="U238" s="18"/>
      <c r="V238" s="19" t="s">
        <v>29</v>
      </c>
      <c r="W238" s="19"/>
      <c r="X238" s="19"/>
      <c r="Y238" s="20"/>
      <c r="Z238" s="19"/>
      <c r="AA238" s="18" t="str">
        <f aca="false">IF(OR(V238="Aprobada"),R238,IF(AND(OR(V238="Aprobada con ajuste",V238="Rechazada"),W238&lt;&gt;""),W238,""))</f>
        <v/>
      </c>
    </row>
    <row r="239" customFormat="false" ht="32.8" hidden="false" customHeight="false" outlineLevel="0" collapsed="false">
      <c r="A239" s="18" t="s">
        <v>1244</v>
      </c>
      <c r="B239" s="18" t="s">
        <v>58</v>
      </c>
      <c r="C239" s="18" t="s">
        <v>59</v>
      </c>
      <c r="D239" s="18" t="s">
        <v>1206</v>
      </c>
      <c r="E239" s="18" t="n">
        <v>392</v>
      </c>
      <c r="F239" s="18" t="s">
        <v>1245</v>
      </c>
      <c r="G239" s="18" t="s">
        <v>180</v>
      </c>
      <c r="H239" s="18" t="s">
        <v>129</v>
      </c>
      <c r="I239" s="18"/>
      <c r="J239" s="18"/>
      <c r="K239" s="18"/>
      <c r="L239" s="18" t="s">
        <v>129</v>
      </c>
      <c r="M239" s="18" t="s">
        <v>129</v>
      </c>
      <c r="N239" s="18"/>
      <c r="O239" s="18"/>
      <c r="P239" s="18" t="s">
        <v>1246</v>
      </c>
      <c r="Q239" s="18" t="s">
        <v>149</v>
      </c>
      <c r="R239" s="18" t="s">
        <v>1247</v>
      </c>
      <c r="S239" s="18" t="s">
        <v>133</v>
      </c>
      <c r="T239" s="18" t="s">
        <v>183</v>
      </c>
      <c r="U239" s="18"/>
      <c r="V239" s="19" t="s">
        <v>29</v>
      </c>
      <c r="W239" s="19"/>
      <c r="X239" s="19"/>
      <c r="Y239" s="20"/>
      <c r="Z239" s="19"/>
      <c r="AA239" s="18" t="str">
        <f aca="false">IF(OR(V239="Aprobada"),R239,IF(AND(OR(V239="Aprobada con ajuste",V239="Rechazada"),W239&lt;&gt;""),W239,""))</f>
        <v/>
      </c>
    </row>
    <row r="240" customFormat="false" ht="32.8" hidden="false" customHeight="false" outlineLevel="0" collapsed="false">
      <c r="A240" s="18" t="s">
        <v>1248</v>
      </c>
      <c r="B240" s="18" t="s">
        <v>58</v>
      </c>
      <c r="C240" s="18" t="s">
        <v>59</v>
      </c>
      <c r="D240" s="18" t="s">
        <v>1206</v>
      </c>
      <c r="E240" s="18" t="n">
        <v>392</v>
      </c>
      <c r="F240" s="18" t="s">
        <v>1249</v>
      </c>
      <c r="G240" s="18" t="s">
        <v>145</v>
      </c>
      <c r="H240" s="18" t="s">
        <v>162</v>
      </c>
      <c r="I240" s="18"/>
      <c r="J240" s="18"/>
      <c r="K240" s="18"/>
      <c r="L240" s="18" t="s">
        <v>129</v>
      </c>
      <c r="M240" s="18" t="s">
        <v>129</v>
      </c>
      <c r="N240" s="18"/>
      <c r="O240" s="18"/>
      <c r="P240" s="18" t="s">
        <v>1250</v>
      </c>
      <c r="Q240" s="18" t="s">
        <v>149</v>
      </c>
      <c r="R240" s="18" t="s">
        <v>1251</v>
      </c>
      <c r="S240" s="18" t="s">
        <v>133</v>
      </c>
      <c r="T240" s="18" t="s">
        <v>183</v>
      </c>
      <c r="U240" s="18"/>
      <c r="V240" s="19" t="s">
        <v>29</v>
      </c>
      <c r="W240" s="19"/>
      <c r="X240" s="19"/>
      <c r="Y240" s="20"/>
      <c r="Z240" s="19"/>
      <c r="AA240" s="18" t="str">
        <f aca="false">IF(OR(V240="Aprobada"),R240,IF(AND(OR(V240="Aprobada con ajuste",V240="Rechazada"),W240&lt;&gt;""),W240,""))</f>
        <v/>
      </c>
    </row>
    <row r="241" customFormat="false" ht="32.8" hidden="false" customHeight="false" outlineLevel="0" collapsed="false">
      <c r="A241" s="18" t="s">
        <v>1252</v>
      </c>
      <c r="B241" s="18" t="s">
        <v>58</v>
      </c>
      <c r="C241" s="18" t="s">
        <v>59</v>
      </c>
      <c r="D241" s="18" t="s">
        <v>1206</v>
      </c>
      <c r="E241" s="18" t="n">
        <v>392</v>
      </c>
      <c r="F241" s="18" t="s">
        <v>1253</v>
      </c>
      <c r="G241" s="18" t="s">
        <v>180</v>
      </c>
      <c r="H241" s="18" t="s">
        <v>162</v>
      </c>
      <c r="I241" s="18"/>
      <c r="J241" s="18"/>
      <c r="K241" s="18"/>
      <c r="L241" s="18" t="s">
        <v>129</v>
      </c>
      <c r="M241" s="18" t="s">
        <v>129</v>
      </c>
      <c r="N241" s="18"/>
      <c r="O241" s="18"/>
      <c r="P241" s="18" t="s">
        <v>1254</v>
      </c>
      <c r="Q241" s="18" t="s">
        <v>131</v>
      </c>
      <c r="R241" s="18" t="s">
        <v>1255</v>
      </c>
      <c r="S241" s="18" t="s">
        <v>133</v>
      </c>
      <c r="T241" s="18" t="s">
        <v>1256</v>
      </c>
      <c r="U241" s="18"/>
      <c r="V241" s="19" t="s">
        <v>29</v>
      </c>
      <c r="W241" s="19"/>
      <c r="X241" s="19"/>
      <c r="Y241" s="20"/>
      <c r="Z241" s="19"/>
      <c r="AA241" s="18" t="str">
        <f aca="false">IF(OR(V241="Aprobada"),R241,IF(AND(OR(V241="Aprobada con ajuste",V241="Rechazada"),W241&lt;&gt;""),W241,""))</f>
        <v/>
      </c>
    </row>
    <row r="242" customFormat="false" ht="53.7" hidden="false" customHeight="false" outlineLevel="0" collapsed="false">
      <c r="A242" s="18" t="s">
        <v>1257</v>
      </c>
      <c r="B242" s="18" t="s">
        <v>58</v>
      </c>
      <c r="C242" s="18" t="s">
        <v>59</v>
      </c>
      <c r="D242" s="18" t="s">
        <v>1206</v>
      </c>
      <c r="E242" s="18" t="n">
        <v>392</v>
      </c>
      <c r="F242" s="18" t="s">
        <v>1258</v>
      </c>
      <c r="G242" s="18" t="s">
        <v>145</v>
      </c>
      <c r="H242" s="18" t="s">
        <v>162</v>
      </c>
      <c r="I242" s="18" t="s">
        <v>298</v>
      </c>
      <c r="J242" s="18" t="s">
        <v>1259</v>
      </c>
      <c r="K242" s="18"/>
      <c r="L242" s="18" t="s">
        <v>162</v>
      </c>
      <c r="M242" s="18" t="s">
        <v>129</v>
      </c>
      <c r="N242" s="18"/>
      <c r="O242" s="18"/>
      <c r="P242" s="18" t="s">
        <v>1260</v>
      </c>
      <c r="Q242" s="18" t="s">
        <v>131</v>
      </c>
      <c r="R242" s="18" t="s">
        <v>1261</v>
      </c>
      <c r="S242" s="18" t="s">
        <v>133</v>
      </c>
      <c r="T242" s="18" t="s">
        <v>1262</v>
      </c>
      <c r="U242" s="18"/>
      <c r="V242" s="19" t="s">
        <v>29</v>
      </c>
      <c r="W242" s="19"/>
      <c r="X242" s="19"/>
      <c r="Y242" s="20"/>
      <c r="Z242" s="19"/>
      <c r="AA242" s="18" t="str">
        <f aca="false">IF(OR(V242="Aprobada"),R242,IF(AND(OR(V242="Aprobada con ajuste",V242="Rechazada"),W242&lt;&gt;""),W242,""))</f>
        <v/>
      </c>
    </row>
    <row r="243" customFormat="false" ht="53.7" hidden="false" customHeight="false" outlineLevel="0" collapsed="false">
      <c r="A243" s="18" t="s">
        <v>1263</v>
      </c>
      <c r="B243" s="18" t="s">
        <v>58</v>
      </c>
      <c r="C243" s="18" t="s">
        <v>59</v>
      </c>
      <c r="D243" s="18" t="s">
        <v>1206</v>
      </c>
      <c r="E243" s="18" t="n">
        <v>392</v>
      </c>
      <c r="F243" s="18" t="s">
        <v>1264</v>
      </c>
      <c r="G243" s="18" t="s">
        <v>828</v>
      </c>
      <c r="H243" s="18" t="s">
        <v>162</v>
      </c>
      <c r="I243" s="18"/>
      <c r="J243" s="18"/>
      <c r="K243" s="18"/>
      <c r="L243" s="18" t="s">
        <v>129</v>
      </c>
      <c r="M243" s="18" t="s">
        <v>129</v>
      </c>
      <c r="N243" s="18"/>
      <c r="O243" s="18"/>
      <c r="P243" s="18" t="s">
        <v>1265</v>
      </c>
      <c r="Q243" s="18" t="s">
        <v>131</v>
      </c>
      <c r="R243" s="18" t="s">
        <v>1266</v>
      </c>
      <c r="S243" s="18" t="s">
        <v>133</v>
      </c>
      <c r="T243" s="18" t="s">
        <v>1267</v>
      </c>
      <c r="U243" s="18"/>
      <c r="V243" s="19" t="s">
        <v>29</v>
      </c>
      <c r="W243" s="19"/>
      <c r="X243" s="19"/>
      <c r="Y243" s="20"/>
      <c r="Z243" s="19"/>
      <c r="AA243" s="18" t="str">
        <f aca="false">IF(OR(V243="Aprobada"),R243,IF(AND(OR(V243="Aprobada con ajuste",V243="Rechazada"),W243&lt;&gt;""),W243,""))</f>
        <v/>
      </c>
    </row>
    <row r="244" customFormat="false" ht="32.8" hidden="false" customHeight="false" outlineLevel="0" collapsed="false">
      <c r="A244" s="18" t="s">
        <v>1268</v>
      </c>
      <c r="B244" s="18" t="s">
        <v>58</v>
      </c>
      <c r="C244" s="18" t="s">
        <v>59</v>
      </c>
      <c r="D244" s="18" t="s">
        <v>1206</v>
      </c>
      <c r="E244" s="18" t="n">
        <v>392</v>
      </c>
      <c r="F244" s="18" t="s">
        <v>1269</v>
      </c>
      <c r="G244" s="18" t="s">
        <v>317</v>
      </c>
      <c r="H244" s="18" t="s">
        <v>162</v>
      </c>
      <c r="I244" s="18"/>
      <c r="J244" s="18"/>
      <c r="K244" s="18"/>
      <c r="L244" s="18" t="s">
        <v>129</v>
      </c>
      <c r="M244" s="18" t="s">
        <v>129</v>
      </c>
      <c r="N244" s="18"/>
      <c r="O244" s="18"/>
      <c r="P244" s="18" t="s">
        <v>1270</v>
      </c>
      <c r="Q244" s="18" t="s">
        <v>149</v>
      </c>
      <c r="R244" s="18" t="s">
        <v>1271</v>
      </c>
      <c r="S244" s="18" t="s">
        <v>140</v>
      </c>
      <c r="T244" s="18" t="s">
        <v>1272</v>
      </c>
      <c r="U244" s="18" t="s">
        <v>1273</v>
      </c>
      <c r="V244" s="19" t="s">
        <v>29</v>
      </c>
      <c r="W244" s="19"/>
      <c r="X244" s="19"/>
      <c r="Y244" s="20"/>
      <c r="Z244" s="19"/>
      <c r="AA244" s="18" t="str">
        <f aca="false">IF(OR(V244="Aprobada"),R244,IF(AND(OR(V244="Aprobada con ajuste",V244="Rechazada"),W244&lt;&gt;""),W244,""))</f>
        <v/>
      </c>
    </row>
    <row r="245" customFormat="false" ht="32.8" hidden="false" customHeight="false" outlineLevel="0" collapsed="false">
      <c r="A245" s="18" t="s">
        <v>1274</v>
      </c>
      <c r="B245" s="18" t="s">
        <v>58</v>
      </c>
      <c r="C245" s="18" t="s">
        <v>59</v>
      </c>
      <c r="D245" s="18" t="s">
        <v>1206</v>
      </c>
      <c r="E245" s="18" t="n">
        <v>392</v>
      </c>
      <c r="F245" s="18" t="s">
        <v>1275</v>
      </c>
      <c r="G245" s="18" t="s">
        <v>173</v>
      </c>
      <c r="H245" s="18" t="s">
        <v>162</v>
      </c>
      <c r="I245" s="18"/>
      <c r="J245" s="18"/>
      <c r="K245" s="18"/>
      <c r="L245" s="18" t="s">
        <v>129</v>
      </c>
      <c r="M245" s="18" t="s">
        <v>129</v>
      </c>
      <c r="N245" s="18"/>
      <c r="O245" s="18"/>
      <c r="P245" s="18" t="s">
        <v>1276</v>
      </c>
      <c r="Q245" s="18" t="s">
        <v>138</v>
      </c>
      <c r="R245" s="18" t="s">
        <v>1277</v>
      </c>
      <c r="S245" s="18" t="s">
        <v>140</v>
      </c>
      <c r="T245" s="18" t="s">
        <v>141</v>
      </c>
      <c r="U245" s="18"/>
      <c r="V245" s="19" t="s">
        <v>29</v>
      </c>
      <c r="W245" s="19"/>
      <c r="X245" s="19"/>
      <c r="Y245" s="20"/>
      <c r="Z245" s="19"/>
      <c r="AA245" s="18" t="str">
        <f aca="false">IF(OR(V245="Aprobada"),R245,IF(AND(OR(V245="Aprobada con ajuste",V245="Rechazada"),W245&lt;&gt;""),W245,""))</f>
        <v/>
      </c>
    </row>
    <row r="246" customFormat="false" ht="74.6" hidden="false" customHeight="false" outlineLevel="0" collapsed="false">
      <c r="A246" s="18" t="s">
        <v>1278</v>
      </c>
      <c r="B246" s="18" t="s">
        <v>58</v>
      </c>
      <c r="C246" s="18" t="s">
        <v>59</v>
      </c>
      <c r="D246" s="18" t="s">
        <v>1206</v>
      </c>
      <c r="E246" s="18" t="n">
        <v>392</v>
      </c>
      <c r="F246" s="18" t="s">
        <v>1023</v>
      </c>
      <c r="G246" s="18" t="s">
        <v>145</v>
      </c>
      <c r="H246" s="18" t="s">
        <v>162</v>
      </c>
      <c r="I246" s="18" t="s">
        <v>298</v>
      </c>
      <c r="J246" s="18" t="s">
        <v>1279</v>
      </c>
      <c r="K246" s="18"/>
      <c r="L246" s="18" t="s">
        <v>162</v>
      </c>
      <c r="M246" s="18" t="s">
        <v>129</v>
      </c>
      <c r="N246" s="18"/>
      <c r="O246" s="18" t="s">
        <v>1280</v>
      </c>
      <c r="P246" s="18" t="s">
        <v>1281</v>
      </c>
      <c r="Q246" s="18" t="s">
        <v>131</v>
      </c>
      <c r="R246" s="18" t="s">
        <v>1282</v>
      </c>
      <c r="S246" s="18" t="s">
        <v>133</v>
      </c>
      <c r="T246" s="18" t="s">
        <v>1283</v>
      </c>
      <c r="U246" s="18"/>
      <c r="V246" s="19" t="s">
        <v>29</v>
      </c>
      <c r="W246" s="19"/>
      <c r="X246" s="19"/>
      <c r="Y246" s="20"/>
      <c r="Z246" s="19"/>
      <c r="AA246" s="18" t="str">
        <f aca="false">IF(OR(V246="Aprobada"),R246,IF(AND(OR(V246="Aprobada con ajuste",V246="Rechazada"),W246&lt;&gt;""),W246,""))</f>
        <v/>
      </c>
    </row>
    <row r="247" customFormat="false" ht="43.25" hidden="false" customHeight="false" outlineLevel="0" collapsed="false">
      <c r="A247" s="18" t="s">
        <v>1284</v>
      </c>
      <c r="B247" s="18" t="s">
        <v>58</v>
      </c>
      <c r="C247" s="18" t="s">
        <v>59</v>
      </c>
      <c r="D247" s="18" t="s">
        <v>1206</v>
      </c>
      <c r="E247" s="18" t="n">
        <v>392</v>
      </c>
      <c r="F247" s="18" t="s">
        <v>1285</v>
      </c>
      <c r="G247" s="18" t="s">
        <v>128</v>
      </c>
      <c r="H247" s="18" t="s">
        <v>162</v>
      </c>
      <c r="I247" s="18"/>
      <c r="J247" s="18"/>
      <c r="K247" s="18"/>
      <c r="L247" s="18" t="s">
        <v>129</v>
      </c>
      <c r="M247" s="18" t="s">
        <v>129</v>
      </c>
      <c r="N247" s="18"/>
      <c r="O247" s="18"/>
      <c r="P247" s="18" t="s">
        <v>1286</v>
      </c>
      <c r="Q247" s="18" t="s">
        <v>131</v>
      </c>
      <c r="R247" s="18" t="s">
        <v>1287</v>
      </c>
      <c r="S247" s="18" t="s">
        <v>133</v>
      </c>
      <c r="T247" s="18" t="s">
        <v>1288</v>
      </c>
      <c r="U247" s="18"/>
      <c r="V247" s="19" t="s">
        <v>29</v>
      </c>
      <c r="W247" s="19"/>
      <c r="X247" s="19"/>
      <c r="Y247" s="20"/>
      <c r="Z247" s="19"/>
      <c r="AA247" s="18" t="str">
        <f aca="false">IF(OR(V247="Aprobada"),R247,IF(AND(OR(V247="Aprobada con ajuste",V247="Rechazada"),W247&lt;&gt;""),W247,""))</f>
        <v/>
      </c>
    </row>
    <row r="248" customFormat="false" ht="32.8" hidden="false" customHeight="false" outlineLevel="0" collapsed="false">
      <c r="A248" s="18" t="s">
        <v>1289</v>
      </c>
      <c r="B248" s="18" t="s">
        <v>58</v>
      </c>
      <c r="C248" s="18" t="s">
        <v>59</v>
      </c>
      <c r="D248" s="18" t="s">
        <v>1206</v>
      </c>
      <c r="E248" s="18" t="n">
        <v>392</v>
      </c>
      <c r="F248" s="18" t="s">
        <v>1290</v>
      </c>
      <c r="G248" s="18" t="s">
        <v>128</v>
      </c>
      <c r="H248" s="18" t="s">
        <v>162</v>
      </c>
      <c r="I248" s="18"/>
      <c r="J248" s="18"/>
      <c r="K248" s="18"/>
      <c r="L248" s="18" t="s">
        <v>129</v>
      </c>
      <c r="M248" s="18" t="s">
        <v>129</v>
      </c>
      <c r="N248" s="18"/>
      <c r="O248" s="18"/>
      <c r="P248" s="18" t="s">
        <v>1291</v>
      </c>
      <c r="Q248" s="18" t="s">
        <v>149</v>
      </c>
      <c r="R248" s="18" t="s">
        <v>1292</v>
      </c>
      <c r="S248" s="18" t="s">
        <v>133</v>
      </c>
      <c r="T248" s="18" t="s">
        <v>1293</v>
      </c>
      <c r="U248" s="18"/>
      <c r="V248" s="19" t="s">
        <v>29</v>
      </c>
      <c r="W248" s="19"/>
      <c r="X248" s="19"/>
      <c r="Y248" s="20"/>
      <c r="Z248" s="19"/>
      <c r="AA248" s="18" t="str">
        <f aca="false">IF(OR(V248="Aprobada"),R248,IF(AND(OR(V248="Aprobada con ajuste",V248="Rechazada"),W248&lt;&gt;""),W248,""))</f>
        <v/>
      </c>
    </row>
    <row r="249" customFormat="false" ht="43.25" hidden="false" customHeight="false" outlineLevel="0" collapsed="false">
      <c r="A249" s="18" t="s">
        <v>1294</v>
      </c>
      <c r="B249" s="18" t="s">
        <v>58</v>
      </c>
      <c r="C249" s="18" t="s">
        <v>59</v>
      </c>
      <c r="D249" s="18" t="s">
        <v>1206</v>
      </c>
      <c r="E249" s="18" t="n">
        <v>392</v>
      </c>
      <c r="F249" s="18" t="s">
        <v>1295</v>
      </c>
      <c r="G249" s="18" t="s">
        <v>317</v>
      </c>
      <c r="H249" s="18" t="s">
        <v>162</v>
      </c>
      <c r="I249" s="18"/>
      <c r="J249" s="18"/>
      <c r="K249" s="18"/>
      <c r="L249" s="18" t="s">
        <v>129</v>
      </c>
      <c r="M249" s="18" t="s">
        <v>129</v>
      </c>
      <c r="N249" s="18"/>
      <c r="O249" s="18" t="s">
        <v>1296</v>
      </c>
      <c r="P249" s="18" t="s">
        <v>1297</v>
      </c>
      <c r="Q249" s="18" t="s">
        <v>131</v>
      </c>
      <c r="R249" s="18" t="s">
        <v>1298</v>
      </c>
      <c r="S249" s="18" t="s">
        <v>133</v>
      </c>
      <c r="T249" s="18" t="s">
        <v>1299</v>
      </c>
      <c r="U249" s="18"/>
      <c r="V249" s="19" t="s">
        <v>29</v>
      </c>
      <c r="W249" s="19"/>
      <c r="X249" s="19"/>
      <c r="Y249" s="20"/>
      <c r="Z249" s="19"/>
      <c r="AA249" s="18" t="str">
        <f aca="false">IF(OR(V249="Aprobada"),R249,IF(AND(OR(V249="Aprobada con ajuste",V249="Rechazada"),W249&lt;&gt;""),W249,""))</f>
        <v/>
      </c>
    </row>
    <row r="250" customFormat="false" ht="32.8" hidden="false" customHeight="false" outlineLevel="0" collapsed="false">
      <c r="A250" s="18" t="s">
        <v>1300</v>
      </c>
      <c r="B250" s="18" t="s">
        <v>58</v>
      </c>
      <c r="C250" s="18" t="s">
        <v>59</v>
      </c>
      <c r="D250" s="18" t="s">
        <v>1206</v>
      </c>
      <c r="E250" s="18" t="n">
        <v>392</v>
      </c>
      <c r="F250" s="18" t="s">
        <v>1043</v>
      </c>
      <c r="G250" s="18" t="s">
        <v>317</v>
      </c>
      <c r="H250" s="18" t="s">
        <v>162</v>
      </c>
      <c r="I250" s="18"/>
      <c r="J250" s="18"/>
      <c r="K250" s="18"/>
      <c r="L250" s="18" t="s">
        <v>129</v>
      </c>
      <c r="M250" s="18" t="s">
        <v>129</v>
      </c>
      <c r="N250" s="18"/>
      <c r="O250" s="18"/>
      <c r="P250" s="18" t="s">
        <v>1301</v>
      </c>
      <c r="Q250" s="18" t="s">
        <v>149</v>
      </c>
      <c r="R250" s="18" t="s">
        <v>1302</v>
      </c>
      <c r="S250" s="18" t="s">
        <v>140</v>
      </c>
      <c r="T250" s="18" t="s">
        <v>1303</v>
      </c>
      <c r="U250" s="18" t="s">
        <v>1304</v>
      </c>
      <c r="V250" s="19" t="s">
        <v>29</v>
      </c>
      <c r="W250" s="19"/>
      <c r="X250" s="19"/>
      <c r="Y250" s="20"/>
      <c r="Z250" s="19"/>
      <c r="AA250" s="18" t="str">
        <f aca="false">IF(OR(V250="Aprobada"),R250,IF(AND(OR(V250="Aprobada con ajuste",V250="Rechazada"),W250&lt;&gt;""),W250,""))</f>
        <v/>
      </c>
    </row>
    <row r="251" customFormat="false" ht="32.8" hidden="false" customHeight="false" outlineLevel="0" collapsed="false">
      <c r="A251" s="18" t="s">
        <v>1305</v>
      </c>
      <c r="B251" s="18" t="s">
        <v>58</v>
      </c>
      <c r="C251" s="18" t="s">
        <v>59</v>
      </c>
      <c r="D251" s="18" t="s">
        <v>1206</v>
      </c>
      <c r="E251" s="18" t="n">
        <v>392</v>
      </c>
      <c r="F251" s="18" t="s">
        <v>1306</v>
      </c>
      <c r="G251" s="18" t="s">
        <v>317</v>
      </c>
      <c r="H251" s="18" t="s">
        <v>162</v>
      </c>
      <c r="I251" s="18"/>
      <c r="J251" s="18"/>
      <c r="K251" s="18"/>
      <c r="L251" s="18" t="s">
        <v>129</v>
      </c>
      <c r="M251" s="18" t="s">
        <v>129</v>
      </c>
      <c r="N251" s="18"/>
      <c r="O251" s="18"/>
      <c r="P251" s="18" t="s">
        <v>1307</v>
      </c>
      <c r="Q251" s="18" t="s">
        <v>149</v>
      </c>
      <c r="R251" s="18" t="s">
        <v>1308</v>
      </c>
      <c r="S251" s="18" t="s">
        <v>140</v>
      </c>
      <c r="T251" s="18" t="s">
        <v>1293</v>
      </c>
      <c r="U251" s="18" t="s">
        <v>1309</v>
      </c>
      <c r="V251" s="19" t="s">
        <v>29</v>
      </c>
      <c r="W251" s="19"/>
      <c r="X251" s="19"/>
      <c r="Y251" s="20"/>
      <c r="Z251" s="19"/>
      <c r="AA251" s="18" t="str">
        <f aca="false">IF(OR(V251="Aprobada"),R251,IF(AND(OR(V251="Aprobada con ajuste",V251="Rechazada"),W251&lt;&gt;""),W251,""))</f>
        <v/>
      </c>
    </row>
    <row r="252" customFormat="false" ht="32.8" hidden="false" customHeight="false" outlineLevel="0" collapsed="false">
      <c r="A252" s="18" t="s">
        <v>1310</v>
      </c>
      <c r="B252" s="18" t="s">
        <v>58</v>
      </c>
      <c r="C252" s="18" t="s">
        <v>59</v>
      </c>
      <c r="D252" s="18" t="s">
        <v>1206</v>
      </c>
      <c r="E252" s="18" t="n">
        <v>392</v>
      </c>
      <c r="F252" s="18" t="s">
        <v>1311</v>
      </c>
      <c r="G252" s="18" t="s">
        <v>137</v>
      </c>
      <c r="H252" s="18" t="s">
        <v>162</v>
      </c>
      <c r="I252" s="18"/>
      <c r="J252" s="18"/>
      <c r="K252" s="18"/>
      <c r="L252" s="18" t="s">
        <v>129</v>
      </c>
      <c r="M252" s="18" t="s">
        <v>129</v>
      </c>
      <c r="N252" s="18"/>
      <c r="O252" s="18"/>
      <c r="P252" s="18" t="s">
        <v>1312</v>
      </c>
      <c r="Q252" s="18" t="s">
        <v>149</v>
      </c>
      <c r="R252" s="18" t="s">
        <v>1313</v>
      </c>
      <c r="S252" s="18" t="s">
        <v>133</v>
      </c>
      <c r="T252" s="18" t="s">
        <v>1314</v>
      </c>
      <c r="U252" s="18"/>
      <c r="V252" s="19" t="s">
        <v>29</v>
      </c>
      <c r="W252" s="19"/>
      <c r="X252" s="19"/>
      <c r="Y252" s="20"/>
      <c r="Z252" s="19"/>
      <c r="AA252" s="18" t="str">
        <f aca="false">IF(OR(V252="Aprobada"),R252,IF(AND(OR(V252="Aprobada con ajuste",V252="Rechazada"),W252&lt;&gt;""),W252,""))</f>
        <v/>
      </c>
    </row>
    <row r="253" customFormat="false" ht="43.25" hidden="false" customHeight="false" outlineLevel="0" collapsed="false">
      <c r="A253" s="18" t="s">
        <v>1315</v>
      </c>
      <c r="B253" s="18" t="s">
        <v>58</v>
      </c>
      <c r="C253" s="18" t="s">
        <v>59</v>
      </c>
      <c r="D253" s="18" t="s">
        <v>1206</v>
      </c>
      <c r="E253" s="18" t="n">
        <v>392</v>
      </c>
      <c r="F253" s="18" t="s">
        <v>1316</v>
      </c>
      <c r="G253" s="18" t="s">
        <v>173</v>
      </c>
      <c r="H253" s="18" t="s">
        <v>162</v>
      </c>
      <c r="I253" s="18" t="s">
        <v>298</v>
      </c>
      <c r="J253" s="18"/>
      <c r="K253" s="18"/>
      <c r="L253" s="18" t="s">
        <v>129</v>
      </c>
      <c r="M253" s="18" t="s">
        <v>129</v>
      </c>
      <c r="N253" s="18"/>
      <c r="O253" s="18" t="s">
        <v>1317</v>
      </c>
      <c r="P253" s="18" t="s">
        <v>1318</v>
      </c>
      <c r="Q253" s="18" t="s">
        <v>131</v>
      </c>
      <c r="R253" s="18" t="s">
        <v>1319</v>
      </c>
      <c r="S253" s="18" t="s">
        <v>133</v>
      </c>
      <c r="T253" s="18" t="s">
        <v>1320</v>
      </c>
      <c r="U253" s="18"/>
      <c r="V253" s="19" t="s">
        <v>29</v>
      </c>
      <c r="W253" s="19"/>
      <c r="X253" s="19"/>
      <c r="Y253" s="20"/>
      <c r="Z253" s="19"/>
      <c r="AA253" s="18" t="str">
        <f aca="false">IF(OR(V253="Aprobada"),R253,IF(AND(OR(V253="Aprobada con ajuste",V253="Rechazada"),W253&lt;&gt;""),W253,""))</f>
        <v/>
      </c>
    </row>
    <row r="254" customFormat="false" ht="32.8" hidden="false" customHeight="false" outlineLevel="0" collapsed="false">
      <c r="A254" s="18" t="s">
        <v>1321</v>
      </c>
      <c r="B254" s="18" t="s">
        <v>58</v>
      </c>
      <c r="C254" s="18" t="s">
        <v>59</v>
      </c>
      <c r="D254" s="18" t="s">
        <v>1206</v>
      </c>
      <c r="E254" s="18" t="n">
        <v>392</v>
      </c>
      <c r="F254" s="18" t="s">
        <v>1322</v>
      </c>
      <c r="G254" s="18" t="s">
        <v>317</v>
      </c>
      <c r="H254" s="18" t="s">
        <v>162</v>
      </c>
      <c r="I254" s="18"/>
      <c r="J254" s="18"/>
      <c r="K254" s="18"/>
      <c r="L254" s="18" t="s">
        <v>129</v>
      </c>
      <c r="M254" s="18" t="s">
        <v>129</v>
      </c>
      <c r="N254" s="18"/>
      <c r="O254" s="18"/>
      <c r="P254" s="18" t="s">
        <v>1323</v>
      </c>
      <c r="Q254" s="18" t="s">
        <v>138</v>
      </c>
      <c r="R254" s="18" t="s">
        <v>1324</v>
      </c>
      <c r="S254" s="18" t="s">
        <v>140</v>
      </c>
      <c r="T254" s="18" t="s">
        <v>141</v>
      </c>
      <c r="U254" s="18"/>
      <c r="V254" s="19" t="s">
        <v>29</v>
      </c>
      <c r="W254" s="19"/>
      <c r="X254" s="19"/>
      <c r="Y254" s="20"/>
      <c r="Z254" s="19"/>
      <c r="AA254" s="18" t="str">
        <f aca="false">IF(OR(V254="Aprobada"),R254,IF(AND(OR(V254="Aprobada con ajuste",V254="Rechazada"),W254&lt;&gt;""),W254,""))</f>
        <v/>
      </c>
    </row>
    <row r="255" customFormat="false" ht="32.8" hidden="false" customHeight="false" outlineLevel="0" collapsed="false">
      <c r="A255" s="18" t="s">
        <v>1325</v>
      </c>
      <c r="B255" s="18" t="s">
        <v>58</v>
      </c>
      <c r="C255" s="18" t="s">
        <v>59</v>
      </c>
      <c r="D255" s="18" t="s">
        <v>1206</v>
      </c>
      <c r="E255" s="18" t="n">
        <v>392</v>
      </c>
      <c r="F255" s="18" t="s">
        <v>1326</v>
      </c>
      <c r="G255" s="18" t="s">
        <v>486</v>
      </c>
      <c r="H255" s="18" t="s">
        <v>162</v>
      </c>
      <c r="I255" s="18"/>
      <c r="J255" s="18"/>
      <c r="K255" s="18"/>
      <c r="L255" s="18" t="s">
        <v>129</v>
      </c>
      <c r="M255" s="18" t="s">
        <v>129</v>
      </c>
      <c r="N255" s="18"/>
      <c r="O255" s="18"/>
      <c r="P255" s="18" t="s">
        <v>1327</v>
      </c>
      <c r="Q255" s="18" t="s">
        <v>149</v>
      </c>
      <c r="R255" s="18" t="s">
        <v>1328</v>
      </c>
      <c r="S255" s="18" t="s">
        <v>140</v>
      </c>
      <c r="T255" s="18" t="s">
        <v>1329</v>
      </c>
      <c r="U255" s="18" t="s">
        <v>1330</v>
      </c>
      <c r="V255" s="19" t="s">
        <v>29</v>
      </c>
      <c r="W255" s="19"/>
      <c r="X255" s="19"/>
      <c r="Y255" s="20"/>
      <c r="Z255" s="19"/>
      <c r="AA255" s="18" t="str">
        <f aca="false">IF(OR(V255="Aprobada"),R255,IF(AND(OR(V255="Aprobada con ajuste",V255="Rechazada"),W255&lt;&gt;""),W255,""))</f>
        <v/>
      </c>
    </row>
    <row r="256" customFormat="false" ht="32.8" hidden="false" customHeight="false" outlineLevel="0" collapsed="false">
      <c r="A256" s="18" t="s">
        <v>1331</v>
      </c>
      <c r="B256" s="18" t="s">
        <v>58</v>
      </c>
      <c r="C256" s="18" t="s">
        <v>59</v>
      </c>
      <c r="D256" s="18" t="s">
        <v>1206</v>
      </c>
      <c r="E256" s="18" t="n">
        <v>392</v>
      </c>
      <c r="F256" s="18" t="s">
        <v>1332</v>
      </c>
      <c r="G256" s="18" t="s">
        <v>180</v>
      </c>
      <c r="H256" s="18" t="s">
        <v>162</v>
      </c>
      <c r="I256" s="18"/>
      <c r="J256" s="18"/>
      <c r="K256" s="18"/>
      <c r="L256" s="18" t="s">
        <v>129</v>
      </c>
      <c r="M256" s="18" t="s">
        <v>129</v>
      </c>
      <c r="N256" s="18"/>
      <c r="O256" s="18"/>
      <c r="P256" s="18" t="s">
        <v>1333</v>
      </c>
      <c r="Q256" s="18" t="s">
        <v>149</v>
      </c>
      <c r="R256" s="18" t="s">
        <v>1334</v>
      </c>
      <c r="S256" s="18" t="s">
        <v>133</v>
      </c>
      <c r="T256" s="18" t="s">
        <v>1335</v>
      </c>
      <c r="U256" s="18"/>
      <c r="V256" s="19" t="s">
        <v>29</v>
      </c>
      <c r="W256" s="19"/>
      <c r="X256" s="19"/>
      <c r="Y256" s="20"/>
      <c r="Z256" s="19"/>
      <c r="AA256" s="18" t="str">
        <f aca="false">IF(OR(V256="Aprobada"),R256,IF(AND(OR(V256="Aprobada con ajuste",V256="Rechazada"),W256&lt;&gt;""),W256,""))</f>
        <v/>
      </c>
    </row>
    <row r="257" customFormat="false" ht="32.8" hidden="false" customHeight="false" outlineLevel="0" collapsed="false">
      <c r="A257" s="18" t="s">
        <v>1336</v>
      </c>
      <c r="B257" s="18" t="s">
        <v>58</v>
      </c>
      <c r="C257" s="18" t="s">
        <v>59</v>
      </c>
      <c r="D257" s="18" t="s">
        <v>1206</v>
      </c>
      <c r="E257" s="18" t="n">
        <v>392</v>
      </c>
      <c r="F257" s="18" t="s">
        <v>1337</v>
      </c>
      <c r="G257" s="18" t="s">
        <v>128</v>
      </c>
      <c r="H257" s="18" t="s">
        <v>162</v>
      </c>
      <c r="I257" s="18"/>
      <c r="J257" s="18"/>
      <c r="K257" s="18"/>
      <c r="L257" s="18" t="s">
        <v>129</v>
      </c>
      <c r="M257" s="18" t="s">
        <v>129</v>
      </c>
      <c r="N257" s="18"/>
      <c r="O257" s="18"/>
      <c r="P257" s="18" t="s">
        <v>1338</v>
      </c>
      <c r="Q257" s="18" t="s">
        <v>149</v>
      </c>
      <c r="R257" s="18" t="s">
        <v>1339</v>
      </c>
      <c r="S257" s="18" t="s">
        <v>133</v>
      </c>
      <c r="T257" s="18" t="s">
        <v>183</v>
      </c>
      <c r="U257" s="18"/>
      <c r="V257" s="19" t="s">
        <v>29</v>
      </c>
      <c r="W257" s="19"/>
      <c r="X257" s="19"/>
      <c r="Y257" s="20"/>
      <c r="Z257" s="19"/>
      <c r="AA257" s="18" t="str">
        <f aca="false">IF(OR(V257="Aprobada"),R257,IF(AND(OR(V257="Aprobada con ajuste",V257="Rechazada"),W257&lt;&gt;""),W257,""))</f>
        <v/>
      </c>
    </row>
    <row r="258" customFormat="false" ht="32.8" hidden="false" customHeight="false" outlineLevel="0" collapsed="false">
      <c r="A258" s="18" t="s">
        <v>1340</v>
      </c>
      <c r="B258" s="18" t="s">
        <v>58</v>
      </c>
      <c r="C258" s="18" t="s">
        <v>59</v>
      </c>
      <c r="D258" s="18" t="s">
        <v>1206</v>
      </c>
      <c r="E258" s="18" t="n">
        <v>392</v>
      </c>
      <c r="F258" s="18" t="s">
        <v>1341</v>
      </c>
      <c r="G258" s="18" t="s">
        <v>145</v>
      </c>
      <c r="H258" s="18" t="s">
        <v>162</v>
      </c>
      <c r="I258" s="18"/>
      <c r="J258" s="18"/>
      <c r="K258" s="18"/>
      <c r="L258" s="18" t="s">
        <v>129</v>
      </c>
      <c r="M258" s="18" t="s">
        <v>129</v>
      </c>
      <c r="N258" s="18"/>
      <c r="O258" s="18"/>
      <c r="P258" s="18" t="s">
        <v>1342</v>
      </c>
      <c r="Q258" s="18" t="s">
        <v>149</v>
      </c>
      <c r="R258" s="18" t="s">
        <v>1343</v>
      </c>
      <c r="S258" s="18" t="s">
        <v>242</v>
      </c>
      <c r="T258" s="18" t="s">
        <v>183</v>
      </c>
      <c r="U258" s="18" t="s">
        <v>1344</v>
      </c>
      <c r="V258" s="19" t="s">
        <v>29</v>
      </c>
      <c r="W258" s="19"/>
      <c r="X258" s="19"/>
      <c r="Y258" s="20"/>
      <c r="Z258" s="19"/>
      <c r="AA258" s="18" t="str">
        <f aca="false">IF(OR(V258="Aprobada"),R258,IF(AND(OR(V258="Aprobada con ajuste",V258="Rechazada"),W258&lt;&gt;""),W258,""))</f>
        <v/>
      </c>
    </row>
    <row r="259" customFormat="false" ht="32.8" hidden="false" customHeight="false" outlineLevel="0" collapsed="false">
      <c r="A259" s="18" t="s">
        <v>1345</v>
      </c>
      <c r="B259" s="18" t="s">
        <v>58</v>
      </c>
      <c r="C259" s="18" t="s">
        <v>59</v>
      </c>
      <c r="D259" s="18" t="s">
        <v>1206</v>
      </c>
      <c r="E259" s="18" t="n">
        <v>392</v>
      </c>
      <c r="F259" s="18" t="s">
        <v>1346</v>
      </c>
      <c r="G259" s="18" t="s">
        <v>180</v>
      </c>
      <c r="H259" s="18" t="s">
        <v>162</v>
      </c>
      <c r="I259" s="18"/>
      <c r="J259" s="18"/>
      <c r="K259" s="18"/>
      <c r="L259" s="18" t="s">
        <v>129</v>
      </c>
      <c r="M259" s="18" t="s">
        <v>129</v>
      </c>
      <c r="N259" s="18"/>
      <c r="O259" s="18"/>
      <c r="P259" s="18" t="s">
        <v>1347</v>
      </c>
      <c r="Q259" s="18" t="s">
        <v>149</v>
      </c>
      <c r="R259" s="18" t="s">
        <v>1348</v>
      </c>
      <c r="S259" s="18" t="s">
        <v>133</v>
      </c>
      <c r="T259" s="18" t="s">
        <v>183</v>
      </c>
      <c r="U259" s="18"/>
      <c r="V259" s="19" t="s">
        <v>29</v>
      </c>
      <c r="W259" s="19"/>
      <c r="X259" s="19"/>
      <c r="Y259" s="20"/>
      <c r="Z259" s="19"/>
      <c r="AA259" s="18" t="str">
        <f aca="false">IF(OR(V259="Aprobada"),R259,IF(AND(OR(V259="Aprobada con ajuste",V259="Rechazada"),W259&lt;&gt;""),W259,""))</f>
        <v/>
      </c>
    </row>
    <row r="260" customFormat="false" ht="32.8" hidden="false" customHeight="false" outlineLevel="0" collapsed="false">
      <c r="A260" s="18" t="s">
        <v>1349</v>
      </c>
      <c r="B260" s="18" t="s">
        <v>58</v>
      </c>
      <c r="C260" s="18" t="s">
        <v>59</v>
      </c>
      <c r="D260" s="18" t="s">
        <v>1206</v>
      </c>
      <c r="E260" s="18" t="n">
        <v>392</v>
      </c>
      <c r="F260" s="18" t="s">
        <v>1350</v>
      </c>
      <c r="G260" s="18" t="s">
        <v>180</v>
      </c>
      <c r="H260" s="18" t="s">
        <v>162</v>
      </c>
      <c r="I260" s="18"/>
      <c r="J260" s="18"/>
      <c r="K260" s="18"/>
      <c r="L260" s="18" t="s">
        <v>129</v>
      </c>
      <c r="M260" s="18" t="s">
        <v>129</v>
      </c>
      <c r="N260" s="18"/>
      <c r="O260" s="18"/>
      <c r="P260" s="18" t="s">
        <v>1351</v>
      </c>
      <c r="Q260" s="18" t="s">
        <v>149</v>
      </c>
      <c r="R260" s="18" t="s">
        <v>1352</v>
      </c>
      <c r="S260" s="18" t="s">
        <v>133</v>
      </c>
      <c r="T260" s="18" t="s">
        <v>183</v>
      </c>
      <c r="U260" s="18"/>
      <c r="V260" s="19" t="s">
        <v>29</v>
      </c>
      <c r="W260" s="19"/>
      <c r="X260" s="19"/>
      <c r="Y260" s="20"/>
      <c r="Z260" s="19"/>
      <c r="AA260" s="18" t="str">
        <f aca="false">IF(OR(V260="Aprobada"),R260,IF(AND(OR(V260="Aprobada con ajuste",V260="Rechazada"),W260&lt;&gt;""),W260,""))</f>
        <v/>
      </c>
    </row>
    <row r="261" customFormat="false" ht="32.8" hidden="false" customHeight="false" outlineLevel="0" collapsed="false">
      <c r="A261" s="18" t="s">
        <v>1353</v>
      </c>
      <c r="B261" s="18" t="s">
        <v>58</v>
      </c>
      <c r="C261" s="18" t="s">
        <v>59</v>
      </c>
      <c r="D261" s="18" t="s">
        <v>1206</v>
      </c>
      <c r="E261" s="18" t="n">
        <v>392</v>
      </c>
      <c r="F261" s="18" t="s">
        <v>1354</v>
      </c>
      <c r="G261" s="18" t="s">
        <v>145</v>
      </c>
      <c r="H261" s="18" t="s">
        <v>162</v>
      </c>
      <c r="I261" s="18"/>
      <c r="J261" s="18"/>
      <c r="K261" s="18"/>
      <c r="L261" s="18" t="s">
        <v>129</v>
      </c>
      <c r="M261" s="18" t="s">
        <v>129</v>
      </c>
      <c r="N261" s="18"/>
      <c r="O261" s="18"/>
      <c r="P261" s="18" t="s">
        <v>1355</v>
      </c>
      <c r="Q261" s="18" t="s">
        <v>149</v>
      </c>
      <c r="R261" s="18" t="s">
        <v>1356</v>
      </c>
      <c r="S261" s="18" t="s">
        <v>133</v>
      </c>
      <c r="T261" s="18" t="s">
        <v>183</v>
      </c>
      <c r="U261" s="18"/>
      <c r="V261" s="19" t="s">
        <v>29</v>
      </c>
      <c r="W261" s="19"/>
      <c r="X261" s="19"/>
      <c r="Y261" s="20"/>
      <c r="Z261" s="19"/>
      <c r="AA261" s="18" t="str">
        <f aca="false">IF(OR(V261="Aprobada"),R261,IF(AND(OR(V261="Aprobada con ajuste",V261="Rechazada"),W261&lt;&gt;""),W261,""))</f>
        <v/>
      </c>
    </row>
    <row r="262" customFormat="false" ht="32.8" hidden="false" customHeight="false" outlineLevel="0" collapsed="false">
      <c r="A262" s="18" t="s">
        <v>1357</v>
      </c>
      <c r="B262" s="18" t="s">
        <v>58</v>
      </c>
      <c r="C262" s="18" t="s">
        <v>59</v>
      </c>
      <c r="D262" s="18" t="s">
        <v>1206</v>
      </c>
      <c r="E262" s="18" t="n">
        <v>392</v>
      </c>
      <c r="F262" s="18" t="s">
        <v>1358</v>
      </c>
      <c r="G262" s="18" t="s">
        <v>180</v>
      </c>
      <c r="H262" s="18" t="s">
        <v>162</v>
      </c>
      <c r="I262" s="18"/>
      <c r="J262" s="18"/>
      <c r="K262" s="18"/>
      <c r="L262" s="18" t="s">
        <v>129</v>
      </c>
      <c r="M262" s="18" t="s">
        <v>129</v>
      </c>
      <c r="N262" s="18"/>
      <c r="O262" s="18"/>
      <c r="P262" s="18" t="s">
        <v>1359</v>
      </c>
      <c r="Q262" s="18" t="s">
        <v>149</v>
      </c>
      <c r="R262" s="18" t="s">
        <v>1360</v>
      </c>
      <c r="S262" s="18" t="s">
        <v>140</v>
      </c>
      <c r="T262" s="18" t="s">
        <v>1361</v>
      </c>
      <c r="U262" s="18" t="s">
        <v>1362</v>
      </c>
      <c r="V262" s="19" t="s">
        <v>29</v>
      </c>
      <c r="W262" s="19"/>
      <c r="X262" s="19"/>
      <c r="Y262" s="20"/>
      <c r="Z262" s="19"/>
      <c r="AA262" s="18" t="str">
        <f aca="false">IF(OR(V262="Aprobada"),R262,IF(AND(OR(V262="Aprobada con ajuste",V262="Rechazada"),W262&lt;&gt;""),W262,""))</f>
        <v/>
      </c>
    </row>
    <row r="263" customFormat="false" ht="32.8" hidden="false" customHeight="false" outlineLevel="0" collapsed="false">
      <c r="A263" s="18" t="s">
        <v>1363</v>
      </c>
      <c r="B263" s="18" t="s">
        <v>58</v>
      </c>
      <c r="C263" s="18" t="s">
        <v>59</v>
      </c>
      <c r="D263" s="18" t="s">
        <v>1206</v>
      </c>
      <c r="E263" s="18" t="n">
        <v>392</v>
      </c>
      <c r="F263" s="18" t="s">
        <v>1364</v>
      </c>
      <c r="G263" s="18" t="s">
        <v>128</v>
      </c>
      <c r="H263" s="18" t="s">
        <v>162</v>
      </c>
      <c r="I263" s="18" t="s">
        <v>298</v>
      </c>
      <c r="J263" s="18"/>
      <c r="K263" s="18"/>
      <c r="L263" s="18" t="s">
        <v>129</v>
      </c>
      <c r="M263" s="18" t="s">
        <v>129</v>
      </c>
      <c r="N263" s="18"/>
      <c r="O263" s="18"/>
      <c r="P263" s="18" t="s">
        <v>1365</v>
      </c>
      <c r="Q263" s="18" t="s">
        <v>149</v>
      </c>
      <c r="R263" s="18" t="s">
        <v>1366</v>
      </c>
      <c r="S263" s="18" t="s">
        <v>133</v>
      </c>
      <c r="T263" s="18" t="s">
        <v>1367</v>
      </c>
      <c r="U263" s="18"/>
      <c r="V263" s="19" t="s">
        <v>29</v>
      </c>
      <c r="W263" s="19"/>
      <c r="X263" s="19"/>
      <c r="Y263" s="20"/>
      <c r="Z263" s="19"/>
      <c r="AA263" s="18" t="str">
        <f aca="false">IF(OR(V263="Aprobada"),R263,IF(AND(OR(V263="Aprobada con ajuste",V263="Rechazada"),W263&lt;&gt;""),W263,""))</f>
        <v/>
      </c>
    </row>
    <row r="264" customFormat="false" ht="32.8" hidden="false" customHeight="false" outlineLevel="0" collapsed="false">
      <c r="A264" s="18" t="s">
        <v>1368</v>
      </c>
      <c r="B264" s="18" t="s">
        <v>58</v>
      </c>
      <c r="C264" s="18" t="s">
        <v>59</v>
      </c>
      <c r="D264" s="18" t="s">
        <v>1206</v>
      </c>
      <c r="E264" s="18" t="n">
        <v>392</v>
      </c>
      <c r="F264" s="18" t="s">
        <v>1369</v>
      </c>
      <c r="G264" s="18" t="s">
        <v>317</v>
      </c>
      <c r="H264" s="18" t="s">
        <v>162</v>
      </c>
      <c r="I264" s="18"/>
      <c r="J264" s="18"/>
      <c r="K264" s="18"/>
      <c r="L264" s="18" t="s">
        <v>129</v>
      </c>
      <c r="M264" s="18" t="s">
        <v>129</v>
      </c>
      <c r="N264" s="18"/>
      <c r="O264" s="18" t="s">
        <v>1370</v>
      </c>
      <c r="P264" s="18" t="s">
        <v>1371</v>
      </c>
      <c r="Q264" s="18" t="s">
        <v>149</v>
      </c>
      <c r="R264" s="18" t="s">
        <v>1372</v>
      </c>
      <c r="S264" s="18" t="s">
        <v>140</v>
      </c>
      <c r="T264" s="18" t="s">
        <v>1373</v>
      </c>
      <c r="U264" s="18" t="s">
        <v>1374</v>
      </c>
      <c r="V264" s="19" t="s">
        <v>29</v>
      </c>
      <c r="W264" s="19"/>
      <c r="X264" s="19"/>
      <c r="Y264" s="20"/>
      <c r="Z264" s="19"/>
      <c r="AA264" s="18" t="str">
        <f aca="false">IF(OR(V264="Aprobada"),R264,IF(AND(OR(V264="Aprobada con ajuste",V264="Rechazada"),W264&lt;&gt;""),W264,""))</f>
        <v/>
      </c>
    </row>
    <row r="265" customFormat="false" ht="32.8" hidden="false" customHeight="false" outlineLevel="0" collapsed="false">
      <c r="A265" s="18" t="s">
        <v>1375</v>
      </c>
      <c r="B265" s="18" t="s">
        <v>58</v>
      </c>
      <c r="C265" s="18" t="s">
        <v>59</v>
      </c>
      <c r="D265" s="18" t="s">
        <v>1206</v>
      </c>
      <c r="E265" s="18" t="n">
        <v>392</v>
      </c>
      <c r="F265" s="18" t="s">
        <v>1376</v>
      </c>
      <c r="G265" s="18" t="s">
        <v>486</v>
      </c>
      <c r="H265" s="18" t="s">
        <v>162</v>
      </c>
      <c r="I265" s="18"/>
      <c r="J265" s="18"/>
      <c r="K265" s="18"/>
      <c r="L265" s="18" t="s">
        <v>129</v>
      </c>
      <c r="M265" s="18" t="s">
        <v>129</v>
      </c>
      <c r="N265" s="18"/>
      <c r="O265" s="18"/>
      <c r="P265" s="18" t="s">
        <v>1377</v>
      </c>
      <c r="Q265" s="18" t="s">
        <v>149</v>
      </c>
      <c r="R265" s="18" t="s">
        <v>1378</v>
      </c>
      <c r="S265" s="18" t="s">
        <v>140</v>
      </c>
      <c r="T265" s="18" t="s">
        <v>1379</v>
      </c>
      <c r="U265" s="18" t="s">
        <v>1380</v>
      </c>
      <c r="V265" s="19" t="s">
        <v>29</v>
      </c>
      <c r="W265" s="19"/>
      <c r="X265" s="19"/>
      <c r="Y265" s="20"/>
      <c r="Z265" s="19"/>
      <c r="AA265" s="18" t="str">
        <f aca="false">IF(OR(V265="Aprobada"),R265,IF(AND(OR(V265="Aprobada con ajuste",V265="Rechazada"),W265&lt;&gt;""),W265,""))</f>
        <v/>
      </c>
    </row>
    <row r="266" customFormat="false" ht="32.8" hidden="false" customHeight="false" outlineLevel="0" collapsed="false">
      <c r="A266" s="18" t="s">
        <v>1381</v>
      </c>
      <c r="B266" s="18" t="s">
        <v>58</v>
      </c>
      <c r="C266" s="18" t="s">
        <v>59</v>
      </c>
      <c r="D266" s="18" t="s">
        <v>1206</v>
      </c>
      <c r="E266" s="18" t="n">
        <v>392</v>
      </c>
      <c r="F266" s="18" t="s">
        <v>1382</v>
      </c>
      <c r="G266" s="18" t="s">
        <v>180</v>
      </c>
      <c r="H266" s="18" t="s">
        <v>162</v>
      </c>
      <c r="I266" s="18"/>
      <c r="J266" s="18"/>
      <c r="K266" s="18"/>
      <c r="L266" s="18" t="s">
        <v>129</v>
      </c>
      <c r="M266" s="18" t="s">
        <v>129</v>
      </c>
      <c r="N266" s="18"/>
      <c r="O266" s="18"/>
      <c r="P266" s="18" t="s">
        <v>1383</v>
      </c>
      <c r="Q266" s="18" t="s">
        <v>149</v>
      </c>
      <c r="R266" s="18" t="s">
        <v>1384</v>
      </c>
      <c r="S266" s="18" t="s">
        <v>133</v>
      </c>
      <c r="T266" s="18" t="s">
        <v>1373</v>
      </c>
      <c r="U266" s="18"/>
      <c r="V266" s="19" t="s">
        <v>29</v>
      </c>
      <c r="W266" s="19"/>
      <c r="X266" s="19"/>
      <c r="Y266" s="20"/>
      <c r="Z266" s="19"/>
      <c r="AA266" s="18" t="str">
        <f aca="false">IF(OR(V266="Aprobada"),R266,IF(AND(OR(V266="Aprobada con ajuste",V266="Rechazada"),W266&lt;&gt;""),W266,""))</f>
        <v/>
      </c>
    </row>
    <row r="267" customFormat="false" ht="32.8" hidden="false" customHeight="false" outlineLevel="0" collapsed="false">
      <c r="A267" s="18" t="s">
        <v>1385</v>
      </c>
      <c r="B267" s="18" t="s">
        <v>58</v>
      </c>
      <c r="C267" s="18" t="s">
        <v>59</v>
      </c>
      <c r="D267" s="18" t="s">
        <v>1206</v>
      </c>
      <c r="E267" s="18" t="n">
        <v>392</v>
      </c>
      <c r="F267" s="18" t="s">
        <v>1386</v>
      </c>
      <c r="G267" s="18" t="s">
        <v>145</v>
      </c>
      <c r="H267" s="18" t="s">
        <v>162</v>
      </c>
      <c r="I267" s="18"/>
      <c r="J267" s="18"/>
      <c r="K267" s="18"/>
      <c r="L267" s="18" t="s">
        <v>129</v>
      </c>
      <c r="M267" s="18" t="s">
        <v>129</v>
      </c>
      <c r="N267" s="18"/>
      <c r="O267" s="18"/>
      <c r="P267" s="18" t="s">
        <v>1387</v>
      </c>
      <c r="Q267" s="18" t="s">
        <v>149</v>
      </c>
      <c r="R267" s="18" t="s">
        <v>1388</v>
      </c>
      <c r="S267" s="18" t="s">
        <v>140</v>
      </c>
      <c r="T267" s="18" t="s">
        <v>1389</v>
      </c>
      <c r="U267" s="18" t="s">
        <v>1390</v>
      </c>
      <c r="V267" s="19" t="s">
        <v>29</v>
      </c>
      <c r="W267" s="19"/>
      <c r="X267" s="19"/>
      <c r="Y267" s="20"/>
      <c r="Z267" s="19"/>
      <c r="AA267" s="18" t="str">
        <f aca="false">IF(OR(V267="Aprobada"),R267,IF(AND(OR(V267="Aprobada con ajuste",V267="Rechazada"),W267&lt;&gt;""),W267,""))</f>
        <v/>
      </c>
    </row>
    <row r="268" customFormat="false" ht="32.8" hidden="false" customHeight="false" outlineLevel="0" collapsed="false">
      <c r="A268" s="18" t="s">
        <v>1391</v>
      </c>
      <c r="B268" s="18" t="s">
        <v>58</v>
      </c>
      <c r="C268" s="18" t="s">
        <v>59</v>
      </c>
      <c r="D268" s="18" t="s">
        <v>1206</v>
      </c>
      <c r="E268" s="18" t="n">
        <v>392</v>
      </c>
      <c r="F268" s="18" t="s">
        <v>1392</v>
      </c>
      <c r="G268" s="18" t="s">
        <v>128</v>
      </c>
      <c r="H268" s="18" t="s">
        <v>162</v>
      </c>
      <c r="I268" s="18"/>
      <c r="J268" s="18"/>
      <c r="K268" s="18"/>
      <c r="L268" s="18" t="s">
        <v>129</v>
      </c>
      <c r="M268" s="18" t="s">
        <v>129</v>
      </c>
      <c r="N268" s="18"/>
      <c r="O268" s="18"/>
      <c r="P268" s="18" t="s">
        <v>1393</v>
      </c>
      <c r="Q268" s="18" t="s">
        <v>149</v>
      </c>
      <c r="R268" s="18" t="s">
        <v>1394</v>
      </c>
      <c r="S268" s="18" t="s">
        <v>133</v>
      </c>
      <c r="T268" s="18" t="s">
        <v>183</v>
      </c>
      <c r="U268" s="18"/>
      <c r="V268" s="19" t="s">
        <v>29</v>
      </c>
      <c r="W268" s="19"/>
      <c r="X268" s="19"/>
      <c r="Y268" s="20"/>
      <c r="Z268" s="19"/>
      <c r="AA268" s="18" t="str">
        <f aca="false">IF(OR(V268="Aprobada"),R268,IF(AND(OR(V268="Aprobada con ajuste",V268="Rechazada"),W268&lt;&gt;""),W268,""))</f>
        <v/>
      </c>
    </row>
    <row r="269" customFormat="false" ht="32.8" hidden="false" customHeight="false" outlineLevel="0" collapsed="false">
      <c r="A269" s="18" t="s">
        <v>1395</v>
      </c>
      <c r="B269" s="18" t="s">
        <v>58</v>
      </c>
      <c r="C269" s="18" t="s">
        <v>59</v>
      </c>
      <c r="D269" s="18" t="s">
        <v>1206</v>
      </c>
      <c r="E269" s="18" t="n">
        <v>392</v>
      </c>
      <c r="F269" s="18" t="s">
        <v>1396</v>
      </c>
      <c r="G269" s="18" t="s">
        <v>317</v>
      </c>
      <c r="H269" s="18" t="s">
        <v>162</v>
      </c>
      <c r="I269" s="18"/>
      <c r="J269" s="18"/>
      <c r="K269" s="18"/>
      <c r="L269" s="18" t="s">
        <v>129</v>
      </c>
      <c r="M269" s="18" t="s">
        <v>129</v>
      </c>
      <c r="N269" s="18"/>
      <c r="O269" s="18"/>
      <c r="P269" s="18" t="s">
        <v>1397</v>
      </c>
      <c r="Q269" s="18" t="s">
        <v>138</v>
      </c>
      <c r="R269" s="18" t="s">
        <v>1398</v>
      </c>
      <c r="S269" s="18" t="s">
        <v>140</v>
      </c>
      <c r="T269" s="18" t="s">
        <v>141</v>
      </c>
      <c r="U269" s="18"/>
      <c r="V269" s="19" t="s">
        <v>29</v>
      </c>
      <c r="W269" s="19"/>
      <c r="X269" s="19"/>
      <c r="Y269" s="20"/>
      <c r="Z269" s="19"/>
      <c r="AA269" s="18" t="str">
        <f aca="false">IF(OR(V269="Aprobada"),R269,IF(AND(OR(V269="Aprobada con ajuste",V269="Rechazada"),W269&lt;&gt;""),W269,""))</f>
        <v/>
      </c>
    </row>
    <row r="270" customFormat="false" ht="32.8" hidden="false" customHeight="false" outlineLevel="0" collapsed="false">
      <c r="A270" s="18" t="s">
        <v>1399</v>
      </c>
      <c r="B270" s="18" t="s">
        <v>58</v>
      </c>
      <c r="C270" s="18" t="s">
        <v>59</v>
      </c>
      <c r="D270" s="18" t="s">
        <v>1206</v>
      </c>
      <c r="E270" s="18" t="n">
        <v>392</v>
      </c>
      <c r="F270" s="18" t="s">
        <v>1400</v>
      </c>
      <c r="G270" s="18" t="s">
        <v>486</v>
      </c>
      <c r="H270" s="18" t="s">
        <v>162</v>
      </c>
      <c r="I270" s="18"/>
      <c r="J270" s="18"/>
      <c r="K270" s="18"/>
      <c r="L270" s="18" t="s">
        <v>129</v>
      </c>
      <c r="M270" s="18" t="s">
        <v>129</v>
      </c>
      <c r="N270" s="18"/>
      <c r="O270" s="18"/>
      <c r="P270" s="18" t="s">
        <v>1401</v>
      </c>
      <c r="Q270" s="18" t="s">
        <v>149</v>
      </c>
      <c r="R270" s="18" t="s">
        <v>1402</v>
      </c>
      <c r="S270" s="18" t="s">
        <v>140</v>
      </c>
      <c r="T270" s="18" t="s">
        <v>1403</v>
      </c>
      <c r="U270" s="18" t="s">
        <v>1380</v>
      </c>
      <c r="V270" s="19" t="s">
        <v>29</v>
      </c>
      <c r="W270" s="19"/>
      <c r="X270" s="19"/>
      <c r="Y270" s="20"/>
      <c r="Z270" s="19"/>
      <c r="AA270" s="18" t="str">
        <f aca="false">IF(OR(V270="Aprobada"),R270,IF(AND(OR(V270="Aprobada con ajuste",V270="Rechazada"),W270&lt;&gt;""),W270,""))</f>
        <v/>
      </c>
    </row>
    <row r="271" customFormat="false" ht="32.8" hidden="false" customHeight="false" outlineLevel="0" collapsed="false">
      <c r="A271" s="18" t="s">
        <v>1404</v>
      </c>
      <c r="B271" s="18" t="s">
        <v>58</v>
      </c>
      <c r="C271" s="18" t="s">
        <v>59</v>
      </c>
      <c r="D271" s="18" t="s">
        <v>1206</v>
      </c>
      <c r="E271" s="18" t="n">
        <v>392</v>
      </c>
      <c r="F271" s="18" t="s">
        <v>1405</v>
      </c>
      <c r="G271" s="18" t="s">
        <v>180</v>
      </c>
      <c r="H271" s="18" t="s">
        <v>162</v>
      </c>
      <c r="I271" s="18"/>
      <c r="J271" s="18"/>
      <c r="K271" s="18"/>
      <c r="L271" s="18" t="s">
        <v>129</v>
      </c>
      <c r="M271" s="18" t="s">
        <v>129</v>
      </c>
      <c r="N271" s="18"/>
      <c r="O271" s="18"/>
      <c r="P271" s="18" t="s">
        <v>1406</v>
      </c>
      <c r="Q271" s="18" t="s">
        <v>149</v>
      </c>
      <c r="R271" s="18" t="s">
        <v>1407</v>
      </c>
      <c r="S271" s="18" t="s">
        <v>133</v>
      </c>
      <c r="T271" s="18" t="s">
        <v>1408</v>
      </c>
      <c r="U271" s="18"/>
      <c r="V271" s="19" t="s">
        <v>29</v>
      </c>
      <c r="W271" s="19"/>
      <c r="X271" s="19"/>
      <c r="Y271" s="20"/>
      <c r="Z271" s="19"/>
      <c r="AA271" s="18" t="str">
        <f aca="false">IF(OR(V271="Aprobada"),R271,IF(AND(OR(V271="Aprobada con ajuste",V271="Rechazada"),W271&lt;&gt;""),W271,""))</f>
        <v/>
      </c>
    </row>
    <row r="272" customFormat="false" ht="32.8" hidden="false" customHeight="false" outlineLevel="0" collapsed="false">
      <c r="A272" s="18" t="s">
        <v>1409</v>
      </c>
      <c r="B272" s="18" t="s">
        <v>58</v>
      </c>
      <c r="C272" s="18" t="s">
        <v>59</v>
      </c>
      <c r="D272" s="18" t="s">
        <v>1206</v>
      </c>
      <c r="E272" s="18" t="n">
        <v>392</v>
      </c>
      <c r="F272" s="18" t="s">
        <v>1410</v>
      </c>
      <c r="G272" s="18" t="s">
        <v>180</v>
      </c>
      <c r="H272" s="18" t="s">
        <v>162</v>
      </c>
      <c r="I272" s="18"/>
      <c r="J272" s="18"/>
      <c r="K272" s="18"/>
      <c r="L272" s="18" t="s">
        <v>129</v>
      </c>
      <c r="M272" s="18" t="s">
        <v>129</v>
      </c>
      <c r="N272" s="18"/>
      <c r="O272" s="18"/>
      <c r="P272" s="18" t="s">
        <v>1411</v>
      </c>
      <c r="Q272" s="18" t="s">
        <v>149</v>
      </c>
      <c r="R272" s="18" t="s">
        <v>1412</v>
      </c>
      <c r="S272" s="18" t="s">
        <v>133</v>
      </c>
      <c r="T272" s="18" t="s">
        <v>183</v>
      </c>
      <c r="U272" s="18"/>
      <c r="V272" s="19" t="s">
        <v>29</v>
      </c>
      <c r="W272" s="19"/>
      <c r="X272" s="19"/>
      <c r="Y272" s="20"/>
      <c r="Z272" s="19"/>
      <c r="AA272" s="18" t="str">
        <f aca="false">IF(OR(V272="Aprobada"),R272,IF(AND(OR(V272="Aprobada con ajuste",V272="Rechazada"),W272&lt;&gt;""),W272,""))</f>
        <v/>
      </c>
    </row>
    <row r="273" customFormat="false" ht="32.8" hidden="false" customHeight="false" outlineLevel="0" collapsed="false">
      <c r="A273" s="18" t="s">
        <v>1413</v>
      </c>
      <c r="B273" s="18" t="s">
        <v>58</v>
      </c>
      <c r="C273" s="18" t="s">
        <v>59</v>
      </c>
      <c r="D273" s="18" t="s">
        <v>1206</v>
      </c>
      <c r="E273" s="18" t="n">
        <v>392</v>
      </c>
      <c r="F273" s="18" t="s">
        <v>1414</v>
      </c>
      <c r="G273" s="18" t="s">
        <v>180</v>
      </c>
      <c r="H273" s="18" t="s">
        <v>162</v>
      </c>
      <c r="I273" s="18"/>
      <c r="J273" s="18"/>
      <c r="K273" s="18"/>
      <c r="L273" s="18" t="s">
        <v>129</v>
      </c>
      <c r="M273" s="18" t="s">
        <v>129</v>
      </c>
      <c r="N273" s="18"/>
      <c r="O273" s="18"/>
      <c r="P273" s="18" t="s">
        <v>1415</v>
      </c>
      <c r="Q273" s="18" t="s">
        <v>149</v>
      </c>
      <c r="R273" s="18" t="s">
        <v>1416</v>
      </c>
      <c r="S273" s="18" t="s">
        <v>133</v>
      </c>
      <c r="T273" s="18" t="s">
        <v>183</v>
      </c>
      <c r="U273" s="18"/>
      <c r="V273" s="19" t="s">
        <v>29</v>
      </c>
      <c r="W273" s="19"/>
      <c r="X273" s="19"/>
      <c r="Y273" s="20"/>
      <c r="Z273" s="19"/>
      <c r="AA273" s="18" t="str">
        <f aca="false">IF(OR(V273="Aprobada"),R273,IF(AND(OR(V273="Aprobada con ajuste",V273="Rechazada"),W273&lt;&gt;""),W273,""))</f>
        <v/>
      </c>
    </row>
    <row r="274" customFormat="false" ht="32.8" hidden="false" customHeight="false" outlineLevel="0" collapsed="false">
      <c r="A274" s="18" t="s">
        <v>1417</v>
      </c>
      <c r="B274" s="18" t="s">
        <v>58</v>
      </c>
      <c r="C274" s="18" t="s">
        <v>59</v>
      </c>
      <c r="D274" s="18" t="s">
        <v>1206</v>
      </c>
      <c r="E274" s="18" t="n">
        <v>392</v>
      </c>
      <c r="F274" s="18" t="s">
        <v>1418</v>
      </c>
      <c r="G274" s="18" t="s">
        <v>337</v>
      </c>
      <c r="H274" s="18" t="s">
        <v>162</v>
      </c>
      <c r="I274" s="18"/>
      <c r="J274" s="18"/>
      <c r="K274" s="18"/>
      <c r="L274" s="18" t="s">
        <v>129</v>
      </c>
      <c r="M274" s="18" t="s">
        <v>129</v>
      </c>
      <c r="N274" s="18"/>
      <c r="O274" s="18"/>
      <c r="P274" s="18" t="s">
        <v>1419</v>
      </c>
      <c r="Q274" s="18" t="s">
        <v>149</v>
      </c>
      <c r="R274" s="18" t="s">
        <v>1420</v>
      </c>
      <c r="S274" s="18" t="s">
        <v>133</v>
      </c>
      <c r="T274" s="18" t="s">
        <v>183</v>
      </c>
      <c r="U274" s="18"/>
      <c r="V274" s="19" t="s">
        <v>29</v>
      </c>
      <c r="W274" s="19"/>
      <c r="X274" s="19"/>
      <c r="Y274" s="20"/>
      <c r="Z274" s="19"/>
      <c r="AA274" s="18" t="str">
        <f aca="false">IF(OR(V274="Aprobada"),R274,IF(AND(OR(V274="Aprobada con ajuste",V274="Rechazada"),W274&lt;&gt;""),W274,""))</f>
        <v/>
      </c>
    </row>
    <row r="275" customFormat="false" ht="32.8" hidden="false" customHeight="false" outlineLevel="0" collapsed="false">
      <c r="A275" s="18" t="s">
        <v>1421</v>
      </c>
      <c r="B275" s="18" t="s">
        <v>58</v>
      </c>
      <c r="C275" s="18" t="s">
        <v>59</v>
      </c>
      <c r="D275" s="18" t="s">
        <v>1206</v>
      </c>
      <c r="E275" s="18" t="n">
        <v>392</v>
      </c>
      <c r="F275" s="18" t="s">
        <v>1422</v>
      </c>
      <c r="G275" s="18" t="s">
        <v>503</v>
      </c>
      <c r="H275" s="18" t="s">
        <v>162</v>
      </c>
      <c r="I275" s="18"/>
      <c r="J275" s="18"/>
      <c r="K275" s="18"/>
      <c r="L275" s="18" t="s">
        <v>129</v>
      </c>
      <c r="M275" s="18" t="s">
        <v>129</v>
      </c>
      <c r="N275" s="18"/>
      <c r="O275" s="18"/>
      <c r="P275" s="18" t="s">
        <v>1423</v>
      </c>
      <c r="Q275" s="18" t="s">
        <v>149</v>
      </c>
      <c r="R275" s="18" t="s">
        <v>1424</v>
      </c>
      <c r="S275" s="18" t="s">
        <v>133</v>
      </c>
      <c r="T275" s="18" t="s">
        <v>183</v>
      </c>
      <c r="U275" s="18"/>
      <c r="V275" s="19" t="s">
        <v>29</v>
      </c>
      <c r="W275" s="19"/>
      <c r="X275" s="19"/>
      <c r="Y275" s="20"/>
      <c r="Z275" s="19"/>
      <c r="AA275" s="18" t="str">
        <f aca="false">IF(OR(V275="Aprobada"),R275,IF(AND(OR(V275="Aprobada con ajuste",V275="Rechazada"),W275&lt;&gt;""),W275,""))</f>
        <v/>
      </c>
    </row>
    <row r="276" customFormat="false" ht="32.8" hidden="false" customHeight="false" outlineLevel="0" collapsed="false">
      <c r="A276" s="18" t="s">
        <v>1425</v>
      </c>
      <c r="B276" s="18" t="s">
        <v>58</v>
      </c>
      <c r="C276" s="18" t="s">
        <v>59</v>
      </c>
      <c r="D276" s="18" t="s">
        <v>1206</v>
      </c>
      <c r="E276" s="18" t="n">
        <v>392</v>
      </c>
      <c r="F276" s="18" t="s">
        <v>1426</v>
      </c>
      <c r="G276" s="18" t="s">
        <v>317</v>
      </c>
      <c r="H276" s="18" t="s">
        <v>162</v>
      </c>
      <c r="I276" s="18"/>
      <c r="J276" s="18"/>
      <c r="K276" s="18"/>
      <c r="L276" s="18" t="s">
        <v>129</v>
      </c>
      <c r="M276" s="18" t="s">
        <v>129</v>
      </c>
      <c r="N276" s="18"/>
      <c r="O276" s="18"/>
      <c r="P276" s="18" t="s">
        <v>1427</v>
      </c>
      <c r="Q276" s="18" t="s">
        <v>149</v>
      </c>
      <c r="R276" s="18" t="s">
        <v>1428</v>
      </c>
      <c r="S276" s="18" t="s">
        <v>133</v>
      </c>
      <c r="T276" s="18" t="s">
        <v>183</v>
      </c>
      <c r="U276" s="18"/>
      <c r="V276" s="19" t="s">
        <v>29</v>
      </c>
      <c r="W276" s="19"/>
      <c r="X276" s="19"/>
      <c r="Y276" s="20"/>
      <c r="Z276" s="19"/>
      <c r="AA276" s="18" t="str">
        <f aca="false">IF(OR(V276="Aprobada"),R276,IF(AND(OR(V276="Aprobada con ajuste",V276="Rechazada"),W276&lt;&gt;""),W276,""))</f>
        <v/>
      </c>
    </row>
    <row r="277" customFormat="false" ht="53.7" hidden="false" customHeight="false" outlineLevel="0" collapsed="false">
      <c r="A277" s="18" t="s">
        <v>1429</v>
      </c>
      <c r="B277" s="18" t="s">
        <v>58</v>
      </c>
      <c r="C277" s="18" t="s">
        <v>59</v>
      </c>
      <c r="D277" s="18" t="s">
        <v>1430</v>
      </c>
      <c r="E277" s="18" t="n">
        <v>161</v>
      </c>
      <c r="F277" s="18" t="s">
        <v>1431</v>
      </c>
      <c r="G277" s="18" t="s">
        <v>486</v>
      </c>
      <c r="H277" s="18" t="s">
        <v>129</v>
      </c>
      <c r="I277" s="18" t="s">
        <v>146</v>
      </c>
      <c r="J277" s="18"/>
      <c r="K277" s="18"/>
      <c r="L277" s="18" t="s">
        <v>129</v>
      </c>
      <c r="M277" s="18" t="s">
        <v>129</v>
      </c>
      <c r="N277" s="18"/>
      <c r="O277" s="18" t="s">
        <v>1432</v>
      </c>
      <c r="P277" s="18" t="s">
        <v>1433</v>
      </c>
      <c r="Q277" s="18" t="s">
        <v>131</v>
      </c>
      <c r="R277" s="18" t="s">
        <v>1434</v>
      </c>
      <c r="S277" s="18" t="s">
        <v>133</v>
      </c>
      <c r="T277" s="18" t="s">
        <v>1435</v>
      </c>
      <c r="U277" s="18"/>
      <c r="V277" s="19" t="s">
        <v>29</v>
      </c>
      <c r="W277" s="19"/>
      <c r="X277" s="19"/>
      <c r="Y277" s="20"/>
      <c r="Z277" s="19"/>
      <c r="AA277" s="18" t="str">
        <f aca="false">IF(OR(V277="Aprobada"),R277,IF(AND(OR(V277="Aprobada con ajuste",V277="Rechazada"),W277&lt;&gt;""),W277,""))</f>
        <v/>
      </c>
    </row>
    <row r="278" customFormat="false" ht="43.25" hidden="false" customHeight="false" outlineLevel="0" collapsed="false">
      <c r="A278" s="18" t="s">
        <v>1436</v>
      </c>
      <c r="B278" s="18" t="s">
        <v>58</v>
      </c>
      <c r="C278" s="18" t="s">
        <v>59</v>
      </c>
      <c r="D278" s="18" t="s">
        <v>1430</v>
      </c>
      <c r="E278" s="18" t="n">
        <v>161</v>
      </c>
      <c r="F278" s="18" t="s">
        <v>1437</v>
      </c>
      <c r="G278" s="18" t="s">
        <v>145</v>
      </c>
      <c r="H278" s="18" t="s">
        <v>129</v>
      </c>
      <c r="I278" s="18" t="s">
        <v>146</v>
      </c>
      <c r="J278" s="18"/>
      <c r="K278" s="18"/>
      <c r="L278" s="18" t="s">
        <v>129</v>
      </c>
      <c r="M278" s="18" t="s">
        <v>129</v>
      </c>
      <c r="N278" s="18"/>
      <c r="O278" s="18" t="s">
        <v>1438</v>
      </c>
      <c r="P278" s="18" t="s">
        <v>1439</v>
      </c>
      <c r="Q278" s="18" t="s">
        <v>131</v>
      </c>
      <c r="R278" s="18" t="s">
        <v>1440</v>
      </c>
      <c r="S278" s="18" t="s">
        <v>133</v>
      </c>
      <c r="T278" s="18" t="s">
        <v>1441</v>
      </c>
      <c r="U278" s="18"/>
      <c r="V278" s="19" t="s">
        <v>29</v>
      </c>
      <c r="W278" s="19"/>
      <c r="X278" s="19"/>
      <c r="Y278" s="20"/>
      <c r="Z278" s="19"/>
      <c r="AA278" s="18" t="str">
        <f aca="false">IF(OR(V278="Aprobada"),R278,IF(AND(OR(V278="Aprobada con ajuste",V278="Rechazada"),W278&lt;&gt;""),W278,""))</f>
        <v/>
      </c>
    </row>
    <row r="279" customFormat="false" ht="43.25" hidden="false" customHeight="false" outlineLevel="0" collapsed="false">
      <c r="A279" s="18" t="s">
        <v>1442</v>
      </c>
      <c r="B279" s="18" t="s">
        <v>58</v>
      </c>
      <c r="C279" s="18" t="s">
        <v>59</v>
      </c>
      <c r="D279" s="18" t="s">
        <v>1430</v>
      </c>
      <c r="E279" s="18" t="n">
        <v>161</v>
      </c>
      <c r="F279" s="18" t="s">
        <v>1116</v>
      </c>
      <c r="G279" s="18" t="s">
        <v>180</v>
      </c>
      <c r="H279" s="18" t="s">
        <v>129</v>
      </c>
      <c r="I279" s="18"/>
      <c r="J279" s="18"/>
      <c r="K279" s="18"/>
      <c r="L279" s="18" t="s">
        <v>129</v>
      </c>
      <c r="M279" s="18" t="s">
        <v>129</v>
      </c>
      <c r="N279" s="18"/>
      <c r="O279" s="18"/>
      <c r="P279" s="18" t="s">
        <v>1443</v>
      </c>
      <c r="Q279" s="18" t="s">
        <v>131</v>
      </c>
      <c r="R279" s="18" t="s">
        <v>1444</v>
      </c>
      <c r="S279" s="18" t="s">
        <v>133</v>
      </c>
      <c r="T279" s="18" t="s">
        <v>1445</v>
      </c>
      <c r="U279" s="18"/>
      <c r="V279" s="19" t="s">
        <v>29</v>
      </c>
      <c r="W279" s="19"/>
      <c r="X279" s="19"/>
      <c r="Y279" s="20"/>
      <c r="Z279" s="19"/>
      <c r="AA279" s="18" t="str">
        <f aca="false">IF(OR(V279="Aprobada"),R279,IF(AND(OR(V279="Aprobada con ajuste",V279="Rechazada"),W279&lt;&gt;""),W279,""))</f>
        <v/>
      </c>
    </row>
    <row r="280" customFormat="false" ht="32.8" hidden="false" customHeight="false" outlineLevel="0" collapsed="false">
      <c r="A280" s="18" t="s">
        <v>1446</v>
      </c>
      <c r="B280" s="18" t="s">
        <v>58</v>
      </c>
      <c r="C280" s="18" t="s">
        <v>59</v>
      </c>
      <c r="D280" s="18" t="s">
        <v>1430</v>
      </c>
      <c r="E280" s="18" t="n">
        <v>161</v>
      </c>
      <c r="F280" s="18" t="s">
        <v>1121</v>
      </c>
      <c r="G280" s="18" t="s">
        <v>145</v>
      </c>
      <c r="H280" s="18" t="s">
        <v>129</v>
      </c>
      <c r="I280" s="18"/>
      <c r="J280" s="18"/>
      <c r="K280" s="18"/>
      <c r="L280" s="18" t="s">
        <v>129</v>
      </c>
      <c r="M280" s="18" t="s">
        <v>129</v>
      </c>
      <c r="N280" s="18"/>
      <c r="O280" s="18" t="s">
        <v>1447</v>
      </c>
      <c r="P280" s="18" t="s">
        <v>1448</v>
      </c>
      <c r="Q280" s="18" t="s">
        <v>149</v>
      </c>
      <c r="R280" s="18" t="s">
        <v>1449</v>
      </c>
      <c r="S280" s="18" t="s">
        <v>133</v>
      </c>
      <c r="T280" s="18" t="s">
        <v>183</v>
      </c>
      <c r="U280" s="18"/>
      <c r="V280" s="19" t="s">
        <v>29</v>
      </c>
      <c r="W280" s="19"/>
      <c r="X280" s="19"/>
      <c r="Y280" s="20"/>
      <c r="Z280" s="19"/>
      <c r="AA280" s="18" t="str">
        <f aca="false">IF(OR(V280="Aprobada"),R280,IF(AND(OR(V280="Aprobada con ajuste",V280="Rechazada"),W280&lt;&gt;""),W280,""))</f>
        <v/>
      </c>
    </row>
    <row r="281" customFormat="false" ht="43.25" hidden="false" customHeight="false" outlineLevel="0" collapsed="false">
      <c r="A281" s="18" t="s">
        <v>1450</v>
      </c>
      <c r="B281" s="18" t="s">
        <v>58</v>
      </c>
      <c r="C281" s="18" t="s">
        <v>59</v>
      </c>
      <c r="D281" s="18" t="s">
        <v>1430</v>
      </c>
      <c r="E281" s="18" t="n">
        <v>161</v>
      </c>
      <c r="F281" s="18" t="s">
        <v>1141</v>
      </c>
      <c r="G281" s="18" t="s">
        <v>180</v>
      </c>
      <c r="H281" s="18" t="s">
        <v>129</v>
      </c>
      <c r="I281" s="18"/>
      <c r="J281" s="18"/>
      <c r="K281" s="18"/>
      <c r="L281" s="18" t="s">
        <v>129</v>
      </c>
      <c r="M281" s="18" t="s">
        <v>129</v>
      </c>
      <c r="N281" s="18"/>
      <c r="O281" s="18"/>
      <c r="P281" s="18" t="s">
        <v>1451</v>
      </c>
      <c r="Q281" s="18" t="s">
        <v>131</v>
      </c>
      <c r="R281" s="18" t="s">
        <v>1452</v>
      </c>
      <c r="S281" s="18" t="s">
        <v>133</v>
      </c>
      <c r="T281" s="18" t="s">
        <v>1453</v>
      </c>
      <c r="U281" s="18"/>
      <c r="V281" s="19" t="s">
        <v>29</v>
      </c>
      <c r="W281" s="19"/>
      <c r="X281" s="19"/>
      <c r="Y281" s="20"/>
      <c r="Z281" s="19"/>
      <c r="AA281" s="18" t="str">
        <f aca="false">IF(OR(V281="Aprobada"),R281,IF(AND(OR(V281="Aprobada con ajuste",V281="Rechazada"),W281&lt;&gt;""),W281,""))</f>
        <v/>
      </c>
    </row>
    <row r="282" customFormat="false" ht="32.8" hidden="false" customHeight="false" outlineLevel="0" collapsed="false">
      <c r="A282" s="18" t="s">
        <v>1454</v>
      </c>
      <c r="B282" s="18" t="s">
        <v>58</v>
      </c>
      <c r="C282" s="18" t="s">
        <v>59</v>
      </c>
      <c r="D282" s="18" t="s">
        <v>1430</v>
      </c>
      <c r="E282" s="18" t="n">
        <v>161</v>
      </c>
      <c r="F282" s="18" t="s">
        <v>1146</v>
      </c>
      <c r="G282" s="18" t="s">
        <v>145</v>
      </c>
      <c r="H282" s="18" t="s">
        <v>129</v>
      </c>
      <c r="I282" s="18"/>
      <c r="J282" s="18"/>
      <c r="K282" s="18"/>
      <c r="L282" s="18" t="s">
        <v>129</v>
      </c>
      <c r="M282" s="18" t="s">
        <v>129</v>
      </c>
      <c r="N282" s="18"/>
      <c r="O282" s="18"/>
      <c r="P282" s="18" t="s">
        <v>1455</v>
      </c>
      <c r="Q282" s="18" t="s">
        <v>149</v>
      </c>
      <c r="R282" s="18" t="s">
        <v>1456</v>
      </c>
      <c r="S282" s="18" t="s">
        <v>140</v>
      </c>
      <c r="T282" s="18" t="s">
        <v>183</v>
      </c>
      <c r="U282" s="18" t="s">
        <v>1457</v>
      </c>
      <c r="V282" s="19" t="s">
        <v>29</v>
      </c>
      <c r="W282" s="19"/>
      <c r="X282" s="19"/>
      <c r="Y282" s="20"/>
      <c r="Z282" s="19"/>
      <c r="AA282" s="18" t="str">
        <f aca="false">IF(OR(V282="Aprobada"),R282,IF(AND(OR(V282="Aprobada con ajuste",V282="Rechazada"),W282&lt;&gt;""),W282,""))</f>
        <v/>
      </c>
    </row>
    <row r="283" customFormat="false" ht="32.8" hidden="false" customHeight="false" outlineLevel="0" collapsed="false">
      <c r="A283" s="18" t="s">
        <v>1458</v>
      </c>
      <c r="B283" s="18" t="s">
        <v>58</v>
      </c>
      <c r="C283" s="18" t="s">
        <v>59</v>
      </c>
      <c r="D283" s="18" t="s">
        <v>1430</v>
      </c>
      <c r="E283" s="18" t="n">
        <v>161</v>
      </c>
      <c r="F283" s="18" t="s">
        <v>1167</v>
      </c>
      <c r="G283" s="18" t="s">
        <v>180</v>
      </c>
      <c r="H283" s="18" t="s">
        <v>129</v>
      </c>
      <c r="I283" s="18"/>
      <c r="J283" s="18"/>
      <c r="K283" s="18"/>
      <c r="L283" s="18" t="s">
        <v>129</v>
      </c>
      <c r="M283" s="18" t="s">
        <v>129</v>
      </c>
      <c r="N283" s="18"/>
      <c r="O283" s="18"/>
      <c r="P283" s="18" t="s">
        <v>1459</v>
      </c>
      <c r="Q283" s="18" t="s">
        <v>149</v>
      </c>
      <c r="R283" s="18" t="s">
        <v>1460</v>
      </c>
      <c r="S283" s="18" t="s">
        <v>133</v>
      </c>
      <c r="T283" s="18" t="s">
        <v>183</v>
      </c>
      <c r="U283" s="18"/>
      <c r="V283" s="19" t="s">
        <v>29</v>
      </c>
      <c r="W283" s="19"/>
      <c r="X283" s="19"/>
      <c r="Y283" s="20"/>
      <c r="Z283" s="19"/>
      <c r="AA283" s="18" t="str">
        <f aca="false">IF(OR(V283="Aprobada"),R283,IF(AND(OR(V283="Aprobada con ajuste",V283="Rechazada"),W283&lt;&gt;""),W283,""))</f>
        <v/>
      </c>
    </row>
    <row r="284" customFormat="false" ht="32.8" hidden="false" customHeight="false" outlineLevel="0" collapsed="false">
      <c r="A284" s="18" t="s">
        <v>1461</v>
      </c>
      <c r="B284" s="18" t="s">
        <v>58</v>
      </c>
      <c r="C284" s="18" t="s">
        <v>59</v>
      </c>
      <c r="D284" s="18" t="s">
        <v>1430</v>
      </c>
      <c r="E284" s="18" t="n">
        <v>161</v>
      </c>
      <c r="F284" s="18" t="s">
        <v>1157</v>
      </c>
      <c r="G284" s="18" t="s">
        <v>137</v>
      </c>
      <c r="H284" s="18" t="s">
        <v>129</v>
      </c>
      <c r="I284" s="18"/>
      <c r="J284" s="18"/>
      <c r="K284" s="18"/>
      <c r="L284" s="18" t="s">
        <v>129</v>
      </c>
      <c r="M284" s="18" t="s">
        <v>129</v>
      </c>
      <c r="N284" s="18"/>
      <c r="O284" s="18"/>
      <c r="P284" s="18" t="s">
        <v>1462</v>
      </c>
      <c r="Q284" s="18" t="s">
        <v>149</v>
      </c>
      <c r="R284" s="18" t="s">
        <v>1463</v>
      </c>
      <c r="S284" s="18" t="s">
        <v>133</v>
      </c>
      <c r="T284" s="18" t="s">
        <v>183</v>
      </c>
      <c r="U284" s="18"/>
      <c r="V284" s="19" t="s">
        <v>29</v>
      </c>
      <c r="W284" s="19"/>
      <c r="X284" s="19"/>
      <c r="Y284" s="20"/>
      <c r="Z284" s="19"/>
      <c r="AA284" s="18" t="str">
        <f aca="false">IF(OR(V284="Aprobada"),R284,IF(AND(OR(V284="Aprobada con ajuste",V284="Rechazada"),W284&lt;&gt;""),W284,""))</f>
        <v/>
      </c>
    </row>
    <row r="285" customFormat="false" ht="32.8" hidden="false" customHeight="false" outlineLevel="0" collapsed="false">
      <c r="A285" s="18" t="s">
        <v>1464</v>
      </c>
      <c r="B285" s="18" t="s">
        <v>58</v>
      </c>
      <c r="C285" s="18" t="s">
        <v>59</v>
      </c>
      <c r="D285" s="18" t="s">
        <v>1430</v>
      </c>
      <c r="E285" s="18" t="n">
        <v>161</v>
      </c>
      <c r="F285" s="18" t="s">
        <v>1172</v>
      </c>
      <c r="G285" s="18" t="s">
        <v>486</v>
      </c>
      <c r="H285" s="18" t="s">
        <v>162</v>
      </c>
      <c r="I285" s="18"/>
      <c r="J285" s="18"/>
      <c r="K285" s="18"/>
      <c r="L285" s="18" t="s">
        <v>129</v>
      </c>
      <c r="M285" s="18" t="s">
        <v>129</v>
      </c>
      <c r="N285" s="18"/>
      <c r="O285" s="18"/>
      <c r="P285" s="18" t="s">
        <v>1465</v>
      </c>
      <c r="Q285" s="18" t="s">
        <v>149</v>
      </c>
      <c r="R285" s="18" t="s">
        <v>1466</v>
      </c>
      <c r="S285" s="18" t="s">
        <v>133</v>
      </c>
      <c r="T285" s="18" t="s">
        <v>183</v>
      </c>
      <c r="U285" s="18"/>
      <c r="V285" s="19" t="s">
        <v>29</v>
      </c>
      <c r="W285" s="19"/>
      <c r="X285" s="19"/>
      <c r="Y285" s="20"/>
      <c r="Z285" s="19"/>
      <c r="AA285" s="18" t="str">
        <f aca="false">IF(OR(V285="Aprobada"),R285,IF(AND(OR(V285="Aprobada con ajuste",V285="Rechazada"),W285&lt;&gt;""),W285,""))</f>
        <v/>
      </c>
    </row>
    <row r="286" customFormat="false" ht="43.25" hidden="false" customHeight="false" outlineLevel="0" collapsed="false">
      <c r="A286" s="18" t="s">
        <v>1467</v>
      </c>
      <c r="B286" s="18" t="s">
        <v>58</v>
      </c>
      <c r="C286" s="18" t="s">
        <v>59</v>
      </c>
      <c r="D286" s="18" t="s">
        <v>1430</v>
      </c>
      <c r="E286" s="18" t="n">
        <v>161</v>
      </c>
      <c r="F286" s="18" t="s">
        <v>1191</v>
      </c>
      <c r="G286" s="18" t="s">
        <v>486</v>
      </c>
      <c r="H286" s="18" t="s">
        <v>162</v>
      </c>
      <c r="I286" s="18"/>
      <c r="J286" s="18"/>
      <c r="K286" s="18"/>
      <c r="L286" s="18" t="s">
        <v>129</v>
      </c>
      <c r="M286" s="18" t="s">
        <v>129</v>
      </c>
      <c r="N286" s="18"/>
      <c r="O286" s="18"/>
      <c r="P286" s="18" t="s">
        <v>1468</v>
      </c>
      <c r="Q286" s="18" t="s">
        <v>131</v>
      </c>
      <c r="R286" s="18" t="s">
        <v>1469</v>
      </c>
      <c r="S286" s="18" t="s">
        <v>133</v>
      </c>
      <c r="T286" s="18" t="s">
        <v>1470</v>
      </c>
      <c r="U286" s="18"/>
      <c r="V286" s="19" t="s">
        <v>29</v>
      </c>
      <c r="W286" s="19"/>
      <c r="X286" s="19"/>
      <c r="Y286" s="20"/>
      <c r="Z286" s="19"/>
      <c r="AA286" s="18" t="str">
        <f aca="false">IF(OR(V286="Aprobada"),R286,IF(AND(OR(V286="Aprobada con ajuste",V286="Rechazada"),W286&lt;&gt;""),W286,""))</f>
        <v/>
      </c>
    </row>
    <row r="287" customFormat="false" ht="43.25" hidden="false" customHeight="false" outlineLevel="0" collapsed="false">
      <c r="A287" s="18" t="s">
        <v>1471</v>
      </c>
      <c r="B287" s="18" t="s">
        <v>58</v>
      </c>
      <c r="C287" s="18" t="s">
        <v>59</v>
      </c>
      <c r="D287" s="18" t="s">
        <v>1430</v>
      </c>
      <c r="E287" s="18" t="n">
        <v>161</v>
      </c>
      <c r="F287" s="18" t="s">
        <v>1472</v>
      </c>
      <c r="G287" s="18" t="s">
        <v>180</v>
      </c>
      <c r="H287" s="18" t="s">
        <v>129</v>
      </c>
      <c r="I287" s="18"/>
      <c r="J287" s="18"/>
      <c r="K287" s="18"/>
      <c r="L287" s="18" t="s">
        <v>129</v>
      </c>
      <c r="M287" s="18" t="s">
        <v>129</v>
      </c>
      <c r="N287" s="18"/>
      <c r="O287" s="18"/>
      <c r="P287" s="18" t="s">
        <v>1473</v>
      </c>
      <c r="Q287" s="18" t="s">
        <v>131</v>
      </c>
      <c r="R287" s="18" t="s">
        <v>1474</v>
      </c>
      <c r="S287" s="18" t="s">
        <v>133</v>
      </c>
      <c r="T287" s="18" t="s">
        <v>1475</v>
      </c>
      <c r="U287" s="18"/>
      <c r="V287" s="19" t="s">
        <v>29</v>
      </c>
      <c r="W287" s="19"/>
      <c r="X287" s="19"/>
      <c r="Y287" s="20"/>
      <c r="Z287" s="19"/>
      <c r="AA287" s="18" t="str">
        <f aca="false">IF(OR(V287="Aprobada"),R287,IF(AND(OR(V287="Aprobada con ajuste",V287="Rechazada"),W287&lt;&gt;""),W287,""))</f>
        <v/>
      </c>
    </row>
    <row r="288" customFormat="false" ht="32.8" hidden="false" customHeight="false" outlineLevel="0" collapsed="false">
      <c r="A288" s="18" t="s">
        <v>1476</v>
      </c>
      <c r="B288" s="18" t="s">
        <v>58</v>
      </c>
      <c r="C288" s="18" t="s">
        <v>59</v>
      </c>
      <c r="D288" s="18" t="s">
        <v>1430</v>
      </c>
      <c r="E288" s="18" t="n">
        <v>161</v>
      </c>
      <c r="F288" s="18" t="s">
        <v>1477</v>
      </c>
      <c r="G288" s="18" t="s">
        <v>180</v>
      </c>
      <c r="H288" s="18" t="s">
        <v>129</v>
      </c>
      <c r="I288" s="18"/>
      <c r="J288" s="18"/>
      <c r="K288" s="18"/>
      <c r="L288" s="18" t="s">
        <v>129</v>
      </c>
      <c r="M288" s="18" t="s">
        <v>129</v>
      </c>
      <c r="N288" s="18"/>
      <c r="O288" s="18"/>
      <c r="P288" s="18" t="s">
        <v>1478</v>
      </c>
      <c r="Q288" s="18" t="s">
        <v>149</v>
      </c>
      <c r="R288" s="18" t="s">
        <v>1479</v>
      </c>
      <c r="S288" s="18" t="s">
        <v>133</v>
      </c>
      <c r="T288" s="18" t="s">
        <v>1480</v>
      </c>
      <c r="U288" s="18"/>
      <c r="V288" s="19" t="s">
        <v>29</v>
      </c>
      <c r="W288" s="19"/>
      <c r="X288" s="19"/>
      <c r="Y288" s="20"/>
      <c r="Z288" s="19"/>
      <c r="AA288" s="18" t="str">
        <f aca="false">IF(OR(V288="Aprobada"),R288,IF(AND(OR(V288="Aprobada con ajuste",V288="Rechazada"),W288&lt;&gt;""),W288,""))</f>
        <v/>
      </c>
    </row>
    <row r="289" customFormat="false" ht="32.8" hidden="false" customHeight="false" outlineLevel="0" collapsed="false">
      <c r="A289" s="18" t="s">
        <v>1481</v>
      </c>
      <c r="B289" s="18" t="s">
        <v>58</v>
      </c>
      <c r="C289" s="18" t="s">
        <v>59</v>
      </c>
      <c r="D289" s="18" t="s">
        <v>1430</v>
      </c>
      <c r="E289" s="18" t="n">
        <v>161</v>
      </c>
      <c r="F289" s="18" t="s">
        <v>1482</v>
      </c>
      <c r="G289" s="18" t="s">
        <v>128</v>
      </c>
      <c r="H289" s="18" t="s">
        <v>162</v>
      </c>
      <c r="I289" s="18"/>
      <c r="J289" s="18"/>
      <c r="K289" s="18"/>
      <c r="L289" s="18" t="s">
        <v>129</v>
      </c>
      <c r="M289" s="18" t="s">
        <v>129</v>
      </c>
      <c r="N289" s="18"/>
      <c r="O289" s="18"/>
      <c r="P289" s="18" t="s">
        <v>1483</v>
      </c>
      <c r="Q289" s="18" t="s">
        <v>149</v>
      </c>
      <c r="R289" s="18" t="s">
        <v>1484</v>
      </c>
      <c r="S289" s="18" t="s">
        <v>133</v>
      </c>
      <c r="T289" s="18" t="s">
        <v>183</v>
      </c>
      <c r="U289" s="18"/>
      <c r="V289" s="19" t="s">
        <v>29</v>
      </c>
      <c r="W289" s="19"/>
      <c r="X289" s="19"/>
      <c r="Y289" s="20"/>
      <c r="Z289" s="19"/>
      <c r="AA289" s="18" t="str">
        <f aca="false">IF(OR(V289="Aprobada"),R289,IF(AND(OR(V289="Aprobada con ajuste",V289="Rechazada"),W289&lt;&gt;""),W289,""))</f>
        <v/>
      </c>
    </row>
    <row r="290" customFormat="false" ht="43.25" hidden="false" customHeight="false" outlineLevel="0" collapsed="false">
      <c r="A290" s="18" t="s">
        <v>1485</v>
      </c>
      <c r="B290" s="18" t="s">
        <v>58</v>
      </c>
      <c r="C290" s="18" t="s">
        <v>59</v>
      </c>
      <c r="D290" s="18" t="s">
        <v>1430</v>
      </c>
      <c r="E290" s="18" t="n">
        <v>161</v>
      </c>
      <c r="F290" s="18" t="s">
        <v>1486</v>
      </c>
      <c r="G290" s="18" t="s">
        <v>128</v>
      </c>
      <c r="H290" s="18" t="s">
        <v>162</v>
      </c>
      <c r="I290" s="18"/>
      <c r="J290" s="18"/>
      <c r="K290" s="18"/>
      <c r="L290" s="18" t="s">
        <v>129</v>
      </c>
      <c r="M290" s="18" t="s">
        <v>129</v>
      </c>
      <c r="N290" s="18"/>
      <c r="O290" s="18"/>
      <c r="P290" s="18" t="s">
        <v>1487</v>
      </c>
      <c r="Q290" s="18" t="s">
        <v>131</v>
      </c>
      <c r="R290" s="18" t="s">
        <v>1488</v>
      </c>
      <c r="S290" s="18" t="s">
        <v>133</v>
      </c>
      <c r="T290" s="18" t="s">
        <v>1489</v>
      </c>
      <c r="U290" s="18"/>
      <c r="V290" s="19" t="s">
        <v>29</v>
      </c>
      <c r="W290" s="19"/>
      <c r="X290" s="19"/>
      <c r="Y290" s="20"/>
      <c r="Z290" s="19"/>
      <c r="AA290" s="18" t="str">
        <f aca="false">IF(OR(V290="Aprobada"),R290,IF(AND(OR(V290="Aprobada con ajuste",V290="Rechazada"),W290&lt;&gt;""),W290,""))</f>
        <v/>
      </c>
    </row>
    <row r="291" customFormat="false" ht="32.8" hidden="false" customHeight="false" outlineLevel="0" collapsed="false">
      <c r="A291" s="18" t="s">
        <v>1490</v>
      </c>
      <c r="B291" s="18" t="s">
        <v>58</v>
      </c>
      <c r="C291" s="18" t="s">
        <v>59</v>
      </c>
      <c r="D291" s="18" t="s">
        <v>1430</v>
      </c>
      <c r="E291" s="18" t="n">
        <v>161</v>
      </c>
      <c r="F291" s="18" t="s">
        <v>1491</v>
      </c>
      <c r="G291" s="18" t="s">
        <v>180</v>
      </c>
      <c r="H291" s="18" t="s">
        <v>162</v>
      </c>
      <c r="I291" s="18"/>
      <c r="J291" s="18"/>
      <c r="K291" s="18"/>
      <c r="L291" s="18" t="s">
        <v>129</v>
      </c>
      <c r="M291" s="18" t="s">
        <v>129</v>
      </c>
      <c r="N291" s="18"/>
      <c r="O291" s="18"/>
      <c r="P291" s="18" t="s">
        <v>1492</v>
      </c>
      <c r="Q291" s="18" t="s">
        <v>149</v>
      </c>
      <c r="R291" s="18" t="s">
        <v>1493</v>
      </c>
      <c r="S291" s="18" t="s">
        <v>133</v>
      </c>
      <c r="T291" s="18" t="s">
        <v>1494</v>
      </c>
      <c r="U291" s="18"/>
      <c r="V291" s="19" t="s">
        <v>29</v>
      </c>
      <c r="W291" s="19"/>
      <c r="X291" s="19"/>
      <c r="Y291" s="20"/>
      <c r="Z291" s="19"/>
      <c r="AA291" s="18" t="str">
        <f aca="false">IF(OR(V291="Aprobada"),R291,IF(AND(OR(V291="Aprobada con ajuste",V291="Rechazada"),W291&lt;&gt;""),W291,""))</f>
        <v/>
      </c>
    </row>
    <row r="292" customFormat="false" ht="53.7" hidden="false" customHeight="false" outlineLevel="0" collapsed="false">
      <c r="A292" s="18" t="s">
        <v>1495</v>
      </c>
      <c r="B292" s="18" t="s">
        <v>58</v>
      </c>
      <c r="C292" s="18" t="s">
        <v>59</v>
      </c>
      <c r="D292" s="18" t="s">
        <v>1430</v>
      </c>
      <c r="E292" s="18" t="n">
        <v>161</v>
      </c>
      <c r="F292" s="18" t="s">
        <v>1023</v>
      </c>
      <c r="G292" s="18" t="s">
        <v>145</v>
      </c>
      <c r="H292" s="18" t="s">
        <v>162</v>
      </c>
      <c r="I292" s="18" t="s">
        <v>298</v>
      </c>
      <c r="J292" s="18" t="s">
        <v>1496</v>
      </c>
      <c r="K292" s="18"/>
      <c r="L292" s="18" t="s">
        <v>162</v>
      </c>
      <c r="M292" s="18" t="s">
        <v>129</v>
      </c>
      <c r="N292" s="18"/>
      <c r="O292" s="18" t="s">
        <v>1497</v>
      </c>
      <c r="P292" s="18" t="s">
        <v>1498</v>
      </c>
      <c r="Q292" s="18" t="s">
        <v>131</v>
      </c>
      <c r="R292" s="18" t="s">
        <v>1499</v>
      </c>
      <c r="S292" s="18" t="s">
        <v>133</v>
      </c>
      <c r="T292" s="18" t="s">
        <v>1500</v>
      </c>
      <c r="U292" s="18"/>
      <c r="V292" s="19" t="s">
        <v>29</v>
      </c>
      <c r="W292" s="19"/>
      <c r="X292" s="19"/>
      <c r="Y292" s="20"/>
      <c r="Z292" s="19"/>
      <c r="AA292" s="18" t="str">
        <f aca="false">IF(OR(V292="Aprobada"),R292,IF(AND(OR(V292="Aprobada con ajuste",V292="Rechazada"),W292&lt;&gt;""),W292,""))</f>
        <v/>
      </c>
    </row>
    <row r="293" customFormat="false" ht="32.8" hidden="false" customHeight="false" outlineLevel="0" collapsed="false">
      <c r="A293" s="18" t="s">
        <v>1501</v>
      </c>
      <c r="B293" s="18" t="s">
        <v>58</v>
      </c>
      <c r="C293" s="18" t="s">
        <v>59</v>
      </c>
      <c r="D293" s="18" t="s">
        <v>1430</v>
      </c>
      <c r="E293" s="18" t="n">
        <v>161</v>
      </c>
      <c r="F293" s="18" t="s">
        <v>1502</v>
      </c>
      <c r="G293" s="18" t="s">
        <v>137</v>
      </c>
      <c r="H293" s="18" t="s">
        <v>162</v>
      </c>
      <c r="I293" s="18"/>
      <c r="J293" s="18"/>
      <c r="K293" s="18"/>
      <c r="L293" s="18" t="s">
        <v>129</v>
      </c>
      <c r="M293" s="18" t="s">
        <v>129</v>
      </c>
      <c r="N293" s="18"/>
      <c r="O293" s="18"/>
      <c r="P293" s="18" t="s">
        <v>1503</v>
      </c>
      <c r="Q293" s="18" t="s">
        <v>131</v>
      </c>
      <c r="R293" s="18" t="s">
        <v>1504</v>
      </c>
      <c r="S293" s="18" t="s">
        <v>133</v>
      </c>
      <c r="T293" s="18" t="s">
        <v>1505</v>
      </c>
      <c r="U293" s="18"/>
      <c r="V293" s="19" t="s">
        <v>29</v>
      </c>
      <c r="W293" s="19"/>
      <c r="X293" s="19"/>
      <c r="Y293" s="20"/>
      <c r="Z293" s="19"/>
      <c r="AA293" s="18" t="str">
        <f aca="false">IF(OR(V293="Aprobada"),R293,IF(AND(OR(V293="Aprobada con ajuste",V293="Rechazada"),W293&lt;&gt;""),W293,""))</f>
        <v/>
      </c>
    </row>
    <row r="294" customFormat="false" ht="32.8" hidden="false" customHeight="false" outlineLevel="0" collapsed="false">
      <c r="A294" s="18" t="s">
        <v>1506</v>
      </c>
      <c r="B294" s="18" t="s">
        <v>58</v>
      </c>
      <c r="C294" s="18" t="s">
        <v>59</v>
      </c>
      <c r="D294" s="18" t="s">
        <v>1430</v>
      </c>
      <c r="E294" s="18" t="n">
        <v>161</v>
      </c>
      <c r="F294" s="18" t="s">
        <v>1507</v>
      </c>
      <c r="G294" s="18" t="s">
        <v>137</v>
      </c>
      <c r="H294" s="18" t="s">
        <v>162</v>
      </c>
      <c r="I294" s="18"/>
      <c r="J294" s="18"/>
      <c r="K294" s="18"/>
      <c r="L294" s="18" t="s">
        <v>129</v>
      </c>
      <c r="M294" s="18" t="s">
        <v>129</v>
      </c>
      <c r="N294" s="18"/>
      <c r="O294" s="18"/>
      <c r="P294" s="18" t="s">
        <v>1508</v>
      </c>
      <c r="Q294" s="18" t="s">
        <v>131</v>
      </c>
      <c r="R294" s="18" t="s">
        <v>1509</v>
      </c>
      <c r="S294" s="18" t="s">
        <v>133</v>
      </c>
      <c r="T294" s="18" t="s">
        <v>1510</v>
      </c>
      <c r="U294" s="18"/>
      <c r="V294" s="19" t="s">
        <v>29</v>
      </c>
      <c r="W294" s="19"/>
      <c r="X294" s="19"/>
      <c r="Y294" s="20"/>
      <c r="Z294" s="19"/>
      <c r="AA294" s="18" t="str">
        <f aca="false">IF(OR(V294="Aprobada"),R294,IF(AND(OR(V294="Aprobada con ajuste",V294="Rechazada"),W294&lt;&gt;""),W294,""))</f>
        <v/>
      </c>
    </row>
    <row r="295" customFormat="false" ht="32.8" hidden="false" customHeight="false" outlineLevel="0" collapsed="false">
      <c r="A295" s="18" t="s">
        <v>1511</v>
      </c>
      <c r="B295" s="18" t="s">
        <v>58</v>
      </c>
      <c r="C295" s="18" t="s">
        <v>59</v>
      </c>
      <c r="D295" s="18" t="s">
        <v>1512</v>
      </c>
      <c r="E295" s="18" t="n">
        <v>30</v>
      </c>
      <c r="F295" s="18" t="s">
        <v>1070</v>
      </c>
      <c r="G295" s="18" t="s">
        <v>180</v>
      </c>
      <c r="H295" s="18" t="s">
        <v>129</v>
      </c>
      <c r="I295" s="18"/>
      <c r="J295" s="18"/>
      <c r="K295" s="18"/>
      <c r="L295" s="18" t="s">
        <v>129</v>
      </c>
      <c r="M295" s="18" t="s">
        <v>129</v>
      </c>
      <c r="N295" s="18"/>
      <c r="O295" s="18"/>
      <c r="P295" s="18" t="s">
        <v>1513</v>
      </c>
      <c r="Q295" s="18" t="s">
        <v>149</v>
      </c>
      <c r="R295" s="18" t="s">
        <v>1514</v>
      </c>
      <c r="S295" s="18" t="s">
        <v>133</v>
      </c>
      <c r="T295" s="18" t="s">
        <v>1073</v>
      </c>
      <c r="U295" s="18"/>
      <c r="V295" s="19" t="s">
        <v>29</v>
      </c>
      <c r="W295" s="19"/>
      <c r="X295" s="19"/>
      <c r="Y295" s="20"/>
      <c r="Z295" s="19"/>
      <c r="AA295" s="18" t="str">
        <f aca="false">IF(OR(V295="Aprobada"),R295,IF(AND(OR(V295="Aprobada con ajuste",V295="Rechazada"),W295&lt;&gt;""),W295,""))</f>
        <v/>
      </c>
    </row>
    <row r="296" customFormat="false" ht="32.8" hidden="false" customHeight="false" outlineLevel="0" collapsed="false">
      <c r="A296" s="18" t="s">
        <v>1515</v>
      </c>
      <c r="B296" s="18" t="s">
        <v>58</v>
      </c>
      <c r="C296" s="18" t="s">
        <v>59</v>
      </c>
      <c r="D296" s="18" t="s">
        <v>1512</v>
      </c>
      <c r="E296" s="18" t="n">
        <v>30</v>
      </c>
      <c r="F296" s="18" t="s">
        <v>1075</v>
      </c>
      <c r="G296" s="18" t="s">
        <v>180</v>
      </c>
      <c r="H296" s="18" t="s">
        <v>129</v>
      </c>
      <c r="I296" s="18"/>
      <c r="J296" s="18"/>
      <c r="K296" s="18"/>
      <c r="L296" s="18" t="s">
        <v>129</v>
      </c>
      <c r="M296" s="18" t="s">
        <v>129</v>
      </c>
      <c r="N296" s="18"/>
      <c r="O296" s="18"/>
      <c r="P296" s="18" t="s">
        <v>1516</v>
      </c>
      <c r="Q296" s="18" t="s">
        <v>149</v>
      </c>
      <c r="R296" s="18" t="s">
        <v>1077</v>
      </c>
      <c r="S296" s="18" t="s">
        <v>133</v>
      </c>
      <c r="T296" s="18" t="s">
        <v>183</v>
      </c>
      <c r="U296" s="18"/>
      <c r="V296" s="19" t="s">
        <v>29</v>
      </c>
      <c r="W296" s="19"/>
      <c r="X296" s="19"/>
      <c r="Y296" s="20"/>
      <c r="Z296" s="19"/>
      <c r="AA296" s="18" t="str">
        <f aca="false">IF(OR(V296="Aprobada"),R296,IF(AND(OR(V296="Aprobada con ajuste",V296="Rechazada"),W296&lt;&gt;""),W296,""))</f>
        <v/>
      </c>
    </row>
    <row r="297" customFormat="false" ht="32.8" hidden="false" customHeight="false" outlineLevel="0" collapsed="false">
      <c r="A297" s="18" t="s">
        <v>1517</v>
      </c>
      <c r="B297" s="18" t="s">
        <v>58</v>
      </c>
      <c r="C297" s="18" t="s">
        <v>59</v>
      </c>
      <c r="D297" s="18" t="s">
        <v>1512</v>
      </c>
      <c r="E297" s="18" t="n">
        <v>30</v>
      </c>
      <c r="F297" s="18" t="s">
        <v>1080</v>
      </c>
      <c r="G297" s="18" t="s">
        <v>337</v>
      </c>
      <c r="H297" s="18" t="s">
        <v>129</v>
      </c>
      <c r="I297" s="18"/>
      <c r="J297" s="18"/>
      <c r="K297" s="18"/>
      <c r="L297" s="18" t="s">
        <v>129</v>
      </c>
      <c r="M297" s="18" t="s">
        <v>129</v>
      </c>
      <c r="N297" s="18"/>
      <c r="O297" s="18"/>
      <c r="P297" s="18" t="s">
        <v>1518</v>
      </c>
      <c r="Q297" s="18" t="s">
        <v>138</v>
      </c>
      <c r="R297" s="18" t="s">
        <v>1082</v>
      </c>
      <c r="S297" s="18" t="s">
        <v>140</v>
      </c>
      <c r="T297" s="18" t="s">
        <v>141</v>
      </c>
      <c r="U297" s="18"/>
      <c r="V297" s="19" t="s">
        <v>29</v>
      </c>
      <c r="W297" s="19"/>
      <c r="X297" s="19"/>
      <c r="Y297" s="20"/>
      <c r="Z297" s="19"/>
      <c r="AA297" s="18" t="str">
        <f aca="false">IF(OR(V297="Aprobada"),R297,IF(AND(OR(V297="Aprobada con ajuste",V297="Rechazada"),W297&lt;&gt;""),W297,""))</f>
        <v/>
      </c>
    </row>
    <row r="298" customFormat="false" ht="32.8" hidden="false" customHeight="false" outlineLevel="0" collapsed="false">
      <c r="A298" s="18" t="s">
        <v>1519</v>
      </c>
      <c r="B298" s="18" t="s">
        <v>58</v>
      </c>
      <c r="C298" s="18" t="s">
        <v>59</v>
      </c>
      <c r="D298" s="18" t="s">
        <v>1512</v>
      </c>
      <c r="E298" s="18" t="n">
        <v>30</v>
      </c>
      <c r="F298" s="18" t="s">
        <v>1084</v>
      </c>
      <c r="G298" s="18" t="s">
        <v>503</v>
      </c>
      <c r="H298" s="18" t="s">
        <v>129</v>
      </c>
      <c r="I298" s="18"/>
      <c r="J298" s="18"/>
      <c r="K298" s="18"/>
      <c r="L298" s="18" t="s">
        <v>129</v>
      </c>
      <c r="M298" s="18" t="s">
        <v>129</v>
      </c>
      <c r="N298" s="18"/>
      <c r="O298" s="18"/>
      <c r="P298" s="18" t="s">
        <v>1520</v>
      </c>
      <c r="Q298" s="18" t="s">
        <v>138</v>
      </c>
      <c r="R298" s="18" t="s">
        <v>296</v>
      </c>
      <c r="S298" s="18" t="s">
        <v>140</v>
      </c>
      <c r="T298" s="18" t="s">
        <v>141</v>
      </c>
      <c r="U298" s="18"/>
      <c r="V298" s="19" t="s">
        <v>29</v>
      </c>
      <c r="W298" s="19"/>
      <c r="X298" s="19"/>
      <c r="Y298" s="20"/>
      <c r="Z298" s="19"/>
      <c r="AA298" s="18" t="str">
        <f aca="false">IF(OR(V298="Aprobada"),R298,IF(AND(OR(V298="Aprobada con ajuste",V298="Rechazada"),W298&lt;&gt;""),W298,""))</f>
        <v/>
      </c>
    </row>
    <row r="299" customFormat="false" ht="32.8" hidden="false" customHeight="false" outlineLevel="0" collapsed="false">
      <c r="A299" s="18" t="s">
        <v>1521</v>
      </c>
      <c r="B299" s="18" t="s">
        <v>58</v>
      </c>
      <c r="C299" s="18" t="s">
        <v>59</v>
      </c>
      <c r="D299" s="18" t="s">
        <v>1512</v>
      </c>
      <c r="E299" s="18" t="n">
        <v>30</v>
      </c>
      <c r="F299" s="18" t="s">
        <v>1087</v>
      </c>
      <c r="G299" s="18" t="s">
        <v>180</v>
      </c>
      <c r="H299" s="18" t="s">
        <v>162</v>
      </c>
      <c r="I299" s="18"/>
      <c r="J299" s="18"/>
      <c r="K299" s="18"/>
      <c r="L299" s="18" t="s">
        <v>129</v>
      </c>
      <c r="M299" s="18" t="s">
        <v>129</v>
      </c>
      <c r="N299" s="18"/>
      <c r="O299" s="18"/>
      <c r="P299" s="18" t="s">
        <v>1522</v>
      </c>
      <c r="Q299" s="18" t="s">
        <v>149</v>
      </c>
      <c r="R299" s="18" t="s">
        <v>1089</v>
      </c>
      <c r="S299" s="18" t="s">
        <v>140</v>
      </c>
      <c r="T299" s="18" t="s">
        <v>183</v>
      </c>
      <c r="U299" s="18" t="s">
        <v>1090</v>
      </c>
      <c r="V299" s="19" t="s">
        <v>29</v>
      </c>
      <c r="W299" s="19"/>
      <c r="X299" s="19"/>
      <c r="Y299" s="20"/>
      <c r="Z299" s="19"/>
      <c r="AA299" s="18" t="str">
        <f aca="false">IF(OR(V299="Aprobada"),R299,IF(AND(OR(V299="Aprobada con ajuste",V299="Rechazada"),W299&lt;&gt;""),W299,""))</f>
        <v/>
      </c>
    </row>
    <row r="300" customFormat="false" ht="32.8" hidden="false" customHeight="false" outlineLevel="0" collapsed="false">
      <c r="A300" s="18" t="s">
        <v>1523</v>
      </c>
      <c r="B300" s="18" t="s">
        <v>58</v>
      </c>
      <c r="C300" s="18" t="s">
        <v>59</v>
      </c>
      <c r="D300" s="18" t="s">
        <v>1512</v>
      </c>
      <c r="E300" s="18" t="n">
        <v>30</v>
      </c>
      <c r="F300" s="18" t="s">
        <v>1092</v>
      </c>
      <c r="G300" s="18" t="s">
        <v>317</v>
      </c>
      <c r="H300" s="18" t="s">
        <v>129</v>
      </c>
      <c r="I300" s="18"/>
      <c r="J300" s="18"/>
      <c r="K300" s="18"/>
      <c r="L300" s="18" t="s">
        <v>129</v>
      </c>
      <c r="M300" s="18" t="s">
        <v>129</v>
      </c>
      <c r="N300" s="18"/>
      <c r="O300" s="18"/>
      <c r="P300" s="18" t="s">
        <v>1524</v>
      </c>
      <c r="Q300" s="18" t="s">
        <v>138</v>
      </c>
      <c r="R300" s="18" t="s">
        <v>1094</v>
      </c>
      <c r="S300" s="18" t="s">
        <v>140</v>
      </c>
      <c r="T300" s="18" t="s">
        <v>141</v>
      </c>
      <c r="U300" s="18"/>
      <c r="V300" s="19" t="s">
        <v>29</v>
      </c>
      <c r="W300" s="19"/>
      <c r="X300" s="19"/>
      <c r="Y300" s="20"/>
      <c r="Z300" s="19"/>
      <c r="AA300" s="18" t="str">
        <f aca="false">IF(OR(V300="Aprobada"),R300,IF(AND(OR(V300="Aprobada con ajuste",V300="Rechazada"),W300&lt;&gt;""),W300,""))</f>
        <v/>
      </c>
    </row>
    <row r="301" customFormat="false" ht="43.25" hidden="false" customHeight="false" outlineLevel="0" collapsed="false">
      <c r="A301" s="18" t="s">
        <v>1525</v>
      </c>
      <c r="B301" s="18" t="s">
        <v>58</v>
      </c>
      <c r="C301" s="18" t="s">
        <v>59</v>
      </c>
      <c r="D301" s="18" t="s">
        <v>1526</v>
      </c>
      <c r="E301" s="18" t="n">
        <v>1</v>
      </c>
      <c r="F301" s="18" t="s">
        <v>1116</v>
      </c>
      <c r="G301" s="18" t="s">
        <v>180</v>
      </c>
      <c r="H301" s="18" t="s">
        <v>129</v>
      </c>
      <c r="I301" s="18"/>
      <c r="J301" s="18"/>
      <c r="K301" s="18"/>
      <c r="L301" s="18" t="s">
        <v>129</v>
      </c>
      <c r="M301" s="18" t="s">
        <v>129</v>
      </c>
      <c r="N301" s="18"/>
      <c r="O301" s="18"/>
      <c r="P301" s="18" t="s">
        <v>1527</v>
      </c>
      <c r="Q301" s="18" t="s">
        <v>131</v>
      </c>
      <c r="R301" s="18" t="s">
        <v>1528</v>
      </c>
      <c r="S301" s="18" t="s">
        <v>133</v>
      </c>
      <c r="T301" s="18" t="s">
        <v>1529</v>
      </c>
      <c r="U301" s="18"/>
      <c r="V301" s="19" t="s">
        <v>29</v>
      </c>
      <c r="W301" s="19"/>
      <c r="X301" s="19"/>
      <c r="Y301" s="20"/>
      <c r="Z301" s="19"/>
      <c r="AA301" s="18" t="str">
        <f aca="false">IF(OR(V301="Aprobada"),R301,IF(AND(OR(V301="Aprobada con ajuste",V301="Rechazada"),W301&lt;&gt;""),W301,""))</f>
        <v/>
      </c>
    </row>
    <row r="302" customFormat="false" ht="32.8" hidden="false" customHeight="false" outlineLevel="0" collapsed="false">
      <c r="A302" s="18" t="s">
        <v>1530</v>
      </c>
      <c r="B302" s="18" t="s">
        <v>58</v>
      </c>
      <c r="C302" s="18" t="s">
        <v>59</v>
      </c>
      <c r="D302" s="18" t="s">
        <v>1526</v>
      </c>
      <c r="E302" s="18" t="n">
        <v>1</v>
      </c>
      <c r="F302" s="18" t="s">
        <v>1531</v>
      </c>
      <c r="G302" s="18" t="s">
        <v>180</v>
      </c>
      <c r="H302" s="18" t="s">
        <v>129</v>
      </c>
      <c r="I302" s="18"/>
      <c r="J302" s="18"/>
      <c r="K302" s="18"/>
      <c r="L302" s="18" t="s">
        <v>129</v>
      </c>
      <c r="M302" s="18" t="s">
        <v>129</v>
      </c>
      <c r="N302" s="18"/>
      <c r="O302" s="18"/>
      <c r="P302" s="18" t="s">
        <v>1532</v>
      </c>
      <c r="Q302" s="18" t="s">
        <v>131</v>
      </c>
      <c r="R302" s="18" t="s">
        <v>1533</v>
      </c>
      <c r="S302" s="18" t="s">
        <v>133</v>
      </c>
      <c r="T302" s="18" t="s">
        <v>1534</v>
      </c>
      <c r="U302" s="18"/>
      <c r="V302" s="19" t="s">
        <v>29</v>
      </c>
      <c r="W302" s="19"/>
      <c r="X302" s="19"/>
      <c r="Y302" s="20"/>
      <c r="Z302" s="19"/>
      <c r="AA302" s="18" t="str">
        <f aca="false">IF(OR(V302="Aprobada"),R302,IF(AND(OR(V302="Aprobada con ajuste",V302="Rechazada"),W302&lt;&gt;""),W302,""))</f>
        <v/>
      </c>
    </row>
    <row r="303" customFormat="false" ht="22.35" hidden="false" customHeight="false" outlineLevel="0" collapsed="false">
      <c r="A303" s="18" t="s">
        <v>1535</v>
      </c>
      <c r="B303" s="18" t="s">
        <v>58</v>
      </c>
      <c r="C303" s="18" t="s">
        <v>59</v>
      </c>
      <c r="D303" s="18" t="s">
        <v>1526</v>
      </c>
      <c r="E303" s="18" t="n">
        <v>1</v>
      </c>
      <c r="F303" s="18" t="s">
        <v>1536</v>
      </c>
      <c r="G303" s="18" t="s">
        <v>180</v>
      </c>
      <c r="H303" s="18" t="s">
        <v>162</v>
      </c>
      <c r="I303" s="18"/>
      <c r="J303" s="18"/>
      <c r="K303" s="18"/>
      <c r="L303" s="18" t="s">
        <v>129</v>
      </c>
      <c r="M303" s="18" t="s">
        <v>129</v>
      </c>
      <c r="N303" s="18"/>
      <c r="O303" s="18"/>
      <c r="P303" s="18" t="s">
        <v>1537</v>
      </c>
      <c r="Q303" s="18" t="s">
        <v>149</v>
      </c>
      <c r="R303" s="18" t="s">
        <v>1538</v>
      </c>
      <c r="S303" s="18" t="s">
        <v>133</v>
      </c>
      <c r="T303" s="18" t="s">
        <v>1539</v>
      </c>
      <c r="U303" s="18"/>
      <c r="V303" s="19" t="s">
        <v>29</v>
      </c>
      <c r="W303" s="19"/>
      <c r="X303" s="19"/>
      <c r="Y303" s="20"/>
      <c r="Z303" s="19"/>
      <c r="AA303" s="18" t="str">
        <f aca="false">IF(OR(V303="Aprobada"),R303,IF(AND(OR(V303="Aprobada con ajuste",V303="Rechazada"),W303&lt;&gt;""),W303,""))</f>
        <v/>
      </c>
    </row>
    <row r="304" customFormat="false" ht="43.25" hidden="false" customHeight="false" outlineLevel="0" collapsed="false">
      <c r="A304" s="18" t="s">
        <v>1540</v>
      </c>
      <c r="B304" s="18" t="s">
        <v>58</v>
      </c>
      <c r="C304" s="18" t="s">
        <v>59</v>
      </c>
      <c r="D304" s="18" t="s">
        <v>1526</v>
      </c>
      <c r="E304" s="18" t="n">
        <v>1</v>
      </c>
      <c r="F304" s="18" t="s">
        <v>1482</v>
      </c>
      <c r="G304" s="18" t="s">
        <v>128</v>
      </c>
      <c r="H304" s="18" t="s">
        <v>162</v>
      </c>
      <c r="I304" s="18"/>
      <c r="J304" s="18"/>
      <c r="K304" s="18"/>
      <c r="L304" s="18" t="s">
        <v>129</v>
      </c>
      <c r="M304" s="18" t="s">
        <v>129</v>
      </c>
      <c r="N304" s="18"/>
      <c r="O304" s="18"/>
      <c r="P304" s="18" t="s">
        <v>1541</v>
      </c>
      <c r="Q304" s="18" t="s">
        <v>131</v>
      </c>
      <c r="R304" s="18" t="s">
        <v>1542</v>
      </c>
      <c r="S304" s="18" t="s">
        <v>133</v>
      </c>
      <c r="T304" s="18" t="s">
        <v>1543</v>
      </c>
      <c r="U304" s="18"/>
      <c r="V304" s="19" t="s">
        <v>29</v>
      </c>
      <c r="W304" s="19"/>
      <c r="X304" s="19"/>
      <c r="Y304" s="20"/>
      <c r="Z304" s="19"/>
      <c r="AA304" s="18" t="str">
        <f aca="false">IF(OR(V304="Aprobada"),R304,IF(AND(OR(V304="Aprobada con ajuste",V304="Rechazada"),W304&lt;&gt;""),W304,""))</f>
        <v/>
      </c>
    </row>
    <row r="305" customFormat="false" ht="32.8" hidden="false" customHeight="false" outlineLevel="0" collapsed="false">
      <c r="A305" s="18" t="s">
        <v>1544</v>
      </c>
      <c r="B305" s="18" t="s">
        <v>58</v>
      </c>
      <c r="C305" s="18" t="s">
        <v>59</v>
      </c>
      <c r="D305" s="18" t="s">
        <v>1526</v>
      </c>
      <c r="E305" s="18" t="n">
        <v>1</v>
      </c>
      <c r="F305" s="18" t="s">
        <v>512</v>
      </c>
      <c r="G305" s="18" t="s">
        <v>173</v>
      </c>
      <c r="H305" s="18" t="s">
        <v>162</v>
      </c>
      <c r="I305" s="18"/>
      <c r="J305" s="18"/>
      <c r="K305" s="18"/>
      <c r="L305" s="18" t="s">
        <v>129</v>
      </c>
      <c r="M305" s="18" t="s">
        <v>129</v>
      </c>
      <c r="N305" s="18"/>
      <c r="O305" s="18" t="s">
        <v>1545</v>
      </c>
      <c r="P305" s="18" t="s">
        <v>1546</v>
      </c>
      <c r="Q305" s="18" t="s">
        <v>131</v>
      </c>
      <c r="R305" s="18" t="s">
        <v>1547</v>
      </c>
      <c r="S305" s="18" t="s">
        <v>133</v>
      </c>
      <c r="T305" s="18" t="s">
        <v>1548</v>
      </c>
      <c r="U305" s="18"/>
      <c r="V305" s="19" t="s">
        <v>29</v>
      </c>
      <c r="W305" s="19"/>
      <c r="X305" s="19"/>
      <c r="Y305" s="20"/>
      <c r="Z305" s="19"/>
      <c r="AA305" s="18" t="str">
        <f aca="false">IF(OR(V305="Aprobada"),R305,IF(AND(OR(V305="Aprobada con ajuste",V305="Rechazada"),W305&lt;&gt;""),W305,""))</f>
        <v/>
      </c>
    </row>
    <row r="306" customFormat="false" ht="32.8" hidden="false" customHeight="false" outlineLevel="0" collapsed="false">
      <c r="A306" s="18" t="s">
        <v>1549</v>
      </c>
      <c r="B306" s="18" t="s">
        <v>58</v>
      </c>
      <c r="C306" s="18" t="s">
        <v>59</v>
      </c>
      <c r="D306" s="18" t="s">
        <v>1526</v>
      </c>
      <c r="E306" s="18" t="n">
        <v>1</v>
      </c>
      <c r="F306" s="18" t="s">
        <v>1550</v>
      </c>
      <c r="G306" s="18" t="s">
        <v>173</v>
      </c>
      <c r="H306" s="18" t="s">
        <v>162</v>
      </c>
      <c r="I306" s="18"/>
      <c r="J306" s="18"/>
      <c r="K306" s="18"/>
      <c r="L306" s="18" t="s">
        <v>129</v>
      </c>
      <c r="M306" s="18" t="s">
        <v>129</v>
      </c>
      <c r="N306" s="18"/>
      <c r="O306" s="18" t="s">
        <v>1551</v>
      </c>
      <c r="P306" s="18" t="s">
        <v>1552</v>
      </c>
      <c r="Q306" s="18" t="s">
        <v>131</v>
      </c>
      <c r="R306" s="18" t="s">
        <v>1553</v>
      </c>
      <c r="S306" s="18" t="s">
        <v>133</v>
      </c>
      <c r="T306" s="18" t="s">
        <v>1554</v>
      </c>
      <c r="U306" s="18"/>
      <c r="V306" s="19" t="s">
        <v>29</v>
      </c>
      <c r="W306" s="19"/>
      <c r="X306" s="19"/>
      <c r="Y306" s="20"/>
      <c r="Z306" s="19"/>
      <c r="AA306" s="18" t="str">
        <f aca="false">IF(OR(V306="Aprobada"),R306,IF(AND(OR(V306="Aprobada con ajuste",V306="Rechazada"),W306&lt;&gt;""),W306,""))</f>
        <v/>
      </c>
    </row>
    <row r="307" customFormat="false" ht="53.7" hidden="false" customHeight="false" outlineLevel="0" collapsed="false">
      <c r="A307" s="18" t="s">
        <v>1555</v>
      </c>
      <c r="B307" s="18" t="s">
        <v>58</v>
      </c>
      <c r="C307" s="18" t="s">
        <v>59</v>
      </c>
      <c r="D307" s="18" t="s">
        <v>1556</v>
      </c>
      <c r="E307" s="18" t="n">
        <v>6</v>
      </c>
      <c r="F307" s="18" t="s">
        <v>1557</v>
      </c>
      <c r="G307" s="18" t="s">
        <v>145</v>
      </c>
      <c r="H307" s="18" t="s">
        <v>129</v>
      </c>
      <c r="I307" s="18"/>
      <c r="J307" s="18"/>
      <c r="K307" s="18"/>
      <c r="L307" s="18" t="s">
        <v>129</v>
      </c>
      <c r="M307" s="18" t="s">
        <v>129</v>
      </c>
      <c r="N307" s="18"/>
      <c r="O307" s="18"/>
      <c r="P307" s="18" t="s">
        <v>1558</v>
      </c>
      <c r="Q307" s="18" t="s">
        <v>131</v>
      </c>
      <c r="R307" s="18" t="s">
        <v>1559</v>
      </c>
      <c r="S307" s="18" t="s">
        <v>133</v>
      </c>
      <c r="T307" s="18" t="s">
        <v>1560</v>
      </c>
      <c r="U307" s="18"/>
      <c r="V307" s="19" t="s">
        <v>29</v>
      </c>
      <c r="W307" s="19"/>
      <c r="X307" s="19"/>
      <c r="Y307" s="20"/>
      <c r="Z307" s="19"/>
      <c r="AA307" s="18" t="str">
        <f aca="false">IF(OR(V307="Aprobada"),R307,IF(AND(OR(V307="Aprobada con ajuste",V307="Rechazada"),W307&lt;&gt;""),W307,""))</f>
        <v/>
      </c>
    </row>
    <row r="308" customFormat="false" ht="43.25" hidden="false" customHeight="false" outlineLevel="0" collapsed="false">
      <c r="A308" s="18" t="s">
        <v>1561</v>
      </c>
      <c r="B308" s="18" t="s">
        <v>58</v>
      </c>
      <c r="C308" s="18" t="s">
        <v>59</v>
      </c>
      <c r="D308" s="18" t="s">
        <v>1556</v>
      </c>
      <c r="E308" s="18" t="n">
        <v>6</v>
      </c>
      <c r="F308" s="18" t="s">
        <v>1562</v>
      </c>
      <c r="G308" s="18" t="s">
        <v>486</v>
      </c>
      <c r="H308" s="18" t="s">
        <v>162</v>
      </c>
      <c r="I308" s="18"/>
      <c r="J308" s="18"/>
      <c r="K308" s="18"/>
      <c r="L308" s="18" t="s">
        <v>129</v>
      </c>
      <c r="M308" s="18" t="s">
        <v>129</v>
      </c>
      <c r="N308" s="18"/>
      <c r="O308" s="18"/>
      <c r="P308" s="18" t="s">
        <v>1563</v>
      </c>
      <c r="Q308" s="18" t="s">
        <v>131</v>
      </c>
      <c r="R308" s="18" t="s">
        <v>1564</v>
      </c>
      <c r="S308" s="18" t="s">
        <v>133</v>
      </c>
      <c r="T308" s="18" t="s">
        <v>1565</v>
      </c>
      <c r="U308" s="18"/>
      <c r="V308" s="19" t="s">
        <v>29</v>
      </c>
      <c r="W308" s="19"/>
      <c r="X308" s="19"/>
      <c r="Y308" s="20"/>
      <c r="Z308" s="19"/>
      <c r="AA308" s="18" t="str">
        <f aca="false">IF(OR(V308="Aprobada"),R308,IF(AND(OR(V308="Aprobada con ajuste",V308="Rechazada"),W308&lt;&gt;""),W308,""))</f>
        <v/>
      </c>
    </row>
    <row r="309" customFormat="false" ht="32.8" hidden="false" customHeight="false" outlineLevel="0" collapsed="false">
      <c r="A309" s="18" t="s">
        <v>1566</v>
      </c>
      <c r="B309" s="18" t="s">
        <v>58</v>
      </c>
      <c r="C309" s="18" t="s">
        <v>59</v>
      </c>
      <c r="D309" s="18" t="s">
        <v>1556</v>
      </c>
      <c r="E309" s="18" t="n">
        <v>6</v>
      </c>
      <c r="F309" s="18" t="s">
        <v>1567</v>
      </c>
      <c r="G309" s="18" t="s">
        <v>128</v>
      </c>
      <c r="H309" s="18" t="s">
        <v>162</v>
      </c>
      <c r="I309" s="18"/>
      <c r="J309" s="18"/>
      <c r="K309" s="18"/>
      <c r="L309" s="18" t="s">
        <v>129</v>
      </c>
      <c r="M309" s="18" t="s">
        <v>129</v>
      </c>
      <c r="N309" s="18"/>
      <c r="O309" s="18"/>
      <c r="P309" s="18" t="s">
        <v>1568</v>
      </c>
      <c r="Q309" s="18" t="s">
        <v>149</v>
      </c>
      <c r="R309" s="18" t="s">
        <v>1569</v>
      </c>
      <c r="S309" s="18" t="s">
        <v>133</v>
      </c>
      <c r="T309" s="18" t="s">
        <v>1570</v>
      </c>
      <c r="U309" s="18"/>
      <c r="V309" s="19" t="s">
        <v>29</v>
      </c>
      <c r="W309" s="19"/>
      <c r="X309" s="19"/>
      <c r="Y309" s="20"/>
      <c r="Z309" s="19"/>
      <c r="AA309" s="18" t="str">
        <f aca="false">IF(OR(V309="Aprobada"),R309,IF(AND(OR(V309="Aprobada con ajuste",V309="Rechazada"),W309&lt;&gt;""),W309,""))</f>
        <v/>
      </c>
    </row>
    <row r="310" customFormat="false" ht="32.8" hidden="false" customHeight="false" outlineLevel="0" collapsed="false">
      <c r="A310" s="18" t="s">
        <v>1571</v>
      </c>
      <c r="B310" s="18" t="s">
        <v>58</v>
      </c>
      <c r="C310" s="18" t="s">
        <v>59</v>
      </c>
      <c r="D310" s="18" t="s">
        <v>1556</v>
      </c>
      <c r="E310" s="18" t="n">
        <v>6</v>
      </c>
      <c r="F310" s="18" t="s">
        <v>1572</v>
      </c>
      <c r="G310" s="18" t="s">
        <v>128</v>
      </c>
      <c r="H310" s="18" t="s">
        <v>162</v>
      </c>
      <c r="I310" s="18"/>
      <c r="J310" s="18"/>
      <c r="K310" s="18"/>
      <c r="L310" s="18" t="s">
        <v>129</v>
      </c>
      <c r="M310" s="18" t="s">
        <v>129</v>
      </c>
      <c r="N310" s="18"/>
      <c r="O310" s="18"/>
      <c r="P310" s="18" t="s">
        <v>1573</v>
      </c>
      <c r="Q310" s="18" t="s">
        <v>149</v>
      </c>
      <c r="R310" s="18" t="s">
        <v>1574</v>
      </c>
      <c r="S310" s="18" t="s">
        <v>133</v>
      </c>
      <c r="T310" s="18" t="s">
        <v>1575</v>
      </c>
      <c r="U310" s="18"/>
      <c r="V310" s="19" t="s">
        <v>29</v>
      </c>
      <c r="W310" s="19"/>
      <c r="X310" s="19"/>
      <c r="Y310" s="20"/>
      <c r="Z310" s="19"/>
      <c r="AA310" s="18" t="str">
        <f aca="false">IF(OR(V310="Aprobada"),R310,IF(AND(OR(V310="Aprobada con ajuste",V310="Rechazada"),W310&lt;&gt;""),W310,""))</f>
        <v/>
      </c>
    </row>
    <row r="311" customFormat="false" ht="43.25" hidden="false" customHeight="false" outlineLevel="0" collapsed="false">
      <c r="A311" s="18" t="s">
        <v>1576</v>
      </c>
      <c r="B311" s="18" t="s">
        <v>58</v>
      </c>
      <c r="C311" s="18" t="s">
        <v>59</v>
      </c>
      <c r="D311" s="18" t="s">
        <v>1556</v>
      </c>
      <c r="E311" s="18" t="n">
        <v>6</v>
      </c>
      <c r="F311" s="18" t="s">
        <v>1577</v>
      </c>
      <c r="G311" s="18" t="s">
        <v>180</v>
      </c>
      <c r="H311" s="18" t="s">
        <v>129</v>
      </c>
      <c r="I311" s="18"/>
      <c r="J311" s="18"/>
      <c r="K311" s="18"/>
      <c r="L311" s="18" t="s">
        <v>129</v>
      </c>
      <c r="M311" s="18" t="s">
        <v>129</v>
      </c>
      <c r="N311" s="18"/>
      <c r="O311" s="18"/>
      <c r="P311" s="18" t="s">
        <v>1578</v>
      </c>
      <c r="Q311" s="18" t="s">
        <v>131</v>
      </c>
      <c r="R311" s="18" t="s">
        <v>1579</v>
      </c>
      <c r="S311" s="18" t="s">
        <v>140</v>
      </c>
      <c r="T311" s="18" t="s">
        <v>1580</v>
      </c>
      <c r="U311" s="18" t="s">
        <v>1581</v>
      </c>
      <c r="V311" s="19" t="s">
        <v>29</v>
      </c>
      <c r="W311" s="19"/>
      <c r="X311" s="19"/>
      <c r="Y311" s="20"/>
      <c r="Z311" s="19"/>
      <c r="AA311" s="18" t="str">
        <f aca="false">IF(OR(V311="Aprobada"),R311,IF(AND(OR(V311="Aprobada con ajuste",V311="Rechazada"),W311&lt;&gt;""),W311,""))</f>
        <v/>
      </c>
    </row>
    <row r="312" customFormat="false" ht="32.8" hidden="false" customHeight="false" outlineLevel="0" collapsed="false">
      <c r="A312" s="18" t="s">
        <v>1582</v>
      </c>
      <c r="B312" s="18" t="s">
        <v>58</v>
      </c>
      <c r="C312" s="18" t="s">
        <v>59</v>
      </c>
      <c r="D312" s="18" t="s">
        <v>1556</v>
      </c>
      <c r="E312" s="18" t="n">
        <v>6</v>
      </c>
      <c r="F312" s="18" t="s">
        <v>1583</v>
      </c>
      <c r="G312" s="18" t="s">
        <v>317</v>
      </c>
      <c r="H312" s="18" t="s">
        <v>162</v>
      </c>
      <c r="I312" s="18"/>
      <c r="J312" s="18"/>
      <c r="K312" s="18"/>
      <c r="L312" s="18" t="s">
        <v>129</v>
      </c>
      <c r="M312" s="18" t="s">
        <v>129</v>
      </c>
      <c r="N312" s="18"/>
      <c r="O312" s="18" t="s">
        <v>1584</v>
      </c>
      <c r="P312" s="18" t="s">
        <v>1585</v>
      </c>
      <c r="Q312" s="18" t="s">
        <v>149</v>
      </c>
      <c r="R312" s="18" t="s">
        <v>1586</v>
      </c>
      <c r="S312" s="18" t="s">
        <v>133</v>
      </c>
      <c r="T312" s="18" t="s">
        <v>169</v>
      </c>
      <c r="U312" s="18"/>
      <c r="V312" s="19" t="s">
        <v>29</v>
      </c>
      <c r="W312" s="19"/>
      <c r="X312" s="19"/>
      <c r="Y312" s="20"/>
      <c r="Z312" s="19"/>
      <c r="AA312" s="18" t="str">
        <f aca="false">IF(OR(V312="Aprobada"),R312,IF(AND(OR(V312="Aprobada con ajuste",V312="Rechazada"),W312&lt;&gt;""),W312,""))</f>
        <v/>
      </c>
    </row>
    <row r="313" customFormat="false" ht="43.25" hidden="false" customHeight="false" outlineLevel="0" collapsed="false">
      <c r="A313" s="18" t="s">
        <v>1587</v>
      </c>
      <c r="B313" s="18" t="s">
        <v>58</v>
      </c>
      <c r="C313" s="18" t="s">
        <v>59</v>
      </c>
      <c r="D313" s="18" t="s">
        <v>1556</v>
      </c>
      <c r="E313" s="18" t="n">
        <v>6</v>
      </c>
      <c r="F313" s="18" t="s">
        <v>1285</v>
      </c>
      <c r="G313" s="18" t="s">
        <v>128</v>
      </c>
      <c r="H313" s="18" t="s">
        <v>162</v>
      </c>
      <c r="I313" s="18"/>
      <c r="J313" s="18"/>
      <c r="K313" s="18"/>
      <c r="L313" s="18" t="s">
        <v>129</v>
      </c>
      <c r="M313" s="18" t="s">
        <v>129</v>
      </c>
      <c r="N313" s="18"/>
      <c r="O313" s="18"/>
      <c r="P313" s="18" t="s">
        <v>1588</v>
      </c>
      <c r="Q313" s="18" t="s">
        <v>131</v>
      </c>
      <c r="R313" s="18" t="s">
        <v>1589</v>
      </c>
      <c r="S313" s="18" t="s">
        <v>133</v>
      </c>
      <c r="T313" s="18" t="s">
        <v>1590</v>
      </c>
      <c r="U313" s="18"/>
      <c r="V313" s="19" t="s">
        <v>29</v>
      </c>
      <c r="W313" s="19"/>
      <c r="X313" s="19"/>
      <c r="Y313" s="20"/>
      <c r="Z313" s="19"/>
      <c r="AA313" s="18" t="str">
        <f aca="false">IF(OR(V313="Aprobada"),R313,IF(AND(OR(V313="Aprobada con ajuste",V313="Rechazada"),W313&lt;&gt;""),W313,""))</f>
        <v/>
      </c>
    </row>
    <row r="314" customFormat="false" ht="43.25" hidden="false" customHeight="false" outlineLevel="0" collapsed="false">
      <c r="A314" s="18" t="s">
        <v>1591</v>
      </c>
      <c r="B314" s="18" t="s">
        <v>60</v>
      </c>
      <c r="C314" s="18" t="s">
        <v>61</v>
      </c>
      <c r="D314" s="18" t="s">
        <v>1592</v>
      </c>
      <c r="E314" s="18" t="n">
        <v>8</v>
      </c>
      <c r="F314" s="18" t="s">
        <v>1593</v>
      </c>
      <c r="G314" s="18" t="s">
        <v>128</v>
      </c>
      <c r="H314" s="18" t="s">
        <v>129</v>
      </c>
      <c r="I314" s="18"/>
      <c r="J314" s="18"/>
      <c r="K314" s="18"/>
      <c r="L314" s="18" t="s">
        <v>129</v>
      </c>
      <c r="M314" s="18" t="s">
        <v>129</v>
      </c>
      <c r="N314" s="18"/>
      <c r="O314" s="18" t="s">
        <v>1594</v>
      </c>
      <c r="P314" s="18" t="s">
        <v>1595</v>
      </c>
      <c r="Q314" s="18" t="s">
        <v>149</v>
      </c>
      <c r="R314" s="18" t="s">
        <v>1596</v>
      </c>
      <c r="S314" s="18" t="s">
        <v>140</v>
      </c>
      <c r="T314" s="18" t="s">
        <v>1597</v>
      </c>
      <c r="U314" s="18" t="s">
        <v>1598</v>
      </c>
      <c r="V314" s="19" t="s">
        <v>29</v>
      </c>
      <c r="W314" s="19"/>
      <c r="X314" s="19"/>
      <c r="Y314" s="20"/>
      <c r="Z314" s="19"/>
      <c r="AA314" s="18" t="str">
        <f aca="false">IF(OR(V314="Aprobada"),R314,IF(AND(OR(V314="Aprobada con ajuste",V314="Rechazada"),W314&lt;&gt;""),W314,""))</f>
        <v/>
      </c>
    </row>
    <row r="315" customFormat="false" ht="32.8" hidden="false" customHeight="false" outlineLevel="0" collapsed="false">
      <c r="A315" s="18" t="s">
        <v>1599</v>
      </c>
      <c r="B315" s="18" t="s">
        <v>60</v>
      </c>
      <c r="C315" s="18" t="s">
        <v>61</v>
      </c>
      <c r="D315" s="18" t="s">
        <v>1592</v>
      </c>
      <c r="E315" s="18" t="n">
        <v>8</v>
      </c>
      <c r="F315" s="18" t="s">
        <v>1600</v>
      </c>
      <c r="G315" s="18" t="s">
        <v>128</v>
      </c>
      <c r="H315" s="18" t="s">
        <v>129</v>
      </c>
      <c r="I315" s="18"/>
      <c r="J315" s="18"/>
      <c r="K315" s="18"/>
      <c r="L315" s="18" t="s">
        <v>129</v>
      </c>
      <c r="M315" s="18" t="s">
        <v>129</v>
      </c>
      <c r="N315" s="18"/>
      <c r="O315" s="18"/>
      <c r="P315" s="18" t="s">
        <v>1601</v>
      </c>
      <c r="Q315" s="18" t="s">
        <v>149</v>
      </c>
      <c r="R315" s="18" t="s">
        <v>1602</v>
      </c>
      <c r="S315" s="18" t="s">
        <v>133</v>
      </c>
      <c r="T315" s="18" t="s">
        <v>169</v>
      </c>
      <c r="U315" s="18"/>
      <c r="V315" s="19" t="s">
        <v>29</v>
      </c>
      <c r="W315" s="19"/>
      <c r="X315" s="19"/>
      <c r="Y315" s="20"/>
      <c r="Z315" s="19"/>
      <c r="AA315" s="18" t="str">
        <f aca="false">IF(OR(V315="Aprobada"),R315,IF(AND(OR(V315="Aprobada con ajuste",V315="Rechazada"),W315&lt;&gt;""),W315,""))</f>
        <v/>
      </c>
    </row>
    <row r="316" customFormat="false" ht="32.8" hidden="false" customHeight="false" outlineLevel="0" collapsed="false">
      <c r="A316" s="18" t="s">
        <v>1603</v>
      </c>
      <c r="B316" s="18" t="s">
        <v>60</v>
      </c>
      <c r="C316" s="18" t="s">
        <v>61</v>
      </c>
      <c r="D316" s="18" t="s">
        <v>1592</v>
      </c>
      <c r="E316" s="18" t="n">
        <v>8</v>
      </c>
      <c r="F316" s="18" t="s">
        <v>1604</v>
      </c>
      <c r="G316" s="18" t="s">
        <v>128</v>
      </c>
      <c r="H316" s="18" t="s">
        <v>129</v>
      </c>
      <c r="I316" s="18"/>
      <c r="J316" s="18"/>
      <c r="K316" s="18"/>
      <c r="L316" s="18" t="s">
        <v>129</v>
      </c>
      <c r="M316" s="18" t="s">
        <v>129</v>
      </c>
      <c r="N316" s="18"/>
      <c r="O316" s="18" t="s">
        <v>1605</v>
      </c>
      <c r="P316" s="18" t="s">
        <v>1606</v>
      </c>
      <c r="Q316" s="18" t="s">
        <v>149</v>
      </c>
      <c r="R316" s="18" t="s">
        <v>1607</v>
      </c>
      <c r="S316" s="18" t="s">
        <v>140</v>
      </c>
      <c r="T316" s="18" t="s">
        <v>1608</v>
      </c>
      <c r="U316" s="18" t="s">
        <v>1609</v>
      </c>
      <c r="V316" s="19" t="s">
        <v>29</v>
      </c>
      <c r="W316" s="19"/>
      <c r="X316" s="19"/>
      <c r="Y316" s="20"/>
      <c r="Z316" s="19"/>
      <c r="AA316" s="18" t="str">
        <f aca="false">IF(OR(V316="Aprobada"),R316,IF(AND(OR(V316="Aprobada con ajuste",V316="Rechazada"),W316&lt;&gt;""),W316,""))</f>
        <v/>
      </c>
    </row>
    <row r="317" customFormat="false" ht="32.8" hidden="false" customHeight="false" outlineLevel="0" collapsed="false">
      <c r="A317" s="18" t="s">
        <v>1610</v>
      </c>
      <c r="B317" s="18" t="s">
        <v>60</v>
      </c>
      <c r="C317" s="18" t="s">
        <v>61</v>
      </c>
      <c r="D317" s="18" t="s">
        <v>1592</v>
      </c>
      <c r="E317" s="18" t="n">
        <v>8</v>
      </c>
      <c r="F317" s="18" t="s">
        <v>1611</v>
      </c>
      <c r="G317" s="18" t="s">
        <v>128</v>
      </c>
      <c r="H317" s="18" t="s">
        <v>162</v>
      </c>
      <c r="I317" s="18"/>
      <c r="J317" s="18"/>
      <c r="K317" s="18"/>
      <c r="L317" s="18" t="s">
        <v>129</v>
      </c>
      <c r="M317" s="18" t="s">
        <v>129</v>
      </c>
      <c r="N317" s="18"/>
      <c r="O317" s="18"/>
      <c r="P317" s="18" t="s">
        <v>1612</v>
      </c>
      <c r="Q317" s="18" t="s">
        <v>149</v>
      </c>
      <c r="R317" s="18" t="s">
        <v>1613</v>
      </c>
      <c r="S317" s="18" t="s">
        <v>133</v>
      </c>
      <c r="T317" s="18" t="s">
        <v>1614</v>
      </c>
      <c r="U317" s="18"/>
      <c r="V317" s="19" t="s">
        <v>29</v>
      </c>
      <c r="W317" s="19"/>
      <c r="X317" s="19"/>
      <c r="Y317" s="20"/>
      <c r="Z317" s="19"/>
      <c r="AA317" s="18" t="str">
        <f aca="false">IF(OR(V317="Aprobada"),R317,IF(AND(OR(V317="Aprobada con ajuste",V317="Rechazada"),W317&lt;&gt;""),W317,""))</f>
        <v/>
      </c>
    </row>
    <row r="318" customFormat="false" ht="32.8" hidden="false" customHeight="false" outlineLevel="0" collapsed="false">
      <c r="A318" s="18" t="s">
        <v>1615</v>
      </c>
      <c r="B318" s="18" t="s">
        <v>60</v>
      </c>
      <c r="C318" s="18" t="s">
        <v>61</v>
      </c>
      <c r="D318" s="18" t="s">
        <v>1592</v>
      </c>
      <c r="E318" s="18" t="n">
        <v>8</v>
      </c>
      <c r="F318" s="18" t="s">
        <v>1616</v>
      </c>
      <c r="G318" s="18" t="s">
        <v>128</v>
      </c>
      <c r="H318" s="18" t="s">
        <v>129</v>
      </c>
      <c r="I318" s="18"/>
      <c r="J318" s="18"/>
      <c r="K318" s="18"/>
      <c r="L318" s="18" t="s">
        <v>129</v>
      </c>
      <c r="M318" s="18" t="s">
        <v>129</v>
      </c>
      <c r="N318" s="18"/>
      <c r="O318" s="18"/>
      <c r="P318" s="18" t="s">
        <v>1617</v>
      </c>
      <c r="Q318" s="18" t="s">
        <v>131</v>
      </c>
      <c r="R318" s="18" t="s">
        <v>1618</v>
      </c>
      <c r="S318" s="18" t="s">
        <v>133</v>
      </c>
      <c r="T318" s="18" t="s">
        <v>1619</v>
      </c>
      <c r="U318" s="18"/>
      <c r="V318" s="19" t="s">
        <v>29</v>
      </c>
      <c r="W318" s="19"/>
      <c r="X318" s="19"/>
      <c r="Y318" s="20"/>
      <c r="Z318" s="19"/>
      <c r="AA318" s="18" t="str">
        <f aca="false">IF(OR(V318="Aprobada"),R318,IF(AND(OR(V318="Aprobada con ajuste",V318="Rechazada"),W318&lt;&gt;""),W318,""))</f>
        <v/>
      </c>
    </row>
    <row r="319" customFormat="false" ht="32.8" hidden="false" customHeight="false" outlineLevel="0" collapsed="false">
      <c r="A319" s="18" t="s">
        <v>1620</v>
      </c>
      <c r="B319" s="18" t="s">
        <v>60</v>
      </c>
      <c r="C319" s="18" t="s">
        <v>61</v>
      </c>
      <c r="D319" s="18" t="s">
        <v>1592</v>
      </c>
      <c r="E319" s="18" t="n">
        <v>8</v>
      </c>
      <c r="F319" s="18" t="s">
        <v>305</v>
      </c>
      <c r="G319" s="18" t="s">
        <v>128</v>
      </c>
      <c r="H319" s="18" t="s">
        <v>162</v>
      </c>
      <c r="I319" s="18"/>
      <c r="J319" s="18"/>
      <c r="K319" s="18"/>
      <c r="L319" s="18" t="s">
        <v>129</v>
      </c>
      <c r="M319" s="18" t="s">
        <v>129</v>
      </c>
      <c r="N319" s="18"/>
      <c r="O319" s="18"/>
      <c r="P319" s="18" t="s">
        <v>1621</v>
      </c>
      <c r="Q319" s="18" t="s">
        <v>149</v>
      </c>
      <c r="R319" s="18" t="s">
        <v>1622</v>
      </c>
      <c r="S319" s="18" t="s">
        <v>133</v>
      </c>
      <c r="T319" s="18" t="s">
        <v>1623</v>
      </c>
      <c r="U319" s="18"/>
      <c r="V319" s="19" t="s">
        <v>29</v>
      </c>
      <c r="W319" s="19"/>
      <c r="X319" s="19"/>
      <c r="Y319" s="20"/>
      <c r="Z319" s="19"/>
      <c r="AA319" s="18" t="str">
        <f aca="false">IF(OR(V319="Aprobada"),R319,IF(AND(OR(V319="Aprobada con ajuste",V319="Rechazada"),W319&lt;&gt;""),W319,""))</f>
        <v/>
      </c>
    </row>
    <row r="320" customFormat="false" ht="43.25" hidden="false" customHeight="false" outlineLevel="0" collapsed="false">
      <c r="A320" s="18" t="s">
        <v>1624</v>
      </c>
      <c r="B320" s="18" t="s">
        <v>60</v>
      </c>
      <c r="C320" s="18" t="s">
        <v>61</v>
      </c>
      <c r="D320" s="18" t="s">
        <v>1592</v>
      </c>
      <c r="E320" s="18" t="n">
        <v>8</v>
      </c>
      <c r="F320" s="18" t="s">
        <v>1625</v>
      </c>
      <c r="G320" s="18" t="s">
        <v>192</v>
      </c>
      <c r="H320" s="18" t="s">
        <v>162</v>
      </c>
      <c r="I320" s="18"/>
      <c r="J320" s="18"/>
      <c r="K320" s="18"/>
      <c r="L320" s="18" t="s">
        <v>129</v>
      </c>
      <c r="M320" s="18" t="s">
        <v>129</v>
      </c>
      <c r="N320" s="18"/>
      <c r="O320" s="18"/>
      <c r="P320" s="18" t="s">
        <v>1626</v>
      </c>
      <c r="Q320" s="18" t="s">
        <v>149</v>
      </c>
      <c r="R320" s="18" t="s">
        <v>1627</v>
      </c>
      <c r="S320" s="18" t="s">
        <v>140</v>
      </c>
      <c r="T320" s="18" t="s">
        <v>183</v>
      </c>
      <c r="U320" s="18" t="s">
        <v>1628</v>
      </c>
      <c r="V320" s="19" t="s">
        <v>29</v>
      </c>
      <c r="W320" s="19"/>
      <c r="X320" s="19"/>
      <c r="Y320" s="20"/>
      <c r="Z320" s="19"/>
      <c r="AA320" s="18" t="str">
        <f aca="false">IF(OR(V320="Aprobada"),R320,IF(AND(OR(V320="Aprobada con ajuste",V320="Rechazada"),W320&lt;&gt;""),W320,""))</f>
        <v/>
      </c>
    </row>
    <row r="321" customFormat="false" ht="43.25" hidden="false" customHeight="false" outlineLevel="0" collapsed="false">
      <c r="A321" s="18" t="s">
        <v>1629</v>
      </c>
      <c r="B321" s="18" t="s">
        <v>60</v>
      </c>
      <c r="C321" s="18" t="s">
        <v>61</v>
      </c>
      <c r="D321" s="18" t="s">
        <v>1592</v>
      </c>
      <c r="E321" s="18" t="n">
        <v>8</v>
      </c>
      <c r="F321" s="18" t="s">
        <v>1630</v>
      </c>
      <c r="G321" s="18" t="s">
        <v>192</v>
      </c>
      <c r="H321" s="18" t="s">
        <v>162</v>
      </c>
      <c r="I321" s="18"/>
      <c r="J321" s="18"/>
      <c r="K321" s="18"/>
      <c r="L321" s="18" t="s">
        <v>129</v>
      </c>
      <c r="M321" s="18" t="s">
        <v>129</v>
      </c>
      <c r="N321" s="18"/>
      <c r="O321" s="18"/>
      <c r="P321" s="18" t="s">
        <v>1631</v>
      </c>
      <c r="Q321" s="18" t="s">
        <v>149</v>
      </c>
      <c r="R321" s="18" t="s">
        <v>1632</v>
      </c>
      <c r="S321" s="18" t="s">
        <v>242</v>
      </c>
      <c r="T321" s="18" t="s">
        <v>183</v>
      </c>
      <c r="U321" s="18" t="s">
        <v>1633</v>
      </c>
      <c r="V321" s="19" t="s">
        <v>29</v>
      </c>
      <c r="W321" s="19"/>
      <c r="X321" s="19"/>
      <c r="Y321" s="20"/>
      <c r="Z321" s="19"/>
      <c r="AA321" s="18" t="str">
        <f aca="false">IF(OR(V321="Aprobada"),R321,IF(AND(OR(V321="Aprobada con ajuste",V321="Rechazada"),W321&lt;&gt;""),W321,""))</f>
        <v/>
      </c>
    </row>
    <row r="322" customFormat="false" ht="32.8" hidden="false" customHeight="false" outlineLevel="0" collapsed="false">
      <c r="A322" s="18" t="s">
        <v>1634</v>
      </c>
      <c r="B322" s="18" t="s">
        <v>60</v>
      </c>
      <c r="C322" s="18" t="s">
        <v>61</v>
      </c>
      <c r="D322" s="18" t="s">
        <v>1592</v>
      </c>
      <c r="E322" s="18" t="n">
        <v>8</v>
      </c>
      <c r="F322" s="18" t="s">
        <v>1635</v>
      </c>
      <c r="G322" s="18" t="s">
        <v>128</v>
      </c>
      <c r="H322" s="18" t="s">
        <v>162</v>
      </c>
      <c r="I322" s="18"/>
      <c r="J322" s="18"/>
      <c r="K322" s="18"/>
      <c r="L322" s="18" t="s">
        <v>129</v>
      </c>
      <c r="M322" s="18" t="s">
        <v>129</v>
      </c>
      <c r="N322" s="18"/>
      <c r="O322" s="18"/>
      <c r="P322" s="18" t="s">
        <v>1636</v>
      </c>
      <c r="Q322" s="18" t="s">
        <v>149</v>
      </c>
      <c r="R322" s="18" t="s">
        <v>1637</v>
      </c>
      <c r="S322" s="18" t="s">
        <v>242</v>
      </c>
      <c r="T322" s="18" t="s">
        <v>183</v>
      </c>
      <c r="U322" s="18" t="s">
        <v>1638</v>
      </c>
      <c r="V322" s="19" t="s">
        <v>29</v>
      </c>
      <c r="W322" s="19"/>
      <c r="X322" s="19"/>
      <c r="Y322" s="20"/>
      <c r="Z322" s="19"/>
      <c r="AA322" s="18" t="str">
        <f aca="false">IF(OR(V322="Aprobada"),R322,IF(AND(OR(V322="Aprobada con ajuste",V322="Rechazada"),W322&lt;&gt;""),W322,""))</f>
        <v/>
      </c>
    </row>
    <row r="323" customFormat="false" ht="43.25" hidden="false" customHeight="false" outlineLevel="0" collapsed="false">
      <c r="A323" s="18" t="s">
        <v>1639</v>
      </c>
      <c r="B323" s="18" t="s">
        <v>60</v>
      </c>
      <c r="C323" s="18" t="s">
        <v>61</v>
      </c>
      <c r="D323" s="18" t="s">
        <v>1640</v>
      </c>
      <c r="E323" s="18" t="n">
        <v>503</v>
      </c>
      <c r="F323" s="18" t="s">
        <v>611</v>
      </c>
      <c r="G323" s="18" t="s">
        <v>205</v>
      </c>
      <c r="H323" s="18" t="s">
        <v>129</v>
      </c>
      <c r="I323" s="18" t="s">
        <v>146</v>
      </c>
      <c r="J323" s="18"/>
      <c r="K323" s="18"/>
      <c r="L323" s="18" t="s">
        <v>129</v>
      </c>
      <c r="M323" s="18" t="s">
        <v>129</v>
      </c>
      <c r="N323" s="18"/>
      <c r="O323" s="18" t="s">
        <v>1641</v>
      </c>
      <c r="P323" s="18" t="s">
        <v>1642</v>
      </c>
      <c r="Q323" s="18" t="s">
        <v>131</v>
      </c>
      <c r="R323" s="18" t="s">
        <v>1643</v>
      </c>
      <c r="S323" s="18" t="s">
        <v>140</v>
      </c>
      <c r="T323" s="18" t="s">
        <v>1644</v>
      </c>
      <c r="U323" s="18" t="s">
        <v>1645</v>
      </c>
      <c r="V323" s="19" t="s">
        <v>29</v>
      </c>
      <c r="W323" s="19"/>
      <c r="X323" s="19"/>
      <c r="Y323" s="20"/>
      <c r="Z323" s="19"/>
      <c r="AA323" s="18" t="str">
        <f aca="false">IF(OR(V323="Aprobada"),R323,IF(AND(OR(V323="Aprobada con ajuste",V323="Rechazada"),W323&lt;&gt;""),W323,""))</f>
        <v/>
      </c>
    </row>
    <row r="324" customFormat="false" ht="32.8" hidden="false" customHeight="false" outlineLevel="0" collapsed="false">
      <c r="A324" s="18" t="s">
        <v>1646</v>
      </c>
      <c r="B324" s="18" t="s">
        <v>60</v>
      </c>
      <c r="C324" s="18" t="s">
        <v>61</v>
      </c>
      <c r="D324" s="18" t="s">
        <v>1640</v>
      </c>
      <c r="E324" s="18" t="n">
        <v>503</v>
      </c>
      <c r="F324" s="18" t="s">
        <v>275</v>
      </c>
      <c r="G324" s="18" t="s">
        <v>454</v>
      </c>
      <c r="H324" s="18" t="s">
        <v>129</v>
      </c>
      <c r="I324" s="18"/>
      <c r="J324" s="18"/>
      <c r="K324" s="18"/>
      <c r="L324" s="18" t="s">
        <v>129</v>
      </c>
      <c r="M324" s="18" t="s">
        <v>129</v>
      </c>
      <c r="N324" s="18"/>
      <c r="O324" s="18" t="s">
        <v>1647</v>
      </c>
      <c r="P324" s="18" t="s">
        <v>1648</v>
      </c>
      <c r="Q324" s="18" t="s">
        <v>138</v>
      </c>
      <c r="R324" s="18" t="s">
        <v>1649</v>
      </c>
      <c r="S324" s="18" t="s">
        <v>140</v>
      </c>
      <c r="T324" s="18" t="s">
        <v>141</v>
      </c>
      <c r="U324" s="18"/>
      <c r="V324" s="19" t="s">
        <v>29</v>
      </c>
      <c r="W324" s="19"/>
      <c r="X324" s="19"/>
      <c r="Y324" s="20"/>
      <c r="Z324" s="19"/>
      <c r="AA324" s="18" t="str">
        <f aca="false">IF(OR(V324="Aprobada"),R324,IF(AND(OR(V324="Aprobada con ajuste",V324="Rechazada"),W324&lt;&gt;""),W324,""))</f>
        <v/>
      </c>
    </row>
    <row r="325" customFormat="false" ht="32.8" hidden="false" customHeight="false" outlineLevel="0" collapsed="false">
      <c r="A325" s="18" t="s">
        <v>1650</v>
      </c>
      <c r="B325" s="18" t="s">
        <v>60</v>
      </c>
      <c r="C325" s="18" t="s">
        <v>61</v>
      </c>
      <c r="D325" s="18" t="s">
        <v>1640</v>
      </c>
      <c r="E325" s="18" t="n">
        <v>503</v>
      </c>
      <c r="F325" s="18" t="s">
        <v>1651</v>
      </c>
      <c r="G325" s="18" t="s">
        <v>454</v>
      </c>
      <c r="H325" s="18" t="s">
        <v>162</v>
      </c>
      <c r="I325" s="18"/>
      <c r="J325" s="18"/>
      <c r="K325" s="18"/>
      <c r="L325" s="18" t="s">
        <v>129</v>
      </c>
      <c r="M325" s="18" t="s">
        <v>129</v>
      </c>
      <c r="N325" s="18"/>
      <c r="O325" s="18"/>
      <c r="P325" s="18" t="s">
        <v>1652</v>
      </c>
      <c r="Q325" s="18" t="s">
        <v>149</v>
      </c>
      <c r="R325" s="18" t="s">
        <v>1653</v>
      </c>
      <c r="S325" s="18" t="s">
        <v>140</v>
      </c>
      <c r="T325" s="18" t="s">
        <v>1654</v>
      </c>
      <c r="U325" s="18" t="s">
        <v>1655</v>
      </c>
      <c r="V325" s="19" t="s">
        <v>29</v>
      </c>
      <c r="W325" s="19"/>
      <c r="X325" s="19"/>
      <c r="Y325" s="20"/>
      <c r="Z325" s="19"/>
      <c r="AA325" s="18" t="str">
        <f aca="false">IF(OR(V325="Aprobada"),R325,IF(AND(OR(V325="Aprobada con ajuste",V325="Rechazada"),W325&lt;&gt;""),W325,""))</f>
        <v/>
      </c>
    </row>
    <row r="326" customFormat="false" ht="32.8" hidden="false" customHeight="false" outlineLevel="0" collapsed="false">
      <c r="A326" s="18" t="s">
        <v>1656</v>
      </c>
      <c r="B326" s="18" t="s">
        <v>60</v>
      </c>
      <c r="C326" s="18" t="s">
        <v>61</v>
      </c>
      <c r="D326" s="18" t="s">
        <v>1640</v>
      </c>
      <c r="E326" s="18" t="n">
        <v>503</v>
      </c>
      <c r="F326" s="18" t="s">
        <v>1657</v>
      </c>
      <c r="G326" s="18" t="s">
        <v>186</v>
      </c>
      <c r="H326" s="18" t="s">
        <v>162</v>
      </c>
      <c r="I326" s="18"/>
      <c r="J326" s="18"/>
      <c r="K326" s="18"/>
      <c r="L326" s="18" t="s">
        <v>129</v>
      </c>
      <c r="M326" s="18" t="s">
        <v>129</v>
      </c>
      <c r="N326" s="18"/>
      <c r="O326" s="18"/>
      <c r="P326" s="18" t="s">
        <v>1658</v>
      </c>
      <c r="Q326" s="18" t="s">
        <v>149</v>
      </c>
      <c r="R326" s="18" t="s">
        <v>1659</v>
      </c>
      <c r="S326" s="18" t="s">
        <v>140</v>
      </c>
      <c r="T326" s="18" t="s">
        <v>1660</v>
      </c>
      <c r="U326" s="18" t="s">
        <v>1661</v>
      </c>
      <c r="V326" s="19" t="s">
        <v>29</v>
      </c>
      <c r="W326" s="19"/>
      <c r="X326" s="19"/>
      <c r="Y326" s="20"/>
      <c r="Z326" s="19"/>
      <c r="AA326" s="18" t="str">
        <f aca="false">IF(OR(V326="Aprobada"),R326,IF(AND(OR(V326="Aprobada con ajuste",V326="Rechazada"),W326&lt;&gt;""),W326,""))</f>
        <v/>
      </c>
    </row>
    <row r="327" customFormat="false" ht="32.8" hidden="false" customHeight="false" outlineLevel="0" collapsed="false">
      <c r="A327" s="18" t="s">
        <v>1662</v>
      </c>
      <c r="B327" s="18" t="s">
        <v>60</v>
      </c>
      <c r="C327" s="18" t="s">
        <v>61</v>
      </c>
      <c r="D327" s="18" t="s">
        <v>1640</v>
      </c>
      <c r="E327" s="18" t="n">
        <v>503</v>
      </c>
      <c r="F327" s="18" t="s">
        <v>622</v>
      </c>
      <c r="G327" s="18" t="s">
        <v>186</v>
      </c>
      <c r="H327" s="18" t="s">
        <v>129</v>
      </c>
      <c r="I327" s="18" t="s">
        <v>298</v>
      </c>
      <c r="J327" s="18" t="s">
        <v>1663</v>
      </c>
      <c r="K327" s="18"/>
      <c r="L327" s="18" t="s">
        <v>162</v>
      </c>
      <c r="M327" s="18" t="s">
        <v>129</v>
      </c>
      <c r="N327" s="18"/>
      <c r="O327" s="18" t="s">
        <v>1664</v>
      </c>
      <c r="P327" s="18" t="s">
        <v>1665</v>
      </c>
      <c r="Q327" s="18" t="s">
        <v>131</v>
      </c>
      <c r="R327" s="18" t="s">
        <v>1666</v>
      </c>
      <c r="S327" s="18" t="s">
        <v>133</v>
      </c>
      <c r="T327" s="18" t="s">
        <v>1667</v>
      </c>
      <c r="U327" s="18"/>
      <c r="V327" s="19" t="s">
        <v>29</v>
      </c>
      <c r="W327" s="19"/>
      <c r="X327" s="19"/>
      <c r="Y327" s="20"/>
      <c r="Z327" s="19"/>
      <c r="AA327" s="18" t="str">
        <f aca="false">IF(OR(V327="Aprobada"),R327,IF(AND(OR(V327="Aprobada con ajuste",V327="Rechazada"),W327&lt;&gt;""),W327,""))</f>
        <v/>
      </c>
    </row>
    <row r="328" customFormat="false" ht="32.8" hidden="false" customHeight="false" outlineLevel="0" collapsed="false">
      <c r="A328" s="18" t="s">
        <v>1668</v>
      </c>
      <c r="B328" s="18" t="s">
        <v>60</v>
      </c>
      <c r="C328" s="18" t="s">
        <v>61</v>
      </c>
      <c r="D328" s="18" t="s">
        <v>1640</v>
      </c>
      <c r="E328" s="18" t="n">
        <v>503</v>
      </c>
      <c r="F328" s="18" t="s">
        <v>1669</v>
      </c>
      <c r="G328" s="18" t="s">
        <v>173</v>
      </c>
      <c r="H328" s="18" t="s">
        <v>129</v>
      </c>
      <c r="I328" s="18"/>
      <c r="J328" s="18"/>
      <c r="K328" s="18"/>
      <c r="L328" s="18" t="s">
        <v>129</v>
      </c>
      <c r="M328" s="18" t="s">
        <v>129</v>
      </c>
      <c r="N328" s="18"/>
      <c r="O328" s="18"/>
      <c r="P328" s="18" t="s">
        <v>1670</v>
      </c>
      <c r="Q328" s="18" t="s">
        <v>138</v>
      </c>
      <c r="R328" s="18" t="s">
        <v>1671</v>
      </c>
      <c r="S328" s="18" t="s">
        <v>140</v>
      </c>
      <c r="T328" s="18" t="s">
        <v>141</v>
      </c>
      <c r="U328" s="18"/>
      <c r="V328" s="19" t="s">
        <v>29</v>
      </c>
      <c r="W328" s="19"/>
      <c r="X328" s="19"/>
      <c r="Y328" s="20"/>
      <c r="Z328" s="19"/>
      <c r="AA328" s="18" t="str">
        <f aca="false">IF(OR(V328="Aprobada"),R328,IF(AND(OR(V328="Aprobada con ajuste",V328="Rechazada"),W328&lt;&gt;""),W328,""))</f>
        <v/>
      </c>
    </row>
    <row r="329" customFormat="false" ht="32.8" hidden="false" customHeight="false" outlineLevel="0" collapsed="false">
      <c r="A329" s="18" t="s">
        <v>1672</v>
      </c>
      <c r="B329" s="18" t="s">
        <v>60</v>
      </c>
      <c r="C329" s="18" t="s">
        <v>61</v>
      </c>
      <c r="D329" s="18" t="s">
        <v>1640</v>
      </c>
      <c r="E329" s="18" t="n">
        <v>503</v>
      </c>
      <c r="F329" s="18" t="s">
        <v>635</v>
      </c>
      <c r="G329" s="18" t="s">
        <v>358</v>
      </c>
      <c r="H329" s="18" t="s">
        <v>129</v>
      </c>
      <c r="I329" s="18" t="s">
        <v>298</v>
      </c>
      <c r="J329" s="18"/>
      <c r="K329" s="18"/>
      <c r="L329" s="18" t="s">
        <v>129</v>
      </c>
      <c r="M329" s="18" t="s">
        <v>129</v>
      </c>
      <c r="N329" s="18"/>
      <c r="O329" s="18"/>
      <c r="P329" s="18" t="s">
        <v>1673</v>
      </c>
      <c r="Q329" s="18" t="s">
        <v>149</v>
      </c>
      <c r="R329" s="18" t="s">
        <v>1674</v>
      </c>
      <c r="S329" s="18" t="s">
        <v>133</v>
      </c>
      <c r="T329" s="18" t="s">
        <v>183</v>
      </c>
      <c r="U329" s="18"/>
      <c r="V329" s="19" t="s">
        <v>29</v>
      </c>
      <c r="W329" s="19"/>
      <c r="X329" s="19"/>
      <c r="Y329" s="20"/>
      <c r="Z329" s="19"/>
      <c r="AA329" s="18" t="str">
        <f aca="false">IF(OR(V329="Aprobada"),R329,IF(AND(OR(V329="Aprobada con ajuste",V329="Rechazada"),W329&lt;&gt;""),W329,""))</f>
        <v/>
      </c>
    </row>
    <row r="330" customFormat="false" ht="43.25" hidden="false" customHeight="false" outlineLevel="0" collapsed="false">
      <c r="A330" s="18" t="s">
        <v>1675</v>
      </c>
      <c r="B330" s="18" t="s">
        <v>60</v>
      </c>
      <c r="C330" s="18" t="s">
        <v>61</v>
      </c>
      <c r="D330" s="18" t="s">
        <v>1640</v>
      </c>
      <c r="E330" s="18" t="n">
        <v>503</v>
      </c>
      <c r="F330" s="18" t="s">
        <v>1676</v>
      </c>
      <c r="G330" s="18" t="s">
        <v>503</v>
      </c>
      <c r="H330" s="18" t="s">
        <v>162</v>
      </c>
      <c r="I330" s="18" t="s">
        <v>298</v>
      </c>
      <c r="J330" s="18"/>
      <c r="K330" s="18"/>
      <c r="L330" s="18" t="s">
        <v>129</v>
      </c>
      <c r="M330" s="18" t="s">
        <v>129</v>
      </c>
      <c r="N330" s="18"/>
      <c r="O330" s="18"/>
      <c r="P330" s="18" t="s">
        <v>1677</v>
      </c>
      <c r="Q330" s="18" t="s">
        <v>149</v>
      </c>
      <c r="R330" s="18" t="s">
        <v>1678</v>
      </c>
      <c r="S330" s="18" t="s">
        <v>140</v>
      </c>
      <c r="T330" s="18" t="s">
        <v>1679</v>
      </c>
      <c r="U330" s="18" t="s">
        <v>1680</v>
      </c>
      <c r="V330" s="19" t="s">
        <v>29</v>
      </c>
      <c r="W330" s="19"/>
      <c r="X330" s="19"/>
      <c r="Y330" s="20"/>
      <c r="Z330" s="19"/>
      <c r="AA330" s="18" t="str">
        <f aca="false">IF(OR(V330="Aprobada"),R330,IF(AND(OR(V330="Aprobada con ajuste",V330="Rechazada"),W330&lt;&gt;""),W330,""))</f>
        <v/>
      </c>
    </row>
    <row r="331" customFormat="false" ht="64.15" hidden="false" customHeight="false" outlineLevel="0" collapsed="false">
      <c r="A331" s="18" t="s">
        <v>1681</v>
      </c>
      <c r="B331" s="18" t="s">
        <v>60</v>
      </c>
      <c r="C331" s="18" t="s">
        <v>61</v>
      </c>
      <c r="D331" s="18" t="s">
        <v>1640</v>
      </c>
      <c r="E331" s="18" t="n">
        <v>503</v>
      </c>
      <c r="F331" s="18" t="s">
        <v>1682</v>
      </c>
      <c r="G331" s="18" t="s">
        <v>288</v>
      </c>
      <c r="H331" s="18" t="s">
        <v>162</v>
      </c>
      <c r="I331" s="18" t="s">
        <v>298</v>
      </c>
      <c r="J331" s="18" t="s">
        <v>1683</v>
      </c>
      <c r="K331" s="18"/>
      <c r="L331" s="18" t="s">
        <v>162</v>
      </c>
      <c r="M331" s="18" t="s">
        <v>129</v>
      </c>
      <c r="N331" s="18"/>
      <c r="O331" s="18"/>
      <c r="P331" s="18" t="s">
        <v>1684</v>
      </c>
      <c r="Q331" s="18" t="s">
        <v>131</v>
      </c>
      <c r="R331" s="18" t="s">
        <v>1685</v>
      </c>
      <c r="S331" s="18" t="s">
        <v>133</v>
      </c>
      <c r="T331" s="18" t="s">
        <v>1686</v>
      </c>
      <c r="U331" s="18"/>
      <c r="V331" s="19" t="s">
        <v>29</v>
      </c>
      <c r="W331" s="19"/>
      <c r="X331" s="19"/>
      <c r="Y331" s="20"/>
      <c r="Z331" s="19"/>
      <c r="AA331" s="18" t="str">
        <f aca="false">IF(OR(V331="Aprobada"),R331,IF(AND(OR(V331="Aprobada con ajuste",V331="Rechazada"),W331&lt;&gt;""),W331,""))</f>
        <v/>
      </c>
    </row>
    <row r="332" customFormat="false" ht="32.8" hidden="false" customHeight="false" outlineLevel="0" collapsed="false">
      <c r="A332" s="18" t="s">
        <v>1687</v>
      </c>
      <c r="B332" s="18" t="s">
        <v>60</v>
      </c>
      <c r="C332" s="18" t="s">
        <v>61</v>
      </c>
      <c r="D332" s="18" t="s">
        <v>1640</v>
      </c>
      <c r="E332" s="18" t="n">
        <v>503</v>
      </c>
      <c r="F332" s="18" t="s">
        <v>1688</v>
      </c>
      <c r="G332" s="18" t="s">
        <v>173</v>
      </c>
      <c r="H332" s="18" t="s">
        <v>129</v>
      </c>
      <c r="I332" s="18"/>
      <c r="J332" s="18"/>
      <c r="K332" s="18"/>
      <c r="L332" s="18" t="s">
        <v>129</v>
      </c>
      <c r="M332" s="18" t="s">
        <v>129</v>
      </c>
      <c r="N332" s="18"/>
      <c r="O332" s="18" t="s">
        <v>1689</v>
      </c>
      <c r="P332" s="18" t="s">
        <v>1690</v>
      </c>
      <c r="Q332" s="18" t="s">
        <v>138</v>
      </c>
      <c r="R332" s="18" t="s">
        <v>176</v>
      </c>
      <c r="S332" s="18" t="s">
        <v>140</v>
      </c>
      <c r="T332" s="18" t="s">
        <v>141</v>
      </c>
      <c r="U332" s="18"/>
      <c r="V332" s="19" t="s">
        <v>29</v>
      </c>
      <c r="W332" s="19"/>
      <c r="X332" s="19"/>
      <c r="Y332" s="20"/>
      <c r="Z332" s="19"/>
      <c r="AA332" s="18" t="str">
        <f aca="false">IF(OR(V332="Aprobada"),R332,IF(AND(OR(V332="Aprobada con ajuste",V332="Rechazada"),W332&lt;&gt;""),W332,""))</f>
        <v/>
      </c>
    </row>
    <row r="333" customFormat="false" ht="32.8" hidden="false" customHeight="false" outlineLevel="0" collapsed="false">
      <c r="A333" s="18" t="s">
        <v>1691</v>
      </c>
      <c r="B333" s="18" t="s">
        <v>60</v>
      </c>
      <c r="C333" s="18" t="s">
        <v>61</v>
      </c>
      <c r="D333" s="18" t="s">
        <v>1640</v>
      </c>
      <c r="E333" s="18" t="n">
        <v>503</v>
      </c>
      <c r="F333" s="18" t="s">
        <v>886</v>
      </c>
      <c r="G333" s="18" t="s">
        <v>128</v>
      </c>
      <c r="H333" s="18" t="s">
        <v>162</v>
      </c>
      <c r="I333" s="18"/>
      <c r="J333" s="18"/>
      <c r="K333" s="18"/>
      <c r="L333" s="18" t="s">
        <v>129</v>
      </c>
      <c r="M333" s="18" t="s">
        <v>129</v>
      </c>
      <c r="N333" s="18"/>
      <c r="O333" s="18"/>
      <c r="P333" s="18" t="s">
        <v>1692</v>
      </c>
      <c r="Q333" s="18" t="s">
        <v>138</v>
      </c>
      <c r="R333" s="18" t="s">
        <v>1693</v>
      </c>
      <c r="S333" s="18" t="s">
        <v>140</v>
      </c>
      <c r="T333" s="18" t="s">
        <v>141</v>
      </c>
      <c r="U333" s="18"/>
      <c r="V333" s="19" t="s">
        <v>29</v>
      </c>
      <c r="W333" s="19"/>
      <c r="X333" s="19"/>
      <c r="Y333" s="20"/>
      <c r="Z333" s="19"/>
      <c r="AA333" s="18" t="str">
        <f aca="false">IF(OR(V333="Aprobada"),R333,IF(AND(OR(V333="Aprobada con ajuste",V333="Rechazada"),W333&lt;&gt;""),W333,""))</f>
        <v/>
      </c>
    </row>
    <row r="334" customFormat="false" ht="32.8" hidden="false" customHeight="false" outlineLevel="0" collapsed="false">
      <c r="A334" s="18" t="s">
        <v>1694</v>
      </c>
      <c r="B334" s="18" t="s">
        <v>60</v>
      </c>
      <c r="C334" s="18" t="s">
        <v>61</v>
      </c>
      <c r="D334" s="18" t="s">
        <v>1640</v>
      </c>
      <c r="E334" s="18" t="n">
        <v>503</v>
      </c>
      <c r="F334" s="18" t="s">
        <v>1695</v>
      </c>
      <c r="G334" s="18" t="s">
        <v>317</v>
      </c>
      <c r="H334" s="18" t="s">
        <v>162</v>
      </c>
      <c r="I334" s="18"/>
      <c r="J334" s="18"/>
      <c r="K334" s="18"/>
      <c r="L334" s="18" t="s">
        <v>129</v>
      </c>
      <c r="M334" s="18" t="s">
        <v>129</v>
      </c>
      <c r="N334" s="18"/>
      <c r="O334" s="18"/>
      <c r="P334" s="18" t="s">
        <v>1696</v>
      </c>
      <c r="Q334" s="18" t="s">
        <v>138</v>
      </c>
      <c r="R334" s="18" t="s">
        <v>1697</v>
      </c>
      <c r="S334" s="18" t="s">
        <v>140</v>
      </c>
      <c r="T334" s="18" t="s">
        <v>141</v>
      </c>
      <c r="U334" s="18"/>
      <c r="V334" s="19" t="s">
        <v>29</v>
      </c>
      <c r="W334" s="19"/>
      <c r="X334" s="19"/>
      <c r="Y334" s="20"/>
      <c r="Z334" s="19"/>
      <c r="AA334" s="18" t="str">
        <f aca="false">IF(OR(V334="Aprobada"),R334,IF(AND(OR(V334="Aprobada con ajuste",V334="Rechazada"),W334&lt;&gt;""),W334,""))</f>
        <v/>
      </c>
    </row>
    <row r="335" customFormat="false" ht="32.8" hidden="false" customHeight="false" outlineLevel="0" collapsed="false">
      <c r="A335" s="18" t="s">
        <v>1698</v>
      </c>
      <c r="B335" s="18" t="s">
        <v>60</v>
      </c>
      <c r="C335" s="18" t="s">
        <v>61</v>
      </c>
      <c r="D335" s="18" t="s">
        <v>1640</v>
      </c>
      <c r="E335" s="18" t="n">
        <v>503</v>
      </c>
      <c r="F335" s="18" t="s">
        <v>1699</v>
      </c>
      <c r="G335" s="18" t="s">
        <v>294</v>
      </c>
      <c r="H335" s="18" t="s">
        <v>162</v>
      </c>
      <c r="I335" s="18"/>
      <c r="J335" s="18"/>
      <c r="K335" s="18"/>
      <c r="L335" s="18" t="s">
        <v>129</v>
      </c>
      <c r="M335" s="18" t="s">
        <v>129</v>
      </c>
      <c r="N335" s="18"/>
      <c r="O335" s="18"/>
      <c r="P335" s="18" t="s">
        <v>1700</v>
      </c>
      <c r="Q335" s="18" t="s">
        <v>149</v>
      </c>
      <c r="R335" s="18" t="s">
        <v>1701</v>
      </c>
      <c r="S335" s="18" t="s">
        <v>140</v>
      </c>
      <c r="T335" s="18" t="s">
        <v>1702</v>
      </c>
      <c r="U335" s="18" t="s">
        <v>1703</v>
      </c>
      <c r="V335" s="19" t="s">
        <v>29</v>
      </c>
      <c r="W335" s="19"/>
      <c r="X335" s="19"/>
      <c r="Y335" s="20"/>
      <c r="Z335" s="19"/>
      <c r="AA335" s="18" t="str">
        <f aca="false">IF(OR(V335="Aprobada"),R335,IF(AND(OR(V335="Aprobada con ajuste",V335="Rechazada"),W335&lt;&gt;""),W335,""))</f>
        <v/>
      </c>
    </row>
    <row r="336" customFormat="false" ht="32.8" hidden="false" customHeight="false" outlineLevel="0" collapsed="false">
      <c r="A336" s="18" t="s">
        <v>1704</v>
      </c>
      <c r="B336" s="18" t="s">
        <v>60</v>
      </c>
      <c r="C336" s="18" t="s">
        <v>61</v>
      </c>
      <c r="D336" s="18" t="s">
        <v>1640</v>
      </c>
      <c r="E336" s="18" t="n">
        <v>503</v>
      </c>
      <c r="F336" s="18" t="s">
        <v>1705</v>
      </c>
      <c r="G336" s="18" t="s">
        <v>186</v>
      </c>
      <c r="H336" s="18" t="s">
        <v>129</v>
      </c>
      <c r="I336" s="18" t="s">
        <v>298</v>
      </c>
      <c r="J336" s="18" t="s">
        <v>1706</v>
      </c>
      <c r="K336" s="18"/>
      <c r="L336" s="18" t="s">
        <v>162</v>
      </c>
      <c r="M336" s="18" t="s">
        <v>129</v>
      </c>
      <c r="N336" s="18"/>
      <c r="O336" s="18"/>
      <c r="P336" s="18" t="s">
        <v>1707</v>
      </c>
      <c r="Q336" s="18" t="s">
        <v>149</v>
      </c>
      <c r="R336" s="18" t="s">
        <v>1708</v>
      </c>
      <c r="S336" s="18" t="s">
        <v>133</v>
      </c>
      <c r="T336" s="18" t="s">
        <v>801</v>
      </c>
      <c r="U336" s="18"/>
      <c r="V336" s="19" t="s">
        <v>29</v>
      </c>
      <c r="W336" s="19"/>
      <c r="X336" s="19"/>
      <c r="Y336" s="20"/>
      <c r="Z336" s="19"/>
      <c r="AA336" s="18" t="str">
        <f aca="false">IF(OR(V336="Aprobada"),R336,IF(AND(OR(V336="Aprobada con ajuste",V336="Rechazada"),W336&lt;&gt;""),W336,""))</f>
        <v/>
      </c>
    </row>
    <row r="337" customFormat="false" ht="32.8" hidden="false" customHeight="false" outlineLevel="0" collapsed="false">
      <c r="A337" s="18" t="s">
        <v>1709</v>
      </c>
      <c r="B337" s="18" t="s">
        <v>60</v>
      </c>
      <c r="C337" s="18" t="s">
        <v>61</v>
      </c>
      <c r="D337" s="18" t="s">
        <v>1640</v>
      </c>
      <c r="E337" s="18" t="n">
        <v>503</v>
      </c>
      <c r="F337" s="18" t="s">
        <v>1710</v>
      </c>
      <c r="G337" s="18" t="s">
        <v>145</v>
      </c>
      <c r="H337" s="18" t="s">
        <v>162</v>
      </c>
      <c r="I337" s="18"/>
      <c r="J337" s="18"/>
      <c r="K337" s="18"/>
      <c r="L337" s="18" t="s">
        <v>129</v>
      </c>
      <c r="M337" s="18" t="s">
        <v>129</v>
      </c>
      <c r="N337" s="18"/>
      <c r="O337" s="18" t="s">
        <v>1711</v>
      </c>
      <c r="P337" s="18" t="s">
        <v>1712</v>
      </c>
      <c r="Q337" s="18" t="s">
        <v>149</v>
      </c>
      <c r="R337" s="18" t="s">
        <v>1713</v>
      </c>
      <c r="S337" s="18" t="s">
        <v>140</v>
      </c>
      <c r="T337" s="18" t="s">
        <v>1714</v>
      </c>
      <c r="U337" s="18" t="s">
        <v>1715</v>
      </c>
      <c r="V337" s="19" t="s">
        <v>29</v>
      </c>
      <c r="W337" s="19"/>
      <c r="X337" s="19"/>
      <c r="Y337" s="20"/>
      <c r="Z337" s="19"/>
      <c r="AA337" s="18" t="str">
        <f aca="false">IF(OR(V337="Aprobada"),R337,IF(AND(OR(V337="Aprobada con ajuste",V337="Rechazada"),W337&lt;&gt;""),W337,""))</f>
        <v/>
      </c>
    </row>
    <row r="338" customFormat="false" ht="32.8" hidden="false" customHeight="false" outlineLevel="0" collapsed="false">
      <c r="A338" s="18" t="s">
        <v>1716</v>
      </c>
      <c r="B338" s="18" t="s">
        <v>60</v>
      </c>
      <c r="C338" s="18" t="s">
        <v>61</v>
      </c>
      <c r="D338" s="18" t="s">
        <v>1640</v>
      </c>
      <c r="E338" s="18" t="n">
        <v>503</v>
      </c>
      <c r="F338" s="18" t="s">
        <v>1717</v>
      </c>
      <c r="G338" s="18" t="s">
        <v>503</v>
      </c>
      <c r="H338" s="18" t="s">
        <v>162</v>
      </c>
      <c r="I338" s="18" t="s">
        <v>298</v>
      </c>
      <c r="J338" s="18"/>
      <c r="K338" s="18"/>
      <c r="L338" s="18" t="s">
        <v>129</v>
      </c>
      <c r="M338" s="18" t="s">
        <v>129</v>
      </c>
      <c r="N338" s="18"/>
      <c r="O338" s="18"/>
      <c r="P338" s="18" t="s">
        <v>1718</v>
      </c>
      <c r="Q338" s="18" t="s">
        <v>149</v>
      </c>
      <c r="R338" s="18" t="s">
        <v>1719</v>
      </c>
      <c r="S338" s="18" t="s">
        <v>140</v>
      </c>
      <c r="T338" s="18" t="s">
        <v>1720</v>
      </c>
      <c r="U338" s="18" t="s">
        <v>1721</v>
      </c>
      <c r="V338" s="19" t="s">
        <v>29</v>
      </c>
      <c r="W338" s="19"/>
      <c r="X338" s="19"/>
      <c r="Y338" s="20"/>
      <c r="Z338" s="19"/>
      <c r="AA338" s="18" t="str">
        <f aca="false">IF(OR(V338="Aprobada"),R338,IF(AND(OR(V338="Aprobada con ajuste",V338="Rechazada"),W338&lt;&gt;""),W338,""))</f>
        <v/>
      </c>
    </row>
    <row r="339" customFormat="false" ht="32.8" hidden="false" customHeight="false" outlineLevel="0" collapsed="false">
      <c r="A339" s="18" t="s">
        <v>1722</v>
      </c>
      <c r="B339" s="18" t="s">
        <v>60</v>
      </c>
      <c r="C339" s="18" t="s">
        <v>61</v>
      </c>
      <c r="D339" s="18" t="s">
        <v>1640</v>
      </c>
      <c r="E339" s="18" t="n">
        <v>503</v>
      </c>
      <c r="F339" s="18" t="s">
        <v>1723</v>
      </c>
      <c r="G339" s="18" t="s">
        <v>503</v>
      </c>
      <c r="H339" s="18" t="s">
        <v>162</v>
      </c>
      <c r="I339" s="18" t="s">
        <v>298</v>
      </c>
      <c r="J339" s="18"/>
      <c r="K339" s="18"/>
      <c r="L339" s="18" t="s">
        <v>129</v>
      </c>
      <c r="M339" s="18" t="s">
        <v>129</v>
      </c>
      <c r="N339" s="18"/>
      <c r="O339" s="18"/>
      <c r="P339" s="18" t="s">
        <v>1724</v>
      </c>
      <c r="Q339" s="18" t="s">
        <v>131</v>
      </c>
      <c r="R339" s="18" t="s">
        <v>1725</v>
      </c>
      <c r="S339" s="18" t="s">
        <v>133</v>
      </c>
      <c r="T339" s="18" t="s">
        <v>1726</v>
      </c>
      <c r="U339" s="18"/>
      <c r="V339" s="19" t="s">
        <v>29</v>
      </c>
      <c r="W339" s="19"/>
      <c r="X339" s="19"/>
      <c r="Y339" s="20"/>
      <c r="Z339" s="19"/>
      <c r="AA339" s="18" t="str">
        <f aca="false">IF(OR(V339="Aprobada"),R339,IF(AND(OR(V339="Aprobada con ajuste",V339="Rechazada"),W339&lt;&gt;""),W339,""))</f>
        <v/>
      </c>
    </row>
    <row r="340" customFormat="false" ht="22.35" hidden="false" customHeight="false" outlineLevel="0" collapsed="false">
      <c r="A340" s="18" t="s">
        <v>1727</v>
      </c>
      <c r="B340" s="18" t="s">
        <v>60</v>
      </c>
      <c r="C340" s="18" t="s">
        <v>61</v>
      </c>
      <c r="D340" s="18" t="s">
        <v>1728</v>
      </c>
      <c r="E340" s="18" t="n">
        <v>2</v>
      </c>
      <c r="F340" s="18" t="s">
        <v>1729</v>
      </c>
      <c r="G340" s="18" t="s">
        <v>1730</v>
      </c>
      <c r="H340" s="18" t="s">
        <v>129</v>
      </c>
      <c r="I340" s="18"/>
      <c r="J340" s="18"/>
      <c r="K340" s="18"/>
      <c r="L340" s="18" t="s">
        <v>129</v>
      </c>
      <c r="M340" s="18" t="s">
        <v>129</v>
      </c>
      <c r="N340" s="18"/>
      <c r="O340" s="18" t="s">
        <v>1731</v>
      </c>
      <c r="P340" s="18"/>
      <c r="Q340" s="18" t="s">
        <v>149</v>
      </c>
      <c r="R340" s="18" t="s">
        <v>1732</v>
      </c>
      <c r="S340" s="18" t="s">
        <v>133</v>
      </c>
      <c r="T340" s="18" t="s">
        <v>169</v>
      </c>
      <c r="U340" s="18"/>
      <c r="V340" s="19" t="s">
        <v>29</v>
      </c>
      <c r="W340" s="19"/>
      <c r="X340" s="19"/>
      <c r="Y340" s="20"/>
      <c r="Z340" s="19"/>
      <c r="AA340" s="18" t="str">
        <f aca="false">IF(OR(V340="Aprobada"),R340,IF(AND(OR(V340="Aprobada con ajuste",V340="Rechazada"),W340&lt;&gt;""),W340,""))</f>
        <v/>
      </c>
    </row>
    <row r="341" customFormat="false" ht="22.35" hidden="false" customHeight="false" outlineLevel="0" collapsed="false">
      <c r="A341" s="18" t="s">
        <v>1733</v>
      </c>
      <c r="B341" s="18" t="s">
        <v>60</v>
      </c>
      <c r="C341" s="18" t="s">
        <v>61</v>
      </c>
      <c r="D341" s="18" t="s">
        <v>1728</v>
      </c>
      <c r="E341" s="18" t="n">
        <v>2</v>
      </c>
      <c r="F341" s="18" t="s">
        <v>1734</v>
      </c>
      <c r="G341" s="18" t="s">
        <v>128</v>
      </c>
      <c r="H341" s="18" t="s">
        <v>162</v>
      </c>
      <c r="I341" s="18"/>
      <c r="J341" s="18"/>
      <c r="K341" s="18"/>
      <c r="L341" s="18" t="s">
        <v>129</v>
      </c>
      <c r="M341" s="18" t="s">
        <v>129</v>
      </c>
      <c r="N341" s="18"/>
      <c r="O341" s="18"/>
      <c r="P341" s="18"/>
      <c r="Q341" s="18" t="s">
        <v>149</v>
      </c>
      <c r="R341" s="18" t="s">
        <v>1735</v>
      </c>
      <c r="S341" s="18" t="s">
        <v>140</v>
      </c>
      <c r="T341" s="18" t="s">
        <v>183</v>
      </c>
      <c r="U341" s="18" t="s">
        <v>1736</v>
      </c>
      <c r="V341" s="19" t="s">
        <v>29</v>
      </c>
      <c r="W341" s="19"/>
      <c r="X341" s="19"/>
      <c r="Y341" s="20"/>
      <c r="Z341" s="19"/>
      <c r="AA341" s="18" t="str">
        <f aca="false">IF(OR(V341="Aprobada"),R341,IF(AND(OR(V341="Aprobada con ajuste",V341="Rechazada"),W341&lt;&gt;""),W341,""))</f>
        <v/>
      </c>
    </row>
    <row r="342" customFormat="false" ht="22.35" hidden="false" customHeight="false" outlineLevel="0" collapsed="false">
      <c r="A342" s="18" t="s">
        <v>1737</v>
      </c>
      <c r="B342" s="18" t="s">
        <v>60</v>
      </c>
      <c r="C342" s="18" t="s">
        <v>61</v>
      </c>
      <c r="D342" s="18" t="s">
        <v>1728</v>
      </c>
      <c r="E342" s="18" t="n">
        <v>2</v>
      </c>
      <c r="F342" s="18" t="s">
        <v>1738</v>
      </c>
      <c r="G342" s="18" t="s">
        <v>128</v>
      </c>
      <c r="H342" s="18" t="s">
        <v>162</v>
      </c>
      <c r="I342" s="18"/>
      <c r="J342" s="18"/>
      <c r="K342" s="18"/>
      <c r="L342" s="18" t="s">
        <v>129</v>
      </c>
      <c r="M342" s="18" t="s">
        <v>129</v>
      </c>
      <c r="N342" s="18"/>
      <c r="O342" s="18"/>
      <c r="P342" s="18"/>
      <c r="Q342" s="18" t="s">
        <v>149</v>
      </c>
      <c r="R342" s="18" t="s">
        <v>1739</v>
      </c>
      <c r="S342" s="18" t="s">
        <v>133</v>
      </c>
      <c r="T342" s="18" t="s">
        <v>183</v>
      </c>
      <c r="U342" s="18"/>
      <c r="V342" s="19" t="s">
        <v>29</v>
      </c>
      <c r="W342" s="19"/>
      <c r="X342" s="19"/>
      <c r="Y342" s="20"/>
      <c r="Z342" s="19"/>
      <c r="AA342" s="18" t="str">
        <f aca="false">IF(OR(V342="Aprobada"),R342,IF(AND(OR(V342="Aprobada con ajuste",V342="Rechazada"),W342&lt;&gt;""),W342,""))</f>
        <v/>
      </c>
    </row>
    <row r="343" customFormat="false" ht="22.35" hidden="false" customHeight="false" outlineLevel="0" collapsed="false">
      <c r="A343" s="18" t="s">
        <v>1740</v>
      </c>
      <c r="B343" s="18" t="s">
        <v>60</v>
      </c>
      <c r="C343" s="18" t="s">
        <v>61</v>
      </c>
      <c r="D343" s="18" t="s">
        <v>1728</v>
      </c>
      <c r="E343" s="18" t="n">
        <v>2</v>
      </c>
      <c r="F343" s="18" t="s">
        <v>1741</v>
      </c>
      <c r="G343" s="18" t="s">
        <v>128</v>
      </c>
      <c r="H343" s="18" t="s">
        <v>162</v>
      </c>
      <c r="I343" s="18"/>
      <c r="J343" s="18"/>
      <c r="K343" s="18"/>
      <c r="L343" s="18" t="s">
        <v>129</v>
      </c>
      <c r="M343" s="18" t="s">
        <v>129</v>
      </c>
      <c r="N343" s="18"/>
      <c r="O343" s="18"/>
      <c r="P343" s="18"/>
      <c r="Q343" s="18" t="s">
        <v>149</v>
      </c>
      <c r="R343" s="18" t="s">
        <v>1742</v>
      </c>
      <c r="S343" s="18" t="s">
        <v>133</v>
      </c>
      <c r="T343" s="18" t="s">
        <v>183</v>
      </c>
      <c r="U343" s="18"/>
      <c r="V343" s="19" t="s">
        <v>29</v>
      </c>
      <c r="W343" s="19"/>
      <c r="X343" s="19"/>
      <c r="Y343" s="20"/>
      <c r="Z343" s="19"/>
      <c r="AA343" s="18" t="str">
        <f aca="false">IF(OR(V343="Aprobada"),R343,IF(AND(OR(V343="Aprobada con ajuste",V343="Rechazada"),W343&lt;&gt;""),W343,""))</f>
        <v/>
      </c>
    </row>
    <row r="344" customFormat="false" ht="22.35" hidden="false" customHeight="false" outlineLevel="0" collapsed="false">
      <c r="A344" s="18" t="s">
        <v>1743</v>
      </c>
      <c r="B344" s="18" t="s">
        <v>60</v>
      </c>
      <c r="C344" s="18" t="s">
        <v>61</v>
      </c>
      <c r="D344" s="18" t="s">
        <v>1728</v>
      </c>
      <c r="E344" s="18" t="n">
        <v>2</v>
      </c>
      <c r="F344" s="18" t="s">
        <v>1744</v>
      </c>
      <c r="G344" s="18" t="s">
        <v>128</v>
      </c>
      <c r="H344" s="18" t="s">
        <v>129</v>
      </c>
      <c r="I344" s="18"/>
      <c r="J344" s="18"/>
      <c r="K344" s="18"/>
      <c r="L344" s="18" t="s">
        <v>129</v>
      </c>
      <c r="M344" s="18" t="s">
        <v>129</v>
      </c>
      <c r="N344" s="18"/>
      <c r="O344" s="18" t="s">
        <v>1745</v>
      </c>
      <c r="P344" s="18"/>
      <c r="Q344" s="18" t="s">
        <v>149</v>
      </c>
      <c r="R344" s="18" t="s">
        <v>1746</v>
      </c>
      <c r="S344" s="18" t="s">
        <v>140</v>
      </c>
      <c r="T344" s="18" t="s">
        <v>183</v>
      </c>
      <c r="U344" s="18" t="s">
        <v>1747</v>
      </c>
      <c r="V344" s="19" t="s">
        <v>29</v>
      </c>
      <c r="W344" s="19"/>
      <c r="X344" s="19"/>
      <c r="Y344" s="20"/>
      <c r="Z344" s="19"/>
      <c r="AA344" s="18" t="str">
        <f aca="false">IF(OR(V344="Aprobada"),R344,IF(AND(OR(V344="Aprobada con ajuste",V344="Rechazada"),W344&lt;&gt;""),W344,""))</f>
        <v/>
      </c>
    </row>
    <row r="345" customFormat="false" ht="22.35" hidden="false" customHeight="false" outlineLevel="0" collapsed="false">
      <c r="A345" s="18" t="s">
        <v>1748</v>
      </c>
      <c r="B345" s="18" t="s">
        <v>60</v>
      </c>
      <c r="C345" s="18" t="s">
        <v>61</v>
      </c>
      <c r="D345" s="18" t="s">
        <v>1728</v>
      </c>
      <c r="E345" s="18" t="n">
        <v>2</v>
      </c>
      <c r="F345" s="18" t="s">
        <v>1749</v>
      </c>
      <c r="G345" s="18" t="s">
        <v>128</v>
      </c>
      <c r="H345" s="18" t="s">
        <v>129</v>
      </c>
      <c r="I345" s="18"/>
      <c r="J345" s="18"/>
      <c r="K345" s="18"/>
      <c r="L345" s="18" t="s">
        <v>129</v>
      </c>
      <c r="M345" s="18" t="s">
        <v>129</v>
      </c>
      <c r="N345" s="18"/>
      <c r="O345" s="18" t="s">
        <v>1750</v>
      </c>
      <c r="P345" s="18"/>
      <c r="Q345" s="18" t="s">
        <v>149</v>
      </c>
      <c r="R345" s="18" t="s">
        <v>1751</v>
      </c>
      <c r="S345" s="18" t="s">
        <v>140</v>
      </c>
      <c r="T345" s="18" t="s">
        <v>183</v>
      </c>
      <c r="U345" s="18" t="s">
        <v>1752</v>
      </c>
      <c r="V345" s="19" t="s">
        <v>29</v>
      </c>
      <c r="W345" s="19"/>
      <c r="X345" s="19"/>
      <c r="Y345" s="20"/>
      <c r="Z345" s="19"/>
      <c r="AA345" s="18" t="str">
        <f aca="false">IF(OR(V345="Aprobada"),R345,IF(AND(OR(V345="Aprobada con ajuste",V345="Rechazada"),W345&lt;&gt;""),W345,""))</f>
        <v/>
      </c>
    </row>
    <row r="346" customFormat="false" ht="22.35" hidden="false" customHeight="false" outlineLevel="0" collapsed="false">
      <c r="A346" s="18" t="s">
        <v>1753</v>
      </c>
      <c r="B346" s="18" t="s">
        <v>60</v>
      </c>
      <c r="C346" s="18" t="s">
        <v>61</v>
      </c>
      <c r="D346" s="18" t="s">
        <v>1728</v>
      </c>
      <c r="E346" s="18" t="n">
        <v>2</v>
      </c>
      <c r="F346" s="18" t="s">
        <v>1754</v>
      </c>
      <c r="G346" s="18" t="s">
        <v>128</v>
      </c>
      <c r="H346" s="18" t="s">
        <v>162</v>
      </c>
      <c r="I346" s="18"/>
      <c r="J346" s="18"/>
      <c r="K346" s="18"/>
      <c r="L346" s="18" t="s">
        <v>129</v>
      </c>
      <c r="M346" s="18" t="s">
        <v>129</v>
      </c>
      <c r="N346" s="18"/>
      <c r="O346" s="18"/>
      <c r="P346" s="18"/>
      <c r="Q346" s="18" t="s">
        <v>149</v>
      </c>
      <c r="R346" s="18" t="s">
        <v>1755</v>
      </c>
      <c r="S346" s="18" t="s">
        <v>140</v>
      </c>
      <c r="T346" s="18" t="s">
        <v>1756</v>
      </c>
      <c r="U346" s="18" t="s">
        <v>1757</v>
      </c>
      <c r="V346" s="19" t="s">
        <v>29</v>
      </c>
      <c r="W346" s="19"/>
      <c r="X346" s="19"/>
      <c r="Y346" s="20"/>
      <c r="Z346" s="19"/>
      <c r="AA346" s="18" t="str">
        <f aca="false">IF(OR(V346="Aprobada"),R346,IF(AND(OR(V346="Aprobada con ajuste",V346="Rechazada"),W346&lt;&gt;""),W346,""))</f>
        <v/>
      </c>
    </row>
    <row r="347" customFormat="false" ht="22.35" hidden="false" customHeight="false" outlineLevel="0" collapsed="false">
      <c r="A347" s="18" t="s">
        <v>1758</v>
      </c>
      <c r="B347" s="18" t="s">
        <v>60</v>
      </c>
      <c r="C347" s="18" t="s">
        <v>61</v>
      </c>
      <c r="D347" s="18" t="s">
        <v>1728</v>
      </c>
      <c r="E347" s="18" t="n">
        <v>2</v>
      </c>
      <c r="F347" s="18" t="s">
        <v>1759</v>
      </c>
      <c r="G347" s="18" t="s">
        <v>128</v>
      </c>
      <c r="H347" s="18" t="s">
        <v>162</v>
      </c>
      <c r="I347" s="18"/>
      <c r="J347" s="18"/>
      <c r="K347" s="18"/>
      <c r="L347" s="18" t="s">
        <v>129</v>
      </c>
      <c r="M347" s="18" t="s">
        <v>129</v>
      </c>
      <c r="N347" s="18"/>
      <c r="O347" s="18"/>
      <c r="P347" s="18"/>
      <c r="Q347" s="18" t="s">
        <v>149</v>
      </c>
      <c r="R347" s="18" t="s">
        <v>1760</v>
      </c>
      <c r="S347" s="18" t="s">
        <v>133</v>
      </c>
      <c r="T347" s="18" t="s">
        <v>1761</v>
      </c>
      <c r="U347" s="18"/>
      <c r="V347" s="19" t="s">
        <v>29</v>
      </c>
      <c r="W347" s="19"/>
      <c r="X347" s="19"/>
      <c r="Y347" s="20"/>
      <c r="Z347" s="19"/>
      <c r="AA347" s="18" t="str">
        <f aca="false">IF(OR(V347="Aprobada"),R347,IF(AND(OR(V347="Aprobada con ajuste",V347="Rechazada"),W347&lt;&gt;""),W347,""))</f>
        <v/>
      </c>
    </row>
    <row r="348" customFormat="false" ht="22.35" hidden="false" customHeight="false" outlineLevel="0" collapsed="false">
      <c r="A348" s="18" t="s">
        <v>1762</v>
      </c>
      <c r="B348" s="18" t="s">
        <v>60</v>
      </c>
      <c r="C348" s="18" t="s">
        <v>61</v>
      </c>
      <c r="D348" s="18" t="s">
        <v>1728</v>
      </c>
      <c r="E348" s="18" t="n">
        <v>2</v>
      </c>
      <c r="F348" s="18" t="s">
        <v>1763</v>
      </c>
      <c r="G348" s="18" t="s">
        <v>128</v>
      </c>
      <c r="H348" s="18" t="s">
        <v>129</v>
      </c>
      <c r="I348" s="18"/>
      <c r="J348" s="18"/>
      <c r="K348" s="18"/>
      <c r="L348" s="18" t="s">
        <v>129</v>
      </c>
      <c r="M348" s="18" t="s">
        <v>129</v>
      </c>
      <c r="N348" s="18"/>
      <c r="O348" s="18"/>
      <c r="P348" s="18"/>
      <c r="Q348" s="18" t="s">
        <v>149</v>
      </c>
      <c r="R348" s="18" t="s">
        <v>1764</v>
      </c>
      <c r="S348" s="18" t="s">
        <v>133</v>
      </c>
      <c r="T348" s="18" t="s">
        <v>169</v>
      </c>
      <c r="U348" s="18"/>
      <c r="V348" s="19" t="s">
        <v>29</v>
      </c>
      <c r="W348" s="19"/>
      <c r="X348" s="19"/>
      <c r="Y348" s="20"/>
      <c r="Z348" s="19"/>
      <c r="AA348" s="18" t="str">
        <f aca="false">IF(OR(V348="Aprobada"),R348,IF(AND(OR(V348="Aprobada con ajuste",V348="Rechazada"),W348&lt;&gt;""),W348,""))</f>
        <v/>
      </c>
    </row>
    <row r="349" customFormat="false" ht="22.35" hidden="false" customHeight="false" outlineLevel="0" collapsed="false">
      <c r="A349" s="18" t="s">
        <v>1765</v>
      </c>
      <c r="B349" s="18" t="s">
        <v>60</v>
      </c>
      <c r="C349" s="18" t="s">
        <v>61</v>
      </c>
      <c r="D349" s="18" t="s">
        <v>1728</v>
      </c>
      <c r="E349" s="18" t="n">
        <v>2</v>
      </c>
      <c r="F349" s="18" t="s">
        <v>1766</v>
      </c>
      <c r="G349" s="18" t="s">
        <v>128</v>
      </c>
      <c r="H349" s="18" t="s">
        <v>129</v>
      </c>
      <c r="I349" s="18"/>
      <c r="J349" s="18"/>
      <c r="K349" s="18"/>
      <c r="L349" s="18" t="s">
        <v>129</v>
      </c>
      <c r="M349" s="18" t="s">
        <v>129</v>
      </c>
      <c r="N349" s="18"/>
      <c r="O349" s="18"/>
      <c r="P349" s="18"/>
      <c r="Q349" s="18" t="s">
        <v>149</v>
      </c>
      <c r="R349" s="18" t="s">
        <v>1767</v>
      </c>
      <c r="S349" s="18" t="s">
        <v>140</v>
      </c>
      <c r="T349" s="18" t="s">
        <v>169</v>
      </c>
      <c r="U349" s="18" t="s">
        <v>1768</v>
      </c>
      <c r="V349" s="19" t="s">
        <v>29</v>
      </c>
      <c r="W349" s="19"/>
      <c r="X349" s="19"/>
      <c r="Y349" s="20"/>
      <c r="Z349" s="19"/>
      <c r="AA349" s="18" t="str">
        <f aca="false">IF(OR(V349="Aprobada"),R349,IF(AND(OR(V349="Aprobada con ajuste",V349="Rechazada"),W349&lt;&gt;""),W349,""))</f>
        <v/>
      </c>
    </row>
    <row r="350" customFormat="false" ht="22.35" hidden="false" customHeight="false" outlineLevel="0" collapsed="false">
      <c r="A350" s="18" t="s">
        <v>1769</v>
      </c>
      <c r="B350" s="18" t="s">
        <v>60</v>
      </c>
      <c r="C350" s="18" t="s">
        <v>61</v>
      </c>
      <c r="D350" s="18" t="s">
        <v>1728</v>
      </c>
      <c r="E350" s="18" t="n">
        <v>2</v>
      </c>
      <c r="F350" s="18" t="s">
        <v>1049</v>
      </c>
      <c r="G350" s="18" t="s">
        <v>128</v>
      </c>
      <c r="H350" s="18" t="s">
        <v>162</v>
      </c>
      <c r="I350" s="18"/>
      <c r="J350" s="18"/>
      <c r="K350" s="18"/>
      <c r="L350" s="18" t="s">
        <v>129</v>
      </c>
      <c r="M350" s="18" t="s">
        <v>129</v>
      </c>
      <c r="N350" s="18"/>
      <c r="O350" s="18"/>
      <c r="P350" s="18"/>
      <c r="Q350" s="18" t="s">
        <v>149</v>
      </c>
      <c r="R350" s="18" t="s">
        <v>1770</v>
      </c>
      <c r="S350" s="18" t="s">
        <v>133</v>
      </c>
      <c r="T350" s="18" t="s">
        <v>183</v>
      </c>
      <c r="U350" s="18"/>
      <c r="V350" s="19" t="s">
        <v>29</v>
      </c>
      <c r="W350" s="19"/>
      <c r="X350" s="19"/>
      <c r="Y350" s="20"/>
      <c r="Z350" s="19"/>
      <c r="AA350" s="18" t="str">
        <f aca="false">IF(OR(V350="Aprobada"),R350,IF(AND(OR(V350="Aprobada con ajuste",V350="Rechazada"),W350&lt;&gt;""),W350,""))</f>
        <v/>
      </c>
    </row>
    <row r="351" customFormat="false" ht="32.8" hidden="false" customHeight="false" outlineLevel="0" collapsed="false">
      <c r="A351" s="18" t="s">
        <v>1771</v>
      </c>
      <c r="B351" s="18" t="s">
        <v>60</v>
      </c>
      <c r="C351" s="18" t="s">
        <v>61</v>
      </c>
      <c r="D351" s="18" t="s">
        <v>1772</v>
      </c>
      <c r="E351" s="18" t="n">
        <v>3</v>
      </c>
      <c r="F351" s="18" t="s">
        <v>1773</v>
      </c>
      <c r="G351" s="18" t="s">
        <v>128</v>
      </c>
      <c r="H351" s="18" t="s">
        <v>129</v>
      </c>
      <c r="I351" s="18"/>
      <c r="J351" s="18"/>
      <c r="K351" s="18"/>
      <c r="L351" s="18" t="s">
        <v>129</v>
      </c>
      <c r="M351" s="18" t="s">
        <v>129</v>
      </c>
      <c r="N351" s="18"/>
      <c r="O351" s="18" t="s">
        <v>1774</v>
      </c>
      <c r="P351" s="18" t="s">
        <v>1775</v>
      </c>
      <c r="Q351" s="18" t="s">
        <v>149</v>
      </c>
      <c r="R351" s="18" t="s">
        <v>1776</v>
      </c>
      <c r="S351" s="18" t="s">
        <v>133</v>
      </c>
      <c r="T351" s="18" t="s">
        <v>1777</v>
      </c>
      <c r="U351" s="18"/>
      <c r="V351" s="19" t="s">
        <v>29</v>
      </c>
      <c r="W351" s="19"/>
      <c r="X351" s="19"/>
      <c r="Y351" s="20"/>
      <c r="Z351" s="19"/>
      <c r="AA351" s="18" t="str">
        <f aca="false">IF(OR(V351="Aprobada"),R351,IF(AND(OR(V351="Aprobada con ajuste",V351="Rechazada"),W351&lt;&gt;""),W351,""))</f>
        <v/>
      </c>
    </row>
    <row r="352" customFormat="false" ht="53.7" hidden="false" customHeight="false" outlineLevel="0" collapsed="false">
      <c r="A352" s="18" t="s">
        <v>1778</v>
      </c>
      <c r="B352" s="18" t="s">
        <v>60</v>
      </c>
      <c r="C352" s="18" t="s">
        <v>61</v>
      </c>
      <c r="D352" s="18" t="s">
        <v>1772</v>
      </c>
      <c r="E352" s="18" t="n">
        <v>3</v>
      </c>
      <c r="F352" s="18" t="s">
        <v>1779</v>
      </c>
      <c r="G352" s="18" t="s">
        <v>128</v>
      </c>
      <c r="H352" s="18" t="s">
        <v>129</v>
      </c>
      <c r="I352" s="18" t="s">
        <v>146</v>
      </c>
      <c r="J352" s="18"/>
      <c r="K352" s="18"/>
      <c r="L352" s="18" t="s">
        <v>129</v>
      </c>
      <c r="M352" s="18" t="s">
        <v>129</v>
      </c>
      <c r="N352" s="18"/>
      <c r="O352" s="18" t="s">
        <v>1780</v>
      </c>
      <c r="P352" s="18" t="s">
        <v>1781</v>
      </c>
      <c r="Q352" s="18" t="s">
        <v>149</v>
      </c>
      <c r="R352" s="18" t="s">
        <v>1782</v>
      </c>
      <c r="S352" s="18" t="s">
        <v>133</v>
      </c>
      <c r="T352" s="18" t="s">
        <v>1783</v>
      </c>
      <c r="U352" s="18"/>
      <c r="V352" s="19" t="s">
        <v>29</v>
      </c>
      <c r="W352" s="19"/>
      <c r="X352" s="19"/>
      <c r="Y352" s="20"/>
      <c r="Z352" s="19"/>
      <c r="AA352" s="18" t="str">
        <f aca="false">IF(OR(V352="Aprobada"),R352,IF(AND(OR(V352="Aprobada con ajuste",V352="Rechazada"),W352&lt;&gt;""),W352,""))</f>
        <v/>
      </c>
    </row>
    <row r="353" customFormat="false" ht="32.8" hidden="false" customHeight="false" outlineLevel="0" collapsed="false">
      <c r="A353" s="18" t="s">
        <v>1784</v>
      </c>
      <c r="B353" s="18" t="s">
        <v>60</v>
      </c>
      <c r="C353" s="18" t="s">
        <v>61</v>
      </c>
      <c r="D353" s="18" t="s">
        <v>1772</v>
      </c>
      <c r="E353" s="18" t="n">
        <v>3</v>
      </c>
      <c r="F353" s="18" t="s">
        <v>1785</v>
      </c>
      <c r="G353" s="18" t="s">
        <v>128</v>
      </c>
      <c r="H353" s="18" t="s">
        <v>162</v>
      </c>
      <c r="I353" s="18"/>
      <c r="J353" s="18"/>
      <c r="K353" s="18"/>
      <c r="L353" s="18" t="s">
        <v>129</v>
      </c>
      <c r="M353" s="18" t="s">
        <v>129</v>
      </c>
      <c r="N353" s="18"/>
      <c r="O353" s="18"/>
      <c r="P353" s="18" t="s">
        <v>1786</v>
      </c>
      <c r="Q353" s="18" t="s">
        <v>149</v>
      </c>
      <c r="R353" s="18" t="s">
        <v>1787</v>
      </c>
      <c r="S353" s="18" t="s">
        <v>133</v>
      </c>
      <c r="T353" s="18" t="s">
        <v>1777</v>
      </c>
      <c r="U353" s="18"/>
      <c r="V353" s="19" t="s">
        <v>29</v>
      </c>
      <c r="W353" s="19"/>
      <c r="X353" s="19"/>
      <c r="Y353" s="20"/>
      <c r="Z353" s="19"/>
      <c r="AA353" s="18" t="str">
        <f aca="false">IF(OR(V353="Aprobada"),R353,IF(AND(OR(V353="Aprobada con ajuste",V353="Rechazada"),W353&lt;&gt;""),W353,""))</f>
        <v/>
      </c>
    </row>
    <row r="354" customFormat="false" ht="32.8" hidden="false" customHeight="false" outlineLevel="0" collapsed="false">
      <c r="A354" s="18" t="s">
        <v>1788</v>
      </c>
      <c r="B354" s="18" t="s">
        <v>60</v>
      </c>
      <c r="C354" s="18" t="s">
        <v>61</v>
      </c>
      <c r="D354" s="18" t="s">
        <v>1772</v>
      </c>
      <c r="E354" s="18" t="n">
        <v>3</v>
      </c>
      <c r="F354" s="18" t="s">
        <v>1789</v>
      </c>
      <c r="G354" s="18" t="s">
        <v>317</v>
      </c>
      <c r="H354" s="18" t="s">
        <v>162</v>
      </c>
      <c r="I354" s="18"/>
      <c r="J354" s="18"/>
      <c r="K354" s="18"/>
      <c r="L354" s="18" t="s">
        <v>129</v>
      </c>
      <c r="M354" s="18" t="s">
        <v>129</v>
      </c>
      <c r="N354" s="18"/>
      <c r="O354" s="18"/>
      <c r="P354" s="18" t="s">
        <v>1790</v>
      </c>
      <c r="Q354" s="18" t="s">
        <v>149</v>
      </c>
      <c r="R354" s="18" t="s">
        <v>1791</v>
      </c>
      <c r="S354" s="18" t="s">
        <v>133</v>
      </c>
      <c r="T354" s="18" t="s">
        <v>183</v>
      </c>
      <c r="U354" s="18"/>
      <c r="V354" s="19" t="s">
        <v>29</v>
      </c>
      <c r="W354" s="19"/>
      <c r="X354" s="19"/>
      <c r="Y354" s="20"/>
      <c r="Z354" s="19"/>
      <c r="AA354" s="18" t="str">
        <f aca="false">IF(OR(V354="Aprobada"),R354,IF(AND(OR(V354="Aprobada con ajuste",V354="Rechazada"),W354&lt;&gt;""),W354,""))</f>
        <v/>
      </c>
    </row>
    <row r="355" customFormat="false" ht="32.8" hidden="false" customHeight="false" outlineLevel="0" collapsed="false">
      <c r="A355" s="18" t="s">
        <v>1792</v>
      </c>
      <c r="B355" s="18" t="s">
        <v>60</v>
      </c>
      <c r="C355" s="18" t="s">
        <v>61</v>
      </c>
      <c r="D355" s="18" t="s">
        <v>1772</v>
      </c>
      <c r="E355" s="18" t="n">
        <v>3</v>
      </c>
      <c r="F355" s="18" t="s">
        <v>1793</v>
      </c>
      <c r="G355" s="18" t="s">
        <v>503</v>
      </c>
      <c r="H355" s="18" t="s">
        <v>129</v>
      </c>
      <c r="I355" s="18"/>
      <c r="J355" s="18"/>
      <c r="K355" s="18"/>
      <c r="L355" s="18" t="s">
        <v>129</v>
      </c>
      <c r="M355" s="18" t="s">
        <v>129</v>
      </c>
      <c r="N355" s="18"/>
      <c r="O355" s="18"/>
      <c r="P355" s="18" t="s">
        <v>1794</v>
      </c>
      <c r="Q355" s="18" t="s">
        <v>149</v>
      </c>
      <c r="R355" s="18" t="s">
        <v>1795</v>
      </c>
      <c r="S355" s="18" t="s">
        <v>133</v>
      </c>
      <c r="T355" s="18" t="s">
        <v>169</v>
      </c>
      <c r="U355" s="18"/>
      <c r="V355" s="19" t="s">
        <v>29</v>
      </c>
      <c r="W355" s="19"/>
      <c r="X355" s="19"/>
      <c r="Y355" s="20"/>
      <c r="Z355" s="19"/>
      <c r="AA355" s="18" t="str">
        <f aca="false">IF(OR(V355="Aprobada"),R355,IF(AND(OR(V355="Aprobada con ajuste",V355="Rechazada"),W355&lt;&gt;""),W355,""))</f>
        <v/>
      </c>
    </row>
    <row r="356" customFormat="false" ht="32.8" hidden="false" customHeight="false" outlineLevel="0" collapsed="false">
      <c r="A356" s="18" t="s">
        <v>1796</v>
      </c>
      <c r="B356" s="18" t="s">
        <v>60</v>
      </c>
      <c r="C356" s="18" t="s">
        <v>61</v>
      </c>
      <c r="D356" s="18" t="s">
        <v>1772</v>
      </c>
      <c r="E356" s="18" t="n">
        <v>3</v>
      </c>
      <c r="F356" s="18" t="s">
        <v>185</v>
      </c>
      <c r="G356" s="18" t="s">
        <v>128</v>
      </c>
      <c r="H356" s="18" t="s">
        <v>129</v>
      </c>
      <c r="I356" s="18"/>
      <c r="J356" s="18"/>
      <c r="K356" s="18"/>
      <c r="L356" s="18" t="s">
        <v>129</v>
      </c>
      <c r="M356" s="18" t="s">
        <v>129</v>
      </c>
      <c r="N356" s="18"/>
      <c r="O356" s="18"/>
      <c r="P356" s="18" t="s">
        <v>1797</v>
      </c>
      <c r="Q356" s="18" t="s">
        <v>131</v>
      </c>
      <c r="R356" s="18" t="s">
        <v>1798</v>
      </c>
      <c r="S356" s="18" t="s">
        <v>133</v>
      </c>
      <c r="T356" s="18" t="s">
        <v>1799</v>
      </c>
      <c r="U356" s="18"/>
      <c r="V356" s="19" t="s">
        <v>29</v>
      </c>
      <c r="W356" s="19"/>
      <c r="X356" s="19"/>
      <c r="Y356" s="20"/>
      <c r="Z356" s="19"/>
      <c r="AA356" s="18" t="str">
        <f aca="false">IF(OR(V356="Aprobada"),R356,IF(AND(OR(V356="Aprobada con ajuste",V356="Rechazada"),W356&lt;&gt;""),W356,""))</f>
        <v/>
      </c>
    </row>
    <row r="357" customFormat="false" ht="32.8" hidden="false" customHeight="false" outlineLevel="0" collapsed="false">
      <c r="A357" s="18" t="s">
        <v>1800</v>
      </c>
      <c r="B357" s="18" t="s">
        <v>60</v>
      </c>
      <c r="C357" s="18" t="s">
        <v>61</v>
      </c>
      <c r="D357" s="18" t="s">
        <v>1772</v>
      </c>
      <c r="E357" s="18" t="n">
        <v>3</v>
      </c>
      <c r="F357" s="18" t="s">
        <v>1801</v>
      </c>
      <c r="G357" s="18" t="s">
        <v>317</v>
      </c>
      <c r="H357" s="18" t="s">
        <v>129</v>
      </c>
      <c r="I357" s="18"/>
      <c r="J357" s="18"/>
      <c r="K357" s="18"/>
      <c r="L357" s="18" t="s">
        <v>129</v>
      </c>
      <c r="M357" s="18" t="s">
        <v>129</v>
      </c>
      <c r="N357" s="18"/>
      <c r="O357" s="18"/>
      <c r="P357" s="18" t="s">
        <v>1802</v>
      </c>
      <c r="Q357" s="18" t="s">
        <v>138</v>
      </c>
      <c r="R357" s="18" t="s">
        <v>1803</v>
      </c>
      <c r="S357" s="18" t="s">
        <v>140</v>
      </c>
      <c r="T357" s="18" t="s">
        <v>141</v>
      </c>
      <c r="U357" s="18"/>
      <c r="V357" s="19" t="s">
        <v>29</v>
      </c>
      <c r="W357" s="19"/>
      <c r="X357" s="19"/>
      <c r="Y357" s="20"/>
      <c r="Z357" s="19"/>
      <c r="AA357" s="18" t="str">
        <f aca="false">IF(OR(V357="Aprobada"),R357,IF(AND(OR(V357="Aprobada con ajuste",V357="Rechazada"),W357&lt;&gt;""),W357,""))</f>
        <v/>
      </c>
    </row>
    <row r="358" customFormat="false" ht="32.8" hidden="false" customHeight="false" outlineLevel="0" collapsed="false">
      <c r="A358" s="18" t="s">
        <v>1804</v>
      </c>
      <c r="B358" s="18" t="s">
        <v>60</v>
      </c>
      <c r="C358" s="18" t="s">
        <v>61</v>
      </c>
      <c r="D358" s="18" t="s">
        <v>1772</v>
      </c>
      <c r="E358" s="18" t="n">
        <v>3</v>
      </c>
      <c r="F358" s="18" t="s">
        <v>1805</v>
      </c>
      <c r="G358" s="18" t="s">
        <v>192</v>
      </c>
      <c r="H358" s="18" t="s">
        <v>162</v>
      </c>
      <c r="I358" s="18"/>
      <c r="J358" s="18"/>
      <c r="K358" s="18"/>
      <c r="L358" s="18" t="s">
        <v>129</v>
      </c>
      <c r="M358" s="18" t="s">
        <v>129</v>
      </c>
      <c r="N358" s="18"/>
      <c r="O358" s="18"/>
      <c r="P358" s="18" t="s">
        <v>1806</v>
      </c>
      <c r="Q358" s="18" t="s">
        <v>149</v>
      </c>
      <c r="R358" s="18" t="s">
        <v>1807</v>
      </c>
      <c r="S358" s="18" t="s">
        <v>140</v>
      </c>
      <c r="T358" s="18" t="s">
        <v>1777</v>
      </c>
      <c r="U358" s="18" t="s">
        <v>1808</v>
      </c>
      <c r="V358" s="19" t="s">
        <v>29</v>
      </c>
      <c r="W358" s="19"/>
      <c r="X358" s="19"/>
      <c r="Y358" s="20"/>
      <c r="Z358" s="19"/>
      <c r="AA358" s="18" t="str">
        <f aca="false">IF(OR(V358="Aprobada"),R358,IF(AND(OR(V358="Aprobada con ajuste",V358="Rechazada"),W358&lt;&gt;""),W358,""))</f>
        <v/>
      </c>
    </row>
    <row r="359" customFormat="false" ht="32.8" hidden="false" customHeight="false" outlineLevel="0" collapsed="false">
      <c r="A359" s="18" t="s">
        <v>1809</v>
      </c>
      <c r="B359" s="18" t="s">
        <v>60</v>
      </c>
      <c r="C359" s="18" t="s">
        <v>61</v>
      </c>
      <c r="D359" s="18" t="s">
        <v>1772</v>
      </c>
      <c r="E359" s="18" t="n">
        <v>3</v>
      </c>
      <c r="F359" s="18" t="s">
        <v>1810</v>
      </c>
      <c r="G359" s="18" t="s">
        <v>128</v>
      </c>
      <c r="H359" s="18" t="s">
        <v>162</v>
      </c>
      <c r="I359" s="18"/>
      <c r="J359" s="18"/>
      <c r="K359" s="18"/>
      <c r="L359" s="18" t="s">
        <v>129</v>
      </c>
      <c r="M359" s="18" t="s">
        <v>129</v>
      </c>
      <c r="N359" s="18"/>
      <c r="O359" s="18" t="s">
        <v>1811</v>
      </c>
      <c r="P359" s="18" t="s">
        <v>1812</v>
      </c>
      <c r="Q359" s="18" t="s">
        <v>149</v>
      </c>
      <c r="R359" s="18" t="s">
        <v>1813</v>
      </c>
      <c r="S359" s="18" t="s">
        <v>140</v>
      </c>
      <c r="T359" s="18" t="s">
        <v>1814</v>
      </c>
      <c r="U359" s="18" t="s">
        <v>1815</v>
      </c>
      <c r="V359" s="19" t="s">
        <v>29</v>
      </c>
      <c r="W359" s="19"/>
      <c r="X359" s="19"/>
      <c r="Y359" s="20"/>
      <c r="Z359" s="19"/>
      <c r="AA359" s="18" t="str">
        <f aca="false">IF(OR(V359="Aprobada"),R359,IF(AND(OR(V359="Aprobada con ajuste",V359="Rechazada"),W359&lt;&gt;""),W359,""))</f>
        <v/>
      </c>
    </row>
    <row r="360" customFormat="false" ht="32.8" hidden="false" customHeight="false" outlineLevel="0" collapsed="false">
      <c r="A360" s="18" t="s">
        <v>1816</v>
      </c>
      <c r="B360" s="18" t="s">
        <v>60</v>
      </c>
      <c r="C360" s="18" t="s">
        <v>61</v>
      </c>
      <c r="D360" s="18" t="s">
        <v>1772</v>
      </c>
      <c r="E360" s="18" t="n">
        <v>3</v>
      </c>
      <c r="F360" s="18" t="s">
        <v>1817</v>
      </c>
      <c r="G360" s="18" t="s">
        <v>584</v>
      </c>
      <c r="H360" s="18" t="s">
        <v>162</v>
      </c>
      <c r="I360" s="18"/>
      <c r="J360" s="18"/>
      <c r="K360" s="18"/>
      <c r="L360" s="18" t="s">
        <v>129</v>
      </c>
      <c r="M360" s="18" t="s">
        <v>129</v>
      </c>
      <c r="N360" s="18"/>
      <c r="O360" s="18"/>
      <c r="P360" s="18" t="s">
        <v>1818</v>
      </c>
      <c r="Q360" s="18" t="s">
        <v>149</v>
      </c>
      <c r="R360" s="18" t="s">
        <v>1819</v>
      </c>
      <c r="S360" s="18" t="s">
        <v>133</v>
      </c>
      <c r="T360" s="18" t="s">
        <v>183</v>
      </c>
      <c r="U360" s="18"/>
      <c r="V360" s="19" t="s">
        <v>29</v>
      </c>
      <c r="W360" s="19"/>
      <c r="X360" s="19"/>
      <c r="Y360" s="20"/>
      <c r="Z360" s="19"/>
      <c r="AA360" s="18" t="str">
        <f aca="false">IF(OR(V360="Aprobada"),R360,IF(AND(OR(V360="Aprobada con ajuste",V360="Rechazada"),W360&lt;&gt;""),W360,""))</f>
        <v/>
      </c>
    </row>
    <row r="361" customFormat="false" ht="22.35" hidden="false" customHeight="false" outlineLevel="0" collapsed="false">
      <c r="A361" s="18" t="s">
        <v>1820</v>
      </c>
      <c r="B361" s="18" t="s">
        <v>60</v>
      </c>
      <c r="C361" s="18" t="s">
        <v>61</v>
      </c>
      <c r="D361" s="18" t="s">
        <v>1821</v>
      </c>
      <c r="E361" s="18" t="n">
        <v>278</v>
      </c>
      <c r="F361" s="18" t="s">
        <v>185</v>
      </c>
      <c r="G361" s="18" t="s">
        <v>128</v>
      </c>
      <c r="H361" s="18" t="s">
        <v>129</v>
      </c>
      <c r="I361" s="18"/>
      <c r="J361" s="18"/>
      <c r="K361" s="18"/>
      <c r="L361" s="18" t="s">
        <v>129</v>
      </c>
      <c r="M361" s="18" t="s">
        <v>129</v>
      </c>
      <c r="N361" s="18"/>
      <c r="O361" s="18"/>
      <c r="P361" s="18"/>
      <c r="Q361" s="18" t="s">
        <v>138</v>
      </c>
      <c r="R361" s="18" t="s">
        <v>1822</v>
      </c>
      <c r="S361" s="18" t="s">
        <v>140</v>
      </c>
      <c r="T361" s="18" t="s">
        <v>141</v>
      </c>
      <c r="U361" s="18"/>
      <c r="V361" s="19" t="s">
        <v>29</v>
      </c>
      <c r="W361" s="19"/>
      <c r="X361" s="19"/>
      <c r="Y361" s="20"/>
      <c r="Z361" s="19"/>
      <c r="AA361" s="18" t="str">
        <f aca="false">IF(OR(V361="Aprobada"),R361,IF(AND(OR(V361="Aprobada con ajuste",V361="Rechazada"),W361&lt;&gt;""),W361,""))</f>
        <v/>
      </c>
    </row>
    <row r="362" customFormat="false" ht="22.35" hidden="false" customHeight="false" outlineLevel="0" collapsed="false">
      <c r="A362" s="18" t="s">
        <v>1823</v>
      </c>
      <c r="B362" s="18" t="s">
        <v>60</v>
      </c>
      <c r="C362" s="18" t="s">
        <v>61</v>
      </c>
      <c r="D362" s="18" t="s">
        <v>1821</v>
      </c>
      <c r="E362" s="18" t="n">
        <v>278</v>
      </c>
      <c r="F362" s="18" t="s">
        <v>1824</v>
      </c>
      <c r="G362" s="18" t="s">
        <v>503</v>
      </c>
      <c r="H362" s="18" t="s">
        <v>129</v>
      </c>
      <c r="I362" s="18"/>
      <c r="J362" s="18"/>
      <c r="K362" s="18"/>
      <c r="L362" s="18" t="s">
        <v>129</v>
      </c>
      <c r="M362" s="18" t="s">
        <v>129</v>
      </c>
      <c r="N362" s="18"/>
      <c r="O362" s="18"/>
      <c r="P362" s="18"/>
      <c r="Q362" s="18" t="s">
        <v>149</v>
      </c>
      <c r="R362" s="18" t="s">
        <v>1825</v>
      </c>
      <c r="S362" s="18" t="s">
        <v>133</v>
      </c>
      <c r="T362" s="18" t="s">
        <v>169</v>
      </c>
      <c r="U362" s="18"/>
      <c r="V362" s="19" t="s">
        <v>29</v>
      </c>
      <c r="W362" s="19"/>
      <c r="X362" s="19"/>
      <c r="Y362" s="20"/>
      <c r="Z362" s="19"/>
      <c r="AA362" s="18" t="str">
        <f aca="false">IF(OR(V362="Aprobada"),R362,IF(AND(OR(V362="Aprobada con ajuste",V362="Rechazada"),W362&lt;&gt;""),W362,""))</f>
        <v/>
      </c>
    </row>
    <row r="363" customFormat="false" ht="22.35" hidden="false" customHeight="false" outlineLevel="0" collapsed="false">
      <c r="A363" s="18" t="s">
        <v>1826</v>
      </c>
      <c r="B363" s="18" t="s">
        <v>60</v>
      </c>
      <c r="C363" s="18" t="s">
        <v>61</v>
      </c>
      <c r="D363" s="18" t="s">
        <v>1821</v>
      </c>
      <c r="E363" s="18" t="n">
        <v>278</v>
      </c>
      <c r="F363" s="18" t="s">
        <v>1827</v>
      </c>
      <c r="G363" s="18" t="s">
        <v>503</v>
      </c>
      <c r="H363" s="18" t="s">
        <v>129</v>
      </c>
      <c r="I363" s="18"/>
      <c r="J363" s="18"/>
      <c r="K363" s="18"/>
      <c r="L363" s="18" t="s">
        <v>129</v>
      </c>
      <c r="M363" s="18" t="s">
        <v>129</v>
      </c>
      <c r="N363" s="18"/>
      <c r="O363" s="18"/>
      <c r="P363" s="18"/>
      <c r="Q363" s="18" t="s">
        <v>149</v>
      </c>
      <c r="R363" s="18" t="s">
        <v>1828</v>
      </c>
      <c r="S363" s="18" t="s">
        <v>133</v>
      </c>
      <c r="T363" s="18" t="s">
        <v>169</v>
      </c>
      <c r="U363" s="18"/>
      <c r="V363" s="19" t="s">
        <v>29</v>
      </c>
      <c r="W363" s="19"/>
      <c r="X363" s="19"/>
      <c r="Y363" s="20"/>
      <c r="Z363" s="19"/>
      <c r="AA363" s="18" t="str">
        <f aca="false">IF(OR(V363="Aprobada"),R363,IF(AND(OR(V363="Aprobada con ajuste",V363="Rechazada"),W363&lt;&gt;""),W363,""))</f>
        <v/>
      </c>
    </row>
    <row r="364" customFormat="false" ht="22.35" hidden="false" customHeight="false" outlineLevel="0" collapsed="false">
      <c r="A364" s="18" t="s">
        <v>1829</v>
      </c>
      <c r="B364" s="18" t="s">
        <v>60</v>
      </c>
      <c r="C364" s="18" t="s">
        <v>61</v>
      </c>
      <c r="D364" s="18" t="s">
        <v>1821</v>
      </c>
      <c r="E364" s="18" t="n">
        <v>278</v>
      </c>
      <c r="F364" s="18" t="s">
        <v>1830</v>
      </c>
      <c r="G364" s="18" t="s">
        <v>1730</v>
      </c>
      <c r="H364" s="18" t="s">
        <v>129</v>
      </c>
      <c r="I364" s="18"/>
      <c r="J364" s="18"/>
      <c r="K364" s="18"/>
      <c r="L364" s="18" t="s">
        <v>129</v>
      </c>
      <c r="M364" s="18" t="s">
        <v>129</v>
      </c>
      <c r="N364" s="18"/>
      <c r="O364" s="18"/>
      <c r="P364" s="18"/>
      <c r="Q364" s="18" t="s">
        <v>149</v>
      </c>
      <c r="R364" s="18" t="s">
        <v>1831</v>
      </c>
      <c r="S364" s="18" t="s">
        <v>140</v>
      </c>
      <c r="T364" s="18" t="s">
        <v>169</v>
      </c>
      <c r="U364" s="18" t="s">
        <v>1832</v>
      </c>
      <c r="V364" s="19" t="s">
        <v>29</v>
      </c>
      <c r="W364" s="19"/>
      <c r="X364" s="19"/>
      <c r="Y364" s="20"/>
      <c r="Z364" s="19"/>
      <c r="AA364" s="18" t="str">
        <f aca="false">IF(OR(V364="Aprobada"),R364,IF(AND(OR(V364="Aprobada con ajuste",V364="Rechazada"),W364&lt;&gt;""),W364,""))</f>
        <v/>
      </c>
    </row>
    <row r="365" customFormat="false" ht="22.35" hidden="false" customHeight="false" outlineLevel="0" collapsed="false">
      <c r="A365" s="18" t="s">
        <v>1833</v>
      </c>
      <c r="B365" s="18" t="s">
        <v>60</v>
      </c>
      <c r="C365" s="18" t="s">
        <v>61</v>
      </c>
      <c r="D365" s="18" t="s">
        <v>1834</v>
      </c>
      <c r="E365" s="18" t="n">
        <v>0</v>
      </c>
      <c r="F365" s="18" t="s">
        <v>1835</v>
      </c>
      <c r="G365" s="18" t="s">
        <v>128</v>
      </c>
      <c r="H365" s="18" t="s">
        <v>129</v>
      </c>
      <c r="I365" s="18"/>
      <c r="J365" s="18"/>
      <c r="K365" s="18"/>
      <c r="L365" s="18" t="s">
        <v>129</v>
      </c>
      <c r="M365" s="18" t="s">
        <v>129</v>
      </c>
      <c r="N365" s="18"/>
      <c r="O365" s="18" t="s">
        <v>1836</v>
      </c>
      <c r="P365" s="18"/>
      <c r="Q365" s="18" t="s">
        <v>149</v>
      </c>
      <c r="R365" s="18" t="s">
        <v>1837</v>
      </c>
      <c r="S365" s="18" t="s">
        <v>133</v>
      </c>
      <c r="T365" s="18" t="s">
        <v>1838</v>
      </c>
      <c r="U365" s="18"/>
      <c r="V365" s="19" t="s">
        <v>29</v>
      </c>
      <c r="W365" s="19"/>
      <c r="X365" s="19"/>
      <c r="Y365" s="20"/>
      <c r="Z365" s="19"/>
      <c r="AA365" s="18" t="str">
        <f aca="false">IF(OR(V365="Aprobada"),R365,IF(AND(OR(V365="Aprobada con ajuste",V365="Rechazada"),W365&lt;&gt;""),W365,""))</f>
        <v/>
      </c>
    </row>
    <row r="366" customFormat="false" ht="22.35" hidden="false" customHeight="false" outlineLevel="0" collapsed="false">
      <c r="A366" s="18" t="s">
        <v>1839</v>
      </c>
      <c r="B366" s="18" t="s">
        <v>60</v>
      </c>
      <c r="C366" s="18" t="s">
        <v>61</v>
      </c>
      <c r="D366" s="18" t="s">
        <v>1834</v>
      </c>
      <c r="E366" s="18" t="n">
        <v>0</v>
      </c>
      <c r="F366" s="18" t="s">
        <v>127</v>
      </c>
      <c r="G366" s="18" t="s">
        <v>128</v>
      </c>
      <c r="H366" s="18" t="s">
        <v>129</v>
      </c>
      <c r="I366" s="18"/>
      <c r="J366" s="18"/>
      <c r="K366" s="18"/>
      <c r="L366" s="18" t="s">
        <v>129</v>
      </c>
      <c r="M366" s="18" t="s">
        <v>129</v>
      </c>
      <c r="N366" s="18"/>
      <c r="O366" s="18"/>
      <c r="P366" s="18"/>
      <c r="Q366" s="18" t="s">
        <v>138</v>
      </c>
      <c r="R366" s="18" t="s">
        <v>1840</v>
      </c>
      <c r="S366" s="18" t="s">
        <v>140</v>
      </c>
      <c r="T366" s="18" t="s">
        <v>141</v>
      </c>
      <c r="U366" s="18"/>
      <c r="V366" s="19" t="s">
        <v>29</v>
      </c>
      <c r="W366" s="19"/>
      <c r="X366" s="19"/>
      <c r="Y366" s="20"/>
      <c r="Z366" s="19"/>
      <c r="AA366" s="18" t="str">
        <f aca="false">IF(OR(V366="Aprobada"),R366,IF(AND(OR(V366="Aprobada con ajuste",V366="Rechazada"),W366&lt;&gt;""),W366,""))</f>
        <v/>
      </c>
    </row>
    <row r="367" customFormat="false" ht="22.35" hidden="false" customHeight="false" outlineLevel="0" collapsed="false">
      <c r="A367" s="18" t="s">
        <v>1841</v>
      </c>
      <c r="B367" s="18" t="s">
        <v>60</v>
      </c>
      <c r="C367" s="18" t="s">
        <v>61</v>
      </c>
      <c r="D367" s="18" t="s">
        <v>1834</v>
      </c>
      <c r="E367" s="18" t="n">
        <v>0</v>
      </c>
      <c r="F367" s="18" t="s">
        <v>185</v>
      </c>
      <c r="G367" s="18" t="s">
        <v>128</v>
      </c>
      <c r="H367" s="18" t="s">
        <v>129</v>
      </c>
      <c r="I367" s="18"/>
      <c r="J367" s="18"/>
      <c r="K367" s="18"/>
      <c r="L367" s="18" t="s">
        <v>129</v>
      </c>
      <c r="M367" s="18" t="s">
        <v>129</v>
      </c>
      <c r="N367" s="18"/>
      <c r="O367" s="18" t="s">
        <v>1842</v>
      </c>
      <c r="P367" s="18"/>
      <c r="Q367" s="18" t="s">
        <v>138</v>
      </c>
      <c r="R367" s="18" t="s">
        <v>1843</v>
      </c>
      <c r="S367" s="18" t="s">
        <v>140</v>
      </c>
      <c r="T367" s="18" t="s">
        <v>141</v>
      </c>
      <c r="U367" s="18"/>
      <c r="V367" s="19" t="s">
        <v>29</v>
      </c>
      <c r="W367" s="19"/>
      <c r="X367" s="19"/>
      <c r="Y367" s="20"/>
      <c r="Z367" s="19"/>
      <c r="AA367" s="18" t="str">
        <f aca="false">IF(OR(V367="Aprobada"),R367,IF(AND(OR(V367="Aprobada con ajuste",V367="Rechazada"),W367&lt;&gt;""),W367,""))</f>
        <v/>
      </c>
    </row>
    <row r="368" customFormat="false" ht="22.35" hidden="false" customHeight="false" outlineLevel="0" collapsed="false">
      <c r="A368" s="18" t="s">
        <v>1844</v>
      </c>
      <c r="B368" s="18" t="s">
        <v>60</v>
      </c>
      <c r="C368" s="18" t="s">
        <v>61</v>
      </c>
      <c r="D368" s="18" t="s">
        <v>1834</v>
      </c>
      <c r="E368" s="18" t="n">
        <v>0</v>
      </c>
      <c r="F368" s="18" t="s">
        <v>1845</v>
      </c>
      <c r="G368" s="18" t="s">
        <v>128</v>
      </c>
      <c r="H368" s="18" t="s">
        <v>162</v>
      </c>
      <c r="I368" s="18"/>
      <c r="J368" s="18"/>
      <c r="K368" s="18"/>
      <c r="L368" s="18" t="s">
        <v>129</v>
      </c>
      <c r="M368" s="18" t="s">
        <v>129</v>
      </c>
      <c r="N368" s="18"/>
      <c r="O368" s="18" t="s">
        <v>1846</v>
      </c>
      <c r="P368" s="18"/>
      <c r="Q368" s="18" t="s">
        <v>149</v>
      </c>
      <c r="R368" s="18" t="s">
        <v>1847</v>
      </c>
      <c r="S368" s="18" t="s">
        <v>140</v>
      </c>
      <c r="T368" s="18" t="s">
        <v>183</v>
      </c>
      <c r="U368" s="18" t="s">
        <v>1848</v>
      </c>
      <c r="V368" s="19" t="s">
        <v>29</v>
      </c>
      <c r="W368" s="19"/>
      <c r="X368" s="19"/>
      <c r="Y368" s="20"/>
      <c r="Z368" s="19"/>
      <c r="AA368" s="18" t="str">
        <f aca="false">IF(OR(V368="Aprobada"),R368,IF(AND(OR(V368="Aprobada con ajuste",V368="Rechazada"),W368&lt;&gt;""),W368,""))</f>
        <v/>
      </c>
    </row>
    <row r="369" customFormat="false" ht="22.35" hidden="false" customHeight="false" outlineLevel="0" collapsed="false">
      <c r="A369" s="18" t="s">
        <v>1849</v>
      </c>
      <c r="B369" s="18" t="s">
        <v>60</v>
      </c>
      <c r="C369" s="18" t="s">
        <v>61</v>
      </c>
      <c r="D369" s="18" t="s">
        <v>1834</v>
      </c>
      <c r="E369" s="18" t="n">
        <v>0</v>
      </c>
      <c r="F369" s="18" t="s">
        <v>1850</v>
      </c>
      <c r="G369" s="18" t="s">
        <v>1730</v>
      </c>
      <c r="H369" s="18" t="s">
        <v>162</v>
      </c>
      <c r="I369" s="18"/>
      <c r="J369" s="18"/>
      <c r="K369" s="18"/>
      <c r="L369" s="18" t="s">
        <v>129</v>
      </c>
      <c r="M369" s="18" t="s">
        <v>129</v>
      </c>
      <c r="N369" s="18"/>
      <c r="O369" s="18"/>
      <c r="P369" s="18"/>
      <c r="Q369" s="18" t="s">
        <v>149</v>
      </c>
      <c r="R369" s="18" t="s">
        <v>1851</v>
      </c>
      <c r="S369" s="18" t="s">
        <v>133</v>
      </c>
      <c r="T369" s="18" t="s">
        <v>183</v>
      </c>
      <c r="U369" s="18"/>
      <c r="V369" s="19" t="s">
        <v>29</v>
      </c>
      <c r="W369" s="19"/>
      <c r="X369" s="19"/>
      <c r="Y369" s="20"/>
      <c r="Z369" s="19"/>
      <c r="AA369" s="18" t="str">
        <f aca="false">IF(OR(V369="Aprobada"),R369,IF(AND(OR(V369="Aprobada con ajuste",V369="Rechazada"),W369&lt;&gt;""),W369,""))</f>
        <v/>
      </c>
    </row>
    <row r="370" customFormat="false" ht="32.8" hidden="false" customHeight="false" outlineLevel="0" collapsed="false">
      <c r="A370" s="18" t="s">
        <v>1852</v>
      </c>
      <c r="B370" s="18" t="s">
        <v>60</v>
      </c>
      <c r="C370" s="18" t="s">
        <v>61</v>
      </c>
      <c r="D370" s="18" t="s">
        <v>1853</v>
      </c>
      <c r="E370" s="18" t="n">
        <v>290</v>
      </c>
      <c r="F370" s="18" t="s">
        <v>611</v>
      </c>
      <c r="G370" s="18" t="s">
        <v>205</v>
      </c>
      <c r="H370" s="18" t="s">
        <v>129</v>
      </c>
      <c r="I370" s="18" t="s">
        <v>146</v>
      </c>
      <c r="J370" s="18"/>
      <c r="K370" s="18"/>
      <c r="L370" s="18" t="s">
        <v>129</v>
      </c>
      <c r="M370" s="18" t="s">
        <v>129</v>
      </c>
      <c r="N370" s="18"/>
      <c r="O370" s="18" t="s">
        <v>1854</v>
      </c>
      <c r="P370" s="18" t="s">
        <v>1855</v>
      </c>
      <c r="Q370" s="18" t="s">
        <v>138</v>
      </c>
      <c r="R370" s="18" t="s">
        <v>1856</v>
      </c>
      <c r="S370" s="18" t="s">
        <v>140</v>
      </c>
      <c r="T370" s="18" t="s">
        <v>141</v>
      </c>
      <c r="U370" s="18"/>
      <c r="V370" s="19" t="s">
        <v>29</v>
      </c>
      <c r="W370" s="19"/>
      <c r="X370" s="19"/>
      <c r="Y370" s="20"/>
      <c r="Z370" s="19"/>
      <c r="AA370" s="18" t="str">
        <f aca="false">IF(OR(V370="Aprobada"),R370,IF(AND(OR(V370="Aprobada con ajuste",V370="Rechazada"),W370&lt;&gt;""),W370,""))</f>
        <v/>
      </c>
    </row>
    <row r="371" customFormat="false" ht="32.8" hidden="false" customHeight="false" outlineLevel="0" collapsed="false">
      <c r="A371" s="18" t="s">
        <v>1857</v>
      </c>
      <c r="B371" s="18" t="s">
        <v>60</v>
      </c>
      <c r="C371" s="18" t="s">
        <v>61</v>
      </c>
      <c r="D371" s="18" t="s">
        <v>1853</v>
      </c>
      <c r="E371" s="18" t="n">
        <v>290</v>
      </c>
      <c r="F371" s="18" t="s">
        <v>275</v>
      </c>
      <c r="G371" s="18" t="s">
        <v>486</v>
      </c>
      <c r="H371" s="18" t="s">
        <v>129</v>
      </c>
      <c r="I371" s="18"/>
      <c r="J371" s="18"/>
      <c r="K371" s="18"/>
      <c r="L371" s="18" t="s">
        <v>129</v>
      </c>
      <c r="M371" s="18" t="s">
        <v>129</v>
      </c>
      <c r="N371" s="18"/>
      <c r="O371" s="18"/>
      <c r="P371" s="18" t="s">
        <v>1858</v>
      </c>
      <c r="Q371" s="18" t="s">
        <v>138</v>
      </c>
      <c r="R371" s="18" t="s">
        <v>1859</v>
      </c>
      <c r="S371" s="18" t="s">
        <v>140</v>
      </c>
      <c r="T371" s="18" t="s">
        <v>141</v>
      </c>
      <c r="U371" s="18"/>
      <c r="V371" s="19" t="s">
        <v>29</v>
      </c>
      <c r="W371" s="19"/>
      <c r="X371" s="19"/>
      <c r="Y371" s="20"/>
      <c r="Z371" s="19"/>
      <c r="AA371" s="18" t="str">
        <f aca="false">IF(OR(V371="Aprobada"),R371,IF(AND(OR(V371="Aprobada con ajuste",V371="Rechazada"),W371&lt;&gt;""),W371,""))</f>
        <v/>
      </c>
    </row>
    <row r="372" customFormat="false" ht="32.8" hidden="false" customHeight="false" outlineLevel="0" collapsed="false">
      <c r="A372" s="18" t="s">
        <v>1860</v>
      </c>
      <c r="B372" s="18" t="s">
        <v>60</v>
      </c>
      <c r="C372" s="18" t="s">
        <v>61</v>
      </c>
      <c r="D372" s="18" t="s">
        <v>1853</v>
      </c>
      <c r="E372" s="18" t="n">
        <v>290</v>
      </c>
      <c r="F372" s="18" t="s">
        <v>1861</v>
      </c>
      <c r="G372" s="18" t="s">
        <v>486</v>
      </c>
      <c r="H372" s="18" t="s">
        <v>129</v>
      </c>
      <c r="I372" s="18"/>
      <c r="J372" s="18"/>
      <c r="K372" s="18"/>
      <c r="L372" s="18" t="s">
        <v>129</v>
      </c>
      <c r="M372" s="18" t="s">
        <v>129</v>
      </c>
      <c r="N372" s="18"/>
      <c r="O372" s="18" t="s">
        <v>1862</v>
      </c>
      <c r="P372" s="18" t="s">
        <v>1863</v>
      </c>
      <c r="Q372" s="18" t="s">
        <v>149</v>
      </c>
      <c r="R372" s="18" t="s">
        <v>1864</v>
      </c>
      <c r="S372" s="18" t="s">
        <v>140</v>
      </c>
      <c r="T372" s="18" t="s">
        <v>1865</v>
      </c>
      <c r="U372" s="18" t="s">
        <v>1866</v>
      </c>
      <c r="V372" s="19" t="s">
        <v>29</v>
      </c>
      <c r="W372" s="19"/>
      <c r="X372" s="19"/>
      <c r="Y372" s="20"/>
      <c r="Z372" s="19"/>
      <c r="AA372" s="18" t="str">
        <f aca="false">IF(OR(V372="Aprobada"),R372,IF(AND(OR(V372="Aprobada con ajuste",V372="Rechazada"),W372&lt;&gt;""),W372,""))</f>
        <v/>
      </c>
    </row>
    <row r="373" customFormat="false" ht="32.8" hidden="false" customHeight="false" outlineLevel="0" collapsed="false">
      <c r="A373" s="18" t="s">
        <v>1867</v>
      </c>
      <c r="B373" s="18" t="s">
        <v>60</v>
      </c>
      <c r="C373" s="18" t="s">
        <v>61</v>
      </c>
      <c r="D373" s="18" t="s">
        <v>1853</v>
      </c>
      <c r="E373" s="18" t="n">
        <v>290</v>
      </c>
      <c r="F373" s="18" t="s">
        <v>127</v>
      </c>
      <c r="G373" s="18" t="s">
        <v>205</v>
      </c>
      <c r="H373" s="18" t="s">
        <v>129</v>
      </c>
      <c r="I373" s="18" t="s">
        <v>298</v>
      </c>
      <c r="J373" s="18" t="s">
        <v>1868</v>
      </c>
      <c r="K373" s="18"/>
      <c r="L373" s="18" t="s">
        <v>162</v>
      </c>
      <c r="M373" s="18" t="s">
        <v>129</v>
      </c>
      <c r="N373" s="18"/>
      <c r="O373" s="18"/>
      <c r="P373" s="18" t="s">
        <v>1869</v>
      </c>
      <c r="Q373" s="18" t="s">
        <v>131</v>
      </c>
      <c r="R373" s="18" t="s">
        <v>1870</v>
      </c>
      <c r="S373" s="18" t="s">
        <v>133</v>
      </c>
      <c r="T373" s="18" t="s">
        <v>1871</v>
      </c>
      <c r="U373" s="18"/>
      <c r="V373" s="19" t="s">
        <v>29</v>
      </c>
      <c r="W373" s="19"/>
      <c r="X373" s="19"/>
      <c r="Y373" s="20"/>
      <c r="Z373" s="19"/>
      <c r="AA373" s="18" t="str">
        <f aca="false">IF(OR(V373="Aprobada"),R373,IF(AND(OR(V373="Aprobada con ajuste",V373="Rechazada"),W373&lt;&gt;""),W373,""))</f>
        <v/>
      </c>
    </row>
    <row r="374" customFormat="false" ht="32.8" hidden="false" customHeight="false" outlineLevel="0" collapsed="false">
      <c r="A374" s="18" t="s">
        <v>1872</v>
      </c>
      <c r="B374" s="18" t="s">
        <v>60</v>
      </c>
      <c r="C374" s="18" t="s">
        <v>61</v>
      </c>
      <c r="D374" s="18" t="s">
        <v>1853</v>
      </c>
      <c r="E374" s="18" t="n">
        <v>290</v>
      </c>
      <c r="F374" s="18" t="s">
        <v>1873</v>
      </c>
      <c r="G374" s="18" t="s">
        <v>1874</v>
      </c>
      <c r="H374" s="18" t="s">
        <v>162</v>
      </c>
      <c r="I374" s="18"/>
      <c r="J374" s="18"/>
      <c r="K374" s="18"/>
      <c r="L374" s="18" t="s">
        <v>129</v>
      </c>
      <c r="M374" s="18" t="s">
        <v>129</v>
      </c>
      <c r="N374" s="18"/>
      <c r="O374" s="18"/>
      <c r="P374" s="18" t="s">
        <v>1875</v>
      </c>
      <c r="Q374" s="18" t="s">
        <v>149</v>
      </c>
      <c r="R374" s="18" t="s">
        <v>1876</v>
      </c>
      <c r="S374" s="18" t="s">
        <v>140</v>
      </c>
      <c r="T374" s="18" t="s">
        <v>1877</v>
      </c>
      <c r="U374" s="18" t="s">
        <v>1878</v>
      </c>
      <c r="V374" s="19" t="s">
        <v>29</v>
      </c>
      <c r="W374" s="19"/>
      <c r="X374" s="19"/>
      <c r="Y374" s="20"/>
      <c r="Z374" s="19"/>
      <c r="AA374" s="18" t="str">
        <f aca="false">IF(OR(V374="Aprobada"),R374,IF(AND(OR(V374="Aprobada con ajuste",V374="Rechazada"),W374&lt;&gt;""),W374,""))</f>
        <v/>
      </c>
    </row>
    <row r="375" customFormat="false" ht="32.8" hidden="false" customHeight="false" outlineLevel="0" collapsed="false">
      <c r="A375" s="18" t="s">
        <v>1879</v>
      </c>
      <c r="B375" s="18" t="s">
        <v>60</v>
      </c>
      <c r="C375" s="18" t="s">
        <v>61</v>
      </c>
      <c r="D375" s="18" t="s">
        <v>1853</v>
      </c>
      <c r="E375" s="18" t="n">
        <v>290</v>
      </c>
      <c r="F375" s="18" t="s">
        <v>1880</v>
      </c>
      <c r="G375" s="18" t="s">
        <v>1874</v>
      </c>
      <c r="H375" s="18" t="s">
        <v>162</v>
      </c>
      <c r="I375" s="18"/>
      <c r="J375" s="18"/>
      <c r="K375" s="18"/>
      <c r="L375" s="18" t="s">
        <v>129</v>
      </c>
      <c r="M375" s="18" t="s">
        <v>129</v>
      </c>
      <c r="N375" s="18"/>
      <c r="O375" s="18"/>
      <c r="P375" s="18" t="s">
        <v>1881</v>
      </c>
      <c r="Q375" s="18" t="s">
        <v>149</v>
      </c>
      <c r="R375" s="18" t="s">
        <v>1882</v>
      </c>
      <c r="S375" s="18" t="s">
        <v>133</v>
      </c>
      <c r="T375" s="18" t="s">
        <v>1883</v>
      </c>
      <c r="U375" s="18"/>
      <c r="V375" s="19" t="s">
        <v>29</v>
      </c>
      <c r="W375" s="19"/>
      <c r="X375" s="19"/>
      <c r="Y375" s="20"/>
      <c r="Z375" s="19"/>
      <c r="AA375" s="18" t="str">
        <f aca="false">IF(OR(V375="Aprobada"),R375,IF(AND(OR(V375="Aprobada con ajuste",V375="Rechazada"),W375&lt;&gt;""),W375,""))</f>
        <v/>
      </c>
    </row>
    <row r="376" customFormat="false" ht="32.8" hidden="false" customHeight="false" outlineLevel="0" collapsed="false">
      <c r="A376" s="18" t="s">
        <v>1884</v>
      </c>
      <c r="B376" s="18" t="s">
        <v>60</v>
      </c>
      <c r="C376" s="18" t="s">
        <v>61</v>
      </c>
      <c r="D376" s="18" t="s">
        <v>1853</v>
      </c>
      <c r="E376" s="18" t="n">
        <v>290</v>
      </c>
      <c r="F376" s="18" t="s">
        <v>172</v>
      </c>
      <c r="G376" s="18" t="s">
        <v>173</v>
      </c>
      <c r="H376" s="18" t="s">
        <v>129</v>
      </c>
      <c r="I376" s="18"/>
      <c r="J376" s="18"/>
      <c r="K376" s="18"/>
      <c r="L376" s="18" t="s">
        <v>129</v>
      </c>
      <c r="M376" s="18" t="s">
        <v>129</v>
      </c>
      <c r="N376" s="18"/>
      <c r="O376" s="18" t="s">
        <v>1885</v>
      </c>
      <c r="P376" s="18" t="s">
        <v>1886</v>
      </c>
      <c r="Q376" s="18" t="s">
        <v>138</v>
      </c>
      <c r="R376" s="18" t="s">
        <v>176</v>
      </c>
      <c r="S376" s="18" t="s">
        <v>140</v>
      </c>
      <c r="T376" s="18" t="s">
        <v>141</v>
      </c>
      <c r="U376" s="18"/>
      <c r="V376" s="19" t="s">
        <v>29</v>
      </c>
      <c r="W376" s="19"/>
      <c r="X376" s="19"/>
      <c r="Y376" s="20"/>
      <c r="Z376" s="19"/>
      <c r="AA376" s="18" t="str">
        <f aca="false">IF(OR(V376="Aprobada"),R376,IF(AND(OR(V376="Aprobada con ajuste",V376="Rechazada"),W376&lt;&gt;""),W376,""))</f>
        <v/>
      </c>
    </row>
    <row r="377" customFormat="false" ht="32.8" hidden="false" customHeight="false" outlineLevel="0" collapsed="false">
      <c r="A377" s="18" t="s">
        <v>1887</v>
      </c>
      <c r="B377" s="18" t="s">
        <v>60</v>
      </c>
      <c r="C377" s="18" t="s">
        <v>61</v>
      </c>
      <c r="D377" s="18" t="s">
        <v>1853</v>
      </c>
      <c r="E377" s="18" t="n">
        <v>290</v>
      </c>
      <c r="F377" s="18" t="s">
        <v>1695</v>
      </c>
      <c r="G377" s="18" t="s">
        <v>317</v>
      </c>
      <c r="H377" s="18" t="s">
        <v>162</v>
      </c>
      <c r="I377" s="18"/>
      <c r="J377" s="18"/>
      <c r="K377" s="18"/>
      <c r="L377" s="18" t="s">
        <v>129</v>
      </c>
      <c r="M377" s="18" t="s">
        <v>129</v>
      </c>
      <c r="N377" s="18"/>
      <c r="O377" s="18"/>
      <c r="P377" s="18" t="s">
        <v>1888</v>
      </c>
      <c r="Q377" s="18" t="s">
        <v>138</v>
      </c>
      <c r="R377" s="18" t="s">
        <v>1697</v>
      </c>
      <c r="S377" s="18" t="s">
        <v>140</v>
      </c>
      <c r="T377" s="18" t="s">
        <v>141</v>
      </c>
      <c r="U377" s="18"/>
      <c r="V377" s="19" t="s">
        <v>29</v>
      </c>
      <c r="W377" s="19"/>
      <c r="X377" s="19"/>
      <c r="Y377" s="20"/>
      <c r="Z377" s="19"/>
      <c r="AA377" s="18" t="str">
        <f aca="false">IF(OR(V377="Aprobada"),R377,IF(AND(OR(V377="Aprobada con ajuste",V377="Rechazada"),W377&lt;&gt;""),W377,""))</f>
        <v/>
      </c>
    </row>
    <row r="378" customFormat="false" ht="32.8" hidden="false" customHeight="false" outlineLevel="0" collapsed="false">
      <c r="A378" s="18" t="s">
        <v>1889</v>
      </c>
      <c r="B378" s="18" t="s">
        <v>60</v>
      </c>
      <c r="C378" s="18" t="s">
        <v>61</v>
      </c>
      <c r="D378" s="18" t="s">
        <v>1853</v>
      </c>
      <c r="E378" s="18" t="n">
        <v>290</v>
      </c>
      <c r="F378" s="18" t="s">
        <v>1699</v>
      </c>
      <c r="G378" s="18" t="s">
        <v>294</v>
      </c>
      <c r="H378" s="18" t="s">
        <v>162</v>
      </c>
      <c r="I378" s="18"/>
      <c r="J378" s="18"/>
      <c r="K378" s="18"/>
      <c r="L378" s="18" t="s">
        <v>129</v>
      </c>
      <c r="M378" s="18" t="s">
        <v>129</v>
      </c>
      <c r="N378" s="18"/>
      <c r="O378" s="18"/>
      <c r="P378" s="18" t="s">
        <v>1890</v>
      </c>
      <c r="Q378" s="18" t="s">
        <v>149</v>
      </c>
      <c r="R378" s="18" t="s">
        <v>1701</v>
      </c>
      <c r="S378" s="18" t="s">
        <v>140</v>
      </c>
      <c r="T378" s="18" t="s">
        <v>1702</v>
      </c>
      <c r="U378" s="18" t="s">
        <v>1703</v>
      </c>
      <c r="V378" s="19" t="s">
        <v>29</v>
      </c>
      <c r="W378" s="19"/>
      <c r="X378" s="19"/>
      <c r="Y378" s="20"/>
      <c r="Z378" s="19"/>
      <c r="AA378" s="18" t="str">
        <f aca="false">IF(OR(V378="Aprobada"),R378,IF(AND(OR(V378="Aprobada con ajuste",V378="Rechazada"),W378&lt;&gt;""),W378,""))</f>
        <v/>
      </c>
    </row>
    <row r="379" customFormat="false" ht="32.8" hidden="false" customHeight="false" outlineLevel="0" collapsed="false">
      <c r="A379" s="18" t="s">
        <v>1891</v>
      </c>
      <c r="B379" s="18" t="s">
        <v>60</v>
      </c>
      <c r="C379" s="18" t="s">
        <v>61</v>
      </c>
      <c r="D379" s="18" t="s">
        <v>1892</v>
      </c>
      <c r="E379" s="18" t="n">
        <v>0</v>
      </c>
      <c r="F379" s="18" t="s">
        <v>1893</v>
      </c>
      <c r="G379" s="18" t="s">
        <v>486</v>
      </c>
      <c r="H379" s="18" t="s">
        <v>129</v>
      </c>
      <c r="I379" s="18"/>
      <c r="J379" s="18"/>
      <c r="K379" s="18"/>
      <c r="L379" s="18" t="s">
        <v>129</v>
      </c>
      <c r="M379" s="18" t="s">
        <v>129</v>
      </c>
      <c r="N379" s="18"/>
      <c r="O379" s="18"/>
      <c r="P379" s="18" t="s">
        <v>1894</v>
      </c>
      <c r="Q379" s="18" t="s">
        <v>149</v>
      </c>
      <c r="R379" s="18" t="s">
        <v>1895</v>
      </c>
      <c r="S379" s="18" t="s">
        <v>140</v>
      </c>
      <c r="T379" s="18" t="s">
        <v>1896</v>
      </c>
      <c r="U379" s="18" t="s">
        <v>1897</v>
      </c>
      <c r="V379" s="19" t="s">
        <v>29</v>
      </c>
      <c r="W379" s="19"/>
      <c r="X379" s="19"/>
      <c r="Y379" s="20"/>
      <c r="Z379" s="19"/>
      <c r="AA379" s="18" t="str">
        <f aca="false">IF(OR(V379="Aprobada"),R379,IF(AND(OR(V379="Aprobada con ajuste",V379="Rechazada"),W379&lt;&gt;""),W379,""))</f>
        <v/>
      </c>
    </row>
    <row r="380" customFormat="false" ht="22.35" hidden="false" customHeight="false" outlineLevel="0" collapsed="false">
      <c r="A380" s="18" t="s">
        <v>1898</v>
      </c>
      <c r="B380" s="18" t="s">
        <v>60</v>
      </c>
      <c r="C380" s="18" t="s">
        <v>61</v>
      </c>
      <c r="D380" s="18" t="s">
        <v>1892</v>
      </c>
      <c r="E380" s="18" t="n">
        <v>0</v>
      </c>
      <c r="F380" s="18" t="s">
        <v>1899</v>
      </c>
      <c r="G380" s="18" t="s">
        <v>486</v>
      </c>
      <c r="H380" s="18" t="s">
        <v>129</v>
      </c>
      <c r="I380" s="18" t="s">
        <v>146</v>
      </c>
      <c r="J380" s="18"/>
      <c r="K380" s="18"/>
      <c r="L380" s="18" t="s">
        <v>129</v>
      </c>
      <c r="M380" s="18" t="s">
        <v>129</v>
      </c>
      <c r="N380" s="18"/>
      <c r="O380" s="18" t="s">
        <v>1900</v>
      </c>
      <c r="P380" s="18" t="s">
        <v>1901</v>
      </c>
      <c r="Q380" s="18" t="s">
        <v>149</v>
      </c>
      <c r="R380" s="18" t="s">
        <v>1902</v>
      </c>
      <c r="S380" s="18" t="s">
        <v>140</v>
      </c>
      <c r="T380" s="18" t="s">
        <v>1105</v>
      </c>
      <c r="U380" s="18" t="s">
        <v>1903</v>
      </c>
      <c r="V380" s="19" t="s">
        <v>29</v>
      </c>
      <c r="W380" s="19"/>
      <c r="X380" s="19"/>
      <c r="Y380" s="20"/>
      <c r="Z380" s="19"/>
      <c r="AA380" s="18" t="str">
        <f aca="false">IF(OR(V380="Aprobada"),R380,IF(AND(OR(V380="Aprobada con ajuste",V380="Rechazada"),W380&lt;&gt;""),W380,""))</f>
        <v/>
      </c>
    </row>
    <row r="381" customFormat="false" ht="22.35" hidden="false" customHeight="false" outlineLevel="0" collapsed="false">
      <c r="A381" s="18" t="s">
        <v>1904</v>
      </c>
      <c r="B381" s="18" t="s">
        <v>60</v>
      </c>
      <c r="C381" s="18" t="s">
        <v>61</v>
      </c>
      <c r="D381" s="18" t="s">
        <v>1892</v>
      </c>
      <c r="E381" s="18" t="n">
        <v>0</v>
      </c>
      <c r="F381" s="18" t="s">
        <v>341</v>
      </c>
      <c r="G381" s="18" t="s">
        <v>145</v>
      </c>
      <c r="H381" s="18" t="s">
        <v>162</v>
      </c>
      <c r="I381" s="18"/>
      <c r="J381" s="18"/>
      <c r="K381" s="18"/>
      <c r="L381" s="18" t="s">
        <v>129</v>
      </c>
      <c r="M381" s="18" t="s">
        <v>129</v>
      </c>
      <c r="N381" s="18"/>
      <c r="O381" s="18"/>
      <c r="P381" s="18" t="s">
        <v>1905</v>
      </c>
      <c r="Q381" s="18" t="s">
        <v>149</v>
      </c>
      <c r="R381" s="18" t="s">
        <v>1906</v>
      </c>
      <c r="S381" s="18" t="s">
        <v>140</v>
      </c>
      <c r="T381" s="18" t="s">
        <v>169</v>
      </c>
      <c r="U381" s="18" t="s">
        <v>1907</v>
      </c>
      <c r="V381" s="19" t="s">
        <v>29</v>
      </c>
      <c r="W381" s="19"/>
      <c r="X381" s="19"/>
      <c r="Y381" s="20"/>
      <c r="Z381" s="19"/>
      <c r="AA381" s="18" t="str">
        <f aca="false">IF(OR(V381="Aprobada"),R381,IF(AND(OR(V381="Aprobada con ajuste",V381="Rechazada"),W381&lt;&gt;""),W381,""))</f>
        <v/>
      </c>
    </row>
    <row r="382" customFormat="false" ht="22.35" hidden="false" customHeight="false" outlineLevel="0" collapsed="false">
      <c r="A382" s="18" t="s">
        <v>1908</v>
      </c>
      <c r="B382" s="18" t="s">
        <v>60</v>
      </c>
      <c r="C382" s="18" t="s">
        <v>61</v>
      </c>
      <c r="D382" s="18" t="s">
        <v>1909</v>
      </c>
      <c r="E382" s="18" t="n">
        <v>0</v>
      </c>
      <c r="F382" s="18" t="s">
        <v>1910</v>
      </c>
      <c r="G382" s="18" t="s">
        <v>128</v>
      </c>
      <c r="H382" s="18" t="s">
        <v>129</v>
      </c>
      <c r="I382" s="18"/>
      <c r="J382" s="18"/>
      <c r="K382" s="18"/>
      <c r="L382" s="18" t="s">
        <v>129</v>
      </c>
      <c r="M382" s="18" t="s">
        <v>129</v>
      </c>
      <c r="N382" s="18"/>
      <c r="O382" s="18"/>
      <c r="P382" s="18"/>
      <c r="Q382" s="18" t="s">
        <v>149</v>
      </c>
      <c r="R382" s="18" t="s">
        <v>1911</v>
      </c>
      <c r="S382" s="18" t="s">
        <v>140</v>
      </c>
      <c r="T382" s="18" t="s">
        <v>183</v>
      </c>
      <c r="U382" s="18" t="s">
        <v>1912</v>
      </c>
      <c r="V382" s="19" t="s">
        <v>29</v>
      </c>
      <c r="W382" s="19"/>
      <c r="X382" s="19"/>
      <c r="Y382" s="20"/>
      <c r="Z382" s="19"/>
      <c r="AA382" s="18" t="str">
        <f aca="false">IF(OR(V382="Aprobada"),R382,IF(AND(OR(V382="Aprobada con ajuste",V382="Rechazada"),W382&lt;&gt;""),W382,""))</f>
        <v/>
      </c>
    </row>
    <row r="383" customFormat="false" ht="22.35" hidden="false" customHeight="false" outlineLevel="0" collapsed="false">
      <c r="A383" s="18" t="s">
        <v>1913</v>
      </c>
      <c r="B383" s="18" t="s">
        <v>60</v>
      </c>
      <c r="C383" s="18" t="s">
        <v>61</v>
      </c>
      <c r="D383" s="18" t="s">
        <v>1909</v>
      </c>
      <c r="E383" s="18" t="n">
        <v>0</v>
      </c>
      <c r="F383" s="18" t="s">
        <v>1914</v>
      </c>
      <c r="G383" s="18" t="s">
        <v>128</v>
      </c>
      <c r="H383" s="18" t="s">
        <v>129</v>
      </c>
      <c r="I383" s="18"/>
      <c r="J383" s="18"/>
      <c r="K383" s="18"/>
      <c r="L383" s="18" t="s">
        <v>129</v>
      </c>
      <c r="M383" s="18" t="s">
        <v>129</v>
      </c>
      <c r="N383" s="18"/>
      <c r="O383" s="18"/>
      <c r="P383" s="18"/>
      <c r="Q383" s="18" t="s">
        <v>149</v>
      </c>
      <c r="R383" s="18" t="s">
        <v>1915</v>
      </c>
      <c r="S383" s="18" t="s">
        <v>140</v>
      </c>
      <c r="T383" s="18" t="s">
        <v>183</v>
      </c>
      <c r="U383" s="18" t="s">
        <v>1916</v>
      </c>
      <c r="V383" s="19" t="s">
        <v>29</v>
      </c>
      <c r="W383" s="19"/>
      <c r="X383" s="19"/>
      <c r="Y383" s="20"/>
      <c r="Z383" s="19"/>
      <c r="AA383" s="18" t="str">
        <f aca="false">IF(OR(V383="Aprobada"),R383,IF(AND(OR(V383="Aprobada con ajuste",V383="Rechazada"),W383&lt;&gt;""),W383,""))</f>
        <v/>
      </c>
    </row>
    <row r="384" customFormat="false" ht="22.35" hidden="false" customHeight="false" outlineLevel="0" collapsed="false">
      <c r="A384" s="18" t="s">
        <v>1917</v>
      </c>
      <c r="B384" s="18" t="s">
        <v>60</v>
      </c>
      <c r="C384" s="18" t="s">
        <v>61</v>
      </c>
      <c r="D384" s="18" t="s">
        <v>1909</v>
      </c>
      <c r="E384" s="18" t="n">
        <v>0</v>
      </c>
      <c r="F384" s="18" t="s">
        <v>1918</v>
      </c>
      <c r="G384" s="18" t="s">
        <v>128</v>
      </c>
      <c r="H384" s="18" t="s">
        <v>129</v>
      </c>
      <c r="I384" s="18"/>
      <c r="J384" s="18"/>
      <c r="K384" s="18"/>
      <c r="L384" s="18" t="s">
        <v>129</v>
      </c>
      <c r="M384" s="18" t="s">
        <v>129</v>
      </c>
      <c r="N384" s="18"/>
      <c r="O384" s="18"/>
      <c r="P384" s="18"/>
      <c r="Q384" s="18" t="s">
        <v>149</v>
      </c>
      <c r="R384" s="18" t="s">
        <v>1919</v>
      </c>
      <c r="S384" s="18" t="s">
        <v>133</v>
      </c>
      <c r="T384" s="18" t="s">
        <v>183</v>
      </c>
      <c r="U384" s="18"/>
      <c r="V384" s="19" t="s">
        <v>29</v>
      </c>
      <c r="W384" s="19"/>
      <c r="X384" s="19"/>
      <c r="Y384" s="20"/>
      <c r="Z384" s="19"/>
      <c r="AA384" s="18" t="str">
        <f aca="false">IF(OR(V384="Aprobada"),R384,IF(AND(OR(V384="Aprobada con ajuste",V384="Rechazada"),W384&lt;&gt;""),W384,""))</f>
        <v/>
      </c>
    </row>
    <row r="385" customFormat="false" ht="22.35" hidden="false" customHeight="false" outlineLevel="0" collapsed="false">
      <c r="A385" s="18" t="s">
        <v>1920</v>
      </c>
      <c r="B385" s="18" t="s">
        <v>60</v>
      </c>
      <c r="C385" s="18" t="s">
        <v>61</v>
      </c>
      <c r="D385" s="18" t="s">
        <v>1921</v>
      </c>
      <c r="E385" s="18" t="n">
        <v>3</v>
      </c>
      <c r="F385" s="18" t="s">
        <v>1922</v>
      </c>
      <c r="G385" s="18" t="s">
        <v>192</v>
      </c>
      <c r="H385" s="18" t="s">
        <v>129</v>
      </c>
      <c r="I385" s="18"/>
      <c r="J385" s="18"/>
      <c r="K385" s="18"/>
      <c r="L385" s="18" t="s">
        <v>162</v>
      </c>
      <c r="M385" s="18" t="s">
        <v>129</v>
      </c>
      <c r="N385" s="18"/>
      <c r="O385" s="18"/>
      <c r="P385" s="18" t="s">
        <v>1923</v>
      </c>
      <c r="Q385" s="18" t="s">
        <v>149</v>
      </c>
      <c r="R385" s="18" t="s">
        <v>1924</v>
      </c>
      <c r="S385" s="18" t="s">
        <v>133</v>
      </c>
      <c r="T385" s="18" t="s">
        <v>1925</v>
      </c>
      <c r="U385" s="18"/>
      <c r="V385" s="19" t="s">
        <v>29</v>
      </c>
      <c r="W385" s="19"/>
      <c r="X385" s="19"/>
      <c r="Y385" s="20"/>
      <c r="Z385" s="19"/>
      <c r="AA385" s="18" t="str">
        <f aca="false">IF(OR(V385="Aprobada"),R385,IF(AND(OR(V385="Aprobada con ajuste",V385="Rechazada"),W385&lt;&gt;""),W385,""))</f>
        <v/>
      </c>
    </row>
    <row r="386" customFormat="false" ht="22.35" hidden="false" customHeight="false" outlineLevel="0" collapsed="false">
      <c r="A386" s="18" t="s">
        <v>1926</v>
      </c>
      <c r="B386" s="18" t="s">
        <v>60</v>
      </c>
      <c r="C386" s="18" t="s">
        <v>61</v>
      </c>
      <c r="D386" s="18" t="s">
        <v>1921</v>
      </c>
      <c r="E386" s="18" t="n">
        <v>3</v>
      </c>
      <c r="F386" s="18" t="s">
        <v>160</v>
      </c>
      <c r="G386" s="18" t="s">
        <v>128</v>
      </c>
      <c r="H386" s="18" t="s">
        <v>162</v>
      </c>
      <c r="I386" s="18"/>
      <c r="J386" s="18"/>
      <c r="K386" s="18"/>
      <c r="L386" s="18" t="s">
        <v>162</v>
      </c>
      <c r="M386" s="18" t="s">
        <v>129</v>
      </c>
      <c r="N386" s="18"/>
      <c r="O386" s="18"/>
      <c r="P386" s="18"/>
      <c r="Q386" s="18" t="s">
        <v>138</v>
      </c>
      <c r="R386" s="18" t="s">
        <v>1927</v>
      </c>
      <c r="S386" s="18" t="s">
        <v>140</v>
      </c>
      <c r="T386" s="18" t="s">
        <v>141</v>
      </c>
      <c r="U386" s="18"/>
      <c r="V386" s="19" t="s">
        <v>29</v>
      </c>
      <c r="W386" s="19"/>
      <c r="X386" s="19"/>
      <c r="Y386" s="20"/>
      <c r="Z386" s="19"/>
      <c r="AA386" s="18" t="str">
        <f aca="false">IF(OR(V386="Aprobada"),R386,IF(AND(OR(V386="Aprobada con ajuste",V386="Rechazada"),W386&lt;&gt;""),W386,""))</f>
        <v/>
      </c>
    </row>
    <row r="387" customFormat="false" ht="22.35" hidden="false" customHeight="false" outlineLevel="0" collapsed="false">
      <c r="A387" s="18" t="s">
        <v>1928</v>
      </c>
      <c r="B387" s="18" t="s">
        <v>60</v>
      </c>
      <c r="C387" s="18" t="s">
        <v>61</v>
      </c>
      <c r="D387" s="18" t="s">
        <v>1929</v>
      </c>
      <c r="E387" s="18" t="n">
        <v>0</v>
      </c>
      <c r="F387" s="18" t="s">
        <v>1930</v>
      </c>
      <c r="G387" s="18" t="s">
        <v>128</v>
      </c>
      <c r="H387" s="18" t="s">
        <v>129</v>
      </c>
      <c r="I387" s="18"/>
      <c r="J387" s="18"/>
      <c r="K387" s="18"/>
      <c r="L387" s="18" t="s">
        <v>129</v>
      </c>
      <c r="M387" s="18" t="s">
        <v>129</v>
      </c>
      <c r="N387" s="18"/>
      <c r="O387" s="18"/>
      <c r="P387" s="18"/>
      <c r="Q387" s="18" t="s">
        <v>149</v>
      </c>
      <c r="R387" s="18" t="s">
        <v>1931</v>
      </c>
      <c r="S387" s="18" t="s">
        <v>133</v>
      </c>
      <c r="T387" s="18" t="s">
        <v>183</v>
      </c>
      <c r="U387" s="18"/>
      <c r="V387" s="19" t="s">
        <v>29</v>
      </c>
      <c r="W387" s="19"/>
      <c r="X387" s="19"/>
      <c r="Y387" s="20"/>
      <c r="Z387" s="19"/>
      <c r="AA387" s="18" t="str">
        <f aca="false">IF(OR(V387="Aprobada"),R387,IF(AND(OR(V387="Aprobada con ajuste",V387="Rechazada"),W387&lt;&gt;""),W387,""))</f>
        <v/>
      </c>
    </row>
    <row r="388" customFormat="false" ht="22.35" hidden="false" customHeight="false" outlineLevel="0" collapsed="false">
      <c r="A388" s="18" t="s">
        <v>1932</v>
      </c>
      <c r="B388" s="18" t="s">
        <v>60</v>
      </c>
      <c r="C388" s="18" t="s">
        <v>61</v>
      </c>
      <c r="D388" s="18" t="s">
        <v>1929</v>
      </c>
      <c r="E388" s="18" t="n">
        <v>0</v>
      </c>
      <c r="F388" s="18" t="s">
        <v>1933</v>
      </c>
      <c r="G388" s="18" t="s">
        <v>128</v>
      </c>
      <c r="H388" s="18" t="s">
        <v>162</v>
      </c>
      <c r="I388" s="18"/>
      <c r="J388" s="18"/>
      <c r="K388" s="18"/>
      <c r="L388" s="18" t="s">
        <v>129</v>
      </c>
      <c r="M388" s="18" t="s">
        <v>129</v>
      </c>
      <c r="N388" s="18"/>
      <c r="O388" s="18"/>
      <c r="P388" s="18"/>
      <c r="Q388" s="18" t="s">
        <v>149</v>
      </c>
      <c r="R388" s="18" t="s">
        <v>1934</v>
      </c>
      <c r="S388" s="18" t="s">
        <v>133</v>
      </c>
      <c r="T388" s="18" t="s">
        <v>183</v>
      </c>
      <c r="U388" s="18"/>
      <c r="V388" s="19" t="s">
        <v>29</v>
      </c>
      <c r="W388" s="19"/>
      <c r="X388" s="19"/>
      <c r="Y388" s="20"/>
      <c r="Z388" s="19"/>
      <c r="AA388" s="18" t="str">
        <f aca="false">IF(OR(V388="Aprobada"),R388,IF(AND(OR(V388="Aprobada con ajuste",V388="Rechazada"),W388&lt;&gt;""),W388,""))</f>
        <v/>
      </c>
    </row>
    <row r="389" customFormat="false" ht="22.35" hidden="false" customHeight="false" outlineLevel="0" collapsed="false">
      <c r="A389" s="18" t="s">
        <v>1935</v>
      </c>
      <c r="B389" s="18" t="s">
        <v>60</v>
      </c>
      <c r="C389" s="18" t="s">
        <v>61</v>
      </c>
      <c r="D389" s="18" t="s">
        <v>1929</v>
      </c>
      <c r="E389" s="18" t="n">
        <v>0</v>
      </c>
      <c r="F389" s="18" t="s">
        <v>1936</v>
      </c>
      <c r="G389" s="18" t="s">
        <v>503</v>
      </c>
      <c r="H389" s="18" t="s">
        <v>129</v>
      </c>
      <c r="I389" s="18"/>
      <c r="J389" s="18"/>
      <c r="K389" s="18"/>
      <c r="L389" s="18" t="s">
        <v>129</v>
      </c>
      <c r="M389" s="18" t="s">
        <v>129</v>
      </c>
      <c r="N389" s="18"/>
      <c r="O389" s="18"/>
      <c r="P389" s="18"/>
      <c r="Q389" s="18" t="s">
        <v>149</v>
      </c>
      <c r="R389" s="18" t="s">
        <v>1937</v>
      </c>
      <c r="S389" s="18" t="s">
        <v>140</v>
      </c>
      <c r="T389" s="18" t="s">
        <v>183</v>
      </c>
      <c r="U389" s="18" t="s">
        <v>1938</v>
      </c>
      <c r="V389" s="19" t="s">
        <v>29</v>
      </c>
      <c r="W389" s="19"/>
      <c r="X389" s="19"/>
      <c r="Y389" s="20"/>
      <c r="Z389" s="19"/>
      <c r="AA389" s="18" t="str">
        <f aca="false">IF(OR(V389="Aprobada"),R389,IF(AND(OR(V389="Aprobada con ajuste",V389="Rechazada"),W389&lt;&gt;""),W389,""))</f>
        <v/>
      </c>
    </row>
    <row r="390" customFormat="false" ht="22.35" hidden="false" customHeight="false" outlineLevel="0" collapsed="false">
      <c r="A390" s="18" t="s">
        <v>1939</v>
      </c>
      <c r="B390" s="18" t="s">
        <v>60</v>
      </c>
      <c r="C390" s="18" t="s">
        <v>61</v>
      </c>
      <c r="D390" s="18" t="s">
        <v>1929</v>
      </c>
      <c r="E390" s="18" t="n">
        <v>0</v>
      </c>
      <c r="F390" s="18" t="s">
        <v>622</v>
      </c>
      <c r="G390" s="18" t="s">
        <v>128</v>
      </c>
      <c r="H390" s="18" t="s">
        <v>129</v>
      </c>
      <c r="I390" s="18"/>
      <c r="J390" s="18"/>
      <c r="K390" s="18"/>
      <c r="L390" s="18" t="s">
        <v>129</v>
      </c>
      <c r="M390" s="18" t="s">
        <v>129</v>
      </c>
      <c r="N390" s="18"/>
      <c r="O390" s="18"/>
      <c r="P390" s="18"/>
      <c r="Q390" s="18" t="s">
        <v>149</v>
      </c>
      <c r="R390" s="18" t="s">
        <v>1940</v>
      </c>
      <c r="S390" s="18" t="s">
        <v>140</v>
      </c>
      <c r="T390" s="18" t="s">
        <v>169</v>
      </c>
      <c r="U390" s="18" t="s">
        <v>1941</v>
      </c>
      <c r="V390" s="19" t="s">
        <v>29</v>
      </c>
      <c r="W390" s="19"/>
      <c r="X390" s="19"/>
      <c r="Y390" s="20"/>
      <c r="Z390" s="19"/>
      <c r="AA390" s="18" t="str">
        <f aca="false">IF(OR(V390="Aprobada"),R390,IF(AND(OR(V390="Aprobada con ajuste",V390="Rechazada"),W390&lt;&gt;""),W390,""))</f>
        <v/>
      </c>
    </row>
    <row r="391" customFormat="false" ht="22.35" hidden="false" customHeight="false" outlineLevel="0" collapsed="false">
      <c r="A391" s="18" t="s">
        <v>1942</v>
      </c>
      <c r="B391" s="18" t="s">
        <v>60</v>
      </c>
      <c r="C391" s="18" t="s">
        <v>61</v>
      </c>
      <c r="D391" s="18" t="s">
        <v>1929</v>
      </c>
      <c r="E391" s="18" t="n">
        <v>0</v>
      </c>
      <c r="F391" s="18" t="s">
        <v>1943</v>
      </c>
      <c r="G391" s="18" t="s">
        <v>503</v>
      </c>
      <c r="H391" s="18" t="s">
        <v>129</v>
      </c>
      <c r="I391" s="18"/>
      <c r="J391" s="18"/>
      <c r="K391" s="18"/>
      <c r="L391" s="18" t="s">
        <v>129</v>
      </c>
      <c r="M391" s="18" t="s">
        <v>129</v>
      </c>
      <c r="N391" s="18"/>
      <c r="O391" s="18"/>
      <c r="P391" s="18"/>
      <c r="Q391" s="18" t="s">
        <v>149</v>
      </c>
      <c r="R391" s="18" t="s">
        <v>1944</v>
      </c>
      <c r="S391" s="18" t="s">
        <v>133</v>
      </c>
      <c r="T391" s="18" t="s">
        <v>169</v>
      </c>
      <c r="U391" s="18"/>
      <c r="V391" s="19" t="s">
        <v>29</v>
      </c>
      <c r="W391" s="19"/>
      <c r="X391" s="19"/>
      <c r="Y391" s="20"/>
      <c r="Z391" s="19"/>
      <c r="AA391" s="18" t="str">
        <f aca="false">IF(OR(V391="Aprobada"),R391,IF(AND(OR(V391="Aprobada con ajuste",V391="Rechazada"),W391&lt;&gt;""),W391,""))</f>
        <v/>
      </c>
    </row>
    <row r="392" customFormat="false" ht="22.35" hidden="false" customHeight="false" outlineLevel="0" collapsed="false">
      <c r="A392" s="18" t="s">
        <v>1945</v>
      </c>
      <c r="B392" s="18" t="s">
        <v>60</v>
      </c>
      <c r="C392" s="18" t="s">
        <v>61</v>
      </c>
      <c r="D392" s="18" t="s">
        <v>1929</v>
      </c>
      <c r="E392" s="18" t="n">
        <v>0</v>
      </c>
      <c r="F392" s="18" t="s">
        <v>1604</v>
      </c>
      <c r="G392" s="18" t="s">
        <v>128</v>
      </c>
      <c r="H392" s="18" t="s">
        <v>162</v>
      </c>
      <c r="I392" s="18"/>
      <c r="J392" s="18"/>
      <c r="K392" s="18"/>
      <c r="L392" s="18" t="s">
        <v>129</v>
      </c>
      <c r="M392" s="18" t="s">
        <v>129</v>
      </c>
      <c r="N392" s="18"/>
      <c r="O392" s="18"/>
      <c r="P392" s="18"/>
      <c r="Q392" s="18" t="s">
        <v>149</v>
      </c>
      <c r="R392" s="18" t="s">
        <v>1946</v>
      </c>
      <c r="S392" s="18" t="s">
        <v>140</v>
      </c>
      <c r="T392" s="18" t="s">
        <v>183</v>
      </c>
      <c r="U392" s="18" t="s">
        <v>1609</v>
      </c>
      <c r="V392" s="19" t="s">
        <v>29</v>
      </c>
      <c r="W392" s="19"/>
      <c r="X392" s="19"/>
      <c r="Y392" s="20"/>
      <c r="Z392" s="19"/>
      <c r="AA392" s="18" t="str">
        <f aca="false">IF(OR(V392="Aprobada"),R392,IF(AND(OR(V392="Aprobada con ajuste",V392="Rechazada"),W392&lt;&gt;""),W392,""))</f>
        <v/>
      </c>
    </row>
    <row r="393" customFormat="false" ht="22.35" hidden="false" customHeight="false" outlineLevel="0" collapsed="false">
      <c r="A393" s="18" t="s">
        <v>1947</v>
      </c>
      <c r="B393" s="18" t="s">
        <v>60</v>
      </c>
      <c r="C393" s="18" t="s">
        <v>61</v>
      </c>
      <c r="D393" s="18" t="s">
        <v>1929</v>
      </c>
      <c r="E393" s="18" t="n">
        <v>0</v>
      </c>
      <c r="F393" s="18" t="s">
        <v>1948</v>
      </c>
      <c r="G393" s="18" t="s">
        <v>128</v>
      </c>
      <c r="H393" s="18" t="s">
        <v>162</v>
      </c>
      <c r="I393" s="18"/>
      <c r="J393" s="18"/>
      <c r="K393" s="18"/>
      <c r="L393" s="18" t="s">
        <v>129</v>
      </c>
      <c r="M393" s="18" t="s">
        <v>129</v>
      </c>
      <c r="N393" s="18"/>
      <c r="O393" s="18"/>
      <c r="P393" s="18"/>
      <c r="Q393" s="18" t="s">
        <v>149</v>
      </c>
      <c r="R393" s="18" t="s">
        <v>1949</v>
      </c>
      <c r="S393" s="18" t="s">
        <v>140</v>
      </c>
      <c r="T393" s="18" t="s">
        <v>183</v>
      </c>
      <c r="U393" s="18" t="s">
        <v>1950</v>
      </c>
      <c r="V393" s="19" t="s">
        <v>29</v>
      </c>
      <c r="W393" s="19"/>
      <c r="X393" s="19"/>
      <c r="Y393" s="20"/>
      <c r="Z393" s="19"/>
      <c r="AA393" s="18" t="str">
        <f aca="false">IF(OR(V393="Aprobada"),R393,IF(AND(OR(V393="Aprobada con ajuste",V393="Rechazada"),W393&lt;&gt;""),W393,""))</f>
        <v/>
      </c>
    </row>
    <row r="394" customFormat="false" ht="22.35" hidden="false" customHeight="false" outlineLevel="0" collapsed="false">
      <c r="A394" s="18" t="s">
        <v>1951</v>
      </c>
      <c r="B394" s="18" t="s">
        <v>60</v>
      </c>
      <c r="C394" s="18" t="s">
        <v>61</v>
      </c>
      <c r="D394" s="18" t="s">
        <v>1929</v>
      </c>
      <c r="E394" s="18" t="n">
        <v>0</v>
      </c>
      <c r="F394" s="18" t="s">
        <v>1952</v>
      </c>
      <c r="G394" s="18" t="s">
        <v>137</v>
      </c>
      <c r="H394" s="18" t="s">
        <v>162</v>
      </c>
      <c r="I394" s="18"/>
      <c r="J394" s="18"/>
      <c r="K394" s="18"/>
      <c r="L394" s="18" t="s">
        <v>129</v>
      </c>
      <c r="M394" s="18" t="s">
        <v>129</v>
      </c>
      <c r="N394" s="18"/>
      <c r="O394" s="18"/>
      <c r="P394" s="18"/>
      <c r="Q394" s="18" t="s">
        <v>149</v>
      </c>
      <c r="R394" s="18" t="s">
        <v>1953</v>
      </c>
      <c r="S394" s="18" t="s">
        <v>133</v>
      </c>
      <c r="T394" s="18" t="s">
        <v>183</v>
      </c>
      <c r="U394" s="18"/>
      <c r="V394" s="19" t="s">
        <v>29</v>
      </c>
      <c r="W394" s="19"/>
      <c r="X394" s="19"/>
      <c r="Y394" s="20"/>
      <c r="Z394" s="19"/>
      <c r="AA394" s="18" t="str">
        <f aca="false">IF(OR(V394="Aprobada"),R394,IF(AND(OR(V394="Aprobada con ajuste",V394="Rechazada"),W394&lt;&gt;""),W394,""))</f>
        <v/>
      </c>
    </row>
    <row r="395" customFormat="false" ht="22.35" hidden="false" customHeight="false" outlineLevel="0" collapsed="false">
      <c r="A395" s="18" t="s">
        <v>1954</v>
      </c>
      <c r="B395" s="18" t="s">
        <v>60</v>
      </c>
      <c r="C395" s="18" t="s">
        <v>61</v>
      </c>
      <c r="D395" s="18" t="s">
        <v>1929</v>
      </c>
      <c r="E395" s="18" t="n">
        <v>0</v>
      </c>
      <c r="F395" s="18" t="s">
        <v>1955</v>
      </c>
      <c r="G395" s="18" t="s">
        <v>137</v>
      </c>
      <c r="H395" s="18" t="s">
        <v>162</v>
      </c>
      <c r="I395" s="18"/>
      <c r="J395" s="18"/>
      <c r="K395" s="18"/>
      <c r="L395" s="18" t="s">
        <v>129</v>
      </c>
      <c r="M395" s="18" t="s">
        <v>129</v>
      </c>
      <c r="N395" s="18"/>
      <c r="O395" s="18"/>
      <c r="P395" s="18"/>
      <c r="Q395" s="18" t="s">
        <v>149</v>
      </c>
      <c r="R395" s="18" t="s">
        <v>1956</v>
      </c>
      <c r="S395" s="18" t="s">
        <v>133</v>
      </c>
      <c r="T395" s="18" t="s">
        <v>183</v>
      </c>
      <c r="U395" s="18"/>
      <c r="V395" s="19" t="s">
        <v>29</v>
      </c>
      <c r="W395" s="19"/>
      <c r="X395" s="19"/>
      <c r="Y395" s="20"/>
      <c r="Z395" s="19"/>
      <c r="AA395" s="18" t="str">
        <f aca="false">IF(OR(V395="Aprobada"),R395,IF(AND(OR(V395="Aprobada con ajuste",V395="Rechazada"),W395&lt;&gt;""),W395,""))</f>
        <v/>
      </c>
    </row>
    <row r="396" customFormat="false" ht="22.35" hidden="false" customHeight="false" outlineLevel="0" collapsed="false">
      <c r="A396" s="18" t="s">
        <v>1957</v>
      </c>
      <c r="B396" s="18" t="s">
        <v>60</v>
      </c>
      <c r="C396" s="18" t="s">
        <v>61</v>
      </c>
      <c r="D396" s="18" t="s">
        <v>1929</v>
      </c>
      <c r="E396" s="18" t="n">
        <v>0</v>
      </c>
      <c r="F396" s="18" t="s">
        <v>886</v>
      </c>
      <c r="G396" s="18" t="s">
        <v>128</v>
      </c>
      <c r="H396" s="18" t="s">
        <v>162</v>
      </c>
      <c r="I396" s="18"/>
      <c r="J396" s="18"/>
      <c r="K396" s="18"/>
      <c r="L396" s="18" t="s">
        <v>129</v>
      </c>
      <c r="M396" s="18" t="s">
        <v>129</v>
      </c>
      <c r="N396" s="18"/>
      <c r="O396" s="18"/>
      <c r="P396" s="18"/>
      <c r="Q396" s="18" t="s">
        <v>138</v>
      </c>
      <c r="R396" s="18" t="s">
        <v>1693</v>
      </c>
      <c r="S396" s="18" t="s">
        <v>140</v>
      </c>
      <c r="T396" s="18" t="s">
        <v>141</v>
      </c>
      <c r="U396" s="18"/>
      <c r="V396" s="19" t="s">
        <v>29</v>
      </c>
      <c r="W396" s="19"/>
      <c r="X396" s="19"/>
      <c r="Y396" s="20"/>
      <c r="Z396" s="19"/>
      <c r="AA396" s="18" t="str">
        <f aca="false">IF(OR(V396="Aprobada"),R396,IF(AND(OR(V396="Aprobada con ajuste",V396="Rechazada"),W396&lt;&gt;""),W396,""))</f>
        <v/>
      </c>
    </row>
    <row r="397" customFormat="false" ht="22.35" hidden="false" customHeight="false" outlineLevel="0" collapsed="false">
      <c r="A397" s="18" t="s">
        <v>1958</v>
      </c>
      <c r="B397" s="18" t="s">
        <v>60</v>
      </c>
      <c r="C397" s="18" t="s">
        <v>61</v>
      </c>
      <c r="D397" s="18" t="s">
        <v>1959</v>
      </c>
      <c r="E397" s="18" t="n">
        <v>18</v>
      </c>
      <c r="F397" s="18" t="s">
        <v>611</v>
      </c>
      <c r="G397" s="18" t="s">
        <v>205</v>
      </c>
      <c r="H397" s="18" t="s">
        <v>129</v>
      </c>
      <c r="I397" s="18" t="s">
        <v>146</v>
      </c>
      <c r="J397" s="18"/>
      <c r="K397" s="18"/>
      <c r="L397" s="18" t="s">
        <v>129</v>
      </c>
      <c r="M397" s="18" t="s">
        <v>129</v>
      </c>
      <c r="N397" s="18"/>
      <c r="O397" s="18" t="s">
        <v>1960</v>
      </c>
      <c r="P397" s="18" t="s">
        <v>1961</v>
      </c>
      <c r="Q397" s="18" t="s">
        <v>138</v>
      </c>
      <c r="R397" s="18" t="s">
        <v>1962</v>
      </c>
      <c r="S397" s="18" t="s">
        <v>140</v>
      </c>
      <c r="T397" s="18" t="s">
        <v>141</v>
      </c>
      <c r="U397" s="18"/>
      <c r="V397" s="19" t="s">
        <v>29</v>
      </c>
      <c r="W397" s="19"/>
      <c r="X397" s="19"/>
      <c r="Y397" s="20"/>
      <c r="Z397" s="19"/>
      <c r="AA397" s="18" t="str">
        <f aca="false">IF(OR(V397="Aprobada"),R397,IF(AND(OR(V397="Aprobada con ajuste",V397="Rechazada"),W397&lt;&gt;""),W397,""))</f>
        <v/>
      </c>
    </row>
    <row r="398" customFormat="false" ht="22.35" hidden="false" customHeight="false" outlineLevel="0" collapsed="false">
      <c r="A398" s="18" t="s">
        <v>1963</v>
      </c>
      <c r="B398" s="18" t="s">
        <v>60</v>
      </c>
      <c r="C398" s="18" t="s">
        <v>61</v>
      </c>
      <c r="D398" s="18" t="s">
        <v>1959</v>
      </c>
      <c r="E398" s="18" t="n">
        <v>18</v>
      </c>
      <c r="F398" s="18" t="s">
        <v>275</v>
      </c>
      <c r="G398" s="18" t="s">
        <v>145</v>
      </c>
      <c r="H398" s="18" t="s">
        <v>129</v>
      </c>
      <c r="I398" s="18" t="s">
        <v>146</v>
      </c>
      <c r="J398" s="18"/>
      <c r="K398" s="18"/>
      <c r="L398" s="18" t="s">
        <v>129</v>
      </c>
      <c r="M398" s="18" t="s">
        <v>129</v>
      </c>
      <c r="N398" s="18"/>
      <c r="O398" s="18" t="s">
        <v>1964</v>
      </c>
      <c r="P398" s="18" t="s">
        <v>1965</v>
      </c>
      <c r="Q398" s="18" t="s">
        <v>138</v>
      </c>
      <c r="R398" s="18" t="s">
        <v>1966</v>
      </c>
      <c r="S398" s="18" t="s">
        <v>140</v>
      </c>
      <c r="T398" s="18" t="s">
        <v>141</v>
      </c>
      <c r="U398" s="18"/>
      <c r="V398" s="19" t="s">
        <v>29</v>
      </c>
      <c r="W398" s="19"/>
      <c r="X398" s="19"/>
      <c r="Y398" s="20"/>
      <c r="Z398" s="19"/>
      <c r="AA398" s="18" t="str">
        <f aca="false">IF(OR(V398="Aprobada"),R398,IF(AND(OR(V398="Aprobada con ajuste",V398="Rechazada"),W398&lt;&gt;""),W398,""))</f>
        <v/>
      </c>
    </row>
    <row r="399" customFormat="false" ht="32.8" hidden="false" customHeight="false" outlineLevel="0" collapsed="false">
      <c r="A399" s="18" t="s">
        <v>1967</v>
      </c>
      <c r="B399" s="18" t="s">
        <v>60</v>
      </c>
      <c r="C399" s="18" t="s">
        <v>61</v>
      </c>
      <c r="D399" s="18" t="s">
        <v>1959</v>
      </c>
      <c r="E399" s="18" t="n">
        <v>18</v>
      </c>
      <c r="F399" s="18" t="s">
        <v>1861</v>
      </c>
      <c r="G399" s="18" t="s">
        <v>145</v>
      </c>
      <c r="H399" s="18" t="s">
        <v>129</v>
      </c>
      <c r="I399" s="18" t="s">
        <v>146</v>
      </c>
      <c r="J399" s="18"/>
      <c r="K399" s="18"/>
      <c r="L399" s="18" t="s">
        <v>129</v>
      </c>
      <c r="M399" s="18" t="s">
        <v>129</v>
      </c>
      <c r="N399" s="18"/>
      <c r="O399" s="18" t="s">
        <v>1968</v>
      </c>
      <c r="P399" s="18" t="s">
        <v>1969</v>
      </c>
      <c r="Q399" s="18" t="s">
        <v>149</v>
      </c>
      <c r="R399" s="18" t="s">
        <v>1970</v>
      </c>
      <c r="S399" s="18" t="s">
        <v>140</v>
      </c>
      <c r="T399" s="18" t="s">
        <v>1105</v>
      </c>
      <c r="U399" s="18" t="s">
        <v>1971</v>
      </c>
      <c r="V399" s="19" t="s">
        <v>29</v>
      </c>
      <c r="W399" s="19"/>
      <c r="X399" s="19"/>
      <c r="Y399" s="20"/>
      <c r="Z399" s="19"/>
      <c r="AA399" s="18" t="str">
        <f aca="false">IF(OR(V399="Aprobada"),R399,IF(AND(OR(V399="Aprobada con ajuste",V399="Rechazada"),W399&lt;&gt;""),W399,""))</f>
        <v/>
      </c>
    </row>
    <row r="400" customFormat="false" ht="22.35" hidden="false" customHeight="false" outlineLevel="0" collapsed="false">
      <c r="A400" s="18" t="s">
        <v>1972</v>
      </c>
      <c r="B400" s="18" t="s">
        <v>60</v>
      </c>
      <c r="C400" s="18" t="s">
        <v>61</v>
      </c>
      <c r="D400" s="18" t="s">
        <v>1959</v>
      </c>
      <c r="E400" s="18" t="n">
        <v>18</v>
      </c>
      <c r="F400" s="18" t="s">
        <v>172</v>
      </c>
      <c r="G400" s="18" t="s">
        <v>173</v>
      </c>
      <c r="H400" s="18" t="s">
        <v>129</v>
      </c>
      <c r="I400" s="18"/>
      <c r="J400" s="18"/>
      <c r="K400" s="18"/>
      <c r="L400" s="18" t="s">
        <v>129</v>
      </c>
      <c r="M400" s="18" t="s">
        <v>129</v>
      </c>
      <c r="N400" s="18"/>
      <c r="O400" s="18"/>
      <c r="P400" s="18" t="s">
        <v>1973</v>
      </c>
      <c r="Q400" s="18" t="s">
        <v>138</v>
      </c>
      <c r="R400" s="18" t="s">
        <v>176</v>
      </c>
      <c r="S400" s="18" t="s">
        <v>140</v>
      </c>
      <c r="T400" s="18" t="s">
        <v>141</v>
      </c>
      <c r="U400" s="18"/>
      <c r="V400" s="19" t="s">
        <v>29</v>
      </c>
      <c r="W400" s="19"/>
      <c r="X400" s="19"/>
      <c r="Y400" s="20"/>
      <c r="Z400" s="19"/>
      <c r="AA400" s="18" t="str">
        <f aca="false">IF(OR(V400="Aprobada"),R400,IF(AND(OR(V400="Aprobada con ajuste",V400="Rechazada"),W400&lt;&gt;""),W400,""))</f>
        <v/>
      </c>
    </row>
    <row r="401" customFormat="false" ht="22.35" hidden="false" customHeight="false" outlineLevel="0" collapsed="false">
      <c r="A401" s="18" t="s">
        <v>1974</v>
      </c>
      <c r="B401" s="18" t="s">
        <v>60</v>
      </c>
      <c r="C401" s="18" t="s">
        <v>61</v>
      </c>
      <c r="D401" s="18" t="s">
        <v>1959</v>
      </c>
      <c r="E401" s="18" t="n">
        <v>18</v>
      </c>
      <c r="F401" s="18" t="s">
        <v>1975</v>
      </c>
      <c r="G401" s="18" t="s">
        <v>503</v>
      </c>
      <c r="H401" s="18" t="s">
        <v>129</v>
      </c>
      <c r="I401" s="18"/>
      <c r="J401" s="18"/>
      <c r="K401" s="18"/>
      <c r="L401" s="18" t="s">
        <v>129</v>
      </c>
      <c r="M401" s="18" t="s">
        <v>129</v>
      </c>
      <c r="N401" s="18"/>
      <c r="O401" s="18"/>
      <c r="P401" s="18" t="s">
        <v>1976</v>
      </c>
      <c r="Q401" s="18" t="s">
        <v>149</v>
      </c>
      <c r="R401" s="18" t="s">
        <v>1977</v>
      </c>
      <c r="S401" s="18" t="s">
        <v>133</v>
      </c>
      <c r="T401" s="18" t="s">
        <v>169</v>
      </c>
      <c r="U401" s="18"/>
      <c r="V401" s="19" t="s">
        <v>29</v>
      </c>
      <c r="W401" s="19"/>
      <c r="X401" s="19"/>
      <c r="Y401" s="20"/>
      <c r="Z401" s="19"/>
      <c r="AA401" s="18" t="str">
        <f aca="false">IF(OR(V401="Aprobada"),R401,IF(AND(OR(V401="Aprobada con ajuste",V401="Rechazada"),W401&lt;&gt;""),W401,""))</f>
        <v/>
      </c>
    </row>
    <row r="402" customFormat="false" ht="22.35" hidden="false" customHeight="false" outlineLevel="0" collapsed="false">
      <c r="A402" s="18" t="s">
        <v>1978</v>
      </c>
      <c r="B402" s="18" t="s">
        <v>60</v>
      </c>
      <c r="C402" s="18" t="s">
        <v>61</v>
      </c>
      <c r="D402" s="18" t="s">
        <v>1959</v>
      </c>
      <c r="E402" s="18" t="n">
        <v>18</v>
      </c>
      <c r="F402" s="18" t="s">
        <v>1695</v>
      </c>
      <c r="G402" s="18" t="s">
        <v>317</v>
      </c>
      <c r="H402" s="18" t="s">
        <v>162</v>
      </c>
      <c r="I402" s="18"/>
      <c r="J402" s="18"/>
      <c r="K402" s="18"/>
      <c r="L402" s="18" t="s">
        <v>129</v>
      </c>
      <c r="M402" s="18" t="s">
        <v>129</v>
      </c>
      <c r="N402" s="18"/>
      <c r="O402" s="18"/>
      <c r="P402" s="18" t="s">
        <v>1979</v>
      </c>
      <c r="Q402" s="18" t="s">
        <v>138</v>
      </c>
      <c r="R402" s="18" t="s">
        <v>1697</v>
      </c>
      <c r="S402" s="18" t="s">
        <v>140</v>
      </c>
      <c r="T402" s="18" t="s">
        <v>141</v>
      </c>
      <c r="U402" s="18"/>
      <c r="V402" s="19" t="s">
        <v>29</v>
      </c>
      <c r="W402" s="19"/>
      <c r="X402" s="19"/>
      <c r="Y402" s="20"/>
      <c r="Z402" s="19"/>
      <c r="AA402" s="18" t="str">
        <f aca="false">IF(OR(V402="Aprobada"),R402,IF(AND(OR(V402="Aprobada con ajuste",V402="Rechazada"),W402&lt;&gt;""),W402,""))</f>
        <v/>
      </c>
    </row>
    <row r="403" customFormat="false" ht="22.35" hidden="false" customHeight="false" outlineLevel="0" collapsed="false">
      <c r="A403" s="18" t="s">
        <v>1980</v>
      </c>
      <c r="B403" s="18" t="s">
        <v>60</v>
      </c>
      <c r="C403" s="18" t="s">
        <v>61</v>
      </c>
      <c r="D403" s="18" t="s">
        <v>1959</v>
      </c>
      <c r="E403" s="18" t="n">
        <v>18</v>
      </c>
      <c r="F403" s="18" t="s">
        <v>1699</v>
      </c>
      <c r="G403" s="18" t="s">
        <v>294</v>
      </c>
      <c r="H403" s="18" t="s">
        <v>162</v>
      </c>
      <c r="I403" s="18"/>
      <c r="J403" s="18"/>
      <c r="K403" s="18"/>
      <c r="L403" s="18" t="s">
        <v>129</v>
      </c>
      <c r="M403" s="18" t="s">
        <v>129</v>
      </c>
      <c r="N403" s="18"/>
      <c r="O403" s="18"/>
      <c r="P403" s="18" t="s">
        <v>1981</v>
      </c>
      <c r="Q403" s="18" t="s">
        <v>149</v>
      </c>
      <c r="R403" s="18" t="s">
        <v>1701</v>
      </c>
      <c r="S403" s="18" t="s">
        <v>140</v>
      </c>
      <c r="T403" s="18" t="s">
        <v>1702</v>
      </c>
      <c r="U403" s="18" t="s">
        <v>1703</v>
      </c>
      <c r="V403" s="19" t="s">
        <v>29</v>
      </c>
      <c r="W403" s="19"/>
      <c r="X403" s="19"/>
      <c r="Y403" s="20"/>
      <c r="Z403" s="19"/>
      <c r="AA403" s="18" t="str">
        <f aca="false">IF(OR(V403="Aprobada"),R403,IF(AND(OR(V403="Aprobada con ajuste",V403="Rechazada"),W403&lt;&gt;""),W403,""))</f>
        <v/>
      </c>
    </row>
    <row r="404" customFormat="false" ht="22.35" hidden="false" customHeight="false" outlineLevel="0" collapsed="false">
      <c r="A404" s="18" t="s">
        <v>1982</v>
      </c>
      <c r="B404" s="18" t="s">
        <v>60</v>
      </c>
      <c r="C404" s="18" t="s">
        <v>61</v>
      </c>
      <c r="D404" s="18" t="s">
        <v>1983</v>
      </c>
      <c r="E404" s="18" t="n">
        <v>0</v>
      </c>
      <c r="F404" s="18" t="s">
        <v>1984</v>
      </c>
      <c r="G404" s="18" t="s">
        <v>288</v>
      </c>
      <c r="H404" s="18" t="s">
        <v>129</v>
      </c>
      <c r="I404" s="18"/>
      <c r="J404" s="18"/>
      <c r="K404" s="18"/>
      <c r="L404" s="18" t="s">
        <v>129</v>
      </c>
      <c r="M404" s="18" t="s">
        <v>129</v>
      </c>
      <c r="N404" s="18"/>
      <c r="O404" s="18" t="s">
        <v>1985</v>
      </c>
      <c r="P404" s="18"/>
      <c r="Q404" s="18" t="s">
        <v>149</v>
      </c>
      <c r="R404" s="18" t="s">
        <v>1986</v>
      </c>
      <c r="S404" s="18" t="s">
        <v>133</v>
      </c>
      <c r="T404" s="18" t="s">
        <v>1987</v>
      </c>
      <c r="U404" s="18"/>
      <c r="V404" s="19" t="s">
        <v>29</v>
      </c>
      <c r="W404" s="19"/>
      <c r="X404" s="19"/>
      <c r="Y404" s="20"/>
      <c r="Z404" s="19"/>
      <c r="AA404" s="18" t="str">
        <f aca="false">IF(OR(V404="Aprobada"),R404,IF(AND(OR(V404="Aprobada con ajuste",V404="Rechazada"),W404&lt;&gt;""),W404,""))</f>
        <v/>
      </c>
    </row>
    <row r="405" customFormat="false" ht="32.8" hidden="false" customHeight="false" outlineLevel="0" collapsed="false">
      <c r="A405" s="18" t="s">
        <v>1988</v>
      </c>
      <c r="B405" s="18" t="s">
        <v>60</v>
      </c>
      <c r="C405" s="18" t="s">
        <v>61</v>
      </c>
      <c r="D405" s="18" t="s">
        <v>1983</v>
      </c>
      <c r="E405" s="18" t="n">
        <v>0</v>
      </c>
      <c r="F405" s="18" t="s">
        <v>1989</v>
      </c>
      <c r="G405" s="18" t="s">
        <v>288</v>
      </c>
      <c r="H405" s="18" t="s">
        <v>162</v>
      </c>
      <c r="I405" s="18"/>
      <c r="J405" s="18"/>
      <c r="K405" s="18"/>
      <c r="L405" s="18" t="s">
        <v>129</v>
      </c>
      <c r="M405" s="18" t="s">
        <v>129</v>
      </c>
      <c r="N405" s="18"/>
      <c r="O405" s="18" t="s">
        <v>1985</v>
      </c>
      <c r="P405" s="18"/>
      <c r="Q405" s="18" t="s">
        <v>149</v>
      </c>
      <c r="R405" s="18" t="s">
        <v>1990</v>
      </c>
      <c r="S405" s="18" t="s">
        <v>140</v>
      </c>
      <c r="T405" s="18" t="s">
        <v>1991</v>
      </c>
      <c r="U405" s="18" t="s">
        <v>1992</v>
      </c>
      <c r="V405" s="19" t="s">
        <v>29</v>
      </c>
      <c r="W405" s="19"/>
      <c r="X405" s="19"/>
      <c r="Y405" s="20"/>
      <c r="Z405" s="19"/>
      <c r="AA405" s="18" t="str">
        <f aca="false">IF(OR(V405="Aprobada"),R405,IF(AND(OR(V405="Aprobada con ajuste",V405="Rechazada"),W405&lt;&gt;""),W405,""))</f>
        <v/>
      </c>
    </row>
    <row r="406" customFormat="false" ht="22.35" hidden="false" customHeight="false" outlineLevel="0" collapsed="false">
      <c r="A406" s="18" t="s">
        <v>1993</v>
      </c>
      <c r="B406" s="18" t="s">
        <v>60</v>
      </c>
      <c r="C406" s="18" t="s">
        <v>61</v>
      </c>
      <c r="D406" s="18" t="s">
        <v>1983</v>
      </c>
      <c r="E406" s="18" t="n">
        <v>0</v>
      </c>
      <c r="F406" s="18" t="s">
        <v>1994</v>
      </c>
      <c r="G406" s="18" t="s">
        <v>828</v>
      </c>
      <c r="H406" s="18" t="s">
        <v>129</v>
      </c>
      <c r="I406" s="18" t="s">
        <v>298</v>
      </c>
      <c r="J406" s="18" t="s">
        <v>1995</v>
      </c>
      <c r="K406" s="18"/>
      <c r="L406" s="18" t="s">
        <v>162</v>
      </c>
      <c r="M406" s="18" t="s">
        <v>129</v>
      </c>
      <c r="N406" s="18"/>
      <c r="O406" s="18"/>
      <c r="P406" s="18"/>
      <c r="Q406" s="18" t="s">
        <v>149</v>
      </c>
      <c r="R406" s="18" t="s">
        <v>1996</v>
      </c>
      <c r="S406" s="18" t="s">
        <v>133</v>
      </c>
      <c r="T406" s="18" t="s">
        <v>801</v>
      </c>
      <c r="U406" s="18"/>
      <c r="V406" s="19" t="s">
        <v>29</v>
      </c>
      <c r="W406" s="19"/>
      <c r="X406" s="19"/>
      <c r="Y406" s="20"/>
      <c r="Z406" s="19"/>
      <c r="AA406" s="18" t="str">
        <f aca="false">IF(OR(V406="Aprobada"),R406,IF(AND(OR(V406="Aprobada con ajuste",V406="Rechazada"),W406&lt;&gt;""),W406,""))</f>
        <v/>
      </c>
    </row>
    <row r="407" customFormat="false" ht="22.35" hidden="false" customHeight="false" outlineLevel="0" collapsed="false">
      <c r="A407" s="18" t="s">
        <v>1997</v>
      </c>
      <c r="B407" s="18" t="s">
        <v>60</v>
      </c>
      <c r="C407" s="18" t="s">
        <v>61</v>
      </c>
      <c r="D407" s="18" t="s">
        <v>1983</v>
      </c>
      <c r="E407" s="18" t="n">
        <v>0</v>
      </c>
      <c r="F407" s="18" t="s">
        <v>1936</v>
      </c>
      <c r="G407" s="18" t="s">
        <v>1998</v>
      </c>
      <c r="H407" s="18" t="s">
        <v>129</v>
      </c>
      <c r="I407" s="18"/>
      <c r="J407" s="18"/>
      <c r="K407" s="18"/>
      <c r="L407" s="18" t="s">
        <v>129</v>
      </c>
      <c r="M407" s="18" t="s">
        <v>129</v>
      </c>
      <c r="N407" s="18"/>
      <c r="O407" s="18"/>
      <c r="P407" s="18"/>
      <c r="Q407" s="18" t="s">
        <v>149</v>
      </c>
      <c r="R407" s="18" t="s">
        <v>1999</v>
      </c>
      <c r="S407" s="18" t="s">
        <v>140</v>
      </c>
      <c r="T407" s="18" t="s">
        <v>183</v>
      </c>
      <c r="U407" s="18" t="s">
        <v>2000</v>
      </c>
      <c r="V407" s="19" t="s">
        <v>29</v>
      </c>
      <c r="W407" s="19"/>
      <c r="X407" s="19"/>
      <c r="Y407" s="20"/>
      <c r="Z407" s="19"/>
      <c r="AA407" s="18" t="str">
        <f aca="false">IF(OR(V407="Aprobada"),R407,IF(AND(OR(V407="Aprobada con ajuste",V407="Rechazada"),W407&lt;&gt;""),W407,""))</f>
        <v/>
      </c>
    </row>
    <row r="408" customFormat="false" ht="32.8" hidden="false" customHeight="false" outlineLevel="0" collapsed="false">
      <c r="A408" s="18" t="s">
        <v>2001</v>
      </c>
      <c r="B408" s="18" t="s">
        <v>60</v>
      </c>
      <c r="C408" s="18" t="s">
        <v>61</v>
      </c>
      <c r="D408" s="18" t="s">
        <v>1983</v>
      </c>
      <c r="E408" s="18" t="n">
        <v>0</v>
      </c>
      <c r="F408" s="18" t="s">
        <v>2002</v>
      </c>
      <c r="G408" s="18" t="s">
        <v>2003</v>
      </c>
      <c r="H408" s="18" t="s">
        <v>129</v>
      </c>
      <c r="I408" s="18"/>
      <c r="J408" s="18"/>
      <c r="K408" s="18"/>
      <c r="L408" s="18" t="s">
        <v>129</v>
      </c>
      <c r="M408" s="18" t="s">
        <v>129</v>
      </c>
      <c r="N408" s="18"/>
      <c r="O408" s="18"/>
      <c r="P408" s="18"/>
      <c r="Q408" s="18" t="s">
        <v>149</v>
      </c>
      <c r="R408" s="18" t="s">
        <v>2004</v>
      </c>
      <c r="S408" s="18" t="s">
        <v>140</v>
      </c>
      <c r="T408" s="18" t="s">
        <v>2005</v>
      </c>
      <c r="U408" s="18" t="s">
        <v>2006</v>
      </c>
      <c r="V408" s="19" t="s">
        <v>29</v>
      </c>
      <c r="W408" s="19"/>
      <c r="X408" s="19"/>
      <c r="Y408" s="20"/>
      <c r="Z408" s="19"/>
      <c r="AA408" s="18" t="str">
        <f aca="false">IF(OR(V408="Aprobada"),R408,IF(AND(OR(V408="Aprobada con ajuste",V408="Rechazada"),W408&lt;&gt;""),W408,""))</f>
        <v/>
      </c>
    </row>
    <row r="409" customFormat="false" ht="22.35" hidden="false" customHeight="false" outlineLevel="0" collapsed="false">
      <c r="A409" s="18" t="s">
        <v>2007</v>
      </c>
      <c r="B409" s="18" t="s">
        <v>60</v>
      </c>
      <c r="C409" s="18" t="s">
        <v>61</v>
      </c>
      <c r="D409" s="18" t="s">
        <v>1983</v>
      </c>
      <c r="E409" s="18" t="n">
        <v>0</v>
      </c>
      <c r="F409" s="18" t="s">
        <v>2008</v>
      </c>
      <c r="G409" s="18" t="s">
        <v>192</v>
      </c>
      <c r="H409" s="18" t="s">
        <v>129</v>
      </c>
      <c r="I409" s="18"/>
      <c r="J409" s="18"/>
      <c r="K409" s="18"/>
      <c r="L409" s="18" t="s">
        <v>129</v>
      </c>
      <c r="M409" s="18" t="s">
        <v>129</v>
      </c>
      <c r="N409" s="18"/>
      <c r="O409" s="18"/>
      <c r="P409" s="18"/>
      <c r="Q409" s="18" t="s">
        <v>149</v>
      </c>
      <c r="R409" s="18" t="s">
        <v>2009</v>
      </c>
      <c r="S409" s="18" t="s">
        <v>140</v>
      </c>
      <c r="T409" s="18" t="s">
        <v>183</v>
      </c>
      <c r="U409" s="18" t="s">
        <v>2010</v>
      </c>
      <c r="V409" s="19" t="s">
        <v>29</v>
      </c>
      <c r="W409" s="19"/>
      <c r="X409" s="19"/>
      <c r="Y409" s="20"/>
      <c r="Z409" s="19"/>
      <c r="AA409" s="18" t="str">
        <f aca="false">IF(OR(V409="Aprobada"),R409,IF(AND(OR(V409="Aprobada con ajuste",V409="Rechazada"),W409&lt;&gt;""),W409,""))</f>
        <v/>
      </c>
    </row>
    <row r="410" customFormat="false" ht="22.35" hidden="false" customHeight="false" outlineLevel="0" collapsed="false">
      <c r="A410" s="18" t="s">
        <v>2011</v>
      </c>
      <c r="B410" s="18" t="s">
        <v>60</v>
      </c>
      <c r="C410" s="18" t="s">
        <v>61</v>
      </c>
      <c r="D410" s="18" t="s">
        <v>1983</v>
      </c>
      <c r="E410" s="18" t="n">
        <v>0</v>
      </c>
      <c r="F410" s="18" t="s">
        <v>2012</v>
      </c>
      <c r="G410" s="18" t="s">
        <v>192</v>
      </c>
      <c r="H410" s="18" t="s">
        <v>129</v>
      </c>
      <c r="I410" s="18"/>
      <c r="J410" s="18"/>
      <c r="K410" s="18"/>
      <c r="L410" s="18" t="s">
        <v>129</v>
      </c>
      <c r="M410" s="18" t="s">
        <v>129</v>
      </c>
      <c r="N410" s="18"/>
      <c r="O410" s="18"/>
      <c r="P410" s="18"/>
      <c r="Q410" s="18" t="s">
        <v>149</v>
      </c>
      <c r="R410" s="18" t="s">
        <v>2013</v>
      </c>
      <c r="S410" s="18" t="s">
        <v>140</v>
      </c>
      <c r="T410" s="18" t="s">
        <v>183</v>
      </c>
      <c r="U410" s="18" t="s">
        <v>2014</v>
      </c>
      <c r="V410" s="19" t="s">
        <v>29</v>
      </c>
      <c r="W410" s="19"/>
      <c r="X410" s="19"/>
      <c r="Y410" s="20"/>
      <c r="Z410" s="19"/>
      <c r="AA410" s="18" t="str">
        <f aca="false">IF(OR(V410="Aprobada"),R410,IF(AND(OR(V410="Aprobada con ajuste",V410="Rechazada"),W410&lt;&gt;""),W410,""))</f>
        <v/>
      </c>
    </row>
    <row r="411" customFormat="false" ht="22.35" hidden="false" customHeight="false" outlineLevel="0" collapsed="false">
      <c r="A411" s="18" t="s">
        <v>2015</v>
      </c>
      <c r="B411" s="18" t="s">
        <v>60</v>
      </c>
      <c r="C411" s="18" t="s">
        <v>61</v>
      </c>
      <c r="D411" s="18" t="s">
        <v>1983</v>
      </c>
      <c r="E411" s="18" t="n">
        <v>0</v>
      </c>
      <c r="F411" s="18" t="s">
        <v>2016</v>
      </c>
      <c r="G411" s="18" t="s">
        <v>282</v>
      </c>
      <c r="H411" s="18" t="s">
        <v>162</v>
      </c>
      <c r="I411" s="18"/>
      <c r="J411" s="18"/>
      <c r="K411" s="18"/>
      <c r="L411" s="18" t="s">
        <v>129</v>
      </c>
      <c r="M411" s="18" t="s">
        <v>129</v>
      </c>
      <c r="N411" s="18"/>
      <c r="O411" s="18"/>
      <c r="P411" s="18"/>
      <c r="Q411" s="18" t="s">
        <v>138</v>
      </c>
      <c r="R411" s="18" t="s">
        <v>2017</v>
      </c>
      <c r="S411" s="18" t="s">
        <v>140</v>
      </c>
      <c r="T411" s="18" t="s">
        <v>141</v>
      </c>
      <c r="U411" s="18"/>
      <c r="V411" s="19" t="s">
        <v>29</v>
      </c>
      <c r="W411" s="19"/>
      <c r="X411" s="19"/>
      <c r="Y411" s="20"/>
      <c r="Z411" s="19"/>
      <c r="AA411" s="18" t="str">
        <f aca="false">IF(OR(V411="Aprobada"),R411,IF(AND(OR(V411="Aprobada con ajuste",V411="Rechazada"),W411&lt;&gt;""),W411,""))</f>
        <v/>
      </c>
    </row>
    <row r="412" customFormat="false" ht="32.8" hidden="false" customHeight="false" outlineLevel="0" collapsed="false">
      <c r="A412" s="18" t="s">
        <v>2018</v>
      </c>
      <c r="B412" s="18" t="s">
        <v>60</v>
      </c>
      <c r="C412" s="18" t="s">
        <v>61</v>
      </c>
      <c r="D412" s="18" t="s">
        <v>1983</v>
      </c>
      <c r="E412" s="18" t="n">
        <v>0</v>
      </c>
      <c r="F412" s="18" t="s">
        <v>2019</v>
      </c>
      <c r="G412" s="18" t="s">
        <v>584</v>
      </c>
      <c r="H412" s="18" t="s">
        <v>162</v>
      </c>
      <c r="I412" s="18"/>
      <c r="J412" s="18"/>
      <c r="K412" s="18"/>
      <c r="L412" s="18" t="s">
        <v>129</v>
      </c>
      <c r="M412" s="18" t="s">
        <v>129</v>
      </c>
      <c r="N412" s="18"/>
      <c r="O412" s="18"/>
      <c r="P412" s="18" t="s">
        <v>2020</v>
      </c>
      <c r="Q412" s="18" t="s">
        <v>131</v>
      </c>
      <c r="R412" s="18" t="s">
        <v>2021</v>
      </c>
      <c r="S412" s="18" t="s">
        <v>133</v>
      </c>
      <c r="T412" s="18" t="s">
        <v>2022</v>
      </c>
      <c r="U412" s="18"/>
      <c r="V412" s="19" t="s">
        <v>29</v>
      </c>
      <c r="W412" s="19"/>
      <c r="X412" s="19"/>
      <c r="Y412" s="20"/>
      <c r="Z412" s="19"/>
      <c r="AA412" s="18" t="str">
        <f aca="false">IF(OR(V412="Aprobada"),R412,IF(AND(OR(V412="Aprobada con ajuste",V412="Rechazada"),W412&lt;&gt;""),W412,""))</f>
        <v/>
      </c>
    </row>
    <row r="413" customFormat="false" ht="22.35" hidden="false" customHeight="false" outlineLevel="0" collapsed="false">
      <c r="A413" s="18" t="s">
        <v>2023</v>
      </c>
      <c r="B413" s="18" t="s">
        <v>60</v>
      </c>
      <c r="C413" s="18" t="s">
        <v>61</v>
      </c>
      <c r="D413" s="18" t="s">
        <v>1983</v>
      </c>
      <c r="E413" s="18" t="n">
        <v>0</v>
      </c>
      <c r="F413" s="18" t="s">
        <v>2024</v>
      </c>
      <c r="G413" s="18" t="s">
        <v>584</v>
      </c>
      <c r="H413" s="18" t="s">
        <v>129</v>
      </c>
      <c r="I413" s="18"/>
      <c r="J413" s="18"/>
      <c r="K413" s="18"/>
      <c r="L413" s="18" t="s">
        <v>129</v>
      </c>
      <c r="M413" s="18" t="s">
        <v>129</v>
      </c>
      <c r="N413" s="18"/>
      <c r="O413" s="18"/>
      <c r="P413" s="18"/>
      <c r="Q413" s="18" t="s">
        <v>149</v>
      </c>
      <c r="R413" s="18" t="s">
        <v>2025</v>
      </c>
      <c r="S413" s="18" t="s">
        <v>133</v>
      </c>
      <c r="T413" s="18" t="s">
        <v>2026</v>
      </c>
      <c r="U413" s="18"/>
      <c r="V413" s="19" t="s">
        <v>29</v>
      </c>
      <c r="W413" s="19"/>
      <c r="X413" s="19"/>
      <c r="Y413" s="20"/>
      <c r="Z413" s="19"/>
      <c r="AA413" s="18" t="str">
        <f aca="false">IF(OR(V413="Aprobada"),R413,IF(AND(OR(V413="Aprobada con ajuste",V413="Rechazada"),W413&lt;&gt;""),W413,""))</f>
        <v/>
      </c>
    </row>
    <row r="414" customFormat="false" ht="22.35" hidden="false" customHeight="false" outlineLevel="0" collapsed="false">
      <c r="A414" s="18" t="s">
        <v>2027</v>
      </c>
      <c r="B414" s="18" t="s">
        <v>60</v>
      </c>
      <c r="C414" s="18" t="s">
        <v>61</v>
      </c>
      <c r="D414" s="18" t="s">
        <v>1983</v>
      </c>
      <c r="E414" s="18" t="n">
        <v>0</v>
      </c>
      <c r="F414" s="18" t="s">
        <v>2028</v>
      </c>
      <c r="G414" s="18" t="s">
        <v>584</v>
      </c>
      <c r="H414" s="18" t="s">
        <v>129</v>
      </c>
      <c r="I414" s="18"/>
      <c r="J414" s="18"/>
      <c r="K414" s="18"/>
      <c r="L414" s="18" t="s">
        <v>129</v>
      </c>
      <c r="M414" s="18" t="s">
        <v>129</v>
      </c>
      <c r="N414" s="18"/>
      <c r="O414" s="18"/>
      <c r="P414" s="18"/>
      <c r="Q414" s="18" t="s">
        <v>138</v>
      </c>
      <c r="R414" s="18" t="s">
        <v>2029</v>
      </c>
      <c r="S414" s="18" t="s">
        <v>140</v>
      </c>
      <c r="T414" s="18" t="s">
        <v>141</v>
      </c>
      <c r="U414" s="18"/>
      <c r="V414" s="19" t="s">
        <v>29</v>
      </c>
      <c r="W414" s="19"/>
      <c r="X414" s="19"/>
      <c r="Y414" s="20"/>
      <c r="Z414" s="19"/>
      <c r="AA414" s="18" t="str">
        <f aca="false">IF(OR(V414="Aprobada"),R414,IF(AND(OR(V414="Aprobada con ajuste",V414="Rechazada"),W414&lt;&gt;""),W414,""))</f>
        <v/>
      </c>
    </row>
    <row r="415" customFormat="false" ht="22.35" hidden="false" customHeight="false" outlineLevel="0" collapsed="false">
      <c r="A415" s="18" t="s">
        <v>2030</v>
      </c>
      <c r="B415" s="18" t="s">
        <v>60</v>
      </c>
      <c r="C415" s="18" t="s">
        <v>61</v>
      </c>
      <c r="D415" s="18" t="s">
        <v>1983</v>
      </c>
      <c r="E415" s="18" t="n">
        <v>0</v>
      </c>
      <c r="F415" s="18" t="s">
        <v>2031</v>
      </c>
      <c r="G415" s="18" t="s">
        <v>288</v>
      </c>
      <c r="H415" s="18" t="s">
        <v>162</v>
      </c>
      <c r="I415" s="18"/>
      <c r="J415" s="18"/>
      <c r="K415" s="18"/>
      <c r="L415" s="18" t="s">
        <v>129</v>
      </c>
      <c r="M415" s="18" t="s">
        <v>129</v>
      </c>
      <c r="N415" s="18"/>
      <c r="O415" s="18"/>
      <c r="P415" s="18"/>
      <c r="Q415" s="18" t="s">
        <v>149</v>
      </c>
      <c r="R415" s="18" t="s">
        <v>2032</v>
      </c>
      <c r="S415" s="18" t="s">
        <v>242</v>
      </c>
      <c r="T415" s="18" t="s">
        <v>2033</v>
      </c>
      <c r="U415" s="18" t="s">
        <v>2034</v>
      </c>
      <c r="V415" s="19" t="s">
        <v>29</v>
      </c>
      <c r="W415" s="19"/>
      <c r="X415" s="19"/>
      <c r="Y415" s="20"/>
      <c r="Z415" s="19"/>
      <c r="AA415" s="18" t="str">
        <f aca="false">IF(OR(V415="Aprobada"),R415,IF(AND(OR(V415="Aprobada con ajuste",V415="Rechazada"),W415&lt;&gt;""),W415,""))</f>
        <v/>
      </c>
    </row>
    <row r="416" customFormat="false" ht="22.35" hidden="false" customHeight="false" outlineLevel="0" collapsed="false">
      <c r="A416" s="18" t="s">
        <v>2035</v>
      </c>
      <c r="B416" s="18" t="s">
        <v>60</v>
      </c>
      <c r="C416" s="18" t="s">
        <v>61</v>
      </c>
      <c r="D416" s="18" t="s">
        <v>1983</v>
      </c>
      <c r="E416" s="18" t="n">
        <v>0</v>
      </c>
      <c r="F416" s="18" t="s">
        <v>2036</v>
      </c>
      <c r="G416" s="18" t="s">
        <v>128</v>
      </c>
      <c r="H416" s="18" t="s">
        <v>162</v>
      </c>
      <c r="I416" s="18"/>
      <c r="J416" s="18"/>
      <c r="K416" s="18"/>
      <c r="L416" s="18" t="s">
        <v>129</v>
      </c>
      <c r="M416" s="18" t="s">
        <v>129</v>
      </c>
      <c r="N416" s="18"/>
      <c r="O416" s="18"/>
      <c r="P416" s="18"/>
      <c r="Q416" s="18" t="s">
        <v>149</v>
      </c>
      <c r="R416" s="18" t="s">
        <v>2037</v>
      </c>
      <c r="S416" s="18" t="s">
        <v>140</v>
      </c>
      <c r="T416" s="18" t="s">
        <v>2038</v>
      </c>
      <c r="U416" s="18" t="s">
        <v>2039</v>
      </c>
      <c r="V416" s="19" t="s">
        <v>29</v>
      </c>
      <c r="W416" s="19"/>
      <c r="X416" s="19"/>
      <c r="Y416" s="20"/>
      <c r="Z416" s="19"/>
      <c r="AA416" s="18" t="str">
        <f aca="false">IF(OR(V416="Aprobada"),R416,IF(AND(OR(V416="Aprobada con ajuste",V416="Rechazada"),W416&lt;&gt;""),W416,""))</f>
        <v/>
      </c>
    </row>
    <row r="417" customFormat="false" ht="22.35" hidden="false" customHeight="false" outlineLevel="0" collapsed="false">
      <c r="A417" s="18" t="s">
        <v>2040</v>
      </c>
      <c r="B417" s="18" t="s">
        <v>60</v>
      </c>
      <c r="C417" s="18" t="s">
        <v>61</v>
      </c>
      <c r="D417" s="18" t="s">
        <v>1983</v>
      </c>
      <c r="E417" s="18" t="n">
        <v>0</v>
      </c>
      <c r="F417" s="18" t="s">
        <v>2041</v>
      </c>
      <c r="G417" s="18" t="s">
        <v>128</v>
      </c>
      <c r="H417" s="18" t="s">
        <v>162</v>
      </c>
      <c r="I417" s="18"/>
      <c r="J417" s="18"/>
      <c r="K417" s="18"/>
      <c r="L417" s="18" t="s">
        <v>129</v>
      </c>
      <c r="M417" s="18" t="s">
        <v>129</v>
      </c>
      <c r="N417" s="18"/>
      <c r="O417" s="18"/>
      <c r="P417" s="18"/>
      <c r="Q417" s="18" t="s">
        <v>149</v>
      </c>
      <c r="R417" s="18" t="s">
        <v>2042</v>
      </c>
      <c r="S417" s="18" t="s">
        <v>140</v>
      </c>
      <c r="T417" s="18" t="s">
        <v>2043</v>
      </c>
      <c r="U417" s="18" t="s">
        <v>2044</v>
      </c>
      <c r="V417" s="19" t="s">
        <v>29</v>
      </c>
      <c r="W417" s="19"/>
      <c r="X417" s="19"/>
      <c r="Y417" s="20"/>
      <c r="Z417" s="19"/>
      <c r="AA417" s="18" t="str">
        <f aca="false">IF(OR(V417="Aprobada"),R417,IF(AND(OR(V417="Aprobada con ajuste",V417="Rechazada"),W417&lt;&gt;""),W417,""))</f>
        <v/>
      </c>
    </row>
    <row r="418" customFormat="false" ht="32.8" hidden="false" customHeight="false" outlineLevel="0" collapsed="false">
      <c r="A418" s="18" t="s">
        <v>2045</v>
      </c>
      <c r="B418" s="18" t="s">
        <v>60</v>
      </c>
      <c r="C418" s="18" t="s">
        <v>61</v>
      </c>
      <c r="D418" s="18" t="s">
        <v>2046</v>
      </c>
      <c r="E418" s="18" t="n">
        <v>814</v>
      </c>
      <c r="F418" s="18" t="s">
        <v>1604</v>
      </c>
      <c r="G418" s="18" t="s">
        <v>128</v>
      </c>
      <c r="H418" s="18" t="s">
        <v>129</v>
      </c>
      <c r="I418" s="18"/>
      <c r="J418" s="18"/>
      <c r="K418" s="18"/>
      <c r="L418" s="18" t="s">
        <v>129</v>
      </c>
      <c r="M418" s="18" t="s">
        <v>129</v>
      </c>
      <c r="N418" s="18"/>
      <c r="O418" s="18" t="s">
        <v>2047</v>
      </c>
      <c r="P418" s="18" t="s">
        <v>2048</v>
      </c>
      <c r="Q418" s="18" t="s">
        <v>149</v>
      </c>
      <c r="R418" s="18" t="s">
        <v>2049</v>
      </c>
      <c r="S418" s="18" t="s">
        <v>133</v>
      </c>
      <c r="T418" s="18" t="s">
        <v>2050</v>
      </c>
      <c r="U418" s="18"/>
      <c r="V418" s="19" t="s">
        <v>29</v>
      </c>
      <c r="W418" s="19"/>
      <c r="X418" s="19"/>
      <c r="Y418" s="20"/>
      <c r="Z418" s="19"/>
      <c r="AA418" s="18" t="str">
        <f aca="false">IF(OR(V418="Aprobada"),R418,IF(AND(OR(V418="Aprobada con ajuste",V418="Rechazada"),W418&lt;&gt;""),W418,""))</f>
        <v/>
      </c>
    </row>
    <row r="419" customFormat="false" ht="32.8" hidden="false" customHeight="false" outlineLevel="0" collapsed="false">
      <c r="A419" s="18" t="s">
        <v>2051</v>
      </c>
      <c r="B419" s="18" t="s">
        <v>60</v>
      </c>
      <c r="C419" s="18" t="s">
        <v>61</v>
      </c>
      <c r="D419" s="18" t="s">
        <v>2046</v>
      </c>
      <c r="E419" s="18" t="n">
        <v>814</v>
      </c>
      <c r="F419" s="18" t="s">
        <v>2052</v>
      </c>
      <c r="G419" s="18" t="s">
        <v>128</v>
      </c>
      <c r="H419" s="18" t="s">
        <v>129</v>
      </c>
      <c r="I419" s="18"/>
      <c r="J419" s="18"/>
      <c r="K419" s="18"/>
      <c r="L419" s="18" t="s">
        <v>129</v>
      </c>
      <c r="M419" s="18" t="s">
        <v>129</v>
      </c>
      <c r="N419" s="18"/>
      <c r="O419" s="18" t="s">
        <v>2053</v>
      </c>
      <c r="P419" s="18" t="s">
        <v>2054</v>
      </c>
      <c r="Q419" s="18" t="s">
        <v>149</v>
      </c>
      <c r="R419" s="18" t="s">
        <v>2055</v>
      </c>
      <c r="S419" s="18" t="s">
        <v>140</v>
      </c>
      <c r="T419" s="18" t="s">
        <v>2056</v>
      </c>
      <c r="U419" s="18" t="s">
        <v>2057</v>
      </c>
      <c r="V419" s="19" t="s">
        <v>29</v>
      </c>
      <c r="W419" s="19"/>
      <c r="X419" s="19"/>
      <c r="Y419" s="20"/>
      <c r="Z419" s="19"/>
      <c r="AA419" s="18" t="str">
        <f aca="false">IF(OR(V419="Aprobada"),R419,IF(AND(OR(V419="Aprobada con ajuste",V419="Rechazada"),W419&lt;&gt;""),W419,""))</f>
        <v/>
      </c>
    </row>
    <row r="420" customFormat="false" ht="32.8" hidden="false" customHeight="false" outlineLevel="0" collapsed="false">
      <c r="A420" s="18" t="s">
        <v>2058</v>
      </c>
      <c r="B420" s="18" t="s">
        <v>60</v>
      </c>
      <c r="C420" s="18" t="s">
        <v>61</v>
      </c>
      <c r="D420" s="18" t="s">
        <v>2046</v>
      </c>
      <c r="E420" s="18" t="n">
        <v>814</v>
      </c>
      <c r="F420" s="18" t="s">
        <v>2059</v>
      </c>
      <c r="G420" s="18" t="s">
        <v>128</v>
      </c>
      <c r="H420" s="18" t="s">
        <v>129</v>
      </c>
      <c r="I420" s="18"/>
      <c r="J420" s="18"/>
      <c r="K420" s="18"/>
      <c r="L420" s="18" t="s">
        <v>129</v>
      </c>
      <c r="M420" s="18" t="s">
        <v>129</v>
      </c>
      <c r="N420" s="18"/>
      <c r="O420" s="18"/>
      <c r="P420" s="18" t="s">
        <v>2060</v>
      </c>
      <c r="Q420" s="18" t="s">
        <v>149</v>
      </c>
      <c r="R420" s="18" t="s">
        <v>2061</v>
      </c>
      <c r="S420" s="18" t="s">
        <v>140</v>
      </c>
      <c r="T420" s="18" t="s">
        <v>2062</v>
      </c>
      <c r="U420" s="18" t="s">
        <v>2057</v>
      </c>
      <c r="V420" s="19" t="s">
        <v>29</v>
      </c>
      <c r="W420" s="19"/>
      <c r="X420" s="19"/>
      <c r="Y420" s="20"/>
      <c r="Z420" s="19"/>
      <c r="AA420" s="18" t="str">
        <f aca="false">IF(OR(V420="Aprobada"),R420,IF(AND(OR(V420="Aprobada con ajuste",V420="Rechazada"),W420&lt;&gt;""),W420,""))</f>
        <v/>
      </c>
    </row>
    <row r="421" customFormat="false" ht="53.7" hidden="false" customHeight="false" outlineLevel="0" collapsed="false">
      <c r="A421" s="18" t="s">
        <v>2063</v>
      </c>
      <c r="B421" s="18" t="s">
        <v>60</v>
      </c>
      <c r="C421" s="18" t="s">
        <v>61</v>
      </c>
      <c r="D421" s="18" t="s">
        <v>2046</v>
      </c>
      <c r="E421" s="18" t="n">
        <v>814</v>
      </c>
      <c r="F421" s="18" t="s">
        <v>185</v>
      </c>
      <c r="G421" s="18" t="s">
        <v>128</v>
      </c>
      <c r="H421" s="18" t="s">
        <v>129</v>
      </c>
      <c r="I421" s="18"/>
      <c r="J421" s="18"/>
      <c r="K421" s="18"/>
      <c r="L421" s="18" t="s">
        <v>129</v>
      </c>
      <c r="M421" s="18" t="s">
        <v>162</v>
      </c>
      <c r="N421" s="18" t="s">
        <v>2064</v>
      </c>
      <c r="O421" s="18"/>
      <c r="P421" s="18" t="s">
        <v>2065</v>
      </c>
      <c r="Q421" s="18" t="s">
        <v>138</v>
      </c>
      <c r="R421" s="18" t="s">
        <v>2066</v>
      </c>
      <c r="S421" s="18" t="s">
        <v>140</v>
      </c>
      <c r="T421" s="18" t="s">
        <v>141</v>
      </c>
      <c r="U421" s="18"/>
      <c r="V421" s="19" t="s">
        <v>29</v>
      </c>
      <c r="W421" s="19"/>
      <c r="X421" s="19"/>
      <c r="Y421" s="20"/>
      <c r="Z421" s="19"/>
      <c r="AA421" s="18" t="str">
        <f aca="false">IF(OR(V421="Aprobada"),R421,IF(AND(OR(V421="Aprobada con ajuste",V421="Rechazada"),W421&lt;&gt;""),W421,""))</f>
        <v/>
      </c>
    </row>
    <row r="422" customFormat="false" ht="32.8" hidden="false" customHeight="false" outlineLevel="0" collapsed="false">
      <c r="A422" s="18" t="s">
        <v>2067</v>
      </c>
      <c r="B422" s="18" t="s">
        <v>60</v>
      </c>
      <c r="C422" s="18" t="s">
        <v>61</v>
      </c>
      <c r="D422" s="18" t="s">
        <v>2046</v>
      </c>
      <c r="E422" s="18" t="n">
        <v>814</v>
      </c>
      <c r="F422" s="18" t="s">
        <v>2068</v>
      </c>
      <c r="G422" s="18" t="s">
        <v>128</v>
      </c>
      <c r="H422" s="18" t="s">
        <v>162</v>
      </c>
      <c r="I422" s="18"/>
      <c r="J422" s="18"/>
      <c r="K422" s="18"/>
      <c r="L422" s="18" t="s">
        <v>129</v>
      </c>
      <c r="M422" s="18" t="s">
        <v>129</v>
      </c>
      <c r="N422" s="18"/>
      <c r="O422" s="18" t="s">
        <v>2069</v>
      </c>
      <c r="P422" s="18" t="s">
        <v>2070</v>
      </c>
      <c r="Q422" s="18" t="s">
        <v>149</v>
      </c>
      <c r="R422" s="18" t="s">
        <v>2071</v>
      </c>
      <c r="S422" s="18" t="s">
        <v>140</v>
      </c>
      <c r="T422" s="18" t="s">
        <v>2050</v>
      </c>
      <c r="U422" s="18" t="s">
        <v>2072</v>
      </c>
      <c r="V422" s="19" t="s">
        <v>29</v>
      </c>
      <c r="W422" s="19"/>
      <c r="X422" s="19"/>
      <c r="Y422" s="20"/>
      <c r="Z422" s="19"/>
      <c r="AA422" s="18" t="str">
        <f aca="false">IF(OR(V422="Aprobada"),R422,IF(AND(OR(V422="Aprobada con ajuste",V422="Rechazada"),W422&lt;&gt;""),W422,""))</f>
        <v/>
      </c>
    </row>
    <row r="423" customFormat="false" ht="32.8" hidden="false" customHeight="false" outlineLevel="0" collapsed="false">
      <c r="A423" s="18" t="s">
        <v>2073</v>
      </c>
      <c r="B423" s="18" t="s">
        <v>60</v>
      </c>
      <c r="C423" s="18" t="s">
        <v>61</v>
      </c>
      <c r="D423" s="18" t="s">
        <v>2046</v>
      </c>
      <c r="E423" s="18" t="n">
        <v>814</v>
      </c>
      <c r="F423" s="18" t="s">
        <v>2074</v>
      </c>
      <c r="G423" s="18" t="s">
        <v>503</v>
      </c>
      <c r="H423" s="18" t="s">
        <v>129</v>
      </c>
      <c r="I423" s="18"/>
      <c r="J423" s="18"/>
      <c r="K423" s="18"/>
      <c r="L423" s="18" t="s">
        <v>129</v>
      </c>
      <c r="M423" s="18" t="s">
        <v>129</v>
      </c>
      <c r="N423" s="18"/>
      <c r="O423" s="18"/>
      <c r="P423" s="18" t="s">
        <v>2075</v>
      </c>
      <c r="Q423" s="18" t="s">
        <v>149</v>
      </c>
      <c r="R423" s="18" t="s">
        <v>2076</v>
      </c>
      <c r="S423" s="18" t="s">
        <v>140</v>
      </c>
      <c r="T423" s="18" t="s">
        <v>2077</v>
      </c>
      <c r="U423" s="18" t="s">
        <v>2078</v>
      </c>
      <c r="V423" s="19" t="s">
        <v>29</v>
      </c>
      <c r="W423" s="19"/>
      <c r="X423" s="19"/>
      <c r="Y423" s="20"/>
      <c r="Z423" s="19"/>
      <c r="AA423" s="18" t="str">
        <f aca="false">IF(OR(V423="Aprobada"),R423,IF(AND(OR(V423="Aprobada con ajuste",V423="Rechazada"),W423&lt;&gt;""),W423,""))</f>
        <v/>
      </c>
    </row>
    <row r="424" customFormat="false" ht="32.8" hidden="false" customHeight="false" outlineLevel="0" collapsed="false">
      <c r="A424" s="18" t="s">
        <v>2079</v>
      </c>
      <c r="B424" s="18" t="s">
        <v>60</v>
      </c>
      <c r="C424" s="18" t="s">
        <v>61</v>
      </c>
      <c r="D424" s="18" t="s">
        <v>2046</v>
      </c>
      <c r="E424" s="18" t="n">
        <v>814</v>
      </c>
      <c r="F424" s="18" t="s">
        <v>2080</v>
      </c>
      <c r="G424" s="18" t="s">
        <v>128</v>
      </c>
      <c r="H424" s="18" t="s">
        <v>162</v>
      </c>
      <c r="I424" s="18"/>
      <c r="J424" s="18"/>
      <c r="K424" s="18"/>
      <c r="L424" s="18" t="s">
        <v>129</v>
      </c>
      <c r="M424" s="18" t="s">
        <v>129</v>
      </c>
      <c r="N424" s="18"/>
      <c r="O424" s="18"/>
      <c r="P424" s="18" t="s">
        <v>2081</v>
      </c>
      <c r="Q424" s="18" t="s">
        <v>149</v>
      </c>
      <c r="R424" s="18" t="s">
        <v>2082</v>
      </c>
      <c r="S424" s="18" t="s">
        <v>133</v>
      </c>
      <c r="T424" s="18" t="s">
        <v>275</v>
      </c>
      <c r="U424" s="18"/>
      <c r="V424" s="19" t="s">
        <v>29</v>
      </c>
      <c r="W424" s="19"/>
      <c r="X424" s="19"/>
      <c r="Y424" s="20"/>
      <c r="Z424" s="19"/>
      <c r="AA424" s="18" t="str">
        <f aca="false">IF(OR(V424="Aprobada"),R424,IF(AND(OR(V424="Aprobada con ajuste",V424="Rechazada"),W424&lt;&gt;""),W424,""))</f>
        <v/>
      </c>
    </row>
    <row r="425" customFormat="false" ht="32.8" hidden="false" customHeight="false" outlineLevel="0" collapsed="false">
      <c r="A425" s="18" t="s">
        <v>2083</v>
      </c>
      <c r="B425" s="18" t="s">
        <v>60</v>
      </c>
      <c r="C425" s="18" t="s">
        <v>61</v>
      </c>
      <c r="D425" s="18" t="s">
        <v>2046</v>
      </c>
      <c r="E425" s="18" t="n">
        <v>814</v>
      </c>
      <c r="F425" s="18" t="s">
        <v>2084</v>
      </c>
      <c r="G425" s="18" t="s">
        <v>503</v>
      </c>
      <c r="H425" s="18" t="s">
        <v>162</v>
      </c>
      <c r="I425" s="18"/>
      <c r="J425" s="18"/>
      <c r="K425" s="18"/>
      <c r="L425" s="18" t="s">
        <v>129</v>
      </c>
      <c r="M425" s="18" t="s">
        <v>129</v>
      </c>
      <c r="N425" s="18"/>
      <c r="O425" s="18"/>
      <c r="P425" s="18" t="s">
        <v>2085</v>
      </c>
      <c r="Q425" s="18" t="s">
        <v>149</v>
      </c>
      <c r="R425" s="18" t="s">
        <v>2086</v>
      </c>
      <c r="S425" s="18" t="s">
        <v>140</v>
      </c>
      <c r="T425" s="18" t="s">
        <v>2087</v>
      </c>
      <c r="U425" s="18" t="s">
        <v>2088</v>
      </c>
      <c r="V425" s="19" t="s">
        <v>29</v>
      </c>
      <c r="W425" s="19"/>
      <c r="X425" s="19"/>
      <c r="Y425" s="20"/>
      <c r="Z425" s="19"/>
      <c r="AA425" s="18" t="str">
        <f aca="false">IF(OR(V425="Aprobada"),R425,IF(AND(OR(V425="Aprobada con ajuste",V425="Rechazada"),W425&lt;&gt;""),W425,""))</f>
        <v/>
      </c>
    </row>
    <row r="426" customFormat="false" ht="32.8" hidden="false" customHeight="false" outlineLevel="0" collapsed="false">
      <c r="A426" s="18" t="s">
        <v>2089</v>
      </c>
      <c r="B426" s="18" t="s">
        <v>60</v>
      </c>
      <c r="C426" s="18" t="s">
        <v>61</v>
      </c>
      <c r="D426" s="18" t="s">
        <v>2046</v>
      </c>
      <c r="E426" s="18" t="n">
        <v>814</v>
      </c>
      <c r="F426" s="18" t="s">
        <v>2090</v>
      </c>
      <c r="G426" s="18" t="s">
        <v>128</v>
      </c>
      <c r="H426" s="18" t="s">
        <v>162</v>
      </c>
      <c r="I426" s="18"/>
      <c r="J426" s="18"/>
      <c r="K426" s="18"/>
      <c r="L426" s="18" t="s">
        <v>129</v>
      </c>
      <c r="M426" s="18" t="s">
        <v>129</v>
      </c>
      <c r="N426" s="18"/>
      <c r="O426" s="18"/>
      <c r="P426" s="18" t="s">
        <v>2091</v>
      </c>
      <c r="Q426" s="18" t="s">
        <v>149</v>
      </c>
      <c r="R426" s="18" t="s">
        <v>2092</v>
      </c>
      <c r="S426" s="18" t="s">
        <v>133</v>
      </c>
      <c r="T426" s="18" t="s">
        <v>2093</v>
      </c>
      <c r="U426" s="18"/>
      <c r="V426" s="19" t="s">
        <v>29</v>
      </c>
      <c r="W426" s="19"/>
      <c r="X426" s="19"/>
      <c r="Y426" s="20"/>
      <c r="Z426" s="19"/>
      <c r="AA426" s="18" t="str">
        <f aca="false">IF(OR(V426="Aprobada"),R426,IF(AND(OR(V426="Aprobada con ajuste",V426="Rechazada"),W426&lt;&gt;""),W426,""))</f>
        <v/>
      </c>
    </row>
    <row r="427" customFormat="false" ht="32.8" hidden="false" customHeight="false" outlineLevel="0" collapsed="false">
      <c r="A427" s="18" t="s">
        <v>2094</v>
      </c>
      <c r="B427" s="18" t="s">
        <v>60</v>
      </c>
      <c r="C427" s="18" t="s">
        <v>61</v>
      </c>
      <c r="D427" s="18" t="s">
        <v>2046</v>
      </c>
      <c r="E427" s="18" t="n">
        <v>814</v>
      </c>
      <c r="F427" s="18" t="s">
        <v>2095</v>
      </c>
      <c r="G427" s="18" t="s">
        <v>128</v>
      </c>
      <c r="H427" s="18" t="s">
        <v>162</v>
      </c>
      <c r="I427" s="18"/>
      <c r="J427" s="18"/>
      <c r="K427" s="18"/>
      <c r="L427" s="18" t="s">
        <v>129</v>
      </c>
      <c r="M427" s="18" t="s">
        <v>129</v>
      </c>
      <c r="N427" s="18"/>
      <c r="O427" s="18"/>
      <c r="P427" s="18" t="s">
        <v>2096</v>
      </c>
      <c r="Q427" s="18" t="s">
        <v>149</v>
      </c>
      <c r="R427" s="18" t="s">
        <v>2097</v>
      </c>
      <c r="S427" s="18" t="s">
        <v>133</v>
      </c>
      <c r="T427" s="18" t="s">
        <v>2098</v>
      </c>
      <c r="U427" s="18"/>
      <c r="V427" s="19" t="s">
        <v>29</v>
      </c>
      <c r="W427" s="19"/>
      <c r="X427" s="19"/>
      <c r="Y427" s="20"/>
      <c r="Z427" s="19"/>
      <c r="AA427" s="18" t="str">
        <f aca="false">IF(OR(V427="Aprobada"),R427,IF(AND(OR(V427="Aprobada con ajuste",V427="Rechazada"),W427&lt;&gt;""),W427,""))</f>
        <v/>
      </c>
    </row>
    <row r="428" customFormat="false" ht="32.8" hidden="false" customHeight="false" outlineLevel="0" collapsed="false">
      <c r="A428" s="18" t="s">
        <v>2099</v>
      </c>
      <c r="B428" s="18" t="s">
        <v>60</v>
      </c>
      <c r="C428" s="18" t="s">
        <v>61</v>
      </c>
      <c r="D428" s="18" t="s">
        <v>2046</v>
      </c>
      <c r="E428" s="18" t="n">
        <v>814</v>
      </c>
      <c r="F428" s="18" t="s">
        <v>2100</v>
      </c>
      <c r="G428" s="18" t="s">
        <v>128</v>
      </c>
      <c r="H428" s="18" t="s">
        <v>162</v>
      </c>
      <c r="I428" s="18"/>
      <c r="J428" s="18"/>
      <c r="K428" s="18"/>
      <c r="L428" s="18" t="s">
        <v>129</v>
      </c>
      <c r="M428" s="18" t="s">
        <v>129</v>
      </c>
      <c r="N428" s="18"/>
      <c r="O428" s="18" t="s">
        <v>2101</v>
      </c>
      <c r="P428" s="18" t="s">
        <v>2102</v>
      </c>
      <c r="Q428" s="18" t="s">
        <v>149</v>
      </c>
      <c r="R428" s="18" t="s">
        <v>2103</v>
      </c>
      <c r="S428" s="18" t="s">
        <v>140</v>
      </c>
      <c r="T428" s="18" t="s">
        <v>2050</v>
      </c>
      <c r="U428" s="18" t="s">
        <v>2104</v>
      </c>
      <c r="V428" s="19" t="s">
        <v>29</v>
      </c>
      <c r="W428" s="19"/>
      <c r="X428" s="19"/>
      <c r="Y428" s="20"/>
      <c r="Z428" s="19"/>
      <c r="AA428" s="18" t="str">
        <f aca="false">IF(OR(V428="Aprobada"),R428,IF(AND(OR(V428="Aprobada con ajuste",V428="Rechazada"),W428&lt;&gt;""),W428,""))</f>
        <v/>
      </c>
    </row>
    <row r="429" customFormat="false" ht="32.8" hidden="false" customHeight="false" outlineLevel="0" collapsed="false">
      <c r="A429" s="18" t="s">
        <v>2105</v>
      </c>
      <c r="B429" s="18" t="s">
        <v>60</v>
      </c>
      <c r="C429" s="18" t="s">
        <v>61</v>
      </c>
      <c r="D429" s="18" t="s">
        <v>2046</v>
      </c>
      <c r="E429" s="18" t="n">
        <v>814</v>
      </c>
      <c r="F429" s="18" t="s">
        <v>2106</v>
      </c>
      <c r="G429" s="18" t="s">
        <v>128</v>
      </c>
      <c r="H429" s="18" t="s">
        <v>162</v>
      </c>
      <c r="I429" s="18"/>
      <c r="J429" s="18"/>
      <c r="K429" s="18"/>
      <c r="L429" s="18" t="s">
        <v>129</v>
      </c>
      <c r="M429" s="18" t="s">
        <v>129</v>
      </c>
      <c r="N429" s="18"/>
      <c r="O429" s="18" t="s">
        <v>2107</v>
      </c>
      <c r="P429" s="18" t="s">
        <v>2108</v>
      </c>
      <c r="Q429" s="18" t="s">
        <v>149</v>
      </c>
      <c r="R429" s="18" t="s">
        <v>2109</v>
      </c>
      <c r="S429" s="18" t="s">
        <v>140</v>
      </c>
      <c r="T429" s="18" t="s">
        <v>2110</v>
      </c>
      <c r="U429" s="18" t="s">
        <v>2111</v>
      </c>
      <c r="V429" s="19" t="s">
        <v>29</v>
      </c>
      <c r="W429" s="19"/>
      <c r="X429" s="19"/>
      <c r="Y429" s="20"/>
      <c r="Z429" s="19"/>
      <c r="AA429" s="18" t="str">
        <f aca="false">IF(OR(V429="Aprobada"),R429,IF(AND(OR(V429="Aprobada con ajuste",V429="Rechazada"),W429&lt;&gt;""),W429,""))</f>
        <v/>
      </c>
    </row>
    <row r="430" customFormat="false" ht="32.8" hidden="false" customHeight="false" outlineLevel="0" collapsed="false">
      <c r="A430" s="18" t="s">
        <v>2112</v>
      </c>
      <c r="B430" s="18" t="s">
        <v>60</v>
      </c>
      <c r="C430" s="18" t="s">
        <v>61</v>
      </c>
      <c r="D430" s="18" t="s">
        <v>2046</v>
      </c>
      <c r="E430" s="18" t="n">
        <v>814</v>
      </c>
      <c r="F430" s="18" t="s">
        <v>2113</v>
      </c>
      <c r="G430" s="18" t="s">
        <v>128</v>
      </c>
      <c r="H430" s="18" t="s">
        <v>162</v>
      </c>
      <c r="I430" s="18"/>
      <c r="J430" s="18"/>
      <c r="K430" s="18"/>
      <c r="L430" s="18" t="s">
        <v>129</v>
      </c>
      <c r="M430" s="18" t="s">
        <v>129</v>
      </c>
      <c r="N430" s="18"/>
      <c r="O430" s="18"/>
      <c r="P430" s="18" t="s">
        <v>2114</v>
      </c>
      <c r="Q430" s="18" t="s">
        <v>149</v>
      </c>
      <c r="R430" s="18" t="s">
        <v>2115</v>
      </c>
      <c r="S430" s="18" t="s">
        <v>242</v>
      </c>
      <c r="T430" s="18" t="s">
        <v>2116</v>
      </c>
      <c r="U430" s="18" t="s">
        <v>2117</v>
      </c>
      <c r="V430" s="19" t="s">
        <v>29</v>
      </c>
      <c r="W430" s="19"/>
      <c r="X430" s="19"/>
      <c r="Y430" s="20"/>
      <c r="Z430" s="19"/>
      <c r="AA430" s="18" t="str">
        <f aca="false">IF(OR(V430="Aprobada"),R430,IF(AND(OR(V430="Aprobada con ajuste",V430="Rechazada"),W430&lt;&gt;""),W430,""))</f>
        <v/>
      </c>
    </row>
    <row r="431" customFormat="false" ht="32.8" hidden="false" customHeight="false" outlineLevel="0" collapsed="false">
      <c r="A431" s="18" t="s">
        <v>2118</v>
      </c>
      <c r="B431" s="18" t="s">
        <v>60</v>
      </c>
      <c r="C431" s="18" t="s">
        <v>61</v>
      </c>
      <c r="D431" s="18" t="s">
        <v>2046</v>
      </c>
      <c r="E431" s="18" t="n">
        <v>814</v>
      </c>
      <c r="F431" s="18" t="s">
        <v>2119</v>
      </c>
      <c r="G431" s="18" t="s">
        <v>128</v>
      </c>
      <c r="H431" s="18" t="s">
        <v>162</v>
      </c>
      <c r="I431" s="18"/>
      <c r="J431" s="18"/>
      <c r="K431" s="18"/>
      <c r="L431" s="18" t="s">
        <v>129</v>
      </c>
      <c r="M431" s="18" t="s">
        <v>129</v>
      </c>
      <c r="N431" s="18"/>
      <c r="O431" s="18"/>
      <c r="P431" s="18" t="s">
        <v>2120</v>
      </c>
      <c r="Q431" s="18" t="s">
        <v>149</v>
      </c>
      <c r="R431" s="18" t="s">
        <v>2121</v>
      </c>
      <c r="S431" s="18" t="s">
        <v>140</v>
      </c>
      <c r="T431" s="18" t="s">
        <v>2122</v>
      </c>
      <c r="U431" s="18" t="s">
        <v>2123</v>
      </c>
      <c r="V431" s="19" t="s">
        <v>29</v>
      </c>
      <c r="W431" s="19"/>
      <c r="X431" s="19"/>
      <c r="Y431" s="20"/>
      <c r="Z431" s="19"/>
      <c r="AA431" s="18" t="str">
        <f aca="false">IF(OR(V431="Aprobada"),R431,IF(AND(OR(V431="Aprobada con ajuste",V431="Rechazada"),W431&lt;&gt;""),W431,""))</f>
        <v/>
      </c>
    </row>
    <row r="432" customFormat="false" ht="32.8" hidden="false" customHeight="false" outlineLevel="0" collapsed="false">
      <c r="A432" s="18" t="s">
        <v>2124</v>
      </c>
      <c r="B432" s="18" t="s">
        <v>60</v>
      </c>
      <c r="C432" s="18" t="s">
        <v>61</v>
      </c>
      <c r="D432" s="18" t="s">
        <v>2046</v>
      </c>
      <c r="E432" s="18" t="n">
        <v>814</v>
      </c>
      <c r="F432" s="18" t="s">
        <v>2125</v>
      </c>
      <c r="G432" s="18" t="s">
        <v>128</v>
      </c>
      <c r="H432" s="18" t="s">
        <v>162</v>
      </c>
      <c r="I432" s="18"/>
      <c r="J432" s="18"/>
      <c r="K432" s="18"/>
      <c r="L432" s="18" t="s">
        <v>129</v>
      </c>
      <c r="M432" s="18" t="s">
        <v>129</v>
      </c>
      <c r="N432" s="18"/>
      <c r="O432" s="18"/>
      <c r="P432" s="18" t="s">
        <v>2126</v>
      </c>
      <c r="Q432" s="18" t="s">
        <v>149</v>
      </c>
      <c r="R432" s="18" t="s">
        <v>2127</v>
      </c>
      <c r="S432" s="18" t="s">
        <v>140</v>
      </c>
      <c r="T432" s="18" t="s">
        <v>2128</v>
      </c>
      <c r="U432" s="18" t="s">
        <v>2129</v>
      </c>
      <c r="V432" s="19" t="s">
        <v>29</v>
      </c>
      <c r="W432" s="19"/>
      <c r="X432" s="19"/>
      <c r="Y432" s="20"/>
      <c r="Z432" s="19"/>
      <c r="AA432" s="18" t="str">
        <f aca="false">IF(OR(V432="Aprobada"),R432,IF(AND(OR(V432="Aprobada con ajuste",V432="Rechazada"),W432&lt;&gt;""),W432,""))</f>
        <v/>
      </c>
    </row>
    <row r="433" customFormat="false" ht="32.8" hidden="false" customHeight="false" outlineLevel="0" collapsed="false">
      <c r="A433" s="18" t="s">
        <v>2130</v>
      </c>
      <c r="B433" s="18" t="s">
        <v>60</v>
      </c>
      <c r="C433" s="18" t="s">
        <v>61</v>
      </c>
      <c r="D433" s="18" t="s">
        <v>2046</v>
      </c>
      <c r="E433" s="18" t="n">
        <v>814</v>
      </c>
      <c r="F433" s="18" t="s">
        <v>2131</v>
      </c>
      <c r="G433" s="18" t="s">
        <v>128</v>
      </c>
      <c r="H433" s="18" t="s">
        <v>162</v>
      </c>
      <c r="I433" s="18"/>
      <c r="J433" s="18"/>
      <c r="K433" s="18"/>
      <c r="L433" s="18" t="s">
        <v>129</v>
      </c>
      <c r="M433" s="18" t="s">
        <v>129</v>
      </c>
      <c r="N433" s="18"/>
      <c r="O433" s="18"/>
      <c r="P433" s="18" t="s">
        <v>2132</v>
      </c>
      <c r="Q433" s="18" t="s">
        <v>149</v>
      </c>
      <c r="R433" s="18" t="s">
        <v>2133</v>
      </c>
      <c r="S433" s="18" t="s">
        <v>140</v>
      </c>
      <c r="T433" s="18" t="s">
        <v>2128</v>
      </c>
      <c r="U433" s="18" t="s">
        <v>2134</v>
      </c>
      <c r="V433" s="19" t="s">
        <v>29</v>
      </c>
      <c r="W433" s="19"/>
      <c r="X433" s="19"/>
      <c r="Y433" s="20"/>
      <c r="Z433" s="19"/>
      <c r="AA433" s="18" t="str">
        <f aca="false">IF(OR(V433="Aprobada"),R433,IF(AND(OR(V433="Aprobada con ajuste",V433="Rechazada"),W433&lt;&gt;""),W433,""))</f>
        <v/>
      </c>
    </row>
    <row r="434" customFormat="false" ht="32.8" hidden="false" customHeight="false" outlineLevel="0" collapsed="false">
      <c r="A434" s="18" t="s">
        <v>2135</v>
      </c>
      <c r="B434" s="18" t="s">
        <v>60</v>
      </c>
      <c r="C434" s="18" t="s">
        <v>61</v>
      </c>
      <c r="D434" s="18" t="s">
        <v>2046</v>
      </c>
      <c r="E434" s="18" t="n">
        <v>814</v>
      </c>
      <c r="F434" s="18" t="s">
        <v>2136</v>
      </c>
      <c r="G434" s="18" t="s">
        <v>128</v>
      </c>
      <c r="H434" s="18" t="s">
        <v>162</v>
      </c>
      <c r="I434" s="18"/>
      <c r="J434" s="18"/>
      <c r="K434" s="18"/>
      <c r="L434" s="18" t="s">
        <v>129</v>
      </c>
      <c r="M434" s="18" t="s">
        <v>129</v>
      </c>
      <c r="N434" s="18"/>
      <c r="O434" s="18"/>
      <c r="P434" s="18" t="s">
        <v>2137</v>
      </c>
      <c r="Q434" s="18" t="s">
        <v>149</v>
      </c>
      <c r="R434" s="18" t="s">
        <v>2138</v>
      </c>
      <c r="S434" s="18" t="s">
        <v>140</v>
      </c>
      <c r="T434" s="18" t="s">
        <v>2128</v>
      </c>
      <c r="U434" s="18" t="s">
        <v>2134</v>
      </c>
      <c r="V434" s="19" t="s">
        <v>29</v>
      </c>
      <c r="W434" s="19"/>
      <c r="X434" s="19"/>
      <c r="Y434" s="20"/>
      <c r="Z434" s="19"/>
      <c r="AA434" s="18" t="str">
        <f aca="false">IF(OR(V434="Aprobada"),R434,IF(AND(OR(V434="Aprobada con ajuste",V434="Rechazada"),W434&lt;&gt;""),W434,""))</f>
        <v/>
      </c>
    </row>
    <row r="435" customFormat="false" ht="32.8" hidden="false" customHeight="false" outlineLevel="0" collapsed="false">
      <c r="A435" s="18" t="s">
        <v>2139</v>
      </c>
      <c r="B435" s="18" t="s">
        <v>60</v>
      </c>
      <c r="C435" s="18" t="s">
        <v>61</v>
      </c>
      <c r="D435" s="18" t="s">
        <v>2046</v>
      </c>
      <c r="E435" s="18" t="n">
        <v>814</v>
      </c>
      <c r="F435" s="18" t="s">
        <v>2140</v>
      </c>
      <c r="G435" s="18" t="s">
        <v>128</v>
      </c>
      <c r="H435" s="18" t="s">
        <v>162</v>
      </c>
      <c r="I435" s="18"/>
      <c r="J435" s="18"/>
      <c r="K435" s="18"/>
      <c r="L435" s="18" t="s">
        <v>129</v>
      </c>
      <c r="M435" s="18" t="s">
        <v>129</v>
      </c>
      <c r="N435" s="18"/>
      <c r="O435" s="18"/>
      <c r="P435" s="18" t="s">
        <v>2141</v>
      </c>
      <c r="Q435" s="18" t="s">
        <v>149</v>
      </c>
      <c r="R435" s="18" t="s">
        <v>2142</v>
      </c>
      <c r="S435" s="18" t="s">
        <v>140</v>
      </c>
      <c r="T435" s="18" t="s">
        <v>2128</v>
      </c>
      <c r="U435" s="18" t="s">
        <v>2134</v>
      </c>
      <c r="V435" s="19" t="s">
        <v>29</v>
      </c>
      <c r="W435" s="19"/>
      <c r="X435" s="19"/>
      <c r="Y435" s="20"/>
      <c r="Z435" s="19"/>
      <c r="AA435" s="18" t="str">
        <f aca="false">IF(OR(V435="Aprobada"),R435,IF(AND(OR(V435="Aprobada con ajuste",V435="Rechazada"),W435&lt;&gt;""),W435,""))</f>
        <v/>
      </c>
    </row>
    <row r="436" customFormat="false" ht="32.8" hidden="false" customHeight="false" outlineLevel="0" collapsed="false">
      <c r="A436" s="18" t="s">
        <v>2143</v>
      </c>
      <c r="B436" s="18" t="s">
        <v>60</v>
      </c>
      <c r="C436" s="18" t="s">
        <v>61</v>
      </c>
      <c r="D436" s="18" t="s">
        <v>2046</v>
      </c>
      <c r="E436" s="18" t="n">
        <v>814</v>
      </c>
      <c r="F436" s="18" t="s">
        <v>2144</v>
      </c>
      <c r="G436" s="18" t="s">
        <v>128</v>
      </c>
      <c r="H436" s="18" t="s">
        <v>162</v>
      </c>
      <c r="I436" s="18"/>
      <c r="J436" s="18"/>
      <c r="K436" s="18"/>
      <c r="L436" s="18" t="s">
        <v>129</v>
      </c>
      <c r="M436" s="18" t="s">
        <v>129</v>
      </c>
      <c r="N436" s="18"/>
      <c r="O436" s="18"/>
      <c r="P436" s="18" t="s">
        <v>2145</v>
      </c>
      <c r="Q436" s="18" t="s">
        <v>149</v>
      </c>
      <c r="R436" s="18" t="s">
        <v>2146</v>
      </c>
      <c r="S436" s="18" t="s">
        <v>140</v>
      </c>
      <c r="T436" s="18" t="s">
        <v>2128</v>
      </c>
      <c r="U436" s="18" t="s">
        <v>2147</v>
      </c>
      <c r="V436" s="19" t="s">
        <v>29</v>
      </c>
      <c r="W436" s="19"/>
      <c r="X436" s="19"/>
      <c r="Y436" s="20"/>
      <c r="Z436" s="19"/>
      <c r="AA436" s="18" t="str">
        <f aca="false">IF(OR(V436="Aprobada"),R436,IF(AND(OR(V436="Aprobada con ajuste",V436="Rechazada"),W436&lt;&gt;""),W436,""))</f>
        <v/>
      </c>
    </row>
    <row r="437" customFormat="false" ht="32.8" hidden="false" customHeight="false" outlineLevel="0" collapsed="false">
      <c r="A437" s="18" t="s">
        <v>2148</v>
      </c>
      <c r="B437" s="18" t="s">
        <v>60</v>
      </c>
      <c r="C437" s="18" t="s">
        <v>61</v>
      </c>
      <c r="D437" s="18" t="s">
        <v>2046</v>
      </c>
      <c r="E437" s="18" t="n">
        <v>814</v>
      </c>
      <c r="F437" s="18" t="s">
        <v>2149</v>
      </c>
      <c r="G437" s="18" t="s">
        <v>128</v>
      </c>
      <c r="H437" s="18" t="s">
        <v>162</v>
      </c>
      <c r="I437" s="18"/>
      <c r="J437" s="18"/>
      <c r="K437" s="18"/>
      <c r="L437" s="18" t="s">
        <v>129</v>
      </c>
      <c r="M437" s="18" t="s">
        <v>129</v>
      </c>
      <c r="N437" s="18"/>
      <c r="O437" s="18"/>
      <c r="P437" s="18" t="s">
        <v>2150</v>
      </c>
      <c r="Q437" s="18" t="s">
        <v>149</v>
      </c>
      <c r="R437" s="18" t="s">
        <v>2151</v>
      </c>
      <c r="S437" s="18" t="s">
        <v>242</v>
      </c>
      <c r="T437" s="18" t="s">
        <v>2122</v>
      </c>
      <c r="U437" s="18" t="s">
        <v>2152</v>
      </c>
      <c r="V437" s="19" t="s">
        <v>29</v>
      </c>
      <c r="W437" s="19"/>
      <c r="X437" s="19"/>
      <c r="Y437" s="20"/>
      <c r="Z437" s="19"/>
      <c r="AA437" s="18" t="str">
        <f aca="false">IF(OR(V437="Aprobada"),R437,IF(AND(OR(V437="Aprobada con ajuste",V437="Rechazada"),W437&lt;&gt;""),W437,""))</f>
        <v/>
      </c>
    </row>
    <row r="438" customFormat="false" ht="32.8" hidden="false" customHeight="false" outlineLevel="0" collapsed="false">
      <c r="A438" s="18" t="s">
        <v>2153</v>
      </c>
      <c r="B438" s="18" t="s">
        <v>60</v>
      </c>
      <c r="C438" s="18" t="s">
        <v>61</v>
      </c>
      <c r="D438" s="18" t="s">
        <v>2046</v>
      </c>
      <c r="E438" s="18" t="n">
        <v>814</v>
      </c>
      <c r="F438" s="18" t="s">
        <v>2154</v>
      </c>
      <c r="G438" s="18" t="s">
        <v>128</v>
      </c>
      <c r="H438" s="18" t="s">
        <v>162</v>
      </c>
      <c r="I438" s="18"/>
      <c r="J438" s="18"/>
      <c r="K438" s="18"/>
      <c r="L438" s="18" t="s">
        <v>129</v>
      </c>
      <c r="M438" s="18" t="s">
        <v>129</v>
      </c>
      <c r="N438" s="18"/>
      <c r="O438" s="18"/>
      <c r="P438" s="18" t="s">
        <v>2155</v>
      </c>
      <c r="Q438" s="18" t="s">
        <v>149</v>
      </c>
      <c r="R438" s="18" t="s">
        <v>2156</v>
      </c>
      <c r="S438" s="18" t="s">
        <v>242</v>
      </c>
      <c r="T438" s="18" t="s">
        <v>275</v>
      </c>
      <c r="U438" s="18" t="s">
        <v>2157</v>
      </c>
      <c r="V438" s="19" t="s">
        <v>29</v>
      </c>
      <c r="W438" s="19"/>
      <c r="X438" s="19"/>
      <c r="Y438" s="20"/>
      <c r="Z438" s="19"/>
      <c r="AA438" s="18" t="str">
        <f aca="false">IF(OR(V438="Aprobada"),R438,IF(AND(OR(V438="Aprobada con ajuste",V438="Rechazada"),W438&lt;&gt;""),W438,""))</f>
        <v/>
      </c>
    </row>
    <row r="439" customFormat="false" ht="32.8" hidden="false" customHeight="false" outlineLevel="0" collapsed="false">
      <c r="A439" s="18" t="s">
        <v>2158</v>
      </c>
      <c r="B439" s="18" t="s">
        <v>60</v>
      </c>
      <c r="C439" s="18" t="s">
        <v>61</v>
      </c>
      <c r="D439" s="18" t="s">
        <v>2046</v>
      </c>
      <c r="E439" s="18" t="n">
        <v>814</v>
      </c>
      <c r="F439" s="18" t="s">
        <v>2159</v>
      </c>
      <c r="G439" s="18" t="s">
        <v>128</v>
      </c>
      <c r="H439" s="18" t="s">
        <v>162</v>
      </c>
      <c r="I439" s="18"/>
      <c r="J439" s="18"/>
      <c r="K439" s="18"/>
      <c r="L439" s="18" t="s">
        <v>129</v>
      </c>
      <c r="M439" s="18" t="s">
        <v>129</v>
      </c>
      <c r="N439" s="18"/>
      <c r="O439" s="18"/>
      <c r="P439" s="18" t="s">
        <v>2160</v>
      </c>
      <c r="Q439" s="18" t="s">
        <v>149</v>
      </c>
      <c r="R439" s="18" t="s">
        <v>2161</v>
      </c>
      <c r="S439" s="18" t="s">
        <v>140</v>
      </c>
      <c r="T439" s="18" t="s">
        <v>2122</v>
      </c>
      <c r="U439" s="18" t="s">
        <v>2162</v>
      </c>
      <c r="V439" s="19" t="s">
        <v>29</v>
      </c>
      <c r="W439" s="19"/>
      <c r="X439" s="19"/>
      <c r="Y439" s="20"/>
      <c r="Z439" s="19"/>
      <c r="AA439" s="18" t="str">
        <f aca="false">IF(OR(V439="Aprobada"),R439,IF(AND(OR(V439="Aprobada con ajuste",V439="Rechazada"),W439&lt;&gt;""),W439,""))</f>
        <v/>
      </c>
    </row>
    <row r="440" customFormat="false" ht="32.8" hidden="false" customHeight="false" outlineLevel="0" collapsed="false">
      <c r="A440" s="18" t="s">
        <v>2163</v>
      </c>
      <c r="B440" s="18" t="s">
        <v>60</v>
      </c>
      <c r="C440" s="18" t="s">
        <v>61</v>
      </c>
      <c r="D440" s="18" t="s">
        <v>2046</v>
      </c>
      <c r="E440" s="18" t="n">
        <v>814</v>
      </c>
      <c r="F440" s="18" t="s">
        <v>2164</v>
      </c>
      <c r="G440" s="18" t="s">
        <v>128</v>
      </c>
      <c r="H440" s="18" t="s">
        <v>162</v>
      </c>
      <c r="I440" s="18"/>
      <c r="J440" s="18"/>
      <c r="K440" s="18"/>
      <c r="L440" s="18" t="s">
        <v>129</v>
      </c>
      <c r="M440" s="18" t="s">
        <v>129</v>
      </c>
      <c r="N440" s="18"/>
      <c r="O440" s="18"/>
      <c r="P440" s="18" t="s">
        <v>2165</v>
      </c>
      <c r="Q440" s="18" t="s">
        <v>149</v>
      </c>
      <c r="R440" s="18" t="s">
        <v>2166</v>
      </c>
      <c r="S440" s="18" t="s">
        <v>133</v>
      </c>
      <c r="T440" s="18" t="s">
        <v>2167</v>
      </c>
      <c r="U440" s="18"/>
      <c r="V440" s="19" t="s">
        <v>29</v>
      </c>
      <c r="W440" s="19"/>
      <c r="X440" s="19"/>
      <c r="Y440" s="20"/>
      <c r="Z440" s="19"/>
      <c r="AA440" s="18" t="str">
        <f aca="false">IF(OR(V440="Aprobada"),R440,IF(AND(OR(V440="Aprobada con ajuste",V440="Rechazada"),W440&lt;&gt;""),W440,""))</f>
        <v/>
      </c>
    </row>
    <row r="441" customFormat="false" ht="32.8" hidden="false" customHeight="false" outlineLevel="0" collapsed="false">
      <c r="A441" s="18" t="s">
        <v>2168</v>
      </c>
      <c r="B441" s="18" t="s">
        <v>60</v>
      </c>
      <c r="C441" s="18" t="s">
        <v>61</v>
      </c>
      <c r="D441" s="18" t="s">
        <v>2046</v>
      </c>
      <c r="E441" s="18" t="n">
        <v>814</v>
      </c>
      <c r="F441" s="18" t="s">
        <v>2169</v>
      </c>
      <c r="G441" s="18" t="s">
        <v>128</v>
      </c>
      <c r="H441" s="18" t="s">
        <v>162</v>
      </c>
      <c r="I441" s="18"/>
      <c r="J441" s="18"/>
      <c r="K441" s="18"/>
      <c r="L441" s="18" t="s">
        <v>129</v>
      </c>
      <c r="M441" s="18" t="s">
        <v>129</v>
      </c>
      <c r="N441" s="18"/>
      <c r="O441" s="18"/>
      <c r="P441" s="18" t="s">
        <v>2170</v>
      </c>
      <c r="Q441" s="18" t="s">
        <v>149</v>
      </c>
      <c r="R441" s="18" t="s">
        <v>2171</v>
      </c>
      <c r="S441" s="18" t="s">
        <v>242</v>
      </c>
      <c r="T441" s="18" t="s">
        <v>2122</v>
      </c>
      <c r="U441" s="18" t="s">
        <v>2172</v>
      </c>
      <c r="V441" s="19" t="s">
        <v>29</v>
      </c>
      <c r="W441" s="19"/>
      <c r="X441" s="19"/>
      <c r="Y441" s="20"/>
      <c r="Z441" s="19"/>
      <c r="AA441" s="18" t="str">
        <f aca="false">IF(OR(V441="Aprobada"),R441,IF(AND(OR(V441="Aprobada con ajuste",V441="Rechazada"),W441&lt;&gt;""),W441,""))</f>
        <v/>
      </c>
    </row>
    <row r="442" customFormat="false" ht="32.8" hidden="false" customHeight="false" outlineLevel="0" collapsed="false">
      <c r="A442" s="18" t="s">
        <v>2173</v>
      </c>
      <c r="B442" s="18" t="s">
        <v>60</v>
      </c>
      <c r="C442" s="18" t="s">
        <v>61</v>
      </c>
      <c r="D442" s="18" t="s">
        <v>2046</v>
      </c>
      <c r="E442" s="18" t="n">
        <v>814</v>
      </c>
      <c r="F442" s="18" t="s">
        <v>2174</v>
      </c>
      <c r="G442" s="18" t="s">
        <v>128</v>
      </c>
      <c r="H442" s="18" t="s">
        <v>162</v>
      </c>
      <c r="I442" s="18"/>
      <c r="J442" s="18"/>
      <c r="K442" s="18"/>
      <c r="L442" s="18" t="s">
        <v>129</v>
      </c>
      <c r="M442" s="18" t="s">
        <v>129</v>
      </c>
      <c r="N442" s="18"/>
      <c r="O442" s="18"/>
      <c r="P442" s="18" t="s">
        <v>2175</v>
      </c>
      <c r="Q442" s="18" t="s">
        <v>149</v>
      </c>
      <c r="R442" s="18" t="s">
        <v>2176</v>
      </c>
      <c r="S442" s="18" t="s">
        <v>140</v>
      </c>
      <c r="T442" s="18" t="s">
        <v>2177</v>
      </c>
      <c r="U442" s="18" t="s">
        <v>2057</v>
      </c>
      <c r="V442" s="19" t="s">
        <v>29</v>
      </c>
      <c r="W442" s="19"/>
      <c r="X442" s="19"/>
      <c r="Y442" s="20"/>
      <c r="Z442" s="19"/>
      <c r="AA442" s="18" t="str">
        <f aca="false">IF(OR(V442="Aprobada"),R442,IF(AND(OR(V442="Aprobada con ajuste",V442="Rechazada"),W442&lt;&gt;""),W442,""))</f>
        <v/>
      </c>
    </row>
    <row r="443" customFormat="false" ht="32.8" hidden="false" customHeight="false" outlineLevel="0" collapsed="false">
      <c r="A443" s="18" t="s">
        <v>2178</v>
      </c>
      <c r="B443" s="18" t="s">
        <v>60</v>
      </c>
      <c r="C443" s="18" t="s">
        <v>61</v>
      </c>
      <c r="D443" s="18" t="s">
        <v>2046</v>
      </c>
      <c r="E443" s="18" t="n">
        <v>814</v>
      </c>
      <c r="F443" s="18" t="s">
        <v>2179</v>
      </c>
      <c r="G443" s="18" t="s">
        <v>1730</v>
      </c>
      <c r="H443" s="18" t="s">
        <v>162</v>
      </c>
      <c r="I443" s="18"/>
      <c r="J443" s="18"/>
      <c r="K443" s="18"/>
      <c r="L443" s="18" t="s">
        <v>129</v>
      </c>
      <c r="M443" s="18" t="s">
        <v>129</v>
      </c>
      <c r="N443" s="18"/>
      <c r="O443" s="18"/>
      <c r="P443" s="18" t="s">
        <v>2180</v>
      </c>
      <c r="Q443" s="18" t="s">
        <v>149</v>
      </c>
      <c r="R443" s="18" t="s">
        <v>2181</v>
      </c>
      <c r="S443" s="18" t="s">
        <v>133</v>
      </c>
      <c r="T443" s="18" t="s">
        <v>2182</v>
      </c>
      <c r="U443" s="18"/>
      <c r="V443" s="19" t="s">
        <v>29</v>
      </c>
      <c r="W443" s="19"/>
      <c r="X443" s="19"/>
      <c r="Y443" s="20"/>
      <c r="Z443" s="19"/>
      <c r="AA443" s="18" t="str">
        <f aca="false">IF(OR(V443="Aprobada"),R443,IF(AND(OR(V443="Aprobada con ajuste",V443="Rechazada"),W443&lt;&gt;""),W443,""))</f>
        <v/>
      </c>
    </row>
    <row r="444" customFormat="false" ht="32.8" hidden="false" customHeight="false" outlineLevel="0" collapsed="false">
      <c r="A444" s="18" t="s">
        <v>2183</v>
      </c>
      <c r="B444" s="18" t="s">
        <v>60</v>
      </c>
      <c r="C444" s="18" t="s">
        <v>61</v>
      </c>
      <c r="D444" s="18" t="s">
        <v>2046</v>
      </c>
      <c r="E444" s="18" t="n">
        <v>814</v>
      </c>
      <c r="F444" s="18" t="s">
        <v>2184</v>
      </c>
      <c r="G444" s="18" t="s">
        <v>1730</v>
      </c>
      <c r="H444" s="18" t="s">
        <v>162</v>
      </c>
      <c r="I444" s="18"/>
      <c r="J444" s="18"/>
      <c r="K444" s="18"/>
      <c r="L444" s="18" t="s">
        <v>129</v>
      </c>
      <c r="M444" s="18" t="s">
        <v>129</v>
      </c>
      <c r="N444" s="18"/>
      <c r="O444" s="18"/>
      <c r="P444" s="18" t="s">
        <v>2185</v>
      </c>
      <c r="Q444" s="18" t="s">
        <v>149</v>
      </c>
      <c r="R444" s="18" t="s">
        <v>2186</v>
      </c>
      <c r="S444" s="18" t="s">
        <v>133</v>
      </c>
      <c r="T444" s="18" t="s">
        <v>2187</v>
      </c>
      <c r="U444" s="18"/>
      <c r="V444" s="19" t="s">
        <v>29</v>
      </c>
      <c r="W444" s="19"/>
      <c r="X444" s="19"/>
      <c r="Y444" s="20"/>
      <c r="Z444" s="19"/>
      <c r="AA444" s="18" t="str">
        <f aca="false">IF(OR(V444="Aprobada"),R444,IF(AND(OR(V444="Aprobada con ajuste",V444="Rechazada"),W444&lt;&gt;""),W444,""))</f>
        <v/>
      </c>
    </row>
    <row r="445" customFormat="false" ht="32.8" hidden="false" customHeight="false" outlineLevel="0" collapsed="false">
      <c r="A445" s="18" t="s">
        <v>2188</v>
      </c>
      <c r="B445" s="18" t="s">
        <v>60</v>
      </c>
      <c r="C445" s="18" t="s">
        <v>61</v>
      </c>
      <c r="D445" s="18" t="s">
        <v>2046</v>
      </c>
      <c r="E445" s="18" t="n">
        <v>814</v>
      </c>
      <c r="F445" s="18" t="s">
        <v>2189</v>
      </c>
      <c r="G445" s="18" t="s">
        <v>2190</v>
      </c>
      <c r="H445" s="18" t="s">
        <v>162</v>
      </c>
      <c r="I445" s="18"/>
      <c r="J445" s="18"/>
      <c r="K445" s="18"/>
      <c r="L445" s="18" t="s">
        <v>129</v>
      </c>
      <c r="M445" s="18" t="s">
        <v>129</v>
      </c>
      <c r="N445" s="18"/>
      <c r="O445" s="18"/>
      <c r="P445" s="18" t="s">
        <v>2191</v>
      </c>
      <c r="Q445" s="18" t="s">
        <v>149</v>
      </c>
      <c r="R445" s="18" t="s">
        <v>2192</v>
      </c>
      <c r="S445" s="18" t="s">
        <v>140</v>
      </c>
      <c r="T445" s="18" t="s">
        <v>2193</v>
      </c>
      <c r="U445" s="18" t="s">
        <v>2194</v>
      </c>
      <c r="V445" s="19" t="s">
        <v>29</v>
      </c>
      <c r="W445" s="19"/>
      <c r="X445" s="19"/>
      <c r="Y445" s="20"/>
      <c r="Z445" s="19"/>
      <c r="AA445" s="18" t="str">
        <f aca="false">IF(OR(V445="Aprobada"),R445,IF(AND(OR(V445="Aprobada con ajuste",V445="Rechazada"),W445&lt;&gt;""),W445,""))</f>
        <v/>
      </c>
    </row>
    <row r="446" customFormat="false" ht="32.8" hidden="false" customHeight="false" outlineLevel="0" collapsed="false">
      <c r="A446" s="18" t="s">
        <v>2195</v>
      </c>
      <c r="B446" s="18" t="s">
        <v>60</v>
      </c>
      <c r="C446" s="18" t="s">
        <v>61</v>
      </c>
      <c r="D446" s="18" t="s">
        <v>2046</v>
      </c>
      <c r="E446" s="18" t="n">
        <v>814</v>
      </c>
      <c r="F446" s="18" t="s">
        <v>2196</v>
      </c>
      <c r="G446" s="18" t="s">
        <v>503</v>
      </c>
      <c r="H446" s="18" t="s">
        <v>162</v>
      </c>
      <c r="I446" s="18"/>
      <c r="J446" s="18"/>
      <c r="K446" s="18"/>
      <c r="L446" s="18" t="s">
        <v>129</v>
      </c>
      <c r="M446" s="18" t="s">
        <v>129</v>
      </c>
      <c r="N446" s="18"/>
      <c r="O446" s="18"/>
      <c r="P446" s="18" t="s">
        <v>2197</v>
      </c>
      <c r="Q446" s="18" t="s">
        <v>149</v>
      </c>
      <c r="R446" s="18" t="s">
        <v>2198</v>
      </c>
      <c r="S446" s="18" t="s">
        <v>140</v>
      </c>
      <c r="T446" s="18" t="s">
        <v>2199</v>
      </c>
      <c r="U446" s="18" t="s">
        <v>2200</v>
      </c>
      <c r="V446" s="19" t="s">
        <v>29</v>
      </c>
      <c r="W446" s="19"/>
      <c r="X446" s="19"/>
      <c r="Y446" s="20"/>
      <c r="Z446" s="19"/>
      <c r="AA446" s="18" t="str">
        <f aca="false">IF(OR(V446="Aprobada"),R446,IF(AND(OR(V446="Aprobada con ajuste",V446="Rechazada"),W446&lt;&gt;""),W446,""))</f>
        <v/>
      </c>
    </row>
    <row r="447" customFormat="false" ht="32.8" hidden="false" customHeight="false" outlineLevel="0" collapsed="false">
      <c r="A447" s="18" t="s">
        <v>2201</v>
      </c>
      <c r="B447" s="18" t="s">
        <v>60</v>
      </c>
      <c r="C447" s="18" t="s">
        <v>61</v>
      </c>
      <c r="D447" s="18" t="s">
        <v>2046</v>
      </c>
      <c r="E447" s="18" t="n">
        <v>814</v>
      </c>
      <c r="F447" s="18" t="s">
        <v>2202</v>
      </c>
      <c r="G447" s="18" t="s">
        <v>128</v>
      </c>
      <c r="H447" s="18" t="s">
        <v>162</v>
      </c>
      <c r="I447" s="18"/>
      <c r="J447" s="18"/>
      <c r="K447" s="18"/>
      <c r="L447" s="18" t="s">
        <v>129</v>
      </c>
      <c r="M447" s="18" t="s">
        <v>129</v>
      </c>
      <c r="N447" s="18"/>
      <c r="O447" s="18"/>
      <c r="P447" s="18" t="s">
        <v>2203</v>
      </c>
      <c r="Q447" s="18" t="s">
        <v>149</v>
      </c>
      <c r="R447" s="18" t="s">
        <v>2204</v>
      </c>
      <c r="S447" s="18" t="s">
        <v>140</v>
      </c>
      <c r="T447" s="18" t="s">
        <v>2205</v>
      </c>
      <c r="U447" s="18" t="s">
        <v>2206</v>
      </c>
      <c r="V447" s="19" t="s">
        <v>29</v>
      </c>
      <c r="W447" s="19"/>
      <c r="X447" s="19"/>
      <c r="Y447" s="20"/>
      <c r="Z447" s="19"/>
      <c r="AA447" s="18" t="str">
        <f aca="false">IF(OR(V447="Aprobada"),R447,IF(AND(OR(V447="Aprobada con ajuste",V447="Rechazada"),W447&lt;&gt;""),W447,""))</f>
        <v/>
      </c>
    </row>
    <row r="448" customFormat="false" ht="32.8" hidden="false" customHeight="false" outlineLevel="0" collapsed="false">
      <c r="A448" s="18" t="s">
        <v>2207</v>
      </c>
      <c r="B448" s="18" t="s">
        <v>60</v>
      </c>
      <c r="C448" s="18" t="s">
        <v>61</v>
      </c>
      <c r="D448" s="18" t="s">
        <v>2046</v>
      </c>
      <c r="E448" s="18" t="n">
        <v>814</v>
      </c>
      <c r="F448" s="18" t="s">
        <v>2208</v>
      </c>
      <c r="G448" s="18" t="s">
        <v>128</v>
      </c>
      <c r="H448" s="18" t="s">
        <v>162</v>
      </c>
      <c r="I448" s="18"/>
      <c r="J448" s="18"/>
      <c r="K448" s="18"/>
      <c r="L448" s="18" t="s">
        <v>129</v>
      </c>
      <c r="M448" s="18" t="s">
        <v>129</v>
      </c>
      <c r="N448" s="18"/>
      <c r="O448" s="18"/>
      <c r="P448" s="18" t="s">
        <v>2209</v>
      </c>
      <c r="Q448" s="18" t="s">
        <v>149</v>
      </c>
      <c r="R448" s="18" t="s">
        <v>2210</v>
      </c>
      <c r="S448" s="18" t="s">
        <v>140</v>
      </c>
      <c r="T448" s="18" t="s">
        <v>275</v>
      </c>
      <c r="U448" s="18" t="s">
        <v>2057</v>
      </c>
      <c r="V448" s="19" t="s">
        <v>29</v>
      </c>
      <c r="W448" s="19"/>
      <c r="X448" s="19"/>
      <c r="Y448" s="20"/>
      <c r="Z448" s="19"/>
      <c r="AA448" s="18" t="str">
        <f aca="false">IF(OR(V448="Aprobada"),R448,IF(AND(OR(V448="Aprobada con ajuste",V448="Rechazada"),W448&lt;&gt;""),W448,""))</f>
        <v/>
      </c>
    </row>
    <row r="449" customFormat="false" ht="32.8" hidden="false" customHeight="false" outlineLevel="0" collapsed="false">
      <c r="A449" s="18" t="s">
        <v>2211</v>
      </c>
      <c r="B449" s="18" t="s">
        <v>60</v>
      </c>
      <c r="C449" s="18" t="s">
        <v>61</v>
      </c>
      <c r="D449" s="18" t="s">
        <v>2046</v>
      </c>
      <c r="E449" s="18" t="n">
        <v>814</v>
      </c>
      <c r="F449" s="18" t="s">
        <v>2212</v>
      </c>
      <c r="G449" s="18" t="s">
        <v>128</v>
      </c>
      <c r="H449" s="18" t="s">
        <v>162</v>
      </c>
      <c r="I449" s="18"/>
      <c r="J449" s="18"/>
      <c r="K449" s="18"/>
      <c r="L449" s="18" t="s">
        <v>129</v>
      </c>
      <c r="M449" s="18" t="s">
        <v>129</v>
      </c>
      <c r="N449" s="18"/>
      <c r="O449" s="18" t="s">
        <v>2213</v>
      </c>
      <c r="P449" s="18" t="s">
        <v>2214</v>
      </c>
      <c r="Q449" s="18" t="s">
        <v>149</v>
      </c>
      <c r="R449" s="18" t="s">
        <v>2215</v>
      </c>
      <c r="S449" s="18" t="s">
        <v>140</v>
      </c>
      <c r="T449" s="18" t="s">
        <v>2216</v>
      </c>
      <c r="U449" s="18" t="s">
        <v>2217</v>
      </c>
      <c r="V449" s="19" t="s">
        <v>29</v>
      </c>
      <c r="W449" s="19"/>
      <c r="X449" s="19"/>
      <c r="Y449" s="20"/>
      <c r="Z449" s="19"/>
      <c r="AA449" s="18" t="str">
        <f aca="false">IF(OR(V449="Aprobada"),R449,IF(AND(OR(V449="Aprobada con ajuste",V449="Rechazada"),W449&lt;&gt;""),W449,""))</f>
        <v/>
      </c>
    </row>
    <row r="450" customFormat="false" ht="32.8" hidden="false" customHeight="false" outlineLevel="0" collapsed="false">
      <c r="A450" s="18" t="s">
        <v>2218</v>
      </c>
      <c r="B450" s="18" t="s">
        <v>60</v>
      </c>
      <c r="C450" s="18" t="s">
        <v>61</v>
      </c>
      <c r="D450" s="18" t="s">
        <v>2046</v>
      </c>
      <c r="E450" s="18" t="n">
        <v>814</v>
      </c>
      <c r="F450" s="18" t="s">
        <v>886</v>
      </c>
      <c r="G450" s="18" t="s">
        <v>128</v>
      </c>
      <c r="H450" s="18" t="s">
        <v>162</v>
      </c>
      <c r="I450" s="18"/>
      <c r="J450" s="18"/>
      <c r="K450" s="18"/>
      <c r="L450" s="18" t="s">
        <v>129</v>
      </c>
      <c r="M450" s="18" t="s">
        <v>129</v>
      </c>
      <c r="N450" s="18"/>
      <c r="O450" s="18"/>
      <c r="P450" s="18" t="s">
        <v>2219</v>
      </c>
      <c r="Q450" s="18" t="s">
        <v>138</v>
      </c>
      <c r="R450" s="18" t="s">
        <v>1693</v>
      </c>
      <c r="S450" s="18" t="s">
        <v>140</v>
      </c>
      <c r="T450" s="18" t="s">
        <v>141</v>
      </c>
      <c r="U450" s="18"/>
      <c r="V450" s="19" t="s">
        <v>29</v>
      </c>
      <c r="W450" s="19"/>
      <c r="X450" s="19"/>
      <c r="Y450" s="20"/>
      <c r="Z450" s="19"/>
      <c r="AA450" s="18" t="str">
        <f aca="false">IF(OR(V450="Aprobada"),R450,IF(AND(OR(V450="Aprobada con ajuste",V450="Rechazada"),W450&lt;&gt;""),W450,""))</f>
        <v/>
      </c>
    </row>
    <row r="451" customFormat="false" ht="32.8" hidden="false" customHeight="false" outlineLevel="0" collapsed="false">
      <c r="A451" s="18" t="s">
        <v>2220</v>
      </c>
      <c r="B451" s="18" t="s">
        <v>60</v>
      </c>
      <c r="C451" s="18" t="s">
        <v>61</v>
      </c>
      <c r="D451" s="18" t="s">
        <v>2046</v>
      </c>
      <c r="E451" s="18" t="n">
        <v>814</v>
      </c>
      <c r="F451" s="18" t="s">
        <v>2221</v>
      </c>
      <c r="G451" s="18" t="s">
        <v>128</v>
      </c>
      <c r="H451" s="18" t="s">
        <v>162</v>
      </c>
      <c r="I451" s="18"/>
      <c r="J451" s="18"/>
      <c r="K451" s="18"/>
      <c r="L451" s="18" t="s">
        <v>129</v>
      </c>
      <c r="M451" s="18" t="s">
        <v>129</v>
      </c>
      <c r="N451" s="18"/>
      <c r="O451" s="18"/>
      <c r="P451" s="18" t="s">
        <v>2222</v>
      </c>
      <c r="Q451" s="18" t="s">
        <v>149</v>
      </c>
      <c r="R451" s="18" t="s">
        <v>2223</v>
      </c>
      <c r="S451" s="18" t="s">
        <v>140</v>
      </c>
      <c r="T451" s="18" t="s">
        <v>275</v>
      </c>
      <c r="U451" s="18" t="s">
        <v>2224</v>
      </c>
      <c r="V451" s="19" t="s">
        <v>29</v>
      </c>
      <c r="W451" s="19"/>
      <c r="X451" s="19"/>
      <c r="Y451" s="20"/>
      <c r="Z451" s="19"/>
      <c r="AA451" s="18" t="str">
        <f aca="false">IF(OR(V451="Aprobada"),R451,IF(AND(OR(V451="Aprobada con ajuste",V451="Rechazada"),W451&lt;&gt;""),W451,""))</f>
        <v/>
      </c>
    </row>
    <row r="452" customFormat="false" ht="43.25" hidden="false" customHeight="false" outlineLevel="0" collapsed="false">
      <c r="A452" s="18" t="s">
        <v>2225</v>
      </c>
      <c r="B452" s="18" t="s">
        <v>60</v>
      </c>
      <c r="C452" s="18" t="s">
        <v>61</v>
      </c>
      <c r="D452" s="18" t="s">
        <v>2046</v>
      </c>
      <c r="E452" s="18" t="n">
        <v>814</v>
      </c>
      <c r="F452" s="18" t="s">
        <v>2226</v>
      </c>
      <c r="G452" s="18" t="s">
        <v>128</v>
      </c>
      <c r="H452" s="18" t="s">
        <v>162</v>
      </c>
      <c r="I452" s="18"/>
      <c r="J452" s="18"/>
      <c r="K452" s="18"/>
      <c r="L452" s="18" t="s">
        <v>129</v>
      </c>
      <c r="M452" s="18" t="s">
        <v>129</v>
      </c>
      <c r="N452" s="18"/>
      <c r="O452" s="18"/>
      <c r="P452" s="18" t="s">
        <v>2227</v>
      </c>
      <c r="Q452" s="18" t="s">
        <v>131</v>
      </c>
      <c r="R452" s="18" t="s">
        <v>2228</v>
      </c>
      <c r="S452" s="18" t="s">
        <v>133</v>
      </c>
      <c r="T452" s="18" t="s">
        <v>2229</v>
      </c>
      <c r="U452" s="18"/>
      <c r="V452" s="19" t="s">
        <v>29</v>
      </c>
      <c r="W452" s="19"/>
      <c r="X452" s="19"/>
      <c r="Y452" s="20"/>
      <c r="Z452" s="19"/>
      <c r="AA452" s="18" t="str">
        <f aca="false">IF(OR(V452="Aprobada"),R452,IF(AND(OR(V452="Aprobada con ajuste",V452="Rechazada"),W452&lt;&gt;""),W452,""))</f>
        <v/>
      </c>
    </row>
    <row r="453" customFormat="false" ht="53.7" hidden="false" customHeight="false" outlineLevel="0" collapsed="false">
      <c r="A453" s="18" t="s">
        <v>2230</v>
      </c>
      <c r="B453" s="18" t="s">
        <v>60</v>
      </c>
      <c r="C453" s="18" t="s">
        <v>61</v>
      </c>
      <c r="D453" s="18" t="s">
        <v>2046</v>
      </c>
      <c r="E453" s="18" t="n">
        <v>814</v>
      </c>
      <c r="F453" s="18" t="s">
        <v>2231</v>
      </c>
      <c r="G453" s="18" t="s">
        <v>192</v>
      </c>
      <c r="H453" s="18" t="s">
        <v>162</v>
      </c>
      <c r="I453" s="18"/>
      <c r="J453" s="18"/>
      <c r="K453" s="18"/>
      <c r="L453" s="18" t="s">
        <v>129</v>
      </c>
      <c r="M453" s="18" t="s">
        <v>129</v>
      </c>
      <c r="N453" s="18"/>
      <c r="O453" s="18"/>
      <c r="P453" s="18" t="s">
        <v>2232</v>
      </c>
      <c r="Q453" s="18" t="s">
        <v>131</v>
      </c>
      <c r="R453" s="18" t="s">
        <v>2233</v>
      </c>
      <c r="S453" s="18" t="s">
        <v>133</v>
      </c>
      <c r="T453" s="18" t="s">
        <v>2234</v>
      </c>
      <c r="U453" s="18"/>
      <c r="V453" s="19" t="s">
        <v>29</v>
      </c>
      <c r="W453" s="19"/>
      <c r="X453" s="19"/>
      <c r="Y453" s="20"/>
      <c r="Z453" s="19"/>
      <c r="AA453" s="18" t="str">
        <f aca="false">IF(OR(V453="Aprobada"),R453,IF(AND(OR(V453="Aprobada con ajuste",V453="Rechazada"),W453&lt;&gt;""),W453,""))</f>
        <v/>
      </c>
    </row>
    <row r="454" customFormat="false" ht="32.8" hidden="false" customHeight="false" outlineLevel="0" collapsed="false">
      <c r="A454" s="18" t="s">
        <v>2235</v>
      </c>
      <c r="B454" s="18" t="s">
        <v>60</v>
      </c>
      <c r="C454" s="18" t="s">
        <v>61</v>
      </c>
      <c r="D454" s="18" t="s">
        <v>2046</v>
      </c>
      <c r="E454" s="18" t="n">
        <v>814</v>
      </c>
      <c r="F454" s="18" t="s">
        <v>2236</v>
      </c>
      <c r="G454" s="18" t="s">
        <v>128</v>
      </c>
      <c r="H454" s="18" t="s">
        <v>162</v>
      </c>
      <c r="I454" s="18"/>
      <c r="J454" s="18"/>
      <c r="K454" s="18"/>
      <c r="L454" s="18" t="s">
        <v>129</v>
      </c>
      <c r="M454" s="18" t="s">
        <v>129</v>
      </c>
      <c r="N454" s="18"/>
      <c r="O454" s="18"/>
      <c r="P454" s="18" t="s">
        <v>2237</v>
      </c>
      <c r="Q454" s="18" t="s">
        <v>131</v>
      </c>
      <c r="R454" s="18" t="s">
        <v>2238</v>
      </c>
      <c r="S454" s="18" t="s">
        <v>133</v>
      </c>
      <c r="T454" s="18" t="s">
        <v>2239</v>
      </c>
      <c r="U454" s="18"/>
      <c r="V454" s="19" t="s">
        <v>29</v>
      </c>
      <c r="W454" s="19"/>
      <c r="X454" s="19"/>
      <c r="Y454" s="20"/>
      <c r="Z454" s="19"/>
      <c r="AA454" s="18" t="str">
        <f aca="false">IF(OR(V454="Aprobada"),R454,IF(AND(OR(V454="Aprobada con ajuste",V454="Rechazada"),W454&lt;&gt;""),W454,""))</f>
        <v/>
      </c>
    </row>
    <row r="455" customFormat="false" ht="22.35" hidden="false" customHeight="false" outlineLevel="0" collapsed="false">
      <c r="A455" s="18" t="s">
        <v>2240</v>
      </c>
      <c r="B455" s="18" t="s">
        <v>60</v>
      </c>
      <c r="C455" s="18" t="s">
        <v>61</v>
      </c>
      <c r="D455" s="18" t="s">
        <v>2046</v>
      </c>
      <c r="E455" s="18" t="n">
        <v>814</v>
      </c>
      <c r="F455" s="18" t="s">
        <v>2241</v>
      </c>
      <c r="G455" s="18" t="s">
        <v>173</v>
      </c>
      <c r="H455" s="18" t="s">
        <v>162</v>
      </c>
      <c r="I455" s="18"/>
      <c r="J455" s="18"/>
      <c r="K455" s="18"/>
      <c r="L455" s="18" t="s">
        <v>129</v>
      </c>
      <c r="M455" s="18" t="s">
        <v>129</v>
      </c>
      <c r="N455" s="18"/>
      <c r="O455" s="18"/>
      <c r="P455" s="18"/>
      <c r="Q455" s="18" t="s">
        <v>138</v>
      </c>
      <c r="R455" s="18" t="s">
        <v>2242</v>
      </c>
      <c r="S455" s="18" t="s">
        <v>140</v>
      </c>
      <c r="T455" s="18" t="s">
        <v>141</v>
      </c>
      <c r="U455" s="18"/>
      <c r="V455" s="19" t="s">
        <v>29</v>
      </c>
      <c r="W455" s="19"/>
      <c r="X455" s="19"/>
      <c r="Y455" s="20"/>
      <c r="Z455" s="19"/>
      <c r="AA455" s="18" t="str">
        <f aca="false">IF(OR(V455="Aprobada"),R455,IF(AND(OR(V455="Aprobada con ajuste",V455="Rechazada"),W455&lt;&gt;""),W455,""))</f>
        <v/>
      </c>
    </row>
    <row r="456" customFormat="false" ht="22.35" hidden="false" customHeight="false" outlineLevel="0" collapsed="false">
      <c r="A456" s="18" t="s">
        <v>2243</v>
      </c>
      <c r="B456" s="18" t="s">
        <v>60</v>
      </c>
      <c r="C456" s="18" t="s">
        <v>61</v>
      </c>
      <c r="D456" s="18" t="s">
        <v>2046</v>
      </c>
      <c r="E456" s="18" t="n">
        <v>814</v>
      </c>
      <c r="F456" s="18" t="s">
        <v>2244</v>
      </c>
      <c r="G456" s="18" t="s">
        <v>317</v>
      </c>
      <c r="H456" s="18" t="s">
        <v>162</v>
      </c>
      <c r="I456" s="18"/>
      <c r="J456" s="18"/>
      <c r="K456" s="18"/>
      <c r="L456" s="18" t="s">
        <v>129</v>
      </c>
      <c r="M456" s="18" t="s">
        <v>129</v>
      </c>
      <c r="N456" s="18"/>
      <c r="O456" s="18"/>
      <c r="P456" s="18"/>
      <c r="Q456" s="18" t="s">
        <v>138</v>
      </c>
      <c r="R456" s="18" t="s">
        <v>2245</v>
      </c>
      <c r="S456" s="18" t="s">
        <v>140</v>
      </c>
      <c r="T456" s="18" t="s">
        <v>141</v>
      </c>
      <c r="U456" s="18"/>
      <c r="V456" s="19" t="s">
        <v>29</v>
      </c>
      <c r="W456" s="19"/>
      <c r="X456" s="19"/>
      <c r="Y456" s="20"/>
      <c r="Z456" s="19"/>
      <c r="AA456" s="18" t="str">
        <f aca="false">IF(OR(V456="Aprobada"),R456,IF(AND(OR(V456="Aprobada con ajuste",V456="Rechazada"),W456&lt;&gt;""),W456,""))</f>
        <v/>
      </c>
    </row>
    <row r="457" customFormat="false" ht="22.35" hidden="false" customHeight="false" outlineLevel="0" collapsed="false">
      <c r="A457" s="18" t="s">
        <v>2246</v>
      </c>
      <c r="B457" s="18" t="s">
        <v>60</v>
      </c>
      <c r="C457" s="18" t="s">
        <v>61</v>
      </c>
      <c r="D457" s="18" t="s">
        <v>2046</v>
      </c>
      <c r="E457" s="18" t="n">
        <v>814</v>
      </c>
      <c r="F457" s="18" t="s">
        <v>2247</v>
      </c>
      <c r="G457" s="18" t="s">
        <v>145</v>
      </c>
      <c r="H457" s="18" t="s">
        <v>162</v>
      </c>
      <c r="I457" s="18"/>
      <c r="J457" s="18"/>
      <c r="K457" s="18"/>
      <c r="L457" s="18" t="s">
        <v>129</v>
      </c>
      <c r="M457" s="18" t="s">
        <v>129</v>
      </c>
      <c r="N457" s="18"/>
      <c r="O457" s="18"/>
      <c r="P457" s="18"/>
      <c r="Q457" s="18" t="s">
        <v>149</v>
      </c>
      <c r="R457" s="18" t="s">
        <v>2248</v>
      </c>
      <c r="S457" s="18" t="s">
        <v>133</v>
      </c>
      <c r="T457" s="18" t="s">
        <v>2249</v>
      </c>
      <c r="U457" s="18"/>
      <c r="V457" s="19" t="s">
        <v>29</v>
      </c>
      <c r="W457" s="19"/>
      <c r="X457" s="19"/>
      <c r="Y457" s="20"/>
      <c r="Z457" s="19"/>
      <c r="AA457" s="18" t="str">
        <f aca="false">IF(OR(V457="Aprobada"),R457,IF(AND(OR(V457="Aprobada con ajuste",V457="Rechazada"),W457&lt;&gt;""),W457,""))</f>
        <v/>
      </c>
    </row>
    <row r="458" customFormat="false" ht="32.8" hidden="false" customHeight="false" outlineLevel="0" collapsed="false">
      <c r="A458" s="18" t="s">
        <v>2250</v>
      </c>
      <c r="B458" s="18" t="s">
        <v>60</v>
      </c>
      <c r="C458" s="18" t="s">
        <v>61</v>
      </c>
      <c r="D458" s="18" t="s">
        <v>2046</v>
      </c>
      <c r="E458" s="18" t="n">
        <v>814</v>
      </c>
      <c r="F458" s="18" t="s">
        <v>2251</v>
      </c>
      <c r="G458" s="18" t="s">
        <v>128</v>
      </c>
      <c r="H458" s="18" t="s">
        <v>162</v>
      </c>
      <c r="I458" s="18"/>
      <c r="J458" s="18"/>
      <c r="K458" s="18"/>
      <c r="L458" s="18" t="s">
        <v>129</v>
      </c>
      <c r="M458" s="18" t="s">
        <v>129</v>
      </c>
      <c r="N458" s="18"/>
      <c r="O458" s="18"/>
      <c r="P458" s="18" t="s">
        <v>2252</v>
      </c>
      <c r="Q458" s="18" t="s">
        <v>149</v>
      </c>
      <c r="R458" s="18" t="s">
        <v>2253</v>
      </c>
      <c r="S458" s="18" t="s">
        <v>140</v>
      </c>
      <c r="T458" s="18" t="s">
        <v>275</v>
      </c>
      <c r="U458" s="18" t="s">
        <v>2057</v>
      </c>
      <c r="V458" s="19" t="s">
        <v>29</v>
      </c>
      <c r="W458" s="19"/>
      <c r="X458" s="19"/>
      <c r="Y458" s="20"/>
      <c r="Z458" s="19"/>
      <c r="AA458" s="18" t="str">
        <f aca="false">IF(OR(V458="Aprobada"),R458,IF(AND(OR(V458="Aprobada con ajuste",V458="Rechazada"),W458&lt;&gt;""),W458,""))</f>
        <v/>
      </c>
    </row>
    <row r="459" customFormat="false" ht="32.8" hidden="false" customHeight="false" outlineLevel="0" collapsed="false">
      <c r="A459" s="18" t="s">
        <v>2254</v>
      </c>
      <c r="B459" s="18" t="s">
        <v>60</v>
      </c>
      <c r="C459" s="18" t="s">
        <v>61</v>
      </c>
      <c r="D459" s="18" t="s">
        <v>2046</v>
      </c>
      <c r="E459" s="18" t="n">
        <v>814</v>
      </c>
      <c r="F459" s="18" t="s">
        <v>2255</v>
      </c>
      <c r="G459" s="18" t="s">
        <v>503</v>
      </c>
      <c r="H459" s="18" t="s">
        <v>162</v>
      </c>
      <c r="I459" s="18"/>
      <c r="J459" s="18"/>
      <c r="K459" s="18"/>
      <c r="L459" s="18" t="s">
        <v>129</v>
      </c>
      <c r="M459" s="18" t="s">
        <v>129</v>
      </c>
      <c r="N459" s="18"/>
      <c r="O459" s="18"/>
      <c r="P459" s="18" t="s">
        <v>2256</v>
      </c>
      <c r="Q459" s="18" t="s">
        <v>149</v>
      </c>
      <c r="R459" s="18" t="s">
        <v>2257</v>
      </c>
      <c r="S459" s="18" t="s">
        <v>133</v>
      </c>
      <c r="T459" s="18" t="s">
        <v>2087</v>
      </c>
      <c r="U459" s="18"/>
      <c r="V459" s="19" t="s">
        <v>29</v>
      </c>
      <c r="W459" s="19"/>
      <c r="X459" s="19"/>
      <c r="Y459" s="20"/>
      <c r="Z459" s="19"/>
      <c r="AA459" s="18" t="str">
        <f aca="false">IF(OR(V459="Aprobada"),R459,IF(AND(OR(V459="Aprobada con ajuste",V459="Rechazada"),W459&lt;&gt;""),W459,""))</f>
        <v/>
      </c>
    </row>
    <row r="460" customFormat="false" ht="32.8" hidden="false" customHeight="false" outlineLevel="0" collapsed="false">
      <c r="A460" s="18" t="s">
        <v>2258</v>
      </c>
      <c r="B460" s="18" t="s">
        <v>60</v>
      </c>
      <c r="C460" s="18" t="s">
        <v>61</v>
      </c>
      <c r="D460" s="18" t="s">
        <v>2046</v>
      </c>
      <c r="E460" s="18" t="n">
        <v>814</v>
      </c>
      <c r="F460" s="18" t="s">
        <v>2259</v>
      </c>
      <c r="G460" s="18" t="s">
        <v>128</v>
      </c>
      <c r="H460" s="18" t="s">
        <v>162</v>
      </c>
      <c r="I460" s="18"/>
      <c r="J460" s="18"/>
      <c r="K460" s="18"/>
      <c r="L460" s="18" t="s">
        <v>129</v>
      </c>
      <c r="M460" s="18" t="s">
        <v>129</v>
      </c>
      <c r="N460" s="18"/>
      <c r="O460" s="18"/>
      <c r="P460" s="18" t="s">
        <v>2260</v>
      </c>
      <c r="Q460" s="18" t="s">
        <v>149</v>
      </c>
      <c r="R460" s="18" t="s">
        <v>2261</v>
      </c>
      <c r="S460" s="18" t="s">
        <v>242</v>
      </c>
      <c r="T460" s="18" t="s">
        <v>2262</v>
      </c>
      <c r="U460" s="18" t="s">
        <v>2263</v>
      </c>
      <c r="V460" s="19" t="s">
        <v>29</v>
      </c>
      <c r="W460" s="19"/>
      <c r="X460" s="19"/>
      <c r="Y460" s="20"/>
      <c r="Z460" s="19"/>
      <c r="AA460" s="18" t="str">
        <f aca="false">IF(OR(V460="Aprobada"),R460,IF(AND(OR(V460="Aprobada con ajuste",V460="Rechazada"),W460&lt;&gt;""),W460,""))</f>
        <v/>
      </c>
    </row>
    <row r="461" customFormat="false" ht="74.6" hidden="false" customHeight="false" outlineLevel="0" collapsed="false">
      <c r="A461" s="18" t="s">
        <v>2264</v>
      </c>
      <c r="B461" s="18" t="s">
        <v>60</v>
      </c>
      <c r="C461" s="18" t="s">
        <v>61</v>
      </c>
      <c r="D461" s="18" t="s">
        <v>2265</v>
      </c>
      <c r="E461" s="18" t="n">
        <v>2</v>
      </c>
      <c r="F461" s="18" t="s">
        <v>275</v>
      </c>
      <c r="G461" s="18" t="s">
        <v>128</v>
      </c>
      <c r="H461" s="18" t="s">
        <v>129</v>
      </c>
      <c r="I461" s="18"/>
      <c r="J461" s="18"/>
      <c r="K461" s="18"/>
      <c r="L461" s="18" t="s">
        <v>129</v>
      </c>
      <c r="M461" s="18" t="s">
        <v>162</v>
      </c>
      <c r="N461" s="18" t="s">
        <v>2266</v>
      </c>
      <c r="O461" s="18"/>
      <c r="P461" s="18"/>
      <c r="Q461" s="18" t="s">
        <v>138</v>
      </c>
      <c r="R461" s="18" t="s">
        <v>2267</v>
      </c>
      <c r="S461" s="18" t="s">
        <v>140</v>
      </c>
      <c r="T461" s="18" t="s">
        <v>141</v>
      </c>
      <c r="U461" s="18"/>
      <c r="V461" s="19" t="s">
        <v>29</v>
      </c>
      <c r="W461" s="19"/>
      <c r="X461" s="19"/>
      <c r="Y461" s="20"/>
      <c r="Z461" s="19"/>
      <c r="AA461" s="18" t="str">
        <f aca="false">IF(OR(V461="Aprobada"),R461,IF(AND(OR(V461="Aprobada con ajuste",V461="Rechazada"),W461&lt;&gt;""),W461,""))</f>
        <v/>
      </c>
    </row>
    <row r="462" customFormat="false" ht="22.35" hidden="false" customHeight="false" outlineLevel="0" collapsed="false">
      <c r="A462" s="18" t="s">
        <v>2268</v>
      </c>
      <c r="B462" s="18" t="s">
        <v>60</v>
      </c>
      <c r="C462" s="18" t="s">
        <v>61</v>
      </c>
      <c r="D462" s="18" t="s">
        <v>2265</v>
      </c>
      <c r="E462" s="18" t="n">
        <v>2</v>
      </c>
      <c r="F462" s="18" t="s">
        <v>2269</v>
      </c>
      <c r="G462" s="18" t="s">
        <v>128</v>
      </c>
      <c r="H462" s="18" t="s">
        <v>129</v>
      </c>
      <c r="I462" s="18"/>
      <c r="J462" s="18"/>
      <c r="K462" s="18"/>
      <c r="L462" s="18" t="s">
        <v>129</v>
      </c>
      <c r="M462" s="18" t="s">
        <v>129</v>
      </c>
      <c r="N462" s="18"/>
      <c r="O462" s="18"/>
      <c r="P462" s="18"/>
      <c r="Q462" s="18" t="s">
        <v>138</v>
      </c>
      <c r="R462" s="18" t="s">
        <v>2270</v>
      </c>
      <c r="S462" s="18" t="s">
        <v>140</v>
      </c>
      <c r="T462" s="18" t="s">
        <v>141</v>
      </c>
      <c r="U462" s="18"/>
      <c r="V462" s="19" t="s">
        <v>29</v>
      </c>
      <c r="W462" s="19"/>
      <c r="X462" s="19"/>
      <c r="Y462" s="20"/>
      <c r="Z462" s="19"/>
      <c r="AA462" s="18" t="str">
        <f aca="false">IF(OR(V462="Aprobada"),R462,IF(AND(OR(V462="Aprobada con ajuste",V462="Rechazada"),W462&lt;&gt;""),W462,""))</f>
        <v/>
      </c>
    </row>
    <row r="463" customFormat="false" ht="64.15" hidden="false" customHeight="false" outlineLevel="0" collapsed="false">
      <c r="A463" s="18" t="s">
        <v>2271</v>
      </c>
      <c r="B463" s="18" t="s">
        <v>60</v>
      </c>
      <c r="C463" s="18" t="s">
        <v>61</v>
      </c>
      <c r="D463" s="18" t="s">
        <v>2265</v>
      </c>
      <c r="E463" s="18" t="n">
        <v>2</v>
      </c>
      <c r="F463" s="18" t="s">
        <v>127</v>
      </c>
      <c r="G463" s="18" t="s">
        <v>128</v>
      </c>
      <c r="H463" s="18" t="s">
        <v>129</v>
      </c>
      <c r="I463" s="18"/>
      <c r="J463" s="18"/>
      <c r="K463" s="18"/>
      <c r="L463" s="18" t="s">
        <v>129</v>
      </c>
      <c r="M463" s="18" t="s">
        <v>162</v>
      </c>
      <c r="N463" s="18" t="s">
        <v>2272</v>
      </c>
      <c r="O463" s="18"/>
      <c r="P463" s="18"/>
      <c r="Q463" s="18" t="s">
        <v>138</v>
      </c>
      <c r="R463" s="18" t="s">
        <v>2273</v>
      </c>
      <c r="S463" s="18" t="s">
        <v>140</v>
      </c>
      <c r="T463" s="18" t="s">
        <v>141</v>
      </c>
      <c r="U463" s="18"/>
      <c r="V463" s="19" t="s">
        <v>29</v>
      </c>
      <c r="W463" s="19"/>
      <c r="X463" s="19"/>
      <c r="Y463" s="20"/>
      <c r="Z463" s="19"/>
      <c r="AA463" s="18" t="str">
        <f aca="false">IF(OR(V463="Aprobada"),R463,IF(AND(OR(V463="Aprobada con ajuste",V463="Rechazada"),W463&lt;&gt;""),W463,""))</f>
        <v/>
      </c>
    </row>
    <row r="464" customFormat="false" ht="22.35" hidden="false" customHeight="false" outlineLevel="0" collapsed="false">
      <c r="A464" s="18" t="s">
        <v>2274</v>
      </c>
      <c r="B464" s="18" t="s">
        <v>60</v>
      </c>
      <c r="C464" s="18" t="s">
        <v>61</v>
      </c>
      <c r="D464" s="18" t="s">
        <v>2265</v>
      </c>
      <c r="E464" s="18" t="n">
        <v>2</v>
      </c>
      <c r="F464" s="18" t="s">
        <v>281</v>
      </c>
      <c r="G464" s="18" t="s">
        <v>128</v>
      </c>
      <c r="H464" s="18" t="s">
        <v>162</v>
      </c>
      <c r="I464" s="18"/>
      <c r="J464" s="18"/>
      <c r="K464" s="18"/>
      <c r="L464" s="18" t="s">
        <v>129</v>
      </c>
      <c r="M464" s="18" t="s">
        <v>129</v>
      </c>
      <c r="N464" s="18"/>
      <c r="O464" s="18"/>
      <c r="P464" s="18"/>
      <c r="Q464" s="18" t="s">
        <v>149</v>
      </c>
      <c r="R464" s="18" t="s">
        <v>2275</v>
      </c>
      <c r="S464" s="18" t="s">
        <v>140</v>
      </c>
      <c r="T464" s="18" t="s">
        <v>2276</v>
      </c>
      <c r="U464" s="18" t="s">
        <v>2277</v>
      </c>
      <c r="V464" s="19" t="s">
        <v>29</v>
      </c>
      <c r="W464" s="19"/>
      <c r="X464" s="19"/>
      <c r="Y464" s="20"/>
      <c r="Z464" s="19"/>
      <c r="AA464" s="18" t="str">
        <f aca="false">IF(OR(V464="Aprobada"),R464,IF(AND(OR(V464="Aprobada con ajuste",V464="Rechazada"),W464&lt;&gt;""),W464,""))</f>
        <v/>
      </c>
    </row>
    <row r="465" customFormat="false" ht="22.35" hidden="false" customHeight="false" outlineLevel="0" collapsed="false">
      <c r="A465" s="18" t="s">
        <v>2278</v>
      </c>
      <c r="B465" s="18" t="s">
        <v>60</v>
      </c>
      <c r="C465" s="18" t="s">
        <v>61</v>
      </c>
      <c r="D465" s="18" t="s">
        <v>2265</v>
      </c>
      <c r="E465" s="18" t="n">
        <v>2</v>
      </c>
      <c r="F465" s="18" t="s">
        <v>305</v>
      </c>
      <c r="G465" s="18" t="s">
        <v>128</v>
      </c>
      <c r="H465" s="18" t="s">
        <v>162</v>
      </c>
      <c r="I465" s="18"/>
      <c r="J465" s="18"/>
      <c r="K465" s="18"/>
      <c r="L465" s="18" t="s">
        <v>129</v>
      </c>
      <c r="M465" s="18" t="s">
        <v>129</v>
      </c>
      <c r="N465" s="18"/>
      <c r="O465" s="18"/>
      <c r="P465" s="18"/>
      <c r="Q465" s="18" t="s">
        <v>149</v>
      </c>
      <c r="R465" s="18" t="s">
        <v>2279</v>
      </c>
      <c r="S465" s="18" t="s">
        <v>140</v>
      </c>
      <c r="T465" s="18" t="s">
        <v>2122</v>
      </c>
      <c r="U465" s="18" t="s">
        <v>2280</v>
      </c>
      <c r="V465" s="19" t="s">
        <v>29</v>
      </c>
      <c r="W465" s="19"/>
      <c r="X465" s="19"/>
      <c r="Y465" s="20"/>
      <c r="Z465" s="19"/>
      <c r="AA465" s="18" t="str">
        <f aca="false">IF(OR(V465="Aprobada"),R465,IF(AND(OR(V465="Aprobada con ajuste",V465="Rechazada"),W465&lt;&gt;""),W465,""))</f>
        <v/>
      </c>
    </row>
    <row r="466" customFormat="false" ht="53.7" hidden="false" customHeight="false" outlineLevel="0" collapsed="false">
      <c r="A466" s="18" t="s">
        <v>2281</v>
      </c>
      <c r="B466" s="18" t="s">
        <v>60</v>
      </c>
      <c r="C466" s="18" t="s">
        <v>61</v>
      </c>
      <c r="D466" s="18" t="s">
        <v>2265</v>
      </c>
      <c r="E466" s="18" t="n">
        <v>2</v>
      </c>
      <c r="F466" s="18" t="s">
        <v>185</v>
      </c>
      <c r="G466" s="18" t="s">
        <v>128</v>
      </c>
      <c r="H466" s="18" t="s">
        <v>129</v>
      </c>
      <c r="I466" s="18"/>
      <c r="J466" s="18"/>
      <c r="K466" s="18"/>
      <c r="L466" s="18" t="s">
        <v>129</v>
      </c>
      <c r="M466" s="18" t="s">
        <v>162</v>
      </c>
      <c r="N466" s="18" t="s">
        <v>2064</v>
      </c>
      <c r="O466" s="18"/>
      <c r="P466" s="18"/>
      <c r="Q466" s="18" t="s">
        <v>138</v>
      </c>
      <c r="R466" s="18" t="s">
        <v>2282</v>
      </c>
      <c r="S466" s="18" t="s">
        <v>140</v>
      </c>
      <c r="T466" s="18" t="s">
        <v>141</v>
      </c>
      <c r="U466" s="18"/>
      <c r="V466" s="19" t="s">
        <v>29</v>
      </c>
      <c r="W466" s="19"/>
      <c r="X466" s="19"/>
      <c r="Y466" s="20"/>
      <c r="Z466" s="19"/>
      <c r="AA466" s="18" t="str">
        <f aca="false">IF(OR(V466="Aprobada"),R466,IF(AND(OR(V466="Aprobada con ajuste",V466="Rechazada"),W466&lt;&gt;""),W466,""))</f>
        <v/>
      </c>
    </row>
    <row r="467" customFormat="false" ht="22.35" hidden="false" customHeight="false" outlineLevel="0" collapsed="false">
      <c r="A467" s="18" t="s">
        <v>2283</v>
      </c>
      <c r="B467" s="18" t="s">
        <v>60</v>
      </c>
      <c r="C467" s="18" t="s">
        <v>61</v>
      </c>
      <c r="D467" s="18" t="s">
        <v>2265</v>
      </c>
      <c r="E467" s="18" t="n">
        <v>2</v>
      </c>
      <c r="F467" s="18" t="s">
        <v>2284</v>
      </c>
      <c r="G467" s="18" t="s">
        <v>503</v>
      </c>
      <c r="H467" s="18" t="s">
        <v>129</v>
      </c>
      <c r="I467" s="18"/>
      <c r="J467" s="18"/>
      <c r="K467" s="18"/>
      <c r="L467" s="18" t="s">
        <v>129</v>
      </c>
      <c r="M467" s="18" t="s">
        <v>129</v>
      </c>
      <c r="N467" s="18"/>
      <c r="O467" s="18"/>
      <c r="P467" s="18"/>
      <c r="Q467" s="18" t="s">
        <v>149</v>
      </c>
      <c r="R467" s="18" t="s">
        <v>296</v>
      </c>
      <c r="S467" s="18" t="s">
        <v>133</v>
      </c>
      <c r="T467" s="18" t="s">
        <v>2087</v>
      </c>
      <c r="U467" s="18"/>
      <c r="V467" s="19" t="s">
        <v>29</v>
      </c>
      <c r="W467" s="19"/>
      <c r="X467" s="19"/>
      <c r="Y467" s="20"/>
      <c r="Z467" s="19"/>
      <c r="AA467" s="18" t="str">
        <f aca="false">IF(OR(V467="Aprobada"),R467,IF(AND(OR(V467="Aprobada con ajuste",V467="Rechazada"),W467&lt;&gt;""),W467,""))</f>
        <v/>
      </c>
    </row>
    <row r="468" customFormat="false" ht="22.35" hidden="false" customHeight="false" outlineLevel="0" collapsed="false">
      <c r="A468" s="18" t="s">
        <v>2285</v>
      </c>
      <c r="B468" s="18" t="s">
        <v>60</v>
      </c>
      <c r="C468" s="18" t="s">
        <v>61</v>
      </c>
      <c r="D468" s="18" t="s">
        <v>2265</v>
      </c>
      <c r="E468" s="18" t="n">
        <v>2</v>
      </c>
      <c r="F468" s="18" t="s">
        <v>2286</v>
      </c>
      <c r="G468" s="18" t="s">
        <v>128</v>
      </c>
      <c r="H468" s="18" t="s">
        <v>162</v>
      </c>
      <c r="I468" s="18"/>
      <c r="J468" s="18"/>
      <c r="K468" s="18"/>
      <c r="L468" s="18" t="s">
        <v>129</v>
      </c>
      <c r="M468" s="18" t="s">
        <v>129</v>
      </c>
      <c r="N468" s="18"/>
      <c r="O468" s="18"/>
      <c r="P468" s="18"/>
      <c r="Q468" s="18" t="s">
        <v>149</v>
      </c>
      <c r="R468" s="18" t="s">
        <v>2287</v>
      </c>
      <c r="S468" s="18" t="s">
        <v>133</v>
      </c>
      <c r="T468" s="18" t="s">
        <v>275</v>
      </c>
      <c r="U468" s="18"/>
      <c r="V468" s="19" t="s">
        <v>29</v>
      </c>
      <c r="W468" s="19"/>
      <c r="X468" s="19"/>
      <c r="Y468" s="20"/>
      <c r="Z468" s="19"/>
      <c r="AA468" s="18" t="str">
        <f aca="false">IF(OR(V468="Aprobada"),R468,IF(AND(OR(V468="Aprobada con ajuste",V468="Rechazada"),W468&lt;&gt;""),W468,""))</f>
        <v/>
      </c>
    </row>
    <row r="469" customFormat="false" ht="22.35" hidden="false" customHeight="false" outlineLevel="0" collapsed="false">
      <c r="A469" s="18" t="s">
        <v>2288</v>
      </c>
      <c r="B469" s="18" t="s">
        <v>60</v>
      </c>
      <c r="C469" s="18" t="s">
        <v>61</v>
      </c>
      <c r="D469" s="18" t="s">
        <v>2265</v>
      </c>
      <c r="E469" s="18" t="n">
        <v>2</v>
      </c>
      <c r="F469" s="18" t="s">
        <v>2289</v>
      </c>
      <c r="G469" s="18" t="s">
        <v>503</v>
      </c>
      <c r="H469" s="18" t="s">
        <v>129</v>
      </c>
      <c r="I469" s="18"/>
      <c r="J469" s="18"/>
      <c r="K469" s="18"/>
      <c r="L469" s="18" t="s">
        <v>129</v>
      </c>
      <c r="M469" s="18" t="s">
        <v>129</v>
      </c>
      <c r="N469" s="18"/>
      <c r="O469" s="18"/>
      <c r="P469" s="18"/>
      <c r="Q469" s="18" t="s">
        <v>149</v>
      </c>
      <c r="R469" s="18" t="s">
        <v>2290</v>
      </c>
      <c r="S469" s="18" t="s">
        <v>133</v>
      </c>
      <c r="T469" s="18" t="s">
        <v>2291</v>
      </c>
      <c r="U469" s="18"/>
      <c r="V469" s="19" t="s">
        <v>29</v>
      </c>
      <c r="W469" s="19"/>
      <c r="X469" s="19"/>
      <c r="Y469" s="20"/>
      <c r="Z469" s="19"/>
      <c r="AA469" s="18" t="str">
        <f aca="false">IF(OR(V469="Aprobada"),R469,IF(AND(OR(V469="Aprobada con ajuste",V469="Rechazada"),W469&lt;&gt;""),W469,""))</f>
        <v/>
      </c>
    </row>
    <row r="470" customFormat="false" ht="22.35" hidden="false" customHeight="false" outlineLevel="0" collapsed="false">
      <c r="A470" s="18" t="s">
        <v>2292</v>
      </c>
      <c r="B470" s="18" t="s">
        <v>60</v>
      </c>
      <c r="C470" s="18" t="s">
        <v>61</v>
      </c>
      <c r="D470" s="18" t="s">
        <v>2265</v>
      </c>
      <c r="E470" s="18" t="n">
        <v>2</v>
      </c>
      <c r="F470" s="18" t="s">
        <v>2293</v>
      </c>
      <c r="G470" s="18" t="s">
        <v>128</v>
      </c>
      <c r="H470" s="18" t="s">
        <v>162</v>
      </c>
      <c r="I470" s="18"/>
      <c r="J470" s="18"/>
      <c r="K470" s="18"/>
      <c r="L470" s="18" t="s">
        <v>129</v>
      </c>
      <c r="M470" s="18" t="s">
        <v>129</v>
      </c>
      <c r="N470" s="18"/>
      <c r="O470" s="18"/>
      <c r="P470" s="18"/>
      <c r="Q470" s="18" t="s">
        <v>149</v>
      </c>
      <c r="R470" s="18" t="s">
        <v>2294</v>
      </c>
      <c r="S470" s="18" t="s">
        <v>133</v>
      </c>
      <c r="T470" s="18" t="s">
        <v>2295</v>
      </c>
      <c r="U470" s="18"/>
      <c r="V470" s="19" t="s">
        <v>29</v>
      </c>
      <c r="W470" s="19"/>
      <c r="X470" s="19"/>
      <c r="Y470" s="20"/>
      <c r="Z470" s="19"/>
      <c r="AA470" s="18" t="str">
        <f aca="false">IF(OR(V470="Aprobada"),R470,IF(AND(OR(V470="Aprobada con ajuste",V470="Rechazada"),W470&lt;&gt;""),W470,""))</f>
        <v/>
      </c>
    </row>
    <row r="471" customFormat="false" ht="22.35" hidden="false" customHeight="false" outlineLevel="0" collapsed="false">
      <c r="A471" s="18" t="s">
        <v>2296</v>
      </c>
      <c r="B471" s="18" t="s">
        <v>60</v>
      </c>
      <c r="C471" s="18" t="s">
        <v>61</v>
      </c>
      <c r="D471" s="18" t="s">
        <v>2265</v>
      </c>
      <c r="E471" s="18" t="n">
        <v>2</v>
      </c>
      <c r="F471" s="18" t="s">
        <v>2297</v>
      </c>
      <c r="G471" s="18" t="s">
        <v>128</v>
      </c>
      <c r="H471" s="18" t="s">
        <v>162</v>
      </c>
      <c r="I471" s="18"/>
      <c r="J471" s="18"/>
      <c r="K471" s="18"/>
      <c r="L471" s="18" t="s">
        <v>129</v>
      </c>
      <c r="M471" s="18" t="s">
        <v>129</v>
      </c>
      <c r="N471" s="18"/>
      <c r="O471" s="18"/>
      <c r="P471" s="18"/>
      <c r="Q471" s="18" t="s">
        <v>149</v>
      </c>
      <c r="R471" s="18" t="s">
        <v>2298</v>
      </c>
      <c r="S471" s="18" t="s">
        <v>133</v>
      </c>
      <c r="T471" s="18" t="s">
        <v>2299</v>
      </c>
      <c r="U471" s="18"/>
      <c r="V471" s="19" t="s">
        <v>29</v>
      </c>
      <c r="W471" s="19"/>
      <c r="X471" s="19"/>
      <c r="Y471" s="20"/>
      <c r="Z471" s="19"/>
      <c r="AA471" s="18" t="str">
        <f aca="false">IF(OR(V471="Aprobada"),R471,IF(AND(OR(V471="Aprobada con ajuste",V471="Rechazada"),W471&lt;&gt;""),W471,""))</f>
        <v/>
      </c>
    </row>
    <row r="472" customFormat="false" ht="22.35" hidden="false" customHeight="false" outlineLevel="0" collapsed="false">
      <c r="A472" s="18" t="s">
        <v>2300</v>
      </c>
      <c r="B472" s="18" t="s">
        <v>60</v>
      </c>
      <c r="C472" s="18" t="s">
        <v>61</v>
      </c>
      <c r="D472" s="18" t="s">
        <v>2301</v>
      </c>
      <c r="E472" s="18" t="n">
        <v>0</v>
      </c>
      <c r="F472" s="18" t="s">
        <v>1018</v>
      </c>
      <c r="G472" s="18" t="s">
        <v>503</v>
      </c>
      <c r="H472" s="18" t="s">
        <v>129</v>
      </c>
      <c r="I472" s="18"/>
      <c r="J472" s="18"/>
      <c r="K472" s="18"/>
      <c r="L472" s="18" t="s">
        <v>129</v>
      </c>
      <c r="M472" s="18" t="s">
        <v>129</v>
      </c>
      <c r="N472" s="18"/>
      <c r="O472" s="18"/>
      <c r="P472" s="18"/>
      <c r="Q472" s="18" t="s">
        <v>138</v>
      </c>
      <c r="R472" s="18" t="s">
        <v>2302</v>
      </c>
      <c r="S472" s="18" t="s">
        <v>140</v>
      </c>
      <c r="T472" s="18" t="s">
        <v>141</v>
      </c>
      <c r="U472" s="18"/>
      <c r="V472" s="19" t="s">
        <v>29</v>
      </c>
      <c r="W472" s="19"/>
      <c r="X472" s="19"/>
      <c r="Y472" s="20"/>
      <c r="Z472" s="19"/>
      <c r="AA472" s="18" t="str">
        <f aca="false">IF(OR(V472="Aprobada"),R472,IF(AND(OR(V472="Aprobada con ajuste",V472="Rechazada"),W472&lt;&gt;""),W472,""))</f>
        <v/>
      </c>
    </row>
    <row r="473" customFormat="false" ht="22.35" hidden="false" customHeight="false" outlineLevel="0" collapsed="false">
      <c r="A473" s="18" t="s">
        <v>2303</v>
      </c>
      <c r="B473" s="18" t="s">
        <v>60</v>
      </c>
      <c r="C473" s="18" t="s">
        <v>61</v>
      </c>
      <c r="D473" s="18" t="s">
        <v>2301</v>
      </c>
      <c r="E473" s="18" t="n">
        <v>0</v>
      </c>
      <c r="F473" s="18" t="s">
        <v>2269</v>
      </c>
      <c r="G473" s="18" t="s">
        <v>128</v>
      </c>
      <c r="H473" s="18" t="s">
        <v>129</v>
      </c>
      <c r="I473" s="18"/>
      <c r="J473" s="18"/>
      <c r="K473" s="18"/>
      <c r="L473" s="18" t="s">
        <v>129</v>
      </c>
      <c r="M473" s="18" t="s">
        <v>129</v>
      </c>
      <c r="N473" s="18"/>
      <c r="O473" s="18"/>
      <c r="P473" s="18"/>
      <c r="Q473" s="18" t="s">
        <v>138</v>
      </c>
      <c r="R473" s="18" t="s">
        <v>2270</v>
      </c>
      <c r="S473" s="18" t="s">
        <v>140</v>
      </c>
      <c r="T473" s="18" t="s">
        <v>141</v>
      </c>
      <c r="U473" s="18"/>
      <c r="V473" s="19" t="s">
        <v>29</v>
      </c>
      <c r="W473" s="19"/>
      <c r="X473" s="19"/>
      <c r="Y473" s="20"/>
      <c r="Z473" s="19"/>
      <c r="AA473" s="18" t="str">
        <f aca="false">IF(OR(V473="Aprobada"),R473,IF(AND(OR(V473="Aprobada con ajuste",V473="Rechazada"),W473&lt;&gt;""),W473,""))</f>
        <v/>
      </c>
    </row>
    <row r="474" customFormat="false" ht="22.35" hidden="false" customHeight="false" outlineLevel="0" collapsed="false">
      <c r="A474" s="18" t="s">
        <v>2304</v>
      </c>
      <c r="B474" s="18" t="s">
        <v>60</v>
      </c>
      <c r="C474" s="18" t="s">
        <v>61</v>
      </c>
      <c r="D474" s="18" t="s">
        <v>2301</v>
      </c>
      <c r="E474" s="18" t="n">
        <v>0</v>
      </c>
      <c r="F474" s="18" t="s">
        <v>275</v>
      </c>
      <c r="G474" s="18" t="s">
        <v>128</v>
      </c>
      <c r="H474" s="18" t="s">
        <v>129</v>
      </c>
      <c r="I474" s="18"/>
      <c r="J474" s="18"/>
      <c r="K474" s="18"/>
      <c r="L474" s="18" t="s">
        <v>129</v>
      </c>
      <c r="M474" s="18" t="s">
        <v>129</v>
      </c>
      <c r="N474" s="18"/>
      <c r="O474" s="18"/>
      <c r="P474" s="18"/>
      <c r="Q474" s="18" t="s">
        <v>138</v>
      </c>
      <c r="R474" s="18" t="s">
        <v>2305</v>
      </c>
      <c r="S474" s="18" t="s">
        <v>140</v>
      </c>
      <c r="T474" s="18" t="s">
        <v>141</v>
      </c>
      <c r="U474" s="18"/>
      <c r="V474" s="19" t="s">
        <v>29</v>
      </c>
      <c r="W474" s="19"/>
      <c r="X474" s="19"/>
      <c r="Y474" s="20"/>
      <c r="Z474" s="19"/>
      <c r="AA474" s="18" t="str">
        <f aca="false">IF(OR(V474="Aprobada"),R474,IF(AND(OR(V474="Aprobada con ajuste",V474="Rechazada"),W474&lt;&gt;""),W474,""))</f>
        <v/>
      </c>
    </row>
    <row r="475" customFormat="false" ht="22.35" hidden="false" customHeight="false" outlineLevel="0" collapsed="false">
      <c r="A475" s="18" t="s">
        <v>2306</v>
      </c>
      <c r="B475" s="18" t="s">
        <v>60</v>
      </c>
      <c r="C475" s="18" t="s">
        <v>61</v>
      </c>
      <c r="D475" s="18" t="s">
        <v>2301</v>
      </c>
      <c r="E475" s="18" t="n">
        <v>0</v>
      </c>
      <c r="F475" s="18" t="s">
        <v>2284</v>
      </c>
      <c r="G475" s="18" t="s">
        <v>503</v>
      </c>
      <c r="H475" s="18" t="s">
        <v>129</v>
      </c>
      <c r="I475" s="18"/>
      <c r="J475" s="18"/>
      <c r="K475" s="18"/>
      <c r="L475" s="18" t="s">
        <v>129</v>
      </c>
      <c r="M475" s="18" t="s">
        <v>129</v>
      </c>
      <c r="N475" s="18"/>
      <c r="O475" s="18"/>
      <c r="P475" s="18"/>
      <c r="Q475" s="18" t="s">
        <v>149</v>
      </c>
      <c r="R475" s="18" t="s">
        <v>2307</v>
      </c>
      <c r="S475" s="18" t="s">
        <v>133</v>
      </c>
      <c r="T475" s="18" t="s">
        <v>169</v>
      </c>
      <c r="U475" s="18"/>
      <c r="V475" s="19" t="s">
        <v>29</v>
      </c>
      <c r="W475" s="19"/>
      <c r="X475" s="19"/>
      <c r="Y475" s="20"/>
      <c r="Z475" s="19"/>
      <c r="AA475" s="18" t="str">
        <f aca="false">IF(OR(V475="Aprobada"),R475,IF(AND(OR(V475="Aprobada con ajuste",V475="Rechazada"),W475&lt;&gt;""),W475,""))</f>
        <v/>
      </c>
    </row>
    <row r="476" customFormat="false" ht="22.35" hidden="false" customHeight="false" outlineLevel="0" collapsed="false">
      <c r="A476" s="18" t="s">
        <v>2308</v>
      </c>
      <c r="B476" s="18" t="s">
        <v>60</v>
      </c>
      <c r="C476" s="18" t="s">
        <v>61</v>
      </c>
      <c r="D476" s="18" t="s">
        <v>2301</v>
      </c>
      <c r="E476" s="18" t="n">
        <v>0</v>
      </c>
      <c r="F476" s="18" t="s">
        <v>2309</v>
      </c>
      <c r="G476" s="18" t="s">
        <v>128</v>
      </c>
      <c r="H476" s="18" t="s">
        <v>162</v>
      </c>
      <c r="I476" s="18"/>
      <c r="J476" s="18"/>
      <c r="K476" s="18"/>
      <c r="L476" s="18" t="s">
        <v>129</v>
      </c>
      <c r="M476" s="18" t="s">
        <v>129</v>
      </c>
      <c r="N476" s="18"/>
      <c r="O476" s="18"/>
      <c r="P476" s="18"/>
      <c r="Q476" s="18" t="s">
        <v>149</v>
      </c>
      <c r="R476" s="18" t="s">
        <v>2310</v>
      </c>
      <c r="S476" s="18" t="s">
        <v>140</v>
      </c>
      <c r="T476" s="18" t="s">
        <v>183</v>
      </c>
      <c r="U476" s="18" t="s">
        <v>2311</v>
      </c>
      <c r="V476" s="19" t="s">
        <v>29</v>
      </c>
      <c r="W476" s="19"/>
      <c r="X476" s="19"/>
      <c r="Y476" s="20"/>
      <c r="Z476" s="19"/>
      <c r="AA476" s="18" t="str">
        <f aca="false">IF(OR(V476="Aprobada"),R476,IF(AND(OR(V476="Aprobada con ajuste",V476="Rechazada"),W476&lt;&gt;""),W476,""))</f>
        <v/>
      </c>
    </row>
    <row r="477" customFormat="false" ht="22.35" hidden="false" customHeight="false" outlineLevel="0" collapsed="false">
      <c r="A477" s="18" t="s">
        <v>2312</v>
      </c>
      <c r="B477" s="18" t="s">
        <v>60</v>
      </c>
      <c r="C477" s="18" t="s">
        <v>61</v>
      </c>
      <c r="D477" s="18" t="s">
        <v>2301</v>
      </c>
      <c r="E477" s="18" t="n">
        <v>0</v>
      </c>
      <c r="F477" s="18" t="s">
        <v>305</v>
      </c>
      <c r="G477" s="18" t="s">
        <v>128</v>
      </c>
      <c r="H477" s="18" t="s">
        <v>162</v>
      </c>
      <c r="I477" s="18"/>
      <c r="J477" s="18"/>
      <c r="K477" s="18"/>
      <c r="L477" s="18" t="s">
        <v>129</v>
      </c>
      <c r="M477" s="18" t="s">
        <v>129</v>
      </c>
      <c r="N477" s="18"/>
      <c r="O477" s="18"/>
      <c r="P477" s="18"/>
      <c r="Q477" s="18" t="s">
        <v>149</v>
      </c>
      <c r="R477" s="18" t="s">
        <v>2313</v>
      </c>
      <c r="S477" s="18" t="s">
        <v>133</v>
      </c>
      <c r="T477" s="18" t="s">
        <v>183</v>
      </c>
      <c r="U477" s="18"/>
      <c r="V477" s="19" t="s">
        <v>29</v>
      </c>
      <c r="W477" s="19"/>
      <c r="X477" s="19"/>
      <c r="Y477" s="20"/>
      <c r="Z477" s="19"/>
      <c r="AA477" s="18" t="str">
        <f aca="false">IF(OR(V477="Aprobada"),R477,IF(AND(OR(V477="Aprobada con ajuste",V477="Rechazada"),W477&lt;&gt;""),W477,""))</f>
        <v/>
      </c>
    </row>
    <row r="478" customFormat="false" ht="32.8" hidden="false" customHeight="false" outlineLevel="0" collapsed="false">
      <c r="A478" s="18" t="s">
        <v>2314</v>
      </c>
      <c r="B478" s="18" t="s">
        <v>60</v>
      </c>
      <c r="C478" s="18" t="s">
        <v>61</v>
      </c>
      <c r="D478" s="18" t="s">
        <v>638</v>
      </c>
      <c r="E478" s="18" t="n">
        <v>4</v>
      </c>
      <c r="F478" s="18" t="s">
        <v>611</v>
      </c>
      <c r="G478" s="18" t="s">
        <v>205</v>
      </c>
      <c r="H478" s="18" t="s">
        <v>129</v>
      </c>
      <c r="I478" s="18" t="s">
        <v>146</v>
      </c>
      <c r="J478" s="18"/>
      <c r="K478" s="18"/>
      <c r="L478" s="18" t="s">
        <v>129</v>
      </c>
      <c r="M478" s="18" t="s">
        <v>129</v>
      </c>
      <c r="N478" s="18"/>
      <c r="O478" s="18" t="s">
        <v>2315</v>
      </c>
      <c r="P478" s="18" t="s">
        <v>2316</v>
      </c>
      <c r="Q478" s="18" t="s">
        <v>138</v>
      </c>
      <c r="R478" s="18" t="s">
        <v>2317</v>
      </c>
      <c r="S478" s="18" t="s">
        <v>140</v>
      </c>
      <c r="T478" s="18" t="s">
        <v>141</v>
      </c>
      <c r="U478" s="18"/>
      <c r="V478" s="19" t="s">
        <v>29</v>
      </c>
      <c r="W478" s="19"/>
      <c r="X478" s="19"/>
      <c r="Y478" s="20"/>
      <c r="Z478" s="19"/>
      <c r="AA478" s="18" t="str">
        <f aca="false">IF(OR(V478="Aprobada"),R478,IF(AND(OR(V478="Aprobada con ajuste",V478="Rechazada"),W478&lt;&gt;""),W478,""))</f>
        <v/>
      </c>
    </row>
    <row r="479" customFormat="false" ht="32.8" hidden="false" customHeight="false" outlineLevel="0" collapsed="false">
      <c r="A479" s="18" t="s">
        <v>2318</v>
      </c>
      <c r="B479" s="18" t="s">
        <v>60</v>
      </c>
      <c r="C479" s="18" t="s">
        <v>61</v>
      </c>
      <c r="D479" s="18" t="s">
        <v>638</v>
      </c>
      <c r="E479" s="18" t="n">
        <v>4</v>
      </c>
      <c r="F479" s="18" t="s">
        <v>275</v>
      </c>
      <c r="G479" s="18" t="s">
        <v>145</v>
      </c>
      <c r="H479" s="18" t="s">
        <v>129</v>
      </c>
      <c r="I479" s="18" t="s">
        <v>146</v>
      </c>
      <c r="J479" s="18"/>
      <c r="K479" s="18"/>
      <c r="L479" s="18" t="s">
        <v>129</v>
      </c>
      <c r="M479" s="18" t="s">
        <v>129</v>
      </c>
      <c r="N479" s="18"/>
      <c r="O479" s="18" t="s">
        <v>2319</v>
      </c>
      <c r="P479" s="18" t="s">
        <v>2320</v>
      </c>
      <c r="Q479" s="18" t="s">
        <v>138</v>
      </c>
      <c r="R479" s="18" t="s">
        <v>2321</v>
      </c>
      <c r="S479" s="18" t="s">
        <v>140</v>
      </c>
      <c r="T479" s="18" t="s">
        <v>141</v>
      </c>
      <c r="U479" s="18"/>
      <c r="V479" s="19" t="s">
        <v>29</v>
      </c>
      <c r="W479" s="19"/>
      <c r="X479" s="19"/>
      <c r="Y479" s="20"/>
      <c r="Z479" s="19"/>
      <c r="AA479" s="18" t="str">
        <f aca="false">IF(OR(V479="Aprobada"),R479,IF(AND(OR(V479="Aprobada con ajuste",V479="Rechazada"),W479&lt;&gt;""),W479,""))</f>
        <v/>
      </c>
    </row>
    <row r="480" customFormat="false" ht="32.8" hidden="false" customHeight="false" outlineLevel="0" collapsed="false">
      <c r="A480" s="18" t="s">
        <v>2322</v>
      </c>
      <c r="B480" s="18" t="s">
        <v>60</v>
      </c>
      <c r="C480" s="18" t="s">
        <v>61</v>
      </c>
      <c r="D480" s="18" t="s">
        <v>638</v>
      </c>
      <c r="E480" s="18" t="n">
        <v>4</v>
      </c>
      <c r="F480" s="18" t="s">
        <v>172</v>
      </c>
      <c r="G480" s="18" t="s">
        <v>173</v>
      </c>
      <c r="H480" s="18" t="s">
        <v>129</v>
      </c>
      <c r="I480" s="18"/>
      <c r="J480" s="18"/>
      <c r="K480" s="18"/>
      <c r="L480" s="18" t="s">
        <v>129</v>
      </c>
      <c r="M480" s="18" t="s">
        <v>129</v>
      </c>
      <c r="N480" s="18"/>
      <c r="O480" s="18"/>
      <c r="P480" s="18" t="s">
        <v>2323</v>
      </c>
      <c r="Q480" s="18" t="s">
        <v>138</v>
      </c>
      <c r="R480" s="18" t="s">
        <v>176</v>
      </c>
      <c r="S480" s="18" t="s">
        <v>140</v>
      </c>
      <c r="T480" s="18" t="s">
        <v>141</v>
      </c>
      <c r="U480" s="18"/>
      <c r="V480" s="19" t="s">
        <v>29</v>
      </c>
      <c r="W480" s="19"/>
      <c r="X480" s="19"/>
      <c r="Y480" s="20"/>
      <c r="Z480" s="19"/>
      <c r="AA480" s="18" t="str">
        <f aca="false">IF(OR(V480="Aprobada"),R480,IF(AND(OR(V480="Aprobada con ajuste",V480="Rechazada"),W480&lt;&gt;""),W480,""))</f>
        <v/>
      </c>
    </row>
    <row r="481" customFormat="false" ht="32.8" hidden="false" customHeight="false" outlineLevel="0" collapsed="false">
      <c r="A481" s="18" t="s">
        <v>2324</v>
      </c>
      <c r="B481" s="18" t="s">
        <v>60</v>
      </c>
      <c r="C481" s="18" t="s">
        <v>61</v>
      </c>
      <c r="D481" s="18" t="s">
        <v>638</v>
      </c>
      <c r="E481" s="18" t="n">
        <v>4</v>
      </c>
      <c r="F481" s="18" t="s">
        <v>1695</v>
      </c>
      <c r="G481" s="18" t="s">
        <v>317</v>
      </c>
      <c r="H481" s="18" t="s">
        <v>162</v>
      </c>
      <c r="I481" s="18"/>
      <c r="J481" s="18"/>
      <c r="K481" s="18"/>
      <c r="L481" s="18" t="s">
        <v>129</v>
      </c>
      <c r="M481" s="18" t="s">
        <v>129</v>
      </c>
      <c r="N481" s="18"/>
      <c r="O481" s="18"/>
      <c r="P481" s="18" t="s">
        <v>2325</v>
      </c>
      <c r="Q481" s="18" t="s">
        <v>138</v>
      </c>
      <c r="R481" s="18" t="s">
        <v>1697</v>
      </c>
      <c r="S481" s="18" t="s">
        <v>140</v>
      </c>
      <c r="T481" s="18" t="s">
        <v>141</v>
      </c>
      <c r="U481" s="18"/>
      <c r="V481" s="19" t="s">
        <v>29</v>
      </c>
      <c r="W481" s="19"/>
      <c r="X481" s="19"/>
      <c r="Y481" s="20"/>
      <c r="Z481" s="19"/>
      <c r="AA481" s="18" t="str">
        <f aca="false">IF(OR(V481="Aprobada"),R481,IF(AND(OR(V481="Aprobada con ajuste",V481="Rechazada"),W481&lt;&gt;""),W481,""))</f>
        <v/>
      </c>
    </row>
    <row r="482" customFormat="false" ht="32.8" hidden="false" customHeight="false" outlineLevel="0" collapsed="false">
      <c r="A482" s="18" t="s">
        <v>2326</v>
      </c>
      <c r="B482" s="18" t="s">
        <v>60</v>
      </c>
      <c r="C482" s="18" t="s">
        <v>61</v>
      </c>
      <c r="D482" s="18" t="s">
        <v>638</v>
      </c>
      <c r="E482" s="18" t="n">
        <v>4</v>
      </c>
      <c r="F482" s="18" t="s">
        <v>1699</v>
      </c>
      <c r="G482" s="18" t="s">
        <v>294</v>
      </c>
      <c r="H482" s="18" t="s">
        <v>162</v>
      </c>
      <c r="I482" s="18"/>
      <c r="J482" s="18"/>
      <c r="K482" s="18"/>
      <c r="L482" s="18" t="s">
        <v>129</v>
      </c>
      <c r="M482" s="18" t="s">
        <v>129</v>
      </c>
      <c r="N482" s="18"/>
      <c r="O482" s="18"/>
      <c r="P482" s="18" t="s">
        <v>2327</v>
      </c>
      <c r="Q482" s="18" t="s">
        <v>149</v>
      </c>
      <c r="R482" s="18" t="s">
        <v>1701</v>
      </c>
      <c r="S482" s="18" t="s">
        <v>140</v>
      </c>
      <c r="T482" s="18" t="s">
        <v>1702</v>
      </c>
      <c r="U482" s="18" t="s">
        <v>1703</v>
      </c>
      <c r="V482" s="19" t="s">
        <v>29</v>
      </c>
      <c r="W482" s="19"/>
      <c r="X482" s="19"/>
      <c r="Y482" s="20"/>
      <c r="Z482" s="19"/>
      <c r="AA482" s="18" t="str">
        <f aca="false">IF(OR(V482="Aprobada"),R482,IF(AND(OR(V482="Aprobada con ajuste",V482="Rechazada"),W482&lt;&gt;""),W482,""))</f>
        <v/>
      </c>
    </row>
    <row r="483" customFormat="false" ht="22.35" hidden="false" customHeight="false" outlineLevel="0" collapsed="false">
      <c r="A483" s="18" t="s">
        <v>2328</v>
      </c>
      <c r="B483" s="18" t="s">
        <v>60</v>
      </c>
      <c r="C483" s="18" t="s">
        <v>61</v>
      </c>
      <c r="D483" s="18" t="s">
        <v>2329</v>
      </c>
      <c r="E483" s="18" t="n">
        <v>51</v>
      </c>
      <c r="F483" s="18" t="s">
        <v>2330</v>
      </c>
      <c r="G483" s="18" t="s">
        <v>128</v>
      </c>
      <c r="H483" s="18" t="s">
        <v>162</v>
      </c>
      <c r="I483" s="18"/>
      <c r="J483" s="18"/>
      <c r="K483" s="18"/>
      <c r="L483" s="18" t="s">
        <v>129</v>
      </c>
      <c r="M483" s="18" t="s">
        <v>129</v>
      </c>
      <c r="N483" s="18"/>
      <c r="O483" s="18"/>
      <c r="P483" s="18" t="s">
        <v>2331</v>
      </c>
      <c r="Q483" s="18" t="s">
        <v>149</v>
      </c>
      <c r="R483" s="18" t="s">
        <v>2332</v>
      </c>
      <c r="S483" s="18" t="s">
        <v>133</v>
      </c>
      <c r="T483" s="18" t="s">
        <v>2333</v>
      </c>
      <c r="U483" s="18"/>
      <c r="V483" s="19" t="s">
        <v>29</v>
      </c>
      <c r="W483" s="19"/>
      <c r="X483" s="19"/>
      <c r="Y483" s="20"/>
      <c r="Z483" s="19"/>
      <c r="AA483" s="18" t="str">
        <f aca="false">IF(OR(V483="Aprobada"),R483,IF(AND(OR(V483="Aprobada con ajuste",V483="Rechazada"),W483&lt;&gt;""),W483,""))</f>
        <v/>
      </c>
    </row>
    <row r="484" customFormat="false" ht="22.35" hidden="false" customHeight="false" outlineLevel="0" collapsed="false">
      <c r="A484" s="18" t="s">
        <v>2334</v>
      </c>
      <c r="B484" s="18" t="s">
        <v>60</v>
      </c>
      <c r="C484" s="18" t="s">
        <v>61</v>
      </c>
      <c r="D484" s="18" t="s">
        <v>2329</v>
      </c>
      <c r="E484" s="18" t="n">
        <v>51</v>
      </c>
      <c r="F484" s="18" t="s">
        <v>2335</v>
      </c>
      <c r="G484" s="18" t="s">
        <v>128</v>
      </c>
      <c r="H484" s="18" t="s">
        <v>129</v>
      </c>
      <c r="I484" s="18"/>
      <c r="J484" s="18"/>
      <c r="K484" s="18"/>
      <c r="L484" s="18" t="s">
        <v>129</v>
      </c>
      <c r="M484" s="18" t="s">
        <v>129</v>
      </c>
      <c r="N484" s="18"/>
      <c r="O484" s="18"/>
      <c r="P484" s="18" t="s">
        <v>2336</v>
      </c>
      <c r="Q484" s="18" t="s">
        <v>149</v>
      </c>
      <c r="R484" s="18" t="s">
        <v>2337</v>
      </c>
      <c r="S484" s="18" t="s">
        <v>133</v>
      </c>
      <c r="T484" s="18" t="s">
        <v>2338</v>
      </c>
      <c r="U484" s="18"/>
      <c r="V484" s="19" t="s">
        <v>29</v>
      </c>
      <c r="W484" s="19"/>
      <c r="X484" s="19"/>
      <c r="Y484" s="20"/>
      <c r="Z484" s="19"/>
      <c r="AA484" s="18" t="str">
        <f aca="false">IF(OR(V484="Aprobada"),R484,IF(AND(OR(V484="Aprobada con ajuste",V484="Rechazada"),W484&lt;&gt;""),W484,""))</f>
        <v/>
      </c>
    </row>
    <row r="485" customFormat="false" ht="22.35" hidden="false" customHeight="false" outlineLevel="0" collapsed="false">
      <c r="A485" s="18" t="s">
        <v>2339</v>
      </c>
      <c r="B485" s="18" t="s">
        <v>60</v>
      </c>
      <c r="C485" s="18" t="s">
        <v>61</v>
      </c>
      <c r="D485" s="18" t="s">
        <v>2329</v>
      </c>
      <c r="E485" s="18" t="n">
        <v>51</v>
      </c>
      <c r="F485" s="18" t="s">
        <v>2340</v>
      </c>
      <c r="G485" s="18" t="s">
        <v>128</v>
      </c>
      <c r="H485" s="18" t="s">
        <v>162</v>
      </c>
      <c r="I485" s="18"/>
      <c r="J485" s="18"/>
      <c r="K485" s="18"/>
      <c r="L485" s="18" t="s">
        <v>129</v>
      </c>
      <c r="M485" s="18" t="s">
        <v>129</v>
      </c>
      <c r="N485" s="18"/>
      <c r="O485" s="18"/>
      <c r="P485" s="18" t="s">
        <v>2341</v>
      </c>
      <c r="Q485" s="18" t="s">
        <v>149</v>
      </c>
      <c r="R485" s="18" t="s">
        <v>2342</v>
      </c>
      <c r="S485" s="18" t="s">
        <v>140</v>
      </c>
      <c r="T485" s="18" t="s">
        <v>183</v>
      </c>
      <c r="U485" s="18" t="s">
        <v>2343</v>
      </c>
      <c r="V485" s="19" t="s">
        <v>29</v>
      </c>
      <c r="W485" s="19"/>
      <c r="X485" s="19"/>
      <c r="Y485" s="20"/>
      <c r="Z485" s="19"/>
      <c r="AA485" s="18" t="str">
        <f aca="false">IF(OR(V485="Aprobada"),R485,IF(AND(OR(V485="Aprobada con ajuste",V485="Rechazada"),W485&lt;&gt;""),W485,""))</f>
        <v/>
      </c>
    </row>
    <row r="486" customFormat="false" ht="22.35" hidden="false" customHeight="false" outlineLevel="0" collapsed="false">
      <c r="A486" s="18" t="s">
        <v>2344</v>
      </c>
      <c r="B486" s="18" t="s">
        <v>60</v>
      </c>
      <c r="C486" s="18" t="s">
        <v>61</v>
      </c>
      <c r="D486" s="18" t="s">
        <v>2329</v>
      </c>
      <c r="E486" s="18" t="n">
        <v>51</v>
      </c>
      <c r="F486" s="18" t="s">
        <v>2345</v>
      </c>
      <c r="G486" s="18" t="s">
        <v>128</v>
      </c>
      <c r="H486" s="18" t="s">
        <v>162</v>
      </c>
      <c r="I486" s="18"/>
      <c r="J486" s="18"/>
      <c r="K486" s="18"/>
      <c r="L486" s="18" t="s">
        <v>129</v>
      </c>
      <c r="M486" s="18" t="s">
        <v>129</v>
      </c>
      <c r="N486" s="18"/>
      <c r="O486" s="18"/>
      <c r="P486" s="18" t="s">
        <v>2346</v>
      </c>
      <c r="Q486" s="18" t="s">
        <v>149</v>
      </c>
      <c r="R486" s="18" t="s">
        <v>2347</v>
      </c>
      <c r="S486" s="18" t="s">
        <v>133</v>
      </c>
      <c r="T486" s="18" t="s">
        <v>183</v>
      </c>
      <c r="U486" s="18"/>
      <c r="V486" s="19" t="s">
        <v>29</v>
      </c>
      <c r="W486" s="19"/>
      <c r="X486" s="19"/>
      <c r="Y486" s="20"/>
      <c r="Z486" s="19"/>
      <c r="AA486" s="18" t="str">
        <f aca="false">IF(OR(V486="Aprobada"),R486,IF(AND(OR(V486="Aprobada con ajuste",V486="Rechazada"),W486&lt;&gt;""),W486,""))</f>
        <v/>
      </c>
    </row>
    <row r="487" customFormat="false" ht="32.8" hidden="false" customHeight="false" outlineLevel="0" collapsed="false">
      <c r="A487" s="18" t="s">
        <v>2348</v>
      </c>
      <c r="B487" s="18" t="s">
        <v>60</v>
      </c>
      <c r="C487" s="18" t="s">
        <v>61</v>
      </c>
      <c r="D487" s="18" t="s">
        <v>2329</v>
      </c>
      <c r="E487" s="18" t="n">
        <v>51</v>
      </c>
      <c r="F487" s="18" t="s">
        <v>2349</v>
      </c>
      <c r="G487" s="18" t="s">
        <v>128</v>
      </c>
      <c r="H487" s="18" t="s">
        <v>162</v>
      </c>
      <c r="I487" s="18"/>
      <c r="J487" s="18"/>
      <c r="K487" s="18"/>
      <c r="L487" s="18" t="s">
        <v>129</v>
      </c>
      <c r="M487" s="18" t="s">
        <v>129</v>
      </c>
      <c r="N487" s="18"/>
      <c r="O487" s="18"/>
      <c r="P487" s="18" t="s">
        <v>2350</v>
      </c>
      <c r="Q487" s="18" t="s">
        <v>149</v>
      </c>
      <c r="R487" s="18" t="s">
        <v>2351</v>
      </c>
      <c r="S487" s="18" t="s">
        <v>140</v>
      </c>
      <c r="T487" s="18" t="s">
        <v>183</v>
      </c>
      <c r="U487" s="18" t="s">
        <v>2352</v>
      </c>
      <c r="V487" s="19" t="s">
        <v>29</v>
      </c>
      <c r="W487" s="19"/>
      <c r="X487" s="19"/>
      <c r="Y487" s="20"/>
      <c r="Z487" s="19"/>
      <c r="AA487" s="18" t="str">
        <f aca="false">IF(OR(V487="Aprobada"),R487,IF(AND(OR(V487="Aprobada con ajuste",V487="Rechazada"),W487&lt;&gt;""),W487,""))</f>
        <v/>
      </c>
    </row>
    <row r="488" customFormat="false" ht="22.35" hidden="false" customHeight="false" outlineLevel="0" collapsed="false">
      <c r="A488" s="18" t="s">
        <v>2353</v>
      </c>
      <c r="B488" s="18" t="s">
        <v>60</v>
      </c>
      <c r="C488" s="18" t="s">
        <v>61</v>
      </c>
      <c r="D488" s="18" t="s">
        <v>2329</v>
      </c>
      <c r="E488" s="18" t="n">
        <v>51</v>
      </c>
      <c r="F488" s="18" t="s">
        <v>305</v>
      </c>
      <c r="G488" s="18" t="s">
        <v>128</v>
      </c>
      <c r="H488" s="18" t="s">
        <v>162</v>
      </c>
      <c r="I488" s="18"/>
      <c r="J488" s="18"/>
      <c r="K488" s="18"/>
      <c r="L488" s="18" t="s">
        <v>129</v>
      </c>
      <c r="M488" s="18" t="s">
        <v>129</v>
      </c>
      <c r="N488" s="18"/>
      <c r="O488" s="18"/>
      <c r="P488" s="18" t="s">
        <v>2354</v>
      </c>
      <c r="Q488" s="18" t="s">
        <v>149</v>
      </c>
      <c r="R488" s="18" t="s">
        <v>2355</v>
      </c>
      <c r="S488" s="18" t="s">
        <v>133</v>
      </c>
      <c r="T488" s="18" t="s">
        <v>183</v>
      </c>
      <c r="U488" s="18"/>
      <c r="V488" s="19" t="s">
        <v>29</v>
      </c>
      <c r="W488" s="19"/>
      <c r="X488" s="19"/>
      <c r="Y488" s="20"/>
      <c r="Z488" s="19"/>
      <c r="AA488" s="18" t="str">
        <f aca="false">IF(OR(V488="Aprobada"),R488,IF(AND(OR(V488="Aprobada con ajuste",V488="Rechazada"),W488&lt;&gt;""),W488,""))</f>
        <v/>
      </c>
    </row>
    <row r="489" customFormat="false" ht="22.35" hidden="false" customHeight="false" outlineLevel="0" collapsed="false">
      <c r="A489" s="18" t="s">
        <v>2356</v>
      </c>
      <c r="B489" s="18" t="s">
        <v>60</v>
      </c>
      <c r="C489" s="18" t="s">
        <v>61</v>
      </c>
      <c r="D489" s="18" t="s">
        <v>2329</v>
      </c>
      <c r="E489" s="18" t="n">
        <v>51</v>
      </c>
      <c r="F489" s="18" t="s">
        <v>1018</v>
      </c>
      <c r="G489" s="18" t="s">
        <v>503</v>
      </c>
      <c r="H489" s="18" t="s">
        <v>162</v>
      </c>
      <c r="I489" s="18"/>
      <c r="J489" s="18"/>
      <c r="K489" s="18"/>
      <c r="L489" s="18" t="s">
        <v>129</v>
      </c>
      <c r="M489" s="18" t="s">
        <v>129</v>
      </c>
      <c r="N489" s="18"/>
      <c r="O489" s="18"/>
      <c r="P489" s="18" t="s">
        <v>2357</v>
      </c>
      <c r="Q489" s="18" t="s">
        <v>138</v>
      </c>
      <c r="R489" s="18" t="s">
        <v>2302</v>
      </c>
      <c r="S489" s="18" t="s">
        <v>140</v>
      </c>
      <c r="T489" s="18" t="s">
        <v>141</v>
      </c>
      <c r="U489" s="18"/>
      <c r="V489" s="19" t="s">
        <v>29</v>
      </c>
      <c r="W489" s="19"/>
      <c r="X489" s="19"/>
      <c r="Y489" s="20"/>
      <c r="Z489" s="19"/>
      <c r="AA489" s="18" t="str">
        <f aca="false">IF(OR(V489="Aprobada"),R489,IF(AND(OR(V489="Aprobada con ajuste",V489="Rechazada"),W489&lt;&gt;""),W489,""))</f>
        <v/>
      </c>
    </row>
    <row r="490" customFormat="false" ht="22.35" hidden="false" customHeight="false" outlineLevel="0" collapsed="false">
      <c r="A490" s="18" t="s">
        <v>2358</v>
      </c>
      <c r="B490" s="18" t="s">
        <v>60</v>
      </c>
      <c r="C490" s="18" t="s">
        <v>61</v>
      </c>
      <c r="D490" s="18" t="s">
        <v>2329</v>
      </c>
      <c r="E490" s="18" t="n">
        <v>51</v>
      </c>
      <c r="F490" s="18" t="s">
        <v>1625</v>
      </c>
      <c r="G490" s="18" t="s">
        <v>192</v>
      </c>
      <c r="H490" s="18" t="s">
        <v>162</v>
      </c>
      <c r="I490" s="18"/>
      <c r="J490" s="18"/>
      <c r="K490" s="18"/>
      <c r="L490" s="18" t="s">
        <v>129</v>
      </c>
      <c r="M490" s="18" t="s">
        <v>129</v>
      </c>
      <c r="N490" s="18"/>
      <c r="O490" s="18"/>
      <c r="P490" s="18"/>
      <c r="Q490" s="18" t="s">
        <v>149</v>
      </c>
      <c r="R490" s="18" t="s">
        <v>2359</v>
      </c>
      <c r="S490" s="18" t="s">
        <v>140</v>
      </c>
      <c r="T490" s="18" t="s">
        <v>183</v>
      </c>
      <c r="U490" s="18" t="s">
        <v>2360</v>
      </c>
      <c r="V490" s="19" t="s">
        <v>29</v>
      </c>
      <c r="W490" s="19"/>
      <c r="X490" s="19"/>
      <c r="Y490" s="20"/>
      <c r="Z490" s="19"/>
      <c r="AA490" s="18" t="str">
        <f aca="false">IF(OR(V490="Aprobada"),R490,IF(AND(OR(V490="Aprobada con ajuste",V490="Rechazada"),W490&lt;&gt;""),W490,""))</f>
        <v/>
      </c>
    </row>
    <row r="491" customFormat="false" ht="22.35" hidden="false" customHeight="false" outlineLevel="0" collapsed="false">
      <c r="A491" s="18" t="s">
        <v>2361</v>
      </c>
      <c r="B491" s="18" t="s">
        <v>60</v>
      </c>
      <c r="C491" s="18" t="s">
        <v>61</v>
      </c>
      <c r="D491" s="18" t="s">
        <v>2329</v>
      </c>
      <c r="E491" s="18" t="n">
        <v>51</v>
      </c>
      <c r="F491" s="18" t="s">
        <v>2362</v>
      </c>
      <c r="G491" s="18" t="s">
        <v>192</v>
      </c>
      <c r="H491" s="18" t="s">
        <v>162</v>
      </c>
      <c r="I491" s="18"/>
      <c r="J491" s="18"/>
      <c r="K491" s="18"/>
      <c r="L491" s="18" t="s">
        <v>129</v>
      </c>
      <c r="M491" s="18" t="s">
        <v>129</v>
      </c>
      <c r="N491" s="18"/>
      <c r="O491" s="18"/>
      <c r="P491" s="18" t="s">
        <v>2363</v>
      </c>
      <c r="Q491" s="18" t="s">
        <v>149</v>
      </c>
      <c r="R491" s="18" t="s">
        <v>2364</v>
      </c>
      <c r="S491" s="18" t="s">
        <v>133</v>
      </c>
      <c r="T491" s="18" t="s">
        <v>183</v>
      </c>
      <c r="U491" s="18"/>
      <c r="V491" s="19" t="s">
        <v>29</v>
      </c>
      <c r="W491" s="19"/>
      <c r="X491" s="19"/>
      <c r="Y491" s="20"/>
      <c r="Z491" s="19"/>
      <c r="AA491" s="18" t="str">
        <f aca="false">IF(OR(V491="Aprobada"),R491,IF(AND(OR(V491="Aprobada con ajuste",V491="Rechazada"),W491&lt;&gt;""),W491,""))</f>
        <v/>
      </c>
    </row>
    <row r="492" customFormat="false" ht="22.35" hidden="false" customHeight="false" outlineLevel="0" collapsed="false">
      <c r="A492" s="18" t="s">
        <v>2365</v>
      </c>
      <c r="B492" s="18" t="s">
        <v>60</v>
      </c>
      <c r="C492" s="18" t="s">
        <v>61</v>
      </c>
      <c r="D492" s="18" t="s">
        <v>2366</v>
      </c>
      <c r="E492" s="18" t="n">
        <v>42</v>
      </c>
      <c r="F492" s="18" t="s">
        <v>611</v>
      </c>
      <c r="G492" s="18" t="s">
        <v>205</v>
      </c>
      <c r="H492" s="18" t="s">
        <v>129</v>
      </c>
      <c r="I492" s="18" t="s">
        <v>146</v>
      </c>
      <c r="J492" s="18"/>
      <c r="K492" s="18"/>
      <c r="L492" s="18" t="s">
        <v>129</v>
      </c>
      <c r="M492" s="18" t="s">
        <v>129</v>
      </c>
      <c r="N492" s="18"/>
      <c r="O492" s="18" t="s">
        <v>2367</v>
      </c>
      <c r="P492" s="18" t="s">
        <v>2368</v>
      </c>
      <c r="Q492" s="18" t="s">
        <v>138</v>
      </c>
      <c r="R492" s="18" t="s">
        <v>2369</v>
      </c>
      <c r="S492" s="18" t="s">
        <v>140</v>
      </c>
      <c r="T492" s="18" t="s">
        <v>141</v>
      </c>
      <c r="U492" s="18"/>
      <c r="V492" s="19" t="s">
        <v>29</v>
      </c>
      <c r="W492" s="19"/>
      <c r="X492" s="19"/>
      <c r="Y492" s="20"/>
      <c r="Z492" s="19"/>
      <c r="AA492" s="18" t="str">
        <f aca="false">IF(OR(V492="Aprobada"),R492,IF(AND(OR(V492="Aprobada con ajuste",V492="Rechazada"),W492&lt;&gt;""),W492,""))</f>
        <v/>
      </c>
    </row>
    <row r="493" customFormat="false" ht="22.35" hidden="false" customHeight="false" outlineLevel="0" collapsed="false">
      <c r="A493" s="18" t="s">
        <v>2370</v>
      </c>
      <c r="B493" s="18" t="s">
        <v>60</v>
      </c>
      <c r="C493" s="18" t="s">
        <v>61</v>
      </c>
      <c r="D493" s="18" t="s">
        <v>2366</v>
      </c>
      <c r="E493" s="18" t="n">
        <v>42</v>
      </c>
      <c r="F493" s="18" t="s">
        <v>275</v>
      </c>
      <c r="G493" s="18" t="s">
        <v>486</v>
      </c>
      <c r="H493" s="18" t="s">
        <v>129</v>
      </c>
      <c r="I493" s="18" t="s">
        <v>146</v>
      </c>
      <c r="J493" s="18"/>
      <c r="K493" s="18"/>
      <c r="L493" s="18" t="s">
        <v>129</v>
      </c>
      <c r="M493" s="18" t="s">
        <v>129</v>
      </c>
      <c r="N493" s="18"/>
      <c r="O493" s="18" t="s">
        <v>2371</v>
      </c>
      <c r="P493" s="18" t="s">
        <v>2372</v>
      </c>
      <c r="Q493" s="18" t="s">
        <v>138</v>
      </c>
      <c r="R493" s="18" t="s">
        <v>2373</v>
      </c>
      <c r="S493" s="18" t="s">
        <v>140</v>
      </c>
      <c r="T493" s="18" t="s">
        <v>141</v>
      </c>
      <c r="U493" s="18"/>
      <c r="V493" s="19" t="s">
        <v>29</v>
      </c>
      <c r="W493" s="19"/>
      <c r="X493" s="19"/>
      <c r="Y493" s="20"/>
      <c r="Z493" s="19"/>
      <c r="AA493" s="18" t="str">
        <f aca="false">IF(OR(V493="Aprobada"),R493,IF(AND(OR(V493="Aprobada con ajuste",V493="Rechazada"),W493&lt;&gt;""),W493,""))</f>
        <v/>
      </c>
    </row>
    <row r="494" customFormat="false" ht="22.35" hidden="false" customHeight="false" outlineLevel="0" collapsed="false">
      <c r="A494" s="18" t="s">
        <v>2374</v>
      </c>
      <c r="B494" s="18" t="s">
        <v>60</v>
      </c>
      <c r="C494" s="18" t="s">
        <v>61</v>
      </c>
      <c r="D494" s="18" t="s">
        <v>2366</v>
      </c>
      <c r="E494" s="18" t="n">
        <v>42</v>
      </c>
      <c r="F494" s="18" t="s">
        <v>160</v>
      </c>
      <c r="G494" s="18" t="s">
        <v>128</v>
      </c>
      <c r="H494" s="18" t="s">
        <v>162</v>
      </c>
      <c r="I494" s="18"/>
      <c r="J494" s="18"/>
      <c r="K494" s="18"/>
      <c r="L494" s="18" t="s">
        <v>129</v>
      </c>
      <c r="M494" s="18" t="s">
        <v>129</v>
      </c>
      <c r="N494" s="18"/>
      <c r="O494" s="18"/>
      <c r="P494" s="18" t="s">
        <v>2375</v>
      </c>
      <c r="Q494" s="18" t="s">
        <v>138</v>
      </c>
      <c r="R494" s="18" t="s">
        <v>2376</v>
      </c>
      <c r="S494" s="18" t="s">
        <v>140</v>
      </c>
      <c r="T494" s="18" t="s">
        <v>141</v>
      </c>
      <c r="U494" s="18"/>
      <c r="V494" s="19" t="s">
        <v>29</v>
      </c>
      <c r="W494" s="19"/>
      <c r="X494" s="19"/>
      <c r="Y494" s="20"/>
      <c r="Z494" s="19"/>
      <c r="AA494" s="18" t="str">
        <f aca="false">IF(OR(V494="Aprobada"),R494,IF(AND(OR(V494="Aprobada con ajuste",V494="Rechazada"),W494&lt;&gt;""),W494,""))</f>
        <v/>
      </c>
    </row>
    <row r="495" customFormat="false" ht="22.35" hidden="false" customHeight="false" outlineLevel="0" collapsed="false">
      <c r="A495" s="18" t="s">
        <v>2377</v>
      </c>
      <c r="B495" s="18" t="s">
        <v>60</v>
      </c>
      <c r="C495" s="18" t="s">
        <v>61</v>
      </c>
      <c r="D495" s="18" t="s">
        <v>2366</v>
      </c>
      <c r="E495" s="18" t="n">
        <v>42</v>
      </c>
      <c r="F495" s="18" t="s">
        <v>172</v>
      </c>
      <c r="G495" s="18" t="s">
        <v>173</v>
      </c>
      <c r="H495" s="18" t="s">
        <v>129</v>
      </c>
      <c r="I495" s="18"/>
      <c r="J495" s="18"/>
      <c r="K495" s="18"/>
      <c r="L495" s="18" t="s">
        <v>129</v>
      </c>
      <c r="M495" s="18" t="s">
        <v>129</v>
      </c>
      <c r="N495" s="18"/>
      <c r="O495" s="18"/>
      <c r="P495" s="18" t="s">
        <v>2378</v>
      </c>
      <c r="Q495" s="18" t="s">
        <v>138</v>
      </c>
      <c r="R495" s="18" t="s">
        <v>176</v>
      </c>
      <c r="S495" s="18" t="s">
        <v>140</v>
      </c>
      <c r="T495" s="18" t="s">
        <v>141</v>
      </c>
      <c r="U495" s="18"/>
      <c r="V495" s="19" t="s">
        <v>29</v>
      </c>
      <c r="W495" s="19"/>
      <c r="X495" s="19"/>
      <c r="Y495" s="20"/>
      <c r="Z495" s="19"/>
      <c r="AA495" s="18" t="str">
        <f aca="false">IF(OR(V495="Aprobada"),R495,IF(AND(OR(V495="Aprobada con ajuste",V495="Rechazada"),W495&lt;&gt;""),W495,""))</f>
        <v/>
      </c>
    </row>
    <row r="496" customFormat="false" ht="22.35" hidden="false" customHeight="false" outlineLevel="0" collapsed="false">
      <c r="A496" s="18" t="s">
        <v>2379</v>
      </c>
      <c r="B496" s="18" t="s">
        <v>60</v>
      </c>
      <c r="C496" s="18" t="s">
        <v>61</v>
      </c>
      <c r="D496" s="18" t="s">
        <v>2366</v>
      </c>
      <c r="E496" s="18" t="n">
        <v>42</v>
      </c>
      <c r="F496" s="18" t="s">
        <v>1695</v>
      </c>
      <c r="G496" s="18" t="s">
        <v>317</v>
      </c>
      <c r="H496" s="18" t="s">
        <v>162</v>
      </c>
      <c r="I496" s="18"/>
      <c r="J496" s="18"/>
      <c r="K496" s="18"/>
      <c r="L496" s="18" t="s">
        <v>129</v>
      </c>
      <c r="M496" s="18" t="s">
        <v>129</v>
      </c>
      <c r="N496" s="18"/>
      <c r="O496" s="18"/>
      <c r="P496" s="18" t="s">
        <v>2380</v>
      </c>
      <c r="Q496" s="18" t="s">
        <v>138</v>
      </c>
      <c r="R496" s="18" t="s">
        <v>1697</v>
      </c>
      <c r="S496" s="18" t="s">
        <v>140</v>
      </c>
      <c r="T496" s="18" t="s">
        <v>141</v>
      </c>
      <c r="U496" s="18"/>
      <c r="V496" s="19" t="s">
        <v>29</v>
      </c>
      <c r="W496" s="19"/>
      <c r="X496" s="19"/>
      <c r="Y496" s="20"/>
      <c r="Z496" s="19"/>
      <c r="AA496" s="18" t="str">
        <f aca="false">IF(OR(V496="Aprobada"),R496,IF(AND(OR(V496="Aprobada con ajuste",V496="Rechazada"),W496&lt;&gt;""),W496,""))</f>
        <v/>
      </c>
    </row>
    <row r="497" customFormat="false" ht="22.35" hidden="false" customHeight="false" outlineLevel="0" collapsed="false">
      <c r="A497" s="18" t="s">
        <v>2381</v>
      </c>
      <c r="B497" s="18" t="s">
        <v>60</v>
      </c>
      <c r="C497" s="18" t="s">
        <v>61</v>
      </c>
      <c r="D497" s="18" t="s">
        <v>2366</v>
      </c>
      <c r="E497" s="18" t="n">
        <v>42</v>
      </c>
      <c r="F497" s="18" t="s">
        <v>1699</v>
      </c>
      <c r="G497" s="18" t="s">
        <v>294</v>
      </c>
      <c r="H497" s="18" t="s">
        <v>162</v>
      </c>
      <c r="I497" s="18"/>
      <c r="J497" s="18"/>
      <c r="K497" s="18"/>
      <c r="L497" s="18" t="s">
        <v>129</v>
      </c>
      <c r="M497" s="18" t="s">
        <v>129</v>
      </c>
      <c r="N497" s="18"/>
      <c r="O497" s="18"/>
      <c r="P497" s="18" t="s">
        <v>2382</v>
      </c>
      <c r="Q497" s="18" t="s">
        <v>149</v>
      </c>
      <c r="R497" s="18" t="s">
        <v>1701</v>
      </c>
      <c r="S497" s="18" t="s">
        <v>140</v>
      </c>
      <c r="T497" s="18" t="s">
        <v>1702</v>
      </c>
      <c r="U497" s="18" t="s">
        <v>1703</v>
      </c>
      <c r="V497" s="19" t="s">
        <v>29</v>
      </c>
      <c r="W497" s="19"/>
      <c r="X497" s="19"/>
      <c r="Y497" s="20"/>
      <c r="Z497" s="19"/>
      <c r="AA497" s="18" t="str">
        <f aca="false">IF(OR(V497="Aprobada"),R497,IF(AND(OR(V497="Aprobada con ajuste",V497="Rechazada"),W497&lt;&gt;""),W497,""))</f>
        <v/>
      </c>
    </row>
    <row r="498" customFormat="false" ht="32.8" hidden="false" customHeight="false" outlineLevel="0" collapsed="false">
      <c r="A498" s="18" t="s">
        <v>2383</v>
      </c>
      <c r="B498" s="18" t="s">
        <v>60</v>
      </c>
      <c r="C498" s="18" t="s">
        <v>61</v>
      </c>
      <c r="D498" s="18" t="s">
        <v>2384</v>
      </c>
      <c r="E498" s="18" t="n">
        <v>337</v>
      </c>
      <c r="F498" s="18" t="s">
        <v>2385</v>
      </c>
      <c r="G498" s="18" t="s">
        <v>503</v>
      </c>
      <c r="H498" s="18" t="s">
        <v>162</v>
      </c>
      <c r="I498" s="18"/>
      <c r="J498" s="18"/>
      <c r="K498" s="18"/>
      <c r="L498" s="18" t="s">
        <v>129</v>
      </c>
      <c r="M498" s="18" t="s">
        <v>129</v>
      </c>
      <c r="N498" s="18"/>
      <c r="O498" s="18"/>
      <c r="P498" s="18" t="s">
        <v>2386</v>
      </c>
      <c r="Q498" s="18" t="s">
        <v>149</v>
      </c>
      <c r="R498" s="18" t="s">
        <v>2387</v>
      </c>
      <c r="S498" s="18" t="s">
        <v>133</v>
      </c>
      <c r="T498" s="18" t="s">
        <v>183</v>
      </c>
      <c r="U498" s="18"/>
      <c r="V498" s="19" t="s">
        <v>29</v>
      </c>
      <c r="W498" s="19"/>
      <c r="X498" s="19"/>
      <c r="Y498" s="20"/>
      <c r="Z498" s="19"/>
      <c r="AA498" s="18" t="str">
        <f aca="false">IF(OR(V498="Aprobada"),R498,IF(AND(OR(V498="Aprobada con ajuste",V498="Rechazada"),W498&lt;&gt;""),W498,""))</f>
        <v/>
      </c>
    </row>
    <row r="499" customFormat="false" ht="32.8" hidden="false" customHeight="false" outlineLevel="0" collapsed="false">
      <c r="A499" s="18" t="s">
        <v>2388</v>
      </c>
      <c r="B499" s="18" t="s">
        <v>60</v>
      </c>
      <c r="C499" s="18" t="s">
        <v>61</v>
      </c>
      <c r="D499" s="18" t="s">
        <v>2384</v>
      </c>
      <c r="E499" s="18" t="n">
        <v>337</v>
      </c>
      <c r="F499" s="18" t="s">
        <v>886</v>
      </c>
      <c r="G499" s="18" t="s">
        <v>128</v>
      </c>
      <c r="H499" s="18" t="s">
        <v>162</v>
      </c>
      <c r="I499" s="18"/>
      <c r="J499" s="18"/>
      <c r="K499" s="18"/>
      <c r="L499" s="18" t="s">
        <v>129</v>
      </c>
      <c r="M499" s="18" t="s">
        <v>129</v>
      </c>
      <c r="N499" s="18"/>
      <c r="O499" s="18"/>
      <c r="P499" s="18" t="s">
        <v>2389</v>
      </c>
      <c r="Q499" s="18" t="s">
        <v>138</v>
      </c>
      <c r="R499" s="18" t="s">
        <v>1693</v>
      </c>
      <c r="S499" s="18" t="s">
        <v>140</v>
      </c>
      <c r="T499" s="18" t="s">
        <v>141</v>
      </c>
      <c r="U499" s="18"/>
      <c r="V499" s="19" t="s">
        <v>29</v>
      </c>
      <c r="W499" s="19"/>
      <c r="X499" s="19"/>
      <c r="Y499" s="20"/>
      <c r="Z499" s="19"/>
      <c r="AA499" s="18" t="str">
        <f aca="false">IF(OR(V499="Aprobada"),R499,IF(AND(OR(V499="Aprobada con ajuste",V499="Rechazada"),W499&lt;&gt;""),W499,""))</f>
        <v/>
      </c>
    </row>
    <row r="500" customFormat="false" ht="22.35" hidden="false" customHeight="false" outlineLevel="0" collapsed="false">
      <c r="A500" s="18" t="s">
        <v>2390</v>
      </c>
      <c r="B500" s="18" t="s">
        <v>60</v>
      </c>
      <c r="C500" s="18" t="s">
        <v>61</v>
      </c>
      <c r="D500" s="18" t="s">
        <v>2384</v>
      </c>
      <c r="E500" s="18" t="n">
        <v>337</v>
      </c>
      <c r="F500" s="18" t="s">
        <v>1688</v>
      </c>
      <c r="G500" s="18" t="s">
        <v>173</v>
      </c>
      <c r="H500" s="18" t="s">
        <v>129</v>
      </c>
      <c r="I500" s="18"/>
      <c r="J500" s="18"/>
      <c r="K500" s="18"/>
      <c r="L500" s="18" t="s">
        <v>129</v>
      </c>
      <c r="M500" s="18" t="s">
        <v>129</v>
      </c>
      <c r="N500" s="18"/>
      <c r="O500" s="18" t="s">
        <v>2391</v>
      </c>
      <c r="P500" s="18" t="s">
        <v>2392</v>
      </c>
      <c r="Q500" s="18" t="s">
        <v>138</v>
      </c>
      <c r="R500" s="18" t="s">
        <v>176</v>
      </c>
      <c r="S500" s="18" t="s">
        <v>140</v>
      </c>
      <c r="T500" s="18" t="s">
        <v>141</v>
      </c>
      <c r="U500" s="18"/>
      <c r="V500" s="19" t="s">
        <v>29</v>
      </c>
      <c r="W500" s="19"/>
      <c r="X500" s="19"/>
      <c r="Y500" s="20"/>
      <c r="Z500" s="19"/>
      <c r="AA500" s="18" t="str">
        <f aca="false">IF(OR(V500="Aprobada"),R500,IF(AND(OR(V500="Aprobada con ajuste",V500="Rechazada"),W500&lt;&gt;""),W500,""))</f>
        <v/>
      </c>
    </row>
    <row r="501" customFormat="false" ht="32.8" hidden="false" customHeight="false" outlineLevel="0" collapsed="false">
      <c r="A501" s="18" t="s">
        <v>2393</v>
      </c>
      <c r="B501" s="18" t="s">
        <v>60</v>
      </c>
      <c r="C501" s="18" t="s">
        <v>61</v>
      </c>
      <c r="D501" s="18" t="s">
        <v>2384</v>
      </c>
      <c r="E501" s="18" t="n">
        <v>337</v>
      </c>
      <c r="F501" s="18" t="s">
        <v>1695</v>
      </c>
      <c r="G501" s="18" t="s">
        <v>317</v>
      </c>
      <c r="H501" s="18" t="s">
        <v>162</v>
      </c>
      <c r="I501" s="18"/>
      <c r="J501" s="18"/>
      <c r="K501" s="18"/>
      <c r="L501" s="18" t="s">
        <v>129</v>
      </c>
      <c r="M501" s="18" t="s">
        <v>129</v>
      </c>
      <c r="N501" s="18"/>
      <c r="O501" s="18"/>
      <c r="P501" s="18" t="s">
        <v>2394</v>
      </c>
      <c r="Q501" s="18" t="s">
        <v>138</v>
      </c>
      <c r="R501" s="18" t="s">
        <v>1697</v>
      </c>
      <c r="S501" s="18" t="s">
        <v>140</v>
      </c>
      <c r="T501" s="18" t="s">
        <v>141</v>
      </c>
      <c r="U501" s="18"/>
      <c r="V501" s="19" t="s">
        <v>29</v>
      </c>
      <c r="W501" s="19"/>
      <c r="X501" s="19"/>
      <c r="Y501" s="20"/>
      <c r="Z501" s="19"/>
      <c r="AA501" s="18" t="str">
        <f aca="false">IF(OR(V501="Aprobada"),R501,IF(AND(OR(V501="Aprobada con ajuste",V501="Rechazada"),W501&lt;&gt;""),W501,""))</f>
        <v/>
      </c>
    </row>
    <row r="502" customFormat="false" ht="32.8" hidden="false" customHeight="false" outlineLevel="0" collapsed="false">
      <c r="A502" s="18" t="s">
        <v>2395</v>
      </c>
      <c r="B502" s="18" t="s">
        <v>60</v>
      </c>
      <c r="C502" s="18" t="s">
        <v>61</v>
      </c>
      <c r="D502" s="18" t="s">
        <v>2384</v>
      </c>
      <c r="E502" s="18" t="n">
        <v>337</v>
      </c>
      <c r="F502" s="18" t="s">
        <v>1699</v>
      </c>
      <c r="G502" s="18" t="s">
        <v>294</v>
      </c>
      <c r="H502" s="18" t="s">
        <v>162</v>
      </c>
      <c r="I502" s="18"/>
      <c r="J502" s="18"/>
      <c r="K502" s="18"/>
      <c r="L502" s="18" t="s">
        <v>129</v>
      </c>
      <c r="M502" s="18" t="s">
        <v>129</v>
      </c>
      <c r="N502" s="18"/>
      <c r="O502" s="18"/>
      <c r="P502" s="18" t="s">
        <v>2396</v>
      </c>
      <c r="Q502" s="18" t="s">
        <v>149</v>
      </c>
      <c r="R502" s="18" t="s">
        <v>1701</v>
      </c>
      <c r="S502" s="18" t="s">
        <v>140</v>
      </c>
      <c r="T502" s="18" t="s">
        <v>1702</v>
      </c>
      <c r="U502" s="18" t="s">
        <v>1703</v>
      </c>
      <c r="V502" s="19" t="s">
        <v>29</v>
      </c>
      <c r="W502" s="19"/>
      <c r="X502" s="19"/>
      <c r="Y502" s="20"/>
      <c r="Z502" s="19"/>
      <c r="AA502" s="18" t="str">
        <f aca="false">IF(OR(V502="Aprobada"),R502,IF(AND(OR(V502="Aprobada con ajuste",V502="Rechazada"),W502&lt;&gt;""),W502,""))</f>
        <v/>
      </c>
    </row>
    <row r="503" customFormat="false" ht="64.15" hidden="false" customHeight="false" outlineLevel="0" collapsed="false">
      <c r="A503" s="18" t="s">
        <v>2397</v>
      </c>
      <c r="B503" s="18" t="s">
        <v>60</v>
      </c>
      <c r="C503" s="18" t="s">
        <v>61</v>
      </c>
      <c r="D503" s="18" t="s">
        <v>2398</v>
      </c>
      <c r="E503" s="18" t="n">
        <v>2</v>
      </c>
      <c r="F503" s="18" t="s">
        <v>611</v>
      </c>
      <c r="G503" s="18" t="s">
        <v>828</v>
      </c>
      <c r="H503" s="18" t="s">
        <v>129</v>
      </c>
      <c r="I503" s="18" t="s">
        <v>146</v>
      </c>
      <c r="J503" s="18"/>
      <c r="K503" s="18"/>
      <c r="L503" s="18" t="s">
        <v>129</v>
      </c>
      <c r="M503" s="18" t="s">
        <v>162</v>
      </c>
      <c r="N503" s="18" t="s">
        <v>2399</v>
      </c>
      <c r="O503" s="18" t="s">
        <v>2400</v>
      </c>
      <c r="P503" s="18" t="s">
        <v>2401</v>
      </c>
      <c r="Q503" s="18" t="s">
        <v>138</v>
      </c>
      <c r="R503" s="18" t="s">
        <v>2402</v>
      </c>
      <c r="S503" s="18" t="s">
        <v>140</v>
      </c>
      <c r="T503" s="18" t="s">
        <v>141</v>
      </c>
      <c r="U503" s="18"/>
      <c r="V503" s="19" t="s">
        <v>29</v>
      </c>
      <c r="W503" s="19"/>
      <c r="X503" s="19"/>
      <c r="Y503" s="20"/>
      <c r="Z503" s="19"/>
      <c r="AA503" s="18" t="str">
        <f aca="false">IF(OR(V503="Aprobada"),R503,IF(AND(OR(V503="Aprobada con ajuste",V503="Rechazada"),W503&lt;&gt;""),W503,""))</f>
        <v/>
      </c>
    </row>
    <row r="504" customFormat="false" ht="22.35" hidden="false" customHeight="false" outlineLevel="0" collapsed="false">
      <c r="A504" s="18" t="s">
        <v>2403</v>
      </c>
      <c r="B504" s="18" t="s">
        <v>60</v>
      </c>
      <c r="C504" s="18" t="s">
        <v>61</v>
      </c>
      <c r="D504" s="18" t="s">
        <v>2398</v>
      </c>
      <c r="E504" s="18" t="n">
        <v>2</v>
      </c>
      <c r="F504" s="18" t="s">
        <v>2404</v>
      </c>
      <c r="G504" s="18" t="s">
        <v>503</v>
      </c>
      <c r="H504" s="18" t="s">
        <v>129</v>
      </c>
      <c r="I504" s="18"/>
      <c r="J504" s="18"/>
      <c r="K504" s="18"/>
      <c r="L504" s="18" t="s">
        <v>129</v>
      </c>
      <c r="M504" s="18" t="s">
        <v>129</v>
      </c>
      <c r="N504" s="18"/>
      <c r="O504" s="18" t="s">
        <v>2405</v>
      </c>
      <c r="P504" s="18" t="s">
        <v>2406</v>
      </c>
      <c r="Q504" s="18" t="s">
        <v>138</v>
      </c>
      <c r="R504" s="18" t="s">
        <v>2407</v>
      </c>
      <c r="S504" s="18" t="s">
        <v>140</v>
      </c>
      <c r="T504" s="18" t="s">
        <v>141</v>
      </c>
      <c r="U504" s="18"/>
      <c r="V504" s="19" t="s">
        <v>29</v>
      </c>
      <c r="W504" s="19"/>
      <c r="X504" s="19"/>
      <c r="Y504" s="20"/>
      <c r="Z504" s="19"/>
      <c r="AA504" s="18" t="str">
        <f aca="false">IF(OR(V504="Aprobada"),R504,IF(AND(OR(V504="Aprobada con ajuste",V504="Rechazada"),W504&lt;&gt;""),W504,""))</f>
        <v/>
      </c>
    </row>
    <row r="505" customFormat="false" ht="22.35" hidden="false" customHeight="false" outlineLevel="0" collapsed="false">
      <c r="A505" s="18" t="s">
        <v>2408</v>
      </c>
      <c r="B505" s="18" t="s">
        <v>60</v>
      </c>
      <c r="C505" s="18" t="s">
        <v>61</v>
      </c>
      <c r="D505" s="18" t="s">
        <v>2398</v>
      </c>
      <c r="E505" s="18" t="n">
        <v>2</v>
      </c>
      <c r="F505" s="18" t="s">
        <v>2409</v>
      </c>
      <c r="G505" s="18" t="s">
        <v>358</v>
      </c>
      <c r="H505" s="18" t="s">
        <v>129</v>
      </c>
      <c r="I505" s="18" t="s">
        <v>298</v>
      </c>
      <c r="J505" s="18"/>
      <c r="K505" s="18"/>
      <c r="L505" s="18" t="s">
        <v>129</v>
      </c>
      <c r="M505" s="18" t="s">
        <v>129</v>
      </c>
      <c r="N505" s="18"/>
      <c r="O505" s="18" t="s">
        <v>2405</v>
      </c>
      <c r="P505" s="18" t="s">
        <v>2410</v>
      </c>
      <c r="Q505" s="18" t="s">
        <v>149</v>
      </c>
      <c r="R505" s="18" t="s">
        <v>2411</v>
      </c>
      <c r="S505" s="18" t="s">
        <v>133</v>
      </c>
      <c r="T505" s="18" t="s">
        <v>2412</v>
      </c>
      <c r="U505" s="18"/>
      <c r="V505" s="19" t="s">
        <v>29</v>
      </c>
      <c r="W505" s="19"/>
      <c r="X505" s="19"/>
      <c r="Y505" s="20"/>
      <c r="Z505" s="19"/>
      <c r="AA505" s="18" t="str">
        <f aca="false">IF(OR(V505="Aprobada"),R505,IF(AND(OR(V505="Aprobada con ajuste",V505="Rechazada"),W505&lt;&gt;""),W505,""))</f>
        <v/>
      </c>
    </row>
    <row r="506" customFormat="false" ht="22.35" hidden="false" customHeight="false" outlineLevel="0" collapsed="false">
      <c r="A506" s="18" t="s">
        <v>2413</v>
      </c>
      <c r="B506" s="18" t="s">
        <v>60</v>
      </c>
      <c r="C506" s="18" t="s">
        <v>61</v>
      </c>
      <c r="D506" s="18" t="s">
        <v>2398</v>
      </c>
      <c r="E506" s="18" t="n">
        <v>2</v>
      </c>
      <c r="F506" s="18" t="s">
        <v>2414</v>
      </c>
      <c r="G506" s="18" t="s">
        <v>137</v>
      </c>
      <c r="H506" s="18" t="s">
        <v>129</v>
      </c>
      <c r="I506" s="18" t="s">
        <v>298</v>
      </c>
      <c r="J506" s="18"/>
      <c r="K506" s="18"/>
      <c r="L506" s="18" t="s">
        <v>129</v>
      </c>
      <c r="M506" s="18" t="s">
        <v>129</v>
      </c>
      <c r="N506" s="18"/>
      <c r="O506" s="18"/>
      <c r="P506" s="18" t="s">
        <v>2415</v>
      </c>
      <c r="Q506" s="18" t="s">
        <v>138</v>
      </c>
      <c r="R506" s="18" t="s">
        <v>2416</v>
      </c>
      <c r="S506" s="18" t="s">
        <v>140</v>
      </c>
      <c r="T506" s="18" t="s">
        <v>141</v>
      </c>
      <c r="U506" s="18"/>
      <c r="V506" s="19" t="s">
        <v>29</v>
      </c>
      <c r="W506" s="19"/>
      <c r="X506" s="19"/>
      <c r="Y506" s="20"/>
      <c r="Z506" s="19"/>
      <c r="AA506" s="18" t="str">
        <f aca="false">IF(OR(V506="Aprobada"),R506,IF(AND(OR(V506="Aprobada con ajuste",V506="Rechazada"),W506&lt;&gt;""),W506,""))</f>
        <v/>
      </c>
    </row>
    <row r="507" customFormat="false" ht="22.35" hidden="false" customHeight="false" outlineLevel="0" collapsed="false">
      <c r="A507" s="18" t="s">
        <v>2417</v>
      </c>
      <c r="B507" s="18" t="s">
        <v>60</v>
      </c>
      <c r="C507" s="18" t="s">
        <v>61</v>
      </c>
      <c r="D507" s="18" t="s">
        <v>2398</v>
      </c>
      <c r="E507" s="18" t="n">
        <v>2</v>
      </c>
      <c r="F507" s="18" t="s">
        <v>2418</v>
      </c>
      <c r="G507" s="18" t="s">
        <v>137</v>
      </c>
      <c r="H507" s="18" t="s">
        <v>129</v>
      </c>
      <c r="I507" s="18" t="s">
        <v>298</v>
      </c>
      <c r="J507" s="18"/>
      <c r="K507" s="18"/>
      <c r="L507" s="18" t="s">
        <v>129</v>
      </c>
      <c r="M507" s="18" t="s">
        <v>129</v>
      </c>
      <c r="N507" s="18"/>
      <c r="O507" s="18"/>
      <c r="P507" s="18" t="s">
        <v>2419</v>
      </c>
      <c r="Q507" s="18" t="s">
        <v>138</v>
      </c>
      <c r="R507" s="18" t="s">
        <v>2420</v>
      </c>
      <c r="S507" s="18" t="s">
        <v>140</v>
      </c>
      <c r="T507" s="18" t="s">
        <v>141</v>
      </c>
      <c r="U507" s="18"/>
      <c r="V507" s="19" t="s">
        <v>29</v>
      </c>
      <c r="W507" s="19"/>
      <c r="X507" s="19"/>
      <c r="Y507" s="20"/>
      <c r="Z507" s="19"/>
      <c r="AA507" s="18" t="str">
        <f aca="false">IF(OR(V507="Aprobada"),R507,IF(AND(OR(V507="Aprobada con ajuste",V507="Rechazada"),W507&lt;&gt;""),W507,""))</f>
        <v/>
      </c>
    </row>
    <row r="508" customFormat="false" ht="32.8" hidden="false" customHeight="false" outlineLevel="0" collapsed="false">
      <c r="A508" s="18" t="s">
        <v>2421</v>
      </c>
      <c r="B508" s="18" t="s">
        <v>60</v>
      </c>
      <c r="C508" s="18" t="s">
        <v>61</v>
      </c>
      <c r="D508" s="18" t="s">
        <v>2398</v>
      </c>
      <c r="E508" s="18" t="n">
        <v>2</v>
      </c>
      <c r="F508" s="18" t="s">
        <v>185</v>
      </c>
      <c r="G508" s="18" t="s">
        <v>205</v>
      </c>
      <c r="H508" s="18" t="s">
        <v>129</v>
      </c>
      <c r="I508" s="18" t="s">
        <v>298</v>
      </c>
      <c r="J508" s="18" t="s">
        <v>2422</v>
      </c>
      <c r="K508" s="18"/>
      <c r="L508" s="18" t="s">
        <v>162</v>
      </c>
      <c r="M508" s="18" t="s">
        <v>129</v>
      </c>
      <c r="N508" s="18"/>
      <c r="O508" s="18"/>
      <c r="P508" s="18" t="s">
        <v>2423</v>
      </c>
      <c r="Q508" s="18" t="s">
        <v>131</v>
      </c>
      <c r="R508" s="18" t="s">
        <v>2424</v>
      </c>
      <c r="S508" s="18" t="s">
        <v>133</v>
      </c>
      <c r="T508" s="18" t="s">
        <v>2425</v>
      </c>
      <c r="U508" s="18"/>
      <c r="V508" s="19" t="s">
        <v>29</v>
      </c>
      <c r="W508" s="19"/>
      <c r="X508" s="19"/>
      <c r="Y508" s="20"/>
      <c r="Z508" s="19"/>
      <c r="AA508" s="18" t="str">
        <f aca="false">IF(OR(V508="Aprobada"),R508,IF(AND(OR(V508="Aprobada con ajuste",V508="Rechazada"),W508&lt;&gt;""),W508,""))</f>
        <v/>
      </c>
    </row>
    <row r="509" customFormat="false" ht="22.35" hidden="false" customHeight="false" outlineLevel="0" collapsed="false">
      <c r="A509" s="18" t="s">
        <v>2426</v>
      </c>
      <c r="B509" s="18" t="s">
        <v>60</v>
      </c>
      <c r="C509" s="18" t="s">
        <v>61</v>
      </c>
      <c r="D509" s="18" t="s">
        <v>2427</v>
      </c>
      <c r="E509" s="18" t="n">
        <v>576</v>
      </c>
      <c r="F509" s="18" t="s">
        <v>172</v>
      </c>
      <c r="G509" s="18" t="s">
        <v>173</v>
      </c>
      <c r="H509" s="18" t="s">
        <v>162</v>
      </c>
      <c r="I509" s="18"/>
      <c r="J509" s="18"/>
      <c r="K509" s="18"/>
      <c r="L509" s="18" t="s">
        <v>129</v>
      </c>
      <c r="M509" s="18" t="s">
        <v>129</v>
      </c>
      <c r="N509" s="18"/>
      <c r="O509" s="18"/>
      <c r="P509" s="18"/>
      <c r="Q509" s="18" t="s">
        <v>138</v>
      </c>
      <c r="R509" s="18" t="s">
        <v>176</v>
      </c>
      <c r="S509" s="18" t="s">
        <v>140</v>
      </c>
      <c r="T509" s="18" t="s">
        <v>141</v>
      </c>
      <c r="U509" s="18"/>
      <c r="V509" s="19" t="s">
        <v>29</v>
      </c>
      <c r="W509" s="19"/>
      <c r="X509" s="19"/>
      <c r="Y509" s="20"/>
      <c r="Z509" s="19"/>
      <c r="AA509" s="18" t="str">
        <f aca="false">IF(OR(V509="Aprobada"),R509,IF(AND(OR(V509="Aprobada con ajuste",V509="Rechazada"),W509&lt;&gt;""),W509,""))</f>
        <v/>
      </c>
    </row>
    <row r="510" customFormat="false" ht="22.35" hidden="false" customHeight="false" outlineLevel="0" collapsed="false">
      <c r="A510" s="18" t="s">
        <v>2428</v>
      </c>
      <c r="B510" s="18" t="s">
        <v>60</v>
      </c>
      <c r="C510" s="18" t="s">
        <v>61</v>
      </c>
      <c r="D510" s="18" t="s">
        <v>2429</v>
      </c>
      <c r="E510" s="18" t="n">
        <v>58</v>
      </c>
      <c r="F510" s="18" t="s">
        <v>2430</v>
      </c>
      <c r="G510" s="18" t="s">
        <v>128</v>
      </c>
      <c r="H510" s="18" t="s">
        <v>129</v>
      </c>
      <c r="I510" s="18"/>
      <c r="J510" s="18"/>
      <c r="K510" s="18"/>
      <c r="L510" s="18" t="s">
        <v>162</v>
      </c>
      <c r="M510" s="18" t="s">
        <v>129</v>
      </c>
      <c r="N510" s="18"/>
      <c r="O510" s="18" t="s">
        <v>2431</v>
      </c>
      <c r="P510" s="18"/>
      <c r="Q510" s="18" t="s">
        <v>149</v>
      </c>
      <c r="R510" s="18" t="s">
        <v>2432</v>
      </c>
      <c r="S510" s="18" t="s">
        <v>133</v>
      </c>
      <c r="T510" s="18" t="s">
        <v>2433</v>
      </c>
      <c r="U510" s="18"/>
      <c r="V510" s="19" t="s">
        <v>29</v>
      </c>
      <c r="W510" s="19"/>
      <c r="X510" s="19"/>
      <c r="Y510" s="20"/>
      <c r="Z510" s="19"/>
      <c r="AA510" s="18" t="str">
        <f aca="false">IF(OR(V510="Aprobada"),R510,IF(AND(OR(V510="Aprobada con ajuste",V510="Rechazada"),W510&lt;&gt;""),W510,""))</f>
        <v/>
      </c>
    </row>
    <row r="511" customFormat="false" ht="22.35" hidden="false" customHeight="false" outlineLevel="0" collapsed="false">
      <c r="A511" s="18" t="s">
        <v>2434</v>
      </c>
      <c r="B511" s="18" t="s">
        <v>60</v>
      </c>
      <c r="C511" s="18" t="s">
        <v>61</v>
      </c>
      <c r="D511" s="18" t="s">
        <v>2429</v>
      </c>
      <c r="E511" s="18" t="n">
        <v>58</v>
      </c>
      <c r="F511" s="18" t="s">
        <v>1744</v>
      </c>
      <c r="G511" s="18" t="s">
        <v>128</v>
      </c>
      <c r="H511" s="18" t="s">
        <v>129</v>
      </c>
      <c r="I511" s="18"/>
      <c r="J511" s="18"/>
      <c r="K511" s="18"/>
      <c r="L511" s="18" t="s">
        <v>162</v>
      </c>
      <c r="M511" s="18" t="s">
        <v>129</v>
      </c>
      <c r="N511" s="18"/>
      <c r="O511" s="18" t="s">
        <v>2431</v>
      </c>
      <c r="P511" s="18"/>
      <c r="Q511" s="18" t="s">
        <v>149</v>
      </c>
      <c r="R511" s="18" t="s">
        <v>2435</v>
      </c>
      <c r="S511" s="18" t="s">
        <v>133</v>
      </c>
      <c r="T511" s="18" t="s">
        <v>2433</v>
      </c>
      <c r="U511" s="18"/>
      <c r="V511" s="19" t="s">
        <v>29</v>
      </c>
      <c r="W511" s="19"/>
      <c r="X511" s="19"/>
      <c r="Y511" s="20"/>
      <c r="Z511" s="19"/>
      <c r="AA511" s="18" t="str">
        <f aca="false">IF(OR(V511="Aprobada"),R511,IF(AND(OR(V511="Aprobada con ajuste",V511="Rechazada"),W511&lt;&gt;""),W511,""))</f>
        <v/>
      </c>
    </row>
    <row r="512" customFormat="false" ht="22.35" hidden="false" customHeight="false" outlineLevel="0" collapsed="false">
      <c r="A512" s="18" t="s">
        <v>2436</v>
      </c>
      <c r="B512" s="18" t="s">
        <v>60</v>
      </c>
      <c r="C512" s="18" t="s">
        <v>61</v>
      </c>
      <c r="D512" s="18" t="s">
        <v>2429</v>
      </c>
      <c r="E512" s="18" t="n">
        <v>58</v>
      </c>
      <c r="F512" s="18" t="s">
        <v>160</v>
      </c>
      <c r="G512" s="18" t="s">
        <v>128</v>
      </c>
      <c r="H512" s="18" t="s">
        <v>162</v>
      </c>
      <c r="I512" s="18"/>
      <c r="J512" s="18"/>
      <c r="K512" s="18"/>
      <c r="L512" s="18" t="s">
        <v>162</v>
      </c>
      <c r="M512" s="18" t="s">
        <v>129</v>
      </c>
      <c r="N512" s="18"/>
      <c r="O512" s="18"/>
      <c r="P512" s="18"/>
      <c r="Q512" s="18" t="s">
        <v>138</v>
      </c>
      <c r="R512" s="18" t="s">
        <v>2437</v>
      </c>
      <c r="S512" s="18" t="s">
        <v>140</v>
      </c>
      <c r="T512" s="18" t="s">
        <v>141</v>
      </c>
      <c r="U512" s="18"/>
      <c r="V512" s="19" t="s">
        <v>29</v>
      </c>
      <c r="W512" s="19"/>
      <c r="X512" s="19"/>
      <c r="Y512" s="20"/>
      <c r="Z512" s="19"/>
      <c r="AA512" s="18" t="str">
        <f aca="false">IF(OR(V512="Aprobada"),R512,IF(AND(OR(V512="Aprobada con ajuste",V512="Rechazada"),W512&lt;&gt;""),W512,""))</f>
        <v/>
      </c>
    </row>
    <row r="513" customFormat="false" ht="32.8" hidden="false" customHeight="false" outlineLevel="0" collapsed="false">
      <c r="A513" s="18" t="s">
        <v>2438</v>
      </c>
      <c r="B513" s="18" t="s">
        <v>60</v>
      </c>
      <c r="C513" s="18" t="s">
        <v>61</v>
      </c>
      <c r="D513" s="18" t="s">
        <v>2439</v>
      </c>
      <c r="E513" s="18" t="n">
        <v>283</v>
      </c>
      <c r="F513" s="18" t="s">
        <v>2440</v>
      </c>
      <c r="G513" s="18" t="s">
        <v>128</v>
      </c>
      <c r="H513" s="18" t="s">
        <v>162</v>
      </c>
      <c r="I513" s="18"/>
      <c r="J513" s="18"/>
      <c r="K513" s="18"/>
      <c r="L513" s="18" t="s">
        <v>129</v>
      </c>
      <c r="M513" s="18" t="s">
        <v>129</v>
      </c>
      <c r="N513" s="18"/>
      <c r="O513" s="18" t="s">
        <v>2441</v>
      </c>
      <c r="P513" s="18" t="s">
        <v>2442</v>
      </c>
      <c r="Q513" s="18" t="s">
        <v>138</v>
      </c>
      <c r="R513" s="18" t="s">
        <v>532</v>
      </c>
      <c r="S513" s="18" t="s">
        <v>140</v>
      </c>
      <c r="T513" s="18" t="s">
        <v>141</v>
      </c>
      <c r="U513" s="18"/>
      <c r="V513" s="19" t="s">
        <v>29</v>
      </c>
      <c r="W513" s="19"/>
      <c r="X513" s="19"/>
      <c r="Y513" s="20"/>
      <c r="Z513" s="19"/>
      <c r="AA513" s="18" t="str">
        <f aca="false">IF(OR(V513="Aprobada"),R513,IF(AND(OR(V513="Aprobada con ajuste",V513="Rechazada"),W513&lt;&gt;""),W513,""))</f>
        <v/>
      </c>
    </row>
    <row r="514" customFormat="false" ht="32.8" hidden="false" customHeight="false" outlineLevel="0" collapsed="false">
      <c r="A514" s="18" t="s">
        <v>2443</v>
      </c>
      <c r="B514" s="18" t="s">
        <v>60</v>
      </c>
      <c r="C514" s="18" t="s">
        <v>61</v>
      </c>
      <c r="D514" s="18" t="s">
        <v>2439</v>
      </c>
      <c r="E514" s="18" t="n">
        <v>283</v>
      </c>
      <c r="F514" s="18" t="s">
        <v>2444</v>
      </c>
      <c r="G514" s="18" t="s">
        <v>128</v>
      </c>
      <c r="H514" s="18" t="s">
        <v>162</v>
      </c>
      <c r="I514" s="18"/>
      <c r="J514" s="18"/>
      <c r="K514" s="18"/>
      <c r="L514" s="18" t="s">
        <v>129</v>
      </c>
      <c r="M514" s="18" t="s">
        <v>129</v>
      </c>
      <c r="N514" s="18"/>
      <c r="O514" s="18"/>
      <c r="P514" s="18" t="s">
        <v>2445</v>
      </c>
      <c r="Q514" s="18" t="s">
        <v>149</v>
      </c>
      <c r="R514" s="18" t="s">
        <v>2446</v>
      </c>
      <c r="S514" s="18" t="s">
        <v>133</v>
      </c>
      <c r="T514" s="18" t="s">
        <v>183</v>
      </c>
      <c r="U514" s="18"/>
      <c r="V514" s="19" t="s">
        <v>29</v>
      </c>
      <c r="W514" s="19"/>
      <c r="X514" s="19"/>
      <c r="Y514" s="20"/>
      <c r="Z514" s="19"/>
      <c r="AA514" s="18" t="str">
        <f aca="false">IF(OR(V514="Aprobada"),R514,IF(AND(OR(V514="Aprobada con ajuste",V514="Rechazada"),W514&lt;&gt;""),W514,""))</f>
        <v/>
      </c>
    </row>
    <row r="515" customFormat="false" ht="32.8" hidden="false" customHeight="false" outlineLevel="0" collapsed="false">
      <c r="A515" s="18" t="s">
        <v>2447</v>
      </c>
      <c r="B515" s="18" t="s">
        <v>60</v>
      </c>
      <c r="C515" s="18" t="s">
        <v>61</v>
      </c>
      <c r="D515" s="18" t="s">
        <v>2439</v>
      </c>
      <c r="E515" s="18" t="n">
        <v>283</v>
      </c>
      <c r="F515" s="18" t="s">
        <v>2448</v>
      </c>
      <c r="G515" s="18" t="s">
        <v>128</v>
      </c>
      <c r="H515" s="18" t="s">
        <v>162</v>
      </c>
      <c r="I515" s="18"/>
      <c r="J515" s="18"/>
      <c r="K515" s="18"/>
      <c r="L515" s="18" t="s">
        <v>129</v>
      </c>
      <c r="M515" s="18" t="s">
        <v>129</v>
      </c>
      <c r="N515" s="18"/>
      <c r="O515" s="18"/>
      <c r="P515" s="18" t="s">
        <v>2449</v>
      </c>
      <c r="Q515" s="18" t="s">
        <v>138</v>
      </c>
      <c r="R515" s="18" t="s">
        <v>2450</v>
      </c>
      <c r="S515" s="18" t="s">
        <v>140</v>
      </c>
      <c r="T515" s="18" t="s">
        <v>141</v>
      </c>
      <c r="U515" s="18"/>
      <c r="V515" s="19" t="s">
        <v>29</v>
      </c>
      <c r="W515" s="19"/>
      <c r="X515" s="19"/>
      <c r="Y515" s="20"/>
      <c r="Z515" s="19"/>
      <c r="AA515" s="18" t="str">
        <f aca="false">IF(OR(V515="Aprobada"),R515,IF(AND(OR(V515="Aprobada con ajuste",V515="Rechazada"),W515&lt;&gt;""),W515,""))</f>
        <v/>
      </c>
    </row>
    <row r="516" customFormat="false" ht="32.8" hidden="false" customHeight="false" outlineLevel="0" collapsed="false">
      <c r="A516" s="18" t="s">
        <v>2451</v>
      </c>
      <c r="B516" s="18" t="s">
        <v>60</v>
      </c>
      <c r="C516" s="18" t="s">
        <v>61</v>
      </c>
      <c r="D516" s="18" t="s">
        <v>2439</v>
      </c>
      <c r="E516" s="18" t="n">
        <v>283</v>
      </c>
      <c r="F516" s="18" t="s">
        <v>2452</v>
      </c>
      <c r="G516" s="18" t="s">
        <v>128</v>
      </c>
      <c r="H516" s="18" t="s">
        <v>162</v>
      </c>
      <c r="I516" s="18"/>
      <c r="J516" s="18"/>
      <c r="K516" s="18"/>
      <c r="L516" s="18" t="s">
        <v>129</v>
      </c>
      <c r="M516" s="18" t="s">
        <v>129</v>
      </c>
      <c r="N516" s="18"/>
      <c r="O516" s="18"/>
      <c r="P516" s="18" t="s">
        <v>2453</v>
      </c>
      <c r="Q516" s="18" t="s">
        <v>149</v>
      </c>
      <c r="R516" s="18" t="s">
        <v>574</v>
      </c>
      <c r="S516" s="18" t="s">
        <v>140</v>
      </c>
      <c r="T516" s="18" t="s">
        <v>183</v>
      </c>
      <c r="U516" s="18" t="s">
        <v>2454</v>
      </c>
      <c r="V516" s="19" t="s">
        <v>29</v>
      </c>
      <c r="W516" s="19"/>
      <c r="X516" s="19"/>
      <c r="Y516" s="20"/>
      <c r="Z516" s="19"/>
      <c r="AA516" s="18" t="str">
        <f aca="false">IF(OR(V516="Aprobada"),R516,IF(AND(OR(V516="Aprobada con ajuste",V516="Rechazada"),W516&lt;&gt;""),W516,""))</f>
        <v/>
      </c>
    </row>
    <row r="517" customFormat="false" ht="32.8" hidden="false" customHeight="false" outlineLevel="0" collapsed="false">
      <c r="A517" s="18" t="s">
        <v>2455</v>
      </c>
      <c r="B517" s="18" t="s">
        <v>60</v>
      </c>
      <c r="C517" s="18" t="s">
        <v>61</v>
      </c>
      <c r="D517" s="18" t="s">
        <v>2439</v>
      </c>
      <c r="E517" s="18" t="n">
        <v>283</v>
      </c>
      <c r="F517" s="18" t="s">
        <v>2456</v>
      </c>
      <c r="G517" s="18" t="s">
        <v>128</v>
      </c>
      <c r="H517" s="18" t="s">
        <v>162</v>
      </c>
      <c r="I517" s="18"/>
      <c r="J517" s="18"/>
      <c r="K517" s="18"/>
      <c r="L517" s="18" t="s">
        <v>129</v>
      </c>
      <c r="M517" s="18" t="s">
        <v>129</v>
      </c>
      <c r="N517" s="18"/>
      <c r="O517" s="18"/>
      <c r="P517" s="18" t="s">
        <v>2457</v>
      </c>
      <c r="Q517" s="18" t="s">
        <v>149</v>
      </c>
      <c r="R517" s="18" t="s">
        <v>2458</v>
      </c>
      <c r="S517" s="18" t="s">
        <v>133</v>
      </c>
      <c r="T517" s="18" t="s">
        <v>183</v>
      </c>
      <c r="U517" s="18"/>
      <c r="V517" s="19" t="s">
        <v>29</v>
      </c>
      <c r="W517" s="19"/>
      <c r="X517" s="19"/>
      <c r="Y517" s="20"/>
      <c r="Z517" s="19"/>
      <c r="AA517" s="18" t="str">
        <f aca="false">IF(OR(V517="Aprobada"),R517,IF(AND(OR(V517="Aprobada con ajuste",V517="Rechazada"),W517&lt;&gt;""),W517,""))</f>
        <v/>
      </c>
    </row>
    <row r="518" customFormat="false" ht="32.8" hidden="false" customHeight="false" outlineLevel="0" collapsed="false">
      <c r="A518" s="18" t="s">
        <v>2459</v>
      </c>
      <c r="B518" s="18" t="s">
        <v>60</v>
      </c>
      <c r="C518" s="18" t="s">
        <v>61</v>
      </c>
      <c r="D518" s="18" t="s">
        <v>2439</v>
      </c>
      <c r="E518" s="18" t="n">
        <v>283</v>
      </c>
      <c r="F518" s="18" t="s">
        <v>2460</v>
      </c>
      <c r="G518" s="18" t="s">
        <v>128</v>
      </c>
      <c r="H518" s="18" t="s">
        <v>162</v>
      </c>
      <c r="I518" s="18"/>
      <c r="J518" s="18"/>
      <c r="K518" s="18"/>
      <c r="L518" s="18" t="s">
        <v>129</v>
      </c>
      <c r="M518" s="18" t="s">
        <v>129</v>
      </c>
      <c r="N518" s="18"/>
      <c r="O518" s="18"/>
      <c r="P518" s="18" t="s">
        <v>2461</v>
      </c>
      <c r="Q518" s="18" t="s">
        <v>149</v>
      </c>
      <c r="R518" s="18" t="s">
        <v>2462</v>
      </c>
      <c r="S518" s="18" t="s">
        <v>133</v>
      </c>
      <c r="T518" s="18" t="s">
        <v>183</v>
      </c>
      <c r="U518" s="18"/>
      <c r="V518" s="19" t="s">
        <v>29</v>
      </c>
      <c r="W518" s="19"/>
      <c r="X518" s="19"/>
      <c r="Y518" s="20"/>
      <c r="Z518" s="19"/>
      <c r="AA518" s="18" t="str">
        <f aca="false">IF(OR(V518="Aprobada"),R518,IF(AND(OR(V518="Aprobada con ajuste",V518="Rechazada"),W518&lt;&gt;""),W518,""))</f>
        <v/>
      </c>
    </row>
    <row r="519" customFormat="false" ht="32.8" hidden="false" customHeight="false" outlineLevel="0" collapsed="false">
      <c r="A519" s="18" t="s">
        <v>2463</v>
      </c>
      <c r="B519" s="18" t="s">
        <v>60</v>
      </c>
      <c r="C519" s="18" t="s">
        <v>61</v>
      </c>
      <c r="D519" s="18" t="s">
        <v>2439</v>
      </c>
      <c r="E519" s="18" t="n">
        <v>283</v>
      </c>
      <c r="F519" s="18" t="s">
        <v>2464</v>
      </c>
      <c r="G519" s="18" t="s">
        <v>128</v>
      </c>
      <c r="H519" s="18" t="s">
        <v>162</v>
      </c>
      <c r="I519" s="18"/>
      <c r="J519" s="18"/>
      <c r="K519" s="18"/>
      <c r="L519" s="18" t="s">
        <v>129</v>
      </c>
      <c r="M519" s="18" t="s">
        <v>129</v>
      </c>
      <c r="N519" s="18"/>
      <c r="O519" s="18"/>
      <c r="P519" s="18" t="s">
        <v>2465</v>
      </c>
      <c r="Q519" s="18" t="s">
        <v>149</v>
      </c>
      <c r="R519" s="18" t="s">
        <v>557</v>
      </c>
      <c r="S519" s="18" t="s">
        <v>133</v>
      </c>
      <c r="T519" s="18" t="s">
        <v>183</v>
      </c>
      <c r="U519" s="18"/>
      <c r="V519" s="19" t="s">
        <v>29</v>
      </c>
      <c r="W519" s="19"/>
      <c r="X519" s="19"/>
      <c r="Y519" s="20"/>
      <c r="Z519" s="19"/>
      <c r="AA519" s="18" t="str">
        <f aca="false">IF(OR(V519="Aprobada"),R519,IF(AND(OR(V519="Aprobada con ajuste",V519="Rechazada"),W519&lt;&gt;""),W519,""))</f>
        <v/>
      </c>
    </row>
    <row r="520" customFormat="false" ht="32.8" hidden="false" customHeight="false" outlineLevel="0" collapsed="false">
      <c r="A520" s="18" t="s">
        <v>2466</v>
      </c>
      <c r="B520" s="18" t="s">
        <v>60</v>
      </c>
      <c r="C520" s="18" t="s">
        <v>61</v>
      </c>
      <c r="D520" s="18" t="s">
        <v>2439</v>
      </c>
      <c r="E520" s="18" t="n">
        <v>283</v>
      </c>
      <c r="F520" s="18" t="s">
        <v>2467</v>
      </c>
      <c r="G520" s="18" t="s">
        <v>128</v>
      </c>
      <c r="H520" s="18" t="s">
        <v>162</v>
      </c>
      <c r="I520" s="18"/>
      <c r="J520" s="18"/>
      <c r="K520" s="18"/>
      <c r="L520" s="18" t="s">
        <v>129</v>
      </c>
      <c r="M520" s="18" t="s">
        <v>129</v>
      </c>
      <c r="N520" s="18"/>
      <c r="O520" s="18"/>
      <c r="P520" s="18" t="s">
        <v>2468</v>
      </c>
      <c r="Q520" s="18" t="s">
        <v>149</v>
      </c>
      <c r="R520" s="18" t="s">
        <v>560</v>
      </c>
      <c r="S520" s="18" t="s">
        <v>133</v>
      </c>
      <c r="T520" s="18" t="s">
        <v>183</v>
      </c>
      <c r="U520" s="18"/>
      <c r="V520" s="19" t="s">
        <v>29</v>
      </c>
      <c r="W520" s="19"/>
      <c r="X520" s="19"/>
      <c r="Y520" s="20"/>
      <c r="Z520" s="19"/>
      <c r="AA520" s="18" t="str">
        <f aca="false">IF(OR(V520="Aprobada"),R520,IF(AND(OR(V520="Aprobada con ajuste",V520="Rechazada"),W520&lt;&gt;""),W520,""))</f>
        <v/>
      </c>
    </row>
    <row r="521" customFormat="false" ht="32.8" hidden="false" customHeight="false" outlineLevel="0" collapsed="false">
      <c r="A521" s="18" t="s">
        <v>2469</v>
      </c>
      <c r="B521" s="18" t="s">
        <v>60</v>
      </c>
      <c r="C521" s="18" t="s">
        <v>61</v>
      </c>
      <c r="D521" s="18" t="s">
        <v>2439</v>
      </c>
      <c r="E521" s="18" t="n">
        <v>283</v>
      </c>
      <c r="F521" s="18" t="s">
        <v>2470</v>
      </c>
      <c r="G521" s="18" t="s">
        <v>128</v>
      </c>
      <c r="H521" s="18" t="s">
        <v>162</v>
      </c>
      <c r="I521" s="18"/>
      <c r="J521" s="18"/>
      <c r="K521" s="18"/>
      <c r="L521" s="18" t="s">
        <v>129</v>
      </c>
      <c r="M521" s="18" t="s">
        <v>129</v>
      </c>
      <c r="N521" s="18"/>
      <c r="O521" s="18"/>
      <c r="P521" s="18" t="s">
        <v>2471</v>
      </c>
      <c r="Q521" s="18" t="s">
        <v>149</v>
      </c>
      <c r="R521" s="18" t="s">
        <v>2472</v>
      </c>
      <c r="S521" s="18" t="s">
        <v>140</v>
      </c>
      <c r="T521" s="18" t="s">
        <v>183</v>
      </c>
      <c r="U521" s="18" t="s">
        <v>2473</v>
      </c>
      <c r="V521" s="19" t="s">
        <v>29</v>
      </c>
      <c r="W521" s="19"/>
      <c r="X521" s="19"/>
      <c r="Y521" s="20"/>
      <c r="Z521" s="19"/>
      <c r="AA521" s="18" t="str">
        <f aca="false">IF(OR(V521="Aprobada"),R521,IF(AND(OR(V521="Aprobada con ajuste",V521="Rechazada"),W521&lt;&gt;""),W521,""))</f>
        <v/>
      </c>
    </row>
    <row r="522" customFormat="false" ht="32.8" hidden="false" customHeight="false" outlineLevel="0" collapsed="false">
      <c r="A522" s="18" t="s">
        <v>2474</v>
      </c>
      <c r="B522" s="18" t="s">
        <v>60</v>
      </c>
      <c r="C522" s="18" t="s">
        <v>61</v>
      </c>
      <c r="D522" s="18" t="s">
        <v>2439</v>
      </c>
      <c r="E522" s="18" t="n">
        <v>283</v>
      </c>
      <c r="F522" s="18" t="s">
        <v>2475</v>
      </c>
      <c r="G522" s="18" t="s">
        <v>1730</v>
      </c>
      <c r="H522" s="18" t="s">
        <v>162</v>
      </c>
      <c r="I522" s="18"/>
      <c r="J522" s="18"/>
      <c r="K522" s="18"/>
      <c r="L522" s="18" t="s">
        <v>129</v>
      </c>
      <c r="M522" s="18" t="s">
        <v>129</v>
      </c>
      <c r="N522" s="18"/>
      <c r="O522" s="18"/>
      <c r="P522" s="18" t="s">
        <v>2476</v>
      </c>
      <c r="Q522" s="18" t="s">
        <v>138</v>
      </c>
      <c r="R522" s="18" t="s">
        <v>2477</v>
      </c>
      <c r="S522" s="18" t="s">
        <v>140</v>
      </c>
      <c r="T522" s="18" t="s">
        <v>141</v>
      </c>
      <c r="U522" s="18"/>
      <c r="V522" s="19" t="s">
        <v>29</v>
      </c>
      <c r="W522" s="19"/>
      <c r="X522" s="19"/>
      <c r="Y522" s="20"/>
      <c r="Z522" s="19"/>
      <c r="AA522" s="18" t="str">
        <f aca="false">IF(OR(V522="Aprobada"),R522,IF(AND(OR(V522="Aprobada con ajuste",V522="Rechazada"),W522&lt;&gt;""),W522,""))</f>
        <v/>
      </c>
    </row>
    <row r="523" customFormat="false" ht="32.8" hidden="false" customHeight="false" outlineLevel="0" collapsed="false">
      <c r="A523" s="18" t="s">
        <v>2478</v>
      </c>
      <c r="B523" s="18" t="s">
        <v>60</v>
      </c>
      <c r="C523" s="18" t="s">
        <v>61</v>
      </c>
      <c r="D523" s="18" t="s">
        <v>2439</v>
      </c>
      <c r="E523" s="18" t="n">
        <v>283</v>
      </c>
      <c r="F523" s="18" t="s">
        <v>2479</v>
      </c>
      <c r="G523" s="18" t="s">
        <v>128</v>
      </c>
      <c r="H523" s="18" t="s">
        <v>162</v>
      </c>
      <c r="I523" s="18"/>
      <c r="J523" s="18"/>
      <c r="K523" s="18"/>
      <c r="L523" s="18" t="s">
        <v>129</v>
      </c>
      <c r="M523" s="18" t="s">
        <v>129</v>
      </c>
      <c r="N523" s="18"/>
      <c r="O523" s="18"/>
      <c r="P523" s="18" t="s">
        <v>2480</v>
      </c>
      <c r="Q523" s="18" t="s">
        <v>149</v>
      </c>
      <c r="R523" s="18" t="s">
        <v>2481</v>
      </c>
      <c r="S523" s="18" t="s">
        <v>133</v>
      </c>
      <c r="T523" s="18" t="s">
        <v>183</v>
      </c>
      <c r="U523" s="18"/>
      <c r="V523" s="19" t="s">
        <v>29</v>
      </c>
      <c r="W523" s="19"/>
      <c r="X523" s="19"/>
      <c r="Y523" s="20"/>
      <c r="Z523" s="19"/>
      <c r="AA523" s="18" t="str">
        <f aca="false">IF(OR(V523="Aprobada"),R523,IF(AND(OR(V523="Aprobada con ajuste",V523="Rechazada"),W523&lt;&gt;""),W523,""))</f>
        <v/>
      </c>
    </row>
    <row r="524" customFormat="false" ht="32.8" hidden="false" customHeight="false" outlineLevel="0" collapsed="false">
      <c r="A524" s="18" t="s">
        <v>2482</v>
      </c>
      <c r="B524" s="18" t="s">
        <v>60</v>
      </c>
      <c r="C524" s="18" t="s">
        <v>61</v>
      </c>
      <c r="D524" s="18" t="s">
        <v>2439</v>
      </c>
      <c r="E524" s="18" t="n">
        <v>283</v>
      </c>
      <c r="F524" s="18" t="s">
        <v>2483</v>
      </c>
      <c r="G524" s="18" t="s">
        <v>128</v>
      </c>
      <c r="H524" s="18" t="s">
        <v>162</v>
      </c>
      <c r="I524" s="18"/>
      <c r="J524" s="18"/>
      <c r="K524" s="18"/>
      <c r="L524" s="18" t="s">
        <v>129</v>
      </c>
      <c r="M524" s="18" t="s">
        <v>129</v>
      </c>
      <c r="N524" s="18"/>
      <c r="O524" s="18"/>
      <c r="P524" s="18" t="s">
        <v>2484</v>
      </c>
      <c r="Q524" s="18" t="s">
        <v>149</v>
      </c>
      <c r="R524" s="18" t="s">
        <v>2485</v>
      </c>
      <c r="S524" s="18" t="s">
        <v>133</v>
      </c>
      <c r="T524" s="18" t="s">
        <v>183</v>
      </c>
      <c r="U524" s="18"/>
      <c r="V524" s="19" t="s">
        <v>29</v>
      </c>
      <c r="W524" s="19"/>
      <c r="X524" s="19"/>
      <c r="Y524" s="20"/>
      <c r="Z524" s="19"/>
      <c r="AA524" s="18" t="str">
        <f aca="false">IF(OR(V524="Aprobada"),R524,IF(AND(OR(V524="Aprobada con ajuste",V524="Rechazada"),W524&lt;&gt;""),W524,""))</f>
        <v/>
      </c>
    </row>
    <row r="525" customFormat="false" ht="32.8" hidden="false" customHeight="false" outlineLevel="0" collapsed="false">
      <c r="A525" s="18" t="s">
        <v>2486</v>
      </c>
      <c r="B525" s="18" t="s">
        <v>60</v>
      </c>
      <c r="C525" s="18" t="s">
        <v>61</v>
      </c>
      <c r="D525" s="18" t="s">
        <v>2439</v>
      </c>
      <c r="E525" s="18" t="n">
        <v>283</v>
      </c>
      <c r="F525" s="18" t="s">
        <v>2487</v>
      </c>
      <c r="G525" s="18" t="s">
        <v>128</v>
      </c>
      <c r="H525" s="18" t="s">
        <v>162</v>
      </c>
      <c r="I525" s="18"/>
      <c r="J525" s="18"/>
      <c r="K525" s="18"/>
      <c r="L525" s="18" t="s">
        <v>129</v>
      </c>
      <c r="M525" s="18" t="s">
        <v>129</v>
      </c>
      <c r="N525" s="18"/>
      <c r="O525" s="18"/>
      <c r="P525" s="18" t="s">
        <v>2488</v>
      </c>
      <c r="Q525" s="18" t="s">
        <v>149</v>
      </c>
      <c r="R525" s="18" t="s">
        <v>2489</v>
      </c>
      <c r="S525" s="18" t="s">
        <v>140</v>
      </c>
      <c r="T525" s="18" t="s">
        <v>183</v>
      </c>
      <c r="U525" s="18" t="s">
        <v>2490</v>
      </c>
      <c r="V525" s="19" t="s">
        <v>29</v>
      </c>
      <c r="W525" s="19"/>
      <c r="X525" s="19"/>
      <c r="Y525" s="20"/>
      <c r="Z525" s="19"/>
      <c r="AA525" s="18" t="str">
        <f aca="false">IF(OR(V525="Aprobada"),R525,IF(AND(OR(V525="Aprobada con ajuste",V525="Rechazada"),W525&lt;&gt;""),W525,""))</f>
        <v/>
      </c>
    </row>
    <row r="526" customFormat="false" ht="22.35" hidden="false" customHeight="false" outlineLevel="0" collapsed="false">
      <c r="A526" s="18" t="s">
        <v>2491</v>
      </c>
      <c r="B526" s="18" t="s">
        <v>60</v>
      </c>
      <c r="C526" s="18" t="s">
        <v>61</v>
      </c>
      <c r="D526" s="18" t="s">
        <v>2439</v>
      </c>
      <c r="E526" s="18" t="n">
        <v>283</v>
      </c>
      <c r="F526" s="18" t="s">
        <v>2492</v>
      </c>
      <c r="G526" s="18" t="s">
        <v>128</v>
      </c>
      <c r="H526" s="18" t="s">
        <v>162</v>
      </c>
      <c r="I526" s="18"/>
      <c r="J526" s="18"/>
      <c r="K526" s="18"/>
      <c r="L526" s="18" t="s">
        <v>129</v>
      </c>
      <c r="M526" s="18" t="s">
        <v>129</v>
      </c>
      <c r="N526" s="18"/>
      <c r="O526" s="18"/>
      <c r="P526" s="18"/>
      <c r="Q526" s="18" t="s">
        <v>149</v>
      </c>
      <c r="R526" s="18" t="s">
        <v>2493</v>
      </c>
      <c r="S526" s="18" t="s">
        <v>140</v>
      </c>
      <c r="T526" s="18" t="s">
        <v>183</v>
      </c>
      <c r="U526" s="18" t="s">
        <v>2494</v>
      </c>
      <c r="V526" s="19" t="s">
        <v>29</v>
      </c>
      <c r="W526" s="19"/>
      <c r="X526" s="19"/>
      <c r="Y526" s="20"/>
      <c r="Z526" s="19"/>
      <c r="AA526" s="18" t="str">
        <f aca="false">IF(OR(V526="Aprobada"),R526,IF(AND(OR(V526="Aprobada con ajuste",V526="Rechazada"),W526&lt;&gt;""),W526,""))</f>
        <v/>
      </c>
    </row>
    <row r="527" customFormat="false" ht="22.35" hidden="false" customHeight="false" outlineLevel="0" collapsed="false">
      <c r="A527" s="18" t="s">
        <v>2495</v>
      </c>
      <c r="B527" s="18" t="s">
        <v>60</v>
      </c>
      <c r="C527" s="18" t="s">
        <v>61</v>
      </c>
      <c r="D527" s="18" t="s">
        <v>2439</v>
      </c>
      <c r="E527" s="18" t="n">
        <v>283</v>
      </c>
      <c r="F527" s="18" t="s">
        <v>2496</v>
      </c>
      <c r="G527" s="18" t="s">
        <v>128</v>
      </c>
      <c r="H527" s="18" t="s">
        <v>162</v>
      </c>
      <c r="I527" s="18"/>
      <c r="J527" s="18"/>
      <c r="K527" s="18"/>
      <c r="L527" s="18" t="s">
        <v>129</v>
      </c>
      <c r="M527" s="18" t="s">
        <v>129</v>
      </c>
      <c r="N527" s="18"/>
      <c r="O527" s="18"/>
      <c r="P527" s="18"/>
      <c r="Q527" s="18" t="s">
        <v>149</v>
      </c>
      <c r="R527" s="18" t="s">
        <v>2497</v>
      </c>
      <c r="S527" s="18" t="s">
        <v>133</v>
      </c>
      <c r="T527" s="18" t="s">
        <v>183</v>
      </c>
      <c r="U527" s="18"/>
      <c r="V527" s="19" t="s">
        <v>29</v>
      </c>
      <c r="W527" s="19"/>
      <c r="X527" s="19"/>
      <c r="Y527" s="20"/>
      <c r="Z527" s="19"/>
      <c r="AA527" s="18" t="str">
        <f aca="false">IF(OR(V527="Aprobada"),R527,IF(AND(OR(V527="Aprobada con ajuste",V527="Rechazada"),W527&lt;&gt;""),W527,""))</f>
        <v/>
      </c>
    </row>
    <row r="528" customFormat="false" ht="22.35" hidden="false" customHeight="false" outlineLevel="0" collapsed="false">
      <c r="A528" s="18" t="s">
        <v>2498</v>
      </c>
      <c r="B528" s="18" t="s">
        <v>60</v>
      </c>
      <c r="C528" s="18" t="s">
        <v>61</v>
      </c>
      <c r="D528" s="18" t="s">
        <v>2439</v>
      </c>
      <c r="E528" s="18" t="n">
        <v>283</v>
      </c>
      <c r="F528" s="18" t="s">
        <v>2499</v>
      </c>
      <c r="G528" s="18" t="s">
        <v>128</v>
      </c>
      <c r="H528" s="18" t="s">
        <v>162</v>
      </c>
      <c r="I528" s="18"/>
      <c r="J528" s="18"/>
      <c r="K528" s="18"/>
      <c r="L528" s="18" t="s">
        <v>129</v>
      </c>
      <c r="M528" s="18" t="s">
        <v>129</v>
      </c>
      <c r="N528" s="18"/>
      <c r="O528" s="18"/>
      <c r="P528" s="18"/>
      <c r="Q528" s="18" t="s">
        <v>149</v>
      </c>
      <c r="R528" s="18" t="s">
        <v>2500</v>
      </c>
      <c r="S528" s="18" t="s">
        <v>140</v>
      </c>
      <c r="T528" s="18" t="s">
        <v>183</v>
      </c>
      <c r="U528" s="18" t="s">
        <v>2501</v>
      </c>
      <c r="V528" s="19" t="s">
        <v>29</v>
      </c>
      <c r="W528" s="19"/>
      <c r="X528" s="19"/>
      <c r="Y528" s="20"/>
      <c r="Z528" s="19"/>
      <c r="AA528" s="18" t="str">
        <f aca="false">IF(OR(V528="Aprobada"),R528,IF(AND(OR(V528="Aprobada con ajuste",V528="Rechazada"),W528&lt;&gt;""),W528,""))</f>
        <v/>
      </c>
    </row>
    <row r="529" customFormat="false" ht="22.35" hidden="false" customHeight="false" outlineLevel="0" collapsed="false">
      <c r="A529" s="18" t="s">
        <v>2502</v>
      </c>
      <c r="B529" s="18" t="s">
        <v>60</v>
      </c>
      <c r="C529" s="18" t="s">
        <v>61</v>
      </c>
      <c r="D529" s="18" t="s">
        <v>2439</v>
      </c>
      <c r="E529" s="18" t="n">
        <v>283</v>
      </c>
      <c r="F529" s="18" t="s">
        <v>2503</v>
      </c>
      <c r="G529" s="18" t="s">
        <v>128</v>
      </c>
      <c r="H529" s="18" t="s">
        <v>162</v>
      </c>
      <c r="I529" s="18"/>
      <c r="J529" s="18"/>
      <c r="K529" s="18"/>
      <c r="L529" s="18" t="s">
        <v>129</v>
      </c>
      <c r="M529" s="18" t="s">
        <v>129</v>
      </c>
      <c r="N529" s="18"/>
      <c r="O529" s="18"/>
      <c r="P529" s="18"/>
      <c r="Q529" s="18" t="s">
        <v>149</v>
      </c>
      <c r="R529" s="18" t="s">
        <v>2504</v>
      </c>
      <c r="S529" s="18" t="s">
        <v>242</v>
      </c>
      <c r="T529" s="18" t="s">
        <v>183</v>
      </c>
      <c r="U529" s="18" t="s">
        <v>2505</v>
      </c>
      <c r="V529" s="19" t="s">
        <v>29</v>
      </c>
      <c r="W529" s="19"/>
      <c r="X529" s="19"/>
      <c r="Y529" s="20"/>
      <c r="Z529" s="19"/>
      <c r="AA529" s="18" t="str">
        <f aca="false">IF(OR(V529="Aprobada"),R529,IF(AND(OR(V529="Aprobada con ajuste",V529="Rechazada"),W529&lt;&gt;""),W529,""))</f>
        <v/>
      </c>
    </row>
    <row r="530" customFormat="false" ht="22.35" hidden="false" customHeight="false" outlineLevel="0" collapsed="false">
      <c r="A530" s="18" t="s">
        <v>2506</v>
      </c>
      <c r="B530" s="18" t="s">
        <v>60</v>
      </c>
      <c r="C530" s="18" t="s">
        <v>61</v>
      </c>
      <c r="D530" s="18" t="s">
        <v>2439</v>
      </c>
      <c r="E530" s="18" t="n">
        <v>283</v>
      </c>
      <c r="F530" s="18" t="s">
        <v>2507</v>
      </c>
      <c r="G530" s="18" t="s">
        <v>128</v>
      </c>
      <c r="H530" s="18" t="s">
        <v>162</v>
      </c>
      <c r="I530" s="18"/>
      <c r="J530" s="18"/>
      <c r="K530" s="18"/>
      <c r="L530" s="18" t="s">
        <v>129</v>
      </c>
      <c r="M530" s="18" t="s">
        <v>129</v>
      </c>
      <c r="N530" s="18"/>
      <c r="O530" s="18"/>
      <c r="P530" s="18"/>
      <c r="Q530" s="18" t="s">
        <v>149</v>
      </c>
      <c r="R530" s="18" t="s">
        <v>2508</v>
      </c>
      <c r="S530" s="18" t="s">
        <v>133</v>
      </c>
      <c r="T530" s="18" t="s">
        <v>183</v>
      </c>
      <c r="U530" s="18"/>
      <c r="V530" s="19" t="s">
        <v>29</v>
      </c>
      <c r="W530" s="19"/>
      <c r="X530" s="19"/>
      <c r="Y530" s="20"/>
      <c r="Z530" s="19"/>
      <c r="AA530" s="18" t="str">
        <f aca="false">IF(OR(V530="Aprobada"),R530,IF(AND(OR(V530="Aprobada con ajuste",V530="Rechazada"),W530&lt;&gt;""),W530,""))</f>
        <v/>
      </c>
    </row>
    <row r="531" customFormat="false" ht="22.35" hidden="false" customHeight="false" outlineLevel="0" collapsed="false">
      <c r="A531" s="18" t="s">
        <v>2509</v>
      </c>
      <c r="B531" s="18" t="s">
        <v>60</v>
      </c>
      <c r="C531" s="18" t="s">
        <v>61</v>
      </c>
      <c r="D531" s="18" t="s">
        <v>2439</v>
      </c>
      <c r="E531" s="18" t="n">
        <v>283</v>
      </c>
      <c r="F531" s="18" t="s">
        <v>2510</v>
      </c>
      <c r="G531" s="18" t="s">
        <v>128</v>
      </c>
      <c r="H531" s="18" t="s">
        <v>162</v>
      </c>
      <c r="I531" s="18"/>
      <c r="J531" s="18"/>
      <c r="K531" s="18"/>
      <c r="L531" s="18" t="s">
        <v>129</v>
      </c>
      <c r="M531" s="18" t="s">
        <v>129</v>
      </c>
      <c r="N531" s="18"/>
      <c r="O531" s="18"/>
      <c r="P531" s="18"/>
      <c r="Q531" s="18" t="s">
        <v>149</v>
      </c>
      <c r="R531" s="18" t="s">
        <v>2511</v>
      </c>
      <c r="S531" s="18" t="s">
        <v>140</v>
      </c>
      <c r="T531" s="18" t="s">
        <v>183</v>
      </c>
      <c r="U531" s="18" t="s">
        <v>2512</v>
      </c>
      <c r="V531" s="19" t="s">
        <v>29</v>
      </c>
      <c r="W531" s="19"/>
      <c r="X531" s="19"/>
      <c r="Y531" s="20"/>
      <c r="Z531" s="19"/>
      <c r="AA531" s="18" t="str">
        <f aca="false">IF(OR(V531="Aprobada"),R531,IF(AND(OR(V531="Aprobada con ajuste",V531="Rechazada"),W531&lt;&gt;""),W531,""))</f>
        <v/>
      </c>
    </row>
    <row r="532" customFormat="false" ht="22.35" hidden="false" customHeight="false" outlineLevel="0" collapsed="false">
      <c r="A532" s="18" t="s">
        <v>2513</v>
      </c>
      <c r="B532" s="18" t="s">
        <v>60</v>
      </c>
      <c r="C532" s="18" t="s">
        <v>61</v>
      </c>
      <c r="D532" s="18" t="s">
        <v>2439</v>
      </c>
      <c r="E532" s="18" t="n">
        <v>283</v>
      </c>
      <c r="F532" s="18" t="s">
        <v>2514</v>
      </c>
      <c r="G532" s="18" t="s">
        <v>128</v>
      </c>
      <c r="H532" s="18" t="s">
        <v>162</v>
      </c>
      <c r="I532" s="18"/>
      <c r="J532" s="18"/>
      <c r="K532" s="18"/>
      <c r="L532" s="18" t="s">
        <v>129</v>
      </c>
      <c r="M532" s="18" t="s">
        <v>129</v>
      </c>
      <c r="N532" s="18"/>
      <c r="O532" s="18"/>
      <c r="P532" s="18"/>
      <c r="Q532" s="18" t="s">
        <v>149</v>
      </c>
      <c r="R532" s="18" t="s">
        <v>2515</v>
      </c>
      <c r="S532" s="18" t="s">
        <v>242</v>
      </c>
      <c r="T532" s="18" t="s">
        <v>183</v>
      </c>
      <c r="U532" s="18" t="s">
        <v>2516</v>
      </c>
      <c r="V532" s="19" t="s">
        <v>29</v>
      </c>
      <c r="W532" s="19"/>
      <c r="X532" s="19"/>
      <c r="Y532" s="20"/>
      <c r="Z532" s="19"/>
      <c r="AA532" s="18" t="str">
        <f aca="false">IF(OR(V532="Aprobada"),R532,IF(AND(OR(V532="Aprobada con ajuste",V532="Rechazada"),W532&lt;&gt;""),W532,""))</f>
        <v/>
      </c>
    </row>
    <row r="533" customFormat="false" ht="32.8" hidden="false" customHeight="false" outlineLevel="0" collapsed="false">
      <c r="A533" s="18" t="s">
        <v>2517</v>
      </c>
      <c r="B533" s="18" t="s">
        <v>60</v>
      </c>
      <c r="C533" s="18" t="s">
        <v>61</v>
      </c>
      <c r="D533" s="18" t="s">
        <v>2439</v>
      </c>
      <c r="E533" s="18" t="n">
        <v>283</v>
      </c>
      <c r="F533" s="18" t="s">
        <v>2518</v>
      </c>
      <c r="G533" s="18" t="s">
        <v>1730</v>
      </c>
      <c r="H533" s="18" t="s">
        <v>162</v>
      </c>
      <c r="I533" s="18"/>
      <c r="J533" s="18"/>
      <c r="K533" s="18"/>
      <c r="L533" s="18" t="s">
        <v>129</v>
      </c>
      <c r="M533" s="18" t="s">
        <v>129</v>
      </c>
      <c r="N533" s="18"/>
      <c r="O533" s="18"/>
      <c r="P533" s="18" t="s">
        <v>2519</v>
      </c>
      <c r="Q533" s="18" t="s">
        <v>138</v>
      </c>
      <c r="R533" s="18" t="s">
        <v>2520</v>
      </c>
      <c r="S533" s="18" t="s">
        <v>140</v>
      </c>
      <c r="T533" s="18" t="s">
        <v>141</v>
      </c>
      <c r="U533" s="18"/>
      <c r="V533" s="19" t="s">
        <v>29</v>
      </c>
      <c r="W533" s="19"/>
      <c r="X533" s="19"/>
      <c r="Y533" s="20"/>
      <c r="Z533" s="19"/>
      <c r="AA533" s="18" t="str">
        <f aca="false">IF(OR(V533="Aprobada"),R533,IF(AND(OR(V533="Aprobada con ajuste",V533="Rechazada"),W533&lt;&gt;""),W533,""))</f>
        <v/>
      </c>
    </row>
    <row r="534" customFormat="false" ht="22.35" hidden="false" customHeight="false" outlineLevel="0" collapsed="false">
      <c r="A534" s="18" t="s">
        <v>2521</v>
      </c>
      <c r="B534" s="18" t="s">
        <v>60</v>
      </c>
      <c r="C534" s="18" t="s">
        <v>61</v>
      </c>
      <c r="D534" s="18" t="s">
        <v>2439</v>
      </c>
      <c r="E534" s="18" t="n">
        <v>283</v>
      </c>
      <c r="F534" s="18" t="s">
        <v>2522</v>
      </c>
      <c r="G534" s="18" t="s">
        <v>128</v>
      </c>
      <c r="H534" s="18" t="s">
        <v>162</v>
      </c>
      <c r="I534" s="18"/>
      <c r="J534" s="18"/>
      <c r="K534" s="18"/>
      <c r="L534" s="18" t="s">
        <v>129</v>
      </c>
      <c r="M534" s="18" t="s">
        <v>129</v>
      </c>
      <c r="N534" s="18"/>
      <c r="O534" s="18"/>
      <c r="P534" s="18"/>
      <c r="Q534" s="18" t="s">
        <v>149</v>
      </c>
      <c r="R534" s="18" t="s">
        <v>2523</v>
      </c>
      <c r="S534" s="18" t="s">
        <v>242</v>
      </c>
      <c r="T534" s="18" t="s">
        <v>183</v>
      </c>
      <c r="U534" s="18" t="s">
        <v>2524</v>
      </c>
      <c r="V534" s="19" t="s">
        <v>29</v>
      </c>
      <c r="W534" s="19"/>
      <c r="X534" s="19"/>
      <c r="Y534" s="20"/>
      <c r="Z534" s="19"/>
      <c r="AA534" s="18" t="str">
        <f aca="false">IF(OR(V534="Aprobada"),R534,IF(AND(OR(V534="Aprobada con ajuste",V534="Rechazada"),W534&lt;&gt;""),W534,""))</f>
        <v/>
      </c>
    </row>
    <row r="535" customFormat="false" ht="22.35" hidden="false" customHeight="false" outlineLevel="0" collapsed="false">
      <c r="A535" s="18" t="s">
        <v>2525</v>
      </c>
      <c r="B535" s="18" t="s">
        <v>60</v>
      </c>
      <c r="C535" s="18" t="s">
        <v>61</v>
      </c>
      <c r="D535" s="18" t="s">
        <v>2439</v>
      </c>
      <c r="E535" s="18" t="n">
        <v>283</v>
      </c>
      <c r="F535" s="18" t="s">
        <v>886</v>
      </c>
      <c r="G535" s="18" t="s">
        <v>128</v>
      </c>
      <c r="H535" s="18" t="s">
        <v>162</v>
      </c>
      <c r="I535" s="18"/>
      <c r="J535" s="18"/>
      <c r="K535" s="18"/>
      <c r="L535" s="18" t="s">
        <v>129</v>
      </c>
      <c r="M535" s="18" t="s">
        <v>129</v>
      </c>
      <c r="N535" s="18"/>
      <c r="O535" s="18"/>
      <c r="P535" s="18"/>
      <c r="Q535" s="18" t="s">
        <v>138</v>
      </c>
      <c r="R535" s="18" t="s">
        <v>1693</v>
      </c>
      <c r="S535" s="18" t="s">
        <v>140</v>
      </c>
      <c r="T535" s="18" t="s">
        <v>141</v>
      </c>
      <c r="U535" s="18"/>
      <c r="V535" s="19" t="s">
        <v>29</v>
      </c>
      <c r="W535" s="19"/>
      <c r="X535" s="19"/>
      <c r="Y535" s="20"/>
      <c r="Z535" s="19"/>
      <c r="AA535" s="18" t="str">
        <f aca="false">IF(OR(V535="Aprobada"),R535,IF(AND(OR(V535="Aprobada con ajuste",V535="Rechazada"),W535&lt;&gt;""),W535,""))</f>
        <v/>
      </c>
    </row>
    <row r="536" customFormat="false" ht="32.8" hidden="false" customHeight="false" outlineLevel="0" collapsed="false">
      <c r="A536" s="18" t="s">
        <v>2526</v>
      </c>
      <c r="B536" s="18" t="s">
        <v>60</v>
      </c>
      <c r="C536" s="18" t="s">
        <v>61</v>
      </c>
      <c r="D536" s="18" t="s">
        <v>2527</v>
      </c>
      <c r="E536" s="18" t="n">
        <v>267</v>
      </c>
      <c r="F536" s="18" t="s">
        <v>2528</v>
      </c>
      <c r="G536" s="18" t="s">
        <v>128</v>
      </c>
      <c r="H536" s="18" t="s">
        <v>129</v>
      </c>
      <c r="I536" s="18"/>
      <c r="J536" s="18"/>
      <c r="K536" s="18"/>
      <c r="L536" s="18" t="s">
        <v>129</v>
      </c>
      <c r="M536" s="18" t="s">
        <v>129</v>
      </c>
      <c r="N536" s="18"/>
      <c r="O536" s="18" t="s">
        <v>2529</v>
      </c>
      <c r="P536" s="18"/>
      <c r="Q536" s="18" t="s">
        <v>149</v>
      </c>
      <c r="R536" s="18" t="s">
        <v>2530</v>
      </c>
      <c r="S536" s="18" t="s">
        <v>133</v>
      </c>
      <c r="T536" s="18" t="s">
        <v>2531</v>
      </c>
      <c r="U536" s="18"/>
      <c r="V536" s="19" t="s">
        <v>29</v>
      </c>
      <c r="W536" s="19"/>
      <c r="X536" s="19"/>
      <c r="Y536" s="20"/>
      <c r="Z536" s="19"/>
      <c r="AA536" s="18" t="str">
        <f aca="false">IF(OR(V536="Aprobada"),R536,IF(AND(OR(V536="Aprobada con ajuste",V536="Rechazada"),W536&lt;&gt;""),W536,""))</f>
        <v/>
      </c>
    </row>
    <row r="537" customFormat="false" ht="32.8" hidden="false" customHeight="false" outlineLevel="0" collapsed="false">
      <c r="A537" s="18" t="s">
        <v>2532</v>
      </c>
      <c r="B537" s="18" t="s">
        <v>60</v>
      </c>
      <c r="C537" s="18" t="s">
        <v>61</v>
      </c>
      <c r="D537" s="18" t="s">
        <v>2527</v>
      </c>
      <c r="E537" s="18" t="n">
        <v>267</v>
      </c>
      <c r="F537" s="18" t="s">
        <v>2533</v>
      </c>
      <c r="G537" s="18" t="s">
        <v>128</v>
      </c>
      <c r="H537" s="18" t="s">
        <v>129</v>
      </c>
      <c r="I537" s="18"/>
      <c r="J537" s="18"/>
      <c r="K537" s="18"/>
      <c r="L537" s="18" t="s">
        <v>129</v>
      </c>
      <c r="M537" s="18" t="s">
        <v>129</v>
      </c>
      <c r="N537" s="18"/>
      <c r="O537" s="18" t="s">
        <v>2529</v>
      </c>
      <c r="P537" s="18"/>
      <c r="Q537" s="18" t="s">
        <v>149</v>
      </c>
      <c r="R537" s="18" t="s">
        <v>2534</v>
      </c>
      <c r="S537" s="18" t="s">
        <v>140</v>
      </c>
      <c r="T537" s="18" t="s">
        <v>169</v>
      </c>
      <c r="U537" s="18" t="s">
        <v>2535</v>
      </c>
      <c r="V537" s="19" t="s">
        <v>29</v>
      </c>
      <c r="W537" s="19"/>
      <c r="X537" s="19"/>
      <c r="Y537" s="20"/>
      <c r="Z537" s="19"/>
      <c r="AA537" s="18" t="str">
        <f aca="false">IF(OR(V537="Aprobada"),R537,IF(AND(OR(V537="Aprobada con ajuste",V537="Rechazada"),W537&lt;&gt;""),W537,""))</f>
        <v/>
      </c>
    </row>
    <row r="538" customFormat="false" ht="22.35" hidden="false" customHeight="false" outlineLevel="0" collapsed="false">
      <c r="A538" s="18" t="s">
        <v>2536</v>
      </c>
      <c r="B538" s="18" t="s">
        <v>60</v>
      </c>
      <c r="C538" s="18" t="s">
        <v>61</v>
      </c>
      <c r="D538" s="18" t="s">
        <v>2527</v>
      </c>
      <c r="E538" s="18" t="n">
        <v>267</v>
      </c>
      <c r="F538" s="18" t="s">
        <v>2537</v>
      </c>
      <c r="G538" s="18" t="s">
        <v>128</v>
      </c>
      <c r="H538" s="18" t="s">
        <v>162</v>
      </c>
      <c r="I538" s="18"/>
      <c r="J538" s="18"/>
      <c r="K538" s="18"/>
      <c r="L538" s="18" t="s">
        <v>129</v>
      </c>
      <c r="M538" s="18" t="s">
        <v>129</v>
      </c>
      <c r="N538" s="18"/>
      <c r="O538" s="18"/>
      <c r="P538" s="18"/>
      <c r="Q538" s="18" t="s">
        <v>149</v>
      </c>
      <c r="R538" s="18" t="s">
        <v>2538</v>
      </c>
      <c r="S538" s="18" t="s">
        <v>133</v>
      </c>
      <c r="T538" s="18" t="s">
        <v>183</v>
      </c>
      <c r="U538" s="18"/>
      <c r="V538" s="19" t="s">
        <v>29</v>
      </c>
      <c r="W538" s="19"/>
      <c r="X538" s="19"/>
      <c r="Y538" s="20"/>
      <c r="Z538" s="19"/>
      <c r="AA538" s="18" t="str">
        <f aca="false">IF(OR(V538="Aprobada"),R538,IF(AND(OR(V538="Aprobada con ajuste",V538="Rechazada"),W538&lt;&gt;""),W538,""))</f>
        <v/>
      </c>
    </row>
    <row r="539" customFormat="false" ht="22.35" hidden="false" customHeight="false" outlineLevel="0" collapsed="false">
      <c r="A539" s="18" t="s">
        <v>2539</v>
      </c>
      <c r="B539" s="18" t="s">
        <v>60</v>
      </c>
      <c r="C539" s="18" t="s">
        <v>61</v>
      </c>
      <c r="D539" s="18" t="s">
        <v>2527</v>
      </c>
      <c r="E539" s="18" t="n">
        <v>267</v>
      </c>
      <c r="F539" s="18" t="s">
        <v>185</v>
      </c>
      <c r="G539" s="18" t="s">
        <v>128</v>
      </c>
      <c r="H539" s="18" t="s">
        <v>129</v>
      </c>
      <c r="I539" s="18"/>
      <c r="J539" s="18"/>
      <c r="K539" s="18"/>
      <c r="L539" s="18" t="s">
        <v>129</v>
      </c>
      <c r="M539" s="18" t="s">
        <v>129</v>
      </c>
      <c r="N539" s="18"/>
      <c r="O539" s="18"/>
      <c r="P539" s="18"/>
      <c r="Q539" s="18" t="s">
        <v>138</v>
      </c>
      <c r="R539" s="18" t="s">
        <v>2540</v>
      </c>
      <c r="S539" s="18" t="s">
        <v>140</v>
      </c>
      <c r="T539" s="18" t="s">
        <v>141</v>
      </c>
      <c r="U539" s="18"/>
      <c r="V539" s="19" t="s">
        <v>29</v>
      </c>
      <c r="W539" s="19"/>
      <c r="X539" s="19"/>
      <c r="Y539" s="20"/>
      <c r="Z539" s="19"/>
      <c r="AA539" s="18" t="str">
        <f aca="false">IF(OR(V539="Aprobada"),R539,IF(AND(OR(V539="Aprobada con ajuste",V539="Rechazada"),W539&lt;&gt;""),W539,""))</f>
        <v/>
      </c>
    </row>
    <row r="540" customFormat="false" ht="43.25" hidden="false" customHeight="false" outlineLevel="0" collapsed="false">
      <c r="A540" s="18" t="s">
        <v>2541</v>
      </c>
      <c r="B540" s="18" t="s">
        <v>60</v>
      </c>
      <c r="C540" s="18" t="s">
        <v>61</v>
      </c>
      <c r="D540" s="18" t="s">
        <v>2542</v>
      </c>
      <c r="E540" s="18" t="n">
        <v>8</v>
      </c>
      <c r="F540" s="18" t="s">
        <v>1989</v>
      </c>
      <c r="G540" s="18" t="s">
        <v>128</v>
      </c>
      <c r="H540" s="18" t="s">
        <v>129</v>
      </c>
      <c r="I540" s="18"/>
      <c r="J540" s="18"/>
      <c r="K540" s="18"/>
      <c r="L540" s="18" t="s">
        <v>129</v>
      </c>
      <c r="M540" s="18" t="s">
        <v>129</v>
      </c>
      <c r="N540" s="18"/>
      <c r="O540" s="18" t="s">
        <v>2543</v>
      </c>
      <c r="P540" s="18" t="s">
        <v>2544</v>
      </c>
      <c r="Q540" s="18" t="s">
        <v>149</v>
      </c>
      <c r="R540" s="18" t="s">
        <v>2545</v>
      </c>
      <c r="S540" s="18" t="s">
        <v>140</v>
      </c>
      <c r="T540" s="18" t="s">
        <v>183</v>
      </c>
      <c r="U540" s="18" t="s">
        <v>2546</v>
      </c>
      <c r="V540" s="19" t="s">
        <v>29</v>
      </c>
      <c r="W540" s="19"/>
      <c r="X540" s="19"/>
      <c r="Y540" s="20"/>
      <c r="Z540" s="19"/>
      <c r="AA540" s="18" t="str">
        <f aca="false">IF(OR(V540="Aprobada"),R540,IF(AND(OR(V540="Aprobada con ajuste",V540="Rechazada"),W540&lt;&gt;""),W540,""))</f>
        <v/>
      </c>
    </row>
    <row r="541" customFormat="false" ht="32.8" hidden="false" customHeight="false" outlineLevel="0" collapsed="false">
      <c r="A541" s="18" t="s">
        <v>2547</v>
      </c>
      <c r="B541" s="18" t="s">
        <v>60</v>
      </c>
      <c r="C541" s="18" t="s">
        <v>61</v>
      </c>
      <c r="D541" s="18" t="s">
        <v>2542</v>
      </c>
      <c r="E541" s="18" t="n">
        <v>8</v>
      </c>
      <c r="F541" s="18" t="s">
        <v>185</v>
      </c>
      <c r="G541" s="18" t="s">
        <v>128</v>
      </c>
      <c r="H541" s="18" t="s">
        <v>129</v>
      </c>
      <c r="I541" s="18"/>
      <c r="J541" s="18"/>
      <c r="K541" s="18"/>
      <c r="L541" s="18" t="s">
        <v>129</v>
      </c>
      <c r="M541" s="18" t="s">
        <v>129</v>
      </c>
      <c r="N541" s="18"/>
      <c r="O541" s="18" t="s">
        <v>2548</v>
      </c>
      <c r="P541" s="18" t="s">
        <v>2549</v>
      </c>
      <c r="Q541" s="18" t="s">
        <v>138</v>
      </c>
      <c r="R541" s="18" t="s">
        <v>2550</v>
      </c>
      <c r="S541" s="18" t="s">
        <v>140</v>
      </c>
      <c r="T541" s="18" t="s">
        <v>141</v>
      </c>
      <c r="U541" s="18"/>
      <c r="V541" s="19" t="s">
        <v>29</v>
      </c>
      <c r="W541" s="19"/>
      <c r="X541" s="19"/>
      <c r="Y541" s="20"/>
      <c r="Z541" s="19"/>
      <c r="AA541" s="18" t="str">
        <f aca="false">IF(OR(V541="Aprobada"),R541,IF(AND(OR(V541="Aprobada con ajuste",V541="Rechazada"),W541&lt;&gt;""),W541,""))</f>
        <v/>
      </c>
    </row>
    <row r="542" customFormat="false" ht="32.8" hidden="false" customHeight="false" outlineLevel="0" collapsed="false">
      <c r="A542" s="18" t="s">
        <v>2551</v>
      </c>
      <c r="B542" s="18" t="s">
        <v>60</v>
      </c>
      <c r="C542" s="18" t="s">
        <v>61</v>
      </c>
      <c r="D542" s="18" t="s">
        <v>2542</v>
      </c>
      <c r="E542" s="18" t="n">
        <v>8</v>
      </c>
      <c r="F542" s="18" t="s">
        <v>2552</v>
      </c>
      <c r="G542" s="18" t="s">
        <v>503</v>
      </c>
      <c r="H542" s="18" t="s">
        <v>129</v>
      </c>
      <c r="I542" s="18"/>
      <c r="J542" s="18"/>
      <c r="K542" s="18"/>
      <c r="L542" s="18" t="s">
        <v>129</v>
      </c>
      <c r="M542" s="18" t="s">
        <v>129</v>
      </c>
      <c r="N542" s="18"/>
      <c r="O542" s="18"/>
      <c r="P542" s="18" t="s">
        <v>2553</v>
      </c>
      <c r="Q542" s="18" t="s">
        <v>149</v>
      </c>
      <c r="R542" s="18" t="s">
        <v>2554</v>
      </c>
      <c r="S542" s="18" t="s">
        <v>140</v>
      </c>
      <c r="T542" s="18" t="s">
        <v>169</v>
      </c>
      <c r="U542" s="18" t="s">
        <v>2555</v>
      </c>
      <c r="V542" s="19" t="s">
        <v>29</v>
      </c>
      <c r="W542" s="19"/>
      <c r="X542" s="19"/>
      <c r="Y542" s="20"/>
      <c r="Z542" s="19"/>
      <c r="AA542" s="18" t="str">
        <f aca="false">IF(OR(V542="Aprobada"),R542,IF(AND(OR(V542="Aprobada con ajuste",V542="Rechazada"),W542&lt;&gt;""),W542,""))</f>
        <v/>
      </c>
    </row>
    <row r="543" customFormat="false" ht="32.8" hidden="false" customHeight="false" outlineLevel="0" collapsed="false">
      <c r="A543" s="18" t="s">
        <v>2556</v>
      </c>
      <c r="B543" s="18" t="s">
        <v>60</v>
      </c>
      <c r="C543" s="18" t="s">
        <v>61</v>
      </c>
      <c r="D543" s="18" t="s">
        <v>2542</v>
      </c>
      <c r="E543" s="18" t="n">
        <v>8</v>
      </c>
      <c r="F543" s="18" t="s">
        <v>886</v>
      </c>
      <c r="G543" s="18" t="s">
        <v>128</v>
      </c>
      <c r="H543" s="18" t="s">
        <v>162</v>
      </c>
      <c r="I543" s="18"/>
      <c r="J543" s="18"/>
      <c r="K543" s="18"/>
      <c r="L543" s="18" t="s">
        <v>129</v>
      </c>
      <c r="M543" s="18" t="s">
        <v>129</v>
      </c>
      <c r="N543" s="18"/>
      <c r="O543" s="18"/>
      <c r="P543" s="18" t="s">
        <v>2557</v>
      </c>
      <c r="Q543" s="18" t="s">
        <v>138</v>
      </c>
      <c r="R543" s="18" t="s">
        <v>1693</v>
      </c>
      <c r="S543" s="18" t="s">
        <v>140</v>
      </c>
      <c r="T543" s="18" t="s">
        <v>141</v>
      </c>
      <c r="U543" s="18"/>
      <c r="V543" s="19" t="s">
        <v>29</v>
      </c>
      <c r="W543" s="19"/>
      <c r="X543" s="19"/>
      <c r="Y543" s="20"/>
      <c r="Z543" s="19"/>
      <c r="AA543" s="18" t="str">
        <f aca="false">IF(OR(V543="Aprobada"),R543,IF(AND(OR(V543="Aprobada con ajuste",V543="Rechazada"),W543&lt;&gt;""),W543,""))</f>
        <v/>
      </c>
    </row>
    <row r="544" customFormat="false" ht="32.8" hidden="false" customHeight="false" outlineLevel="0" collapsed="false">
      <c r="A544" s="18" t="s">
        <v>2558</v>
      </c>
      <c r="B544" s="18" t="s">
        <v>60</v>
      </c>
      <c r="C544" s="18" t="s">
        <v>61</v>
      </c>
      <c r="D544" s="18" t="s">
        <v>2542</v>
      </c>
      <c r="E544" s="18" t="n">
        <v>8</v>
      </c>
      <c r="F544" s="18" t="s">
        <v>2559</v>
      </c>
      <c r="G544" s="18" t="s">
        <v>192</v>
      </c>
      <c r="H544" s="18" t="s">
        <v>162</v>
      </c>
      <c r="I544" s="18"/>
      <c r="J544" s="18"/>
      <c r="K544" s="18"/>
      <c r="L544" s="18" t="s">
        <v>129</v>
      </c>
      <c r="M544" s="18" t="s">
        <v>129</v>
      </c>
      <c r="N544" s="18"/>
      <c r="O544" s="18"/>
      <c r="P544" s="18" t="s">
        <v>2560</v>
      </c>
      <c r="Q544" s="18" t="s">
        <v>149</v>
      </c>
      <c r="R544" s="18" t="s">
        <v>2561</v>
      </c>
      <c r="S544" s="18" t="s">
        <v>140</v>
      </c>
      <c r="T544" s="18" t="s">
        <v>183</v>
      </c>
      <c r="U544" s="18" t="s">
        <v>2562</v>
      </c>
      <c r="V544" s="19" t="s">
        <v>29</v>
      </c>
      <c r="W544" s="19"/>
      <c r="X544" s="19"/>
      <c r="Y544" s="20"/>
      <c r="Z544" s="19"/>
      <c r="AA544" s="18" t="str">
        <f aca="false">IF(OR(V544="Aprobada"),R544,IF(AND(OR(V544="Aprobada con ajuste",V544="Rechazada"),W544&lt;&gt;""),W544,""))</f>
        <v/>
      </c>
    </row>
    <row r="545" customFormat="false" ht="32.8" hidden="false" customHeight="false" outlineLevel="0" collapsed="false">
      <c r="A545" s="18" t="s">
        <v>2563</v>
      </c>
      <c r="B545" s="18" t="s">
        <v>60</v>
      </c>
      <c r="C545" s="18" t="s">
        <v>61</v>
      </c>
      <c r="D545" s="18" t="s">
        <v>2542</v>
      </c>
      <c r="E545" s="18" t="n">
        <v>8</v>
      </c>
      <c r="F545" s="18" t="s">
        <v>2059</v>
      </c>
      <c r="G545" s="18" t="s">
        <v>128</v>
      </c>
      <c r="H545" s="18" t="s">
        <v>162</v>
      </c>
      <c r="I545" s="18"/>
      <c r="J545" s="18"/>
      <c r="K545" s="18"/>
      <c r="L545" s="18" t="s">
        <v>129</v>
      </c>
      <c r="M545" s="18" t="s">
        <v>129</v>
      </c>
      <c r="N545" s="18"/>
      <c r="O545" s="18"/>
      <c r="P545" s="18" t="s">
        <v>2564</v>
      </c>
      <c r="Q545" s="18" t="s">
        <v>149</v>
      </c>
      <c r="R545" s="18" t="s">
        <v>2565</v>
      </c>
      <c r="S545" s="18" t="s">
        <v>140</v>
      </c>
      <c r="T545" s="18" t="s">
        <v>183</v>
      </c>
      <c r="U545" s="18" t="s">
        <v>2566</v>
      </c>
      <c r="V545" s="19" t="s">
        <v>29</v>
      </c>
      <c r="W545" s="19"/>
      <c r="X545" s="19"/>
      <c r="Y545" s="20"/>
      <c r="Z545" s="19"/>
      <c r="AA545" s="18" t="str">
        <f aca="false">IF(OR(V545="Aprobada"),R545,IF(AND(OR(V545="Aprobada con ajuste",V545="Rechazada"),W545&lt;&gt;""),W545,""))</f>
        <v/>
      </c>
    </row>
    <row r="546" customFormat="false" ht="32.8" hidden="false" customHeight="false" outlineLevel="0" collapsed="false">
      <c r="A546" s="18" t="s">
        <v>2567</v>
      </c>
      <c r="B546" s="18" t="s">
        <v>60</v>
      </c>
      <c r="C546" s="18" t="s">
        <v>61</v>
      </c>
      <c r="D546" s="18" t="s">
        <v>2542</v>
      </c>
      <c r="E546" s="18" t="n">
        <v>8</v>
      </c>
      <c r="F546" s="18" t="s">
        <v>2074</v>
      </c>
      <c r="G546" s="18" t="s">
        <v>503</v>
      </c>
      <c r="H546" s="18" t="s">
        <v>162</v>
      </c>
      <c r="I546" s="18"/>
      <c r="J546" s="18"/>
      <c r="K546" s="18"/>
      <c r="L546" s="18" t="s">
        <v>129</v>
      </c>
      <c r="M546" s="18" t="s">
        <v>129</v>
      </c>
      <c r="N546" s="18"/>
      <c r="O546" s="18"/>
      <c r="P546" s="18" t="s">
        <v>2568</v>
      </c>
      <c r="Q546" s="18" t="s">
        <v>149</v>
      </c>
      <c r="R546" s="18" t="s">
        <v>2569</v>
      </c>
      <c r="S546" s="18" t="s">
        <v>140</v>
      </c>
      <c r="T546" s="18" t="s">
        <v>183</v>
      </c>
      <c r="U546" s="18" t="s">
        <v>2570</v>
      </c>
      <c r="V546" s="19" t="s">
        <v>29</v>
      </c>
      <c r="W546" s="19"/>
      <c r="X546" s="19"/>
      <c r="Y546" s="20"/>
      <c r="Z546" s="19"/>
      <c r="AA546" s="18" t="str">
        <f aca="false">IF(OR(V546="Aprobada"),R546,IF(AND(OR(V546="Aprobada con ajuste",V546="Rechazada"),W546&lt;&gt;""),W546,""))</f>
        <v/>
      </c>
    </row>
    <row r="547" customFormat="false" ht="32.8" hidden="false" customHeight="false" outlineLevel="0" collapsed="false">
      <c r="A547" s="18" t="s">
        <v>2571</v>
      </c>
      <c r="B547" s="18" t="s">
        <v>60</v>
      </c>
      <c r="C547" s="18" t="s">
        <v>61</v>
      </c>
      <c r="D547" s="18" t="s">
        <v>2542</v>
      </c>
      <c r="E547" s="18" t="n">
        <v>8</v>
      </c>
      <c r="F547" s="18" t="s">
        <v>2572</v>
      </c>
      <c r="G547" s="18" t="s">
        <v>503</v>
      </c>
      <c r="H547" s="18" t="s">
        <v>162</v>
      </c>
      <c r="I547" s="18"/>
      <c r="J547" s="18"/>
      <c r="K547" s="18"/>
      <c r="L547" s="18" t="s">
        <v>129</v>
      </c>
      <c r="M547" s="18" t="s">
        <v>129</v>
      </c>
      <c r="N547" s="18"/>
      <c r="O547" s="18"/>
      <c r="P547" s="18" t="s">
        <v>2573</v>
      </c>
      <c r="Q547" s="18" t="s">
        <v>149</v>
      </c>
      <c r="R547" s="18" t="s">
        <v>2574</v>
      </c>
      <c r="S547" s="18" t="s">
        <v>133</v>
      </c>
      <c r="T547" s="18" t="s">
        <v>183</v>
      </c>
      <c r="U547" s="18"/>
      <c r="V547" s="19" t="s">
        <v>29</v>
      </c>
      <c r="W547" s="19"/>
      <c r="X547" s="19"/>
      <c r="Y547" s="20"/>
      <c r="Z547" s="19"/>
      <c r="AA547" s="18" t="str">
        <f aca="false">IF(OR(V547="Aprobada"),R547,IF(AND(OR(V547="Aprobada con ajuste",V547="Rechazada"),W547&lt;&gt;""),W547,""))</f>
        <v/>
      </c>
    </row>
    <row r="548" customFormat="false" ht="32.8" hidden="false" customHeight="false" outlineLevel="0" collapsed="false">
      <c r="A548" s="18" t="s">
        <v>2575</v>
      </c>
      <c r="B548" s="18" t="s">
        <v>60</v>
      </c>
      <c r="C548" s="18" t="s">
        <v>61</v>
      </c>
      <c r="D548" s="18" t="s">
        <v>2542</v>
      </c>
      <c r="E548" s="18" t="n">
        <v>8</v>
      </c>
      <c r="F548" s="18" t="s">
        <v>2052</v>
      </c>
      <c r="G548" s="18" t="s">
        <v>128</v>
      </c>
      <c r="H548" s="18" t="s">
        <v>162</v>
      </c>
      <c r="I548" s="18"/>
      <c r="J548" s="18"/>
      <c r="K548" s="18"/>
      <c r="L548" s="18" t="s">
        <v>129</v>
      </c>
      <c r="M548" s="18" t="s">
        <v>129</v>
      </c>
      <c r="N548" s="18"/>
      <c r="O548" s="18"/>
      <c r="P548" s="18" t="s">
        <v>2576</v>
      </c>
      <c r="Q548" s="18" t="s">
        <v>149</v>
      </c>
      <c r="R548" s="18" t="s">
        <v>2577</v>
      </c>
      <c r="S548" s="18" t="s">
        <v>140</v>
      </c>
      <c r="T548" s="18" t="s">
        <v>183</v>
      </c>
      <c r="U548" s="18" t="s">
        <v>2578</v>
      </c>
      <c r="V548" s="19" t="s">
        <v>29</v>
      </c>
      <c r="W548" s="19"/>
      <c r="X548" s="19"/>
      <c r="Y548" s="20"/>
      <c r="Z548" s="19"/>
      <c r="AA548" s="18" t="str">
        <f aca="false">IF(OR(V548="Aprobada"),R548,IF(AND(OR(V548="Aprobada con ajuste",V548="Rechazada"),W548&lt;&gt;""),W548,""))</f>
        <v/>
      </c>
    </row>
    <row r="549" customFormat="false" ht="32.8" hidden="false" customHeight="false" outlineLevel="0" collapsed="false">
      <c r="A549" s="18" t="s">
        <v>2579</v>
      </c>
      <c r="B549" s="18" t="s">
        <v>60</v>
      </c>
      <c r="C549" s="18" t="s">
        <v>61</v>
      </c>
      <c r="D549" s="18" t="s">
        <v>2542</v>
      </c>
      <c r="E549" s="18" t="n">
        <v>8</v>
      </c>
      <c r="F549" s="18" t="s">
        <v>2580</v>
      </c>
      <c r="G549" s="18" t="s">
        <v>128</v>
      </c>
      <c r="H549" s="18" t="s">
        <v>162</v>
      </c>
      <c r="I549" s="18"/>
      <c r="J549" s="18"/>
      <c r="K549" s="18"/>
      <c r="L549" s="18" t="s">
        <v>129</v>
      </c>
      <c r="M549" s="18" t="s">
        <v>129</v>
      </c>
      <c r="N549" s="18"/>
      <c r="O549" s="18"/>
      <c r="P549" s="18" t="s">
        <v>2581</v>
      </c>
      <c r="Q549" s="18" t="s">
        <v>149</v>
      </c>
      <c r="R549" s="18" t="s">
        <v>2582</v>
      </c>
      <c r="S549" s="18" t="s">
        <v>133</v>
      </c>
      <c r="T549" s="18" t="s">
        <v>2583</v>
      </c>
      <c r="U549" s="18"/>
      <c r="V549" s="19" t="s">
        <v>29</v>
      </c>
      <c r="W549" s="19"/>
      <c r="X549" s="19"/>
      <c r="Y549" s="20"/>
      <c r="Z549" s="19"/>
      <c r="AA549" s="18" t="str">
        <f aca="false">IF(OR(V549="Aprobada"),R549,IF(AND(OR(V549="Aprobada con ajuste",V549="Rechazada"),W549&lt;&gt;""),W549,""))</f>
        <v/>
      </c>
    </row>
    <row r="550" customFormat="false" ht="22.35" hidden="false" customHeight="false" outlineLevel="0" collapsed="false">
      <c r="A550" s="18" t="s">
        <v>2584</v>
      </c>
      <c r="B550" s="18" t="s">
        <v>60</v>
      </c>
      <c r="C550" s="18" t="s">
        <v>61</v>
      </c>
      <c r="D550" s="18" t="s">
        <v>2542</v>
      </c>
      <c r="E550" s="18" t="n">
        <v>8</v>
      </c>
      <c r="F550" s="18" t="s">
        <v>2585</v>
      </c>
      <c r="G550" s="18" t="s">
        <v>128</v>
      </c>
      <c r="H550" s="18" t="s">
        <v>162</v>
      </c>
      <c r="I550" s="18"/>
      <c r="J550" s="18"/>
      <c r="K550" s="18"/>
      <c r="L550" s="18" t="s">
        <v>129</v>
      </c>
      <c r="M550" s="18" t="s">
        <v>129</v>
      </c>
      <c r="N550" s="18"/>
      <c r="O550" s="18"/>
      <c r="P550" s="18"/>
      <c r="Q550" s="18" t="s">
        <v>149</v>
      </c>
      <c r="R550" s="18" t="s">
        <v>2586</v>
      </c>
      <c r="S550" s="18" t="s">
        <v>133</v>
      </c>
      <c r="T550" s="18" t="s">
        <v>183</v>
      </c>
      <c r="U550" s="18"/>
      <c r="V550" s="19" t="s">
        <v>29</v>
      </c>
      <c r="W550" s="19"/>
      <c r="X550" s="19"/>
      <c r="Y550" s="20"/>
      <c r="Z550" s="19"/>
      <c r="AA550" s="18" t="str">
        <f aca="false">IF(OR(V550="Aprobada"),R550,IF(AND(OR(V550="Aprobada con ajuste",V550="Rechazada"),W550&lt;&gt;""),W550,""))</f>
        <v/>
      </c>
    </row>
    <row r="551" customFormat="false" ht="32.8" hidden="false" customHeight="false" outlineLevel="0" collapsed="false">
      <c r="A551" s="18" t="s">
        <v>2587</v>
      </c>
      <c r="B551" s="18" t="s">
        <v>60</v>
      </c>
      <c r="C551" s="18" t="s">
        <v>61</v>
      </c>
      <c r="D551" s="18" t="s">
        <v>2588</v>
      </c>
      <c r="E551" s="18" t="n">
        <v>20</v>
      </c>
      <c r="F551" s="18" t="s">
        <v>611</v>
      </c>
      <c r="G551" s="18" t="s">
        <v>205</v>
      </c>
      <c r="H551" s="18" t="s">
        <v>129</v>
      </c>
      <c r="I551" s="18" t="s">
        <v>146</v>
      </c>
      <c r="J551" s="18"/>
      <c r="K551" s="18"/>
      <c r="L551" s="18" t="s">
        <v>129</v>
      </c>
      <c r="M551" s="18" t="s">
        <v>129</v>
      </c>
      <c r="N551" s="18"/>
      <c r="O551" s="18" t="s">
        <v>2589</v>
      </c>
      <c r="P551" s="18" t="s">
        <v>2590</v>
      </c>
      <c r="Q551" s="18" t="s">
        <v>138</v>
      </c>
      <c r="R551" s="18" t="s">
        <v>2591</v>
      </c>
      <c r="S551" s="18" t="s">
        <v>140</v>
      </c>
      <c r="T551" s="18" t="s">
        <v>141</v>
      </c>
      <c r="U551" s="18"/>
      <c r="V551" s="19" t="s">
        <v>29</v>
      </c>
      <c r="W551" s="19"/>
      <c r="X551" s="19"/>
      <c r="Y551" s="20"/>
      <c r="Z551" s="19"/>
      <c r="AA551" s="18" t="str">
        <f aca="false">IF(OR(V551="Aprobada"),R551,IF(AND(OR(V551="Aprobada con ajuste",V551="Rechazada"),W551&lt;&gt;""),W551,""))</f>
        <v/>
      </c>
    </row>
    <row r="552" customFormat="false" ht="53.7" hidden="false" customHeight="false" outlineLevel="0" collapsed="false">
      <c r="A552" s="18" t="s">
        <v>2592</v>
      </c>
      <c r="B552" s="18" t="s">
        <v>60</v>
      </c>
      <c r="C552" s="18" t="s">
        <v>61</v>
      </c>
      <c r="D552" s="18" t="s">
        <v>2588</v>
      </c>
      <c r="E552" s="18" t="n">
        <v>20</v>
      </c>
      <c r="F552" s="18" t="s">
        <v>275</v>
      </c>
      <c r="G552" s="18" t="s">
        <v>486</v>
      </c>
      <c r="H552" s="18" t="s">
        <v>129</v>
      </c>
      <c r="I552" s="18"/>
      <c r="J552" s="18"/>
      <c r="K552" s="18"/>
      <c r="L552" s="18" t="s">
        <v>129</v>
      </c>
      <c r="M552" s="18" t="s">
        <v>162</v>
      </c>
      <c r="N552" s="18" t="s">
        <v>2593</v>
      </c>
      <c r="O552" s="18"/>
      <c r="P552" s="18" t="s">
        <v>2594</v>
      </c>
      <c r="Q552" s="18" t="s">
        <v>138</v>
      </c>
      <c r="R552" s="18" t="s">
        <v>2595</v>
      </c>
      <c r="S552" s="18" t="s">
        <v>140</v>
      </c>
      <c r="T552" s="18" t="s">
        <v>141</v>
      </c>
      <c r="U552" s="18"/>
      <c r="V552" s="19" t="s">
        <v>29</v>
      </c>
      <c r="W552" s="19"/>
      <c r="X552" s="19"/>
      <c r="Y552" s="20"/>
      <c r="Z552" s="19"/>
      <c r="AA552" s="18" t="str">
        <f aca="false">IF(OR(V552="Aprobada"),R552,IF(AND(OR(V552="Aprobada con ajuste",V552="Rechazada"),W552&lt;&gt;""),W552,""))</f>
        <v/>
      </c>
    </row>
    <row r="553" customFormat="false" ht="32.8" hidden="false" customHeight="false" outlineLevel="0" collapsed="false">
      <c r="A553" s="18" t="s">
        <v>2596</v>
      </c>
      <c r="B553" s="18" t="s">
        <v>60</v>
      </c>
      <c r="C553" s="18" t="s">
        <v>61</v>
      </c>
      <c r="D553" s="18" t="s">
        <v>2588</v>
      </c>
      <c r="E553" s="18" t="n">
        <v>20</v>
      </c>
      <c r="F553" s="18" t="s">
        <v>2597</v>
      </c>
      <c r="G553" s="18" t="s">
        <v>486</v>
      </c>
      <c r="H553" s="18" t="s">
        <v>129</v>
      </c>
      <c r="I553" s="18"/>
      <c r="J553" s="18"/>
      <c r="K553" s="18"/>
      <c r="L553" s="18" t="s">
        <v>129</v>
      </c>
      <c r="M553" s="18" t="s">
        <v>129</v>
      </c>
      <c r="N553" s="18"/>
      <c r="O553" s="18"/>
      <c r="P553" s="18" t="s">
        <v>2598</v>
      </c>
      <c r="Q553" s="18" t="s">
        <v>149</v>
      </c>
      <c r="R553" s="18" t="s">
        <v>2599</v>
      </c>
      <c r="S553" s="18" t="s">
        <v>140</v>
      </c>
      <c r="T553" s="18" t="s">
        <v>183</v>
      </c>
      <c r="U553" s="18" t="s">
        <v>2600</v>
      </c>
      <c r="V553" s="19" t="s">
        <v>29</v>
      </c>
      <c r="W553" s="19"/>
      <c r="X553" s="19"/>
      <c r="Y553" s="20"/>
      <c r="Z553" s="19"/>
      <c r="AA553" s="18" t="str">
        <f aca="false">IF(OR(V553="Aprobada"),R553,IF(AND(OR(V553="Aprobada con ajuste",V553="Rechazada"),W553&lt;&gt;""),W553,""))</f>
        <v/>
      </c>
    </row>
    <row r="554" customFormat="false" ht="32.8" hidden="false" customHeight="false" outlineLevel="0" collapsed="false">
      <c r="A554" s="18" t="s">
        <v>2601</v>
      </c>
      <c r="B554" s="18" t="s">
        <v>60</v>
      </c>
      <c r="C554" s="18" t="s">
        <v>61</v>
      </c>
      <c r="D554" s="18" t="s">
        <v>2588</v>
      </c>
      <c r="E554" s="18" t="n">
        <v>20</v>
      </c>
      <c r="F554" s="18" t="s">
        <v>2602</v>
      </c>
      <c r="G554" s="18" t="s">
        <v>186</v>
      </c>
      <c r="H554" s="18" t="s">
        <v>129</v>
      </c>
      <c r="I554" s="18"/>
      <c r="J554" s="18"/>
      <c r="K554" s="18"/>
      <c r="L554" s="18" t="s">
        <v>129</v>
      </c>
      <c r="M554" s="18" t="s">
        <v>129</v>
      </c>
      <c r="N554" s="18"/>
      <c r="O554" s="18"/>
      <c r="P554" s="18" t="s">
        <v>2603</v>
      </c>
      <c r="Q554" s="18" t="s">
        <v>149</v>
      </c>
      <c r="R554" s="18" t="s">
        <v>2604</v>
      </c>
      <c r="S554" s="18" t="s">
        <v>133</v>
      </c>
      <c r="T554" s="18" t="s">
        <v>183</v>
      </c>
      <c r="U554" s="18"/>
      <c r="V554" s="19" t="s">
        <v>29</v>
      </c>
      <c r="W554" s="19"/>
      <c r="X554" s="19"/>
      <c r="Y554" s="20"/>
      <c r="Z554" s="19"/>
      <c r="AA554" s="18" t="str">
        <f aca="false">IF(OR(V554="Aprobada"),R554,IF(AND(OR(V554="Aprobada con ajuste",V554="Rechazada"),W554&lt;&gt;""),W554,""))</f>
        <v/>
      </c>
    </row>
    <row r="555" customFormat="false" ht="74.6" hidden="false" customHeight="false" outlineLevel="0" collapsed="false">
      <c r="A555" s="18" t="s">
        <v>2605</v>
      </c>
      <c r="B555" s="18" t="s">
        <v>60</v>
      </c>
      <c r="C555" s="18" t="s">
        <v>61</v>
      </c>
      <c r="D555" s="18" t="s">
        <v>2588</v>
      </c>
      <c r="E555" s="18" t="n">
        <v>20</v>
      </c>
      <c r="F555" s="18" t="s">
        <v>127</v>
      </c>
      <c r="G555" s="18" t="s">
        <v>205</v>
      </c>
      <c r="H555" s="18" t="s">
        <v>129</v>
      </c>
      <c r="I555" s="18" t="s">
        <v>298</v>
      </c>
      <c r="J555" s="18" t="s">
        <v>2606</v>
      </c>
      <c r="K555" s="18"/>
      <c r="L555" s="18" t="s">
        <v>162</v>
      </c>
      <c r="M555" s="18" t="s">
        <v>129</v>
      </c>
      <c r="N555" s="18"/>
      <c r="O555" s="18" t="s">
        <v>2607</v>
      </c>
      <c r="P555" s="18" t="s">
        <v>2608</v>
      </c>
      <c r="Q555" s="18" t="s">
        <v>131</v>
      </c>
      <c r="R555" s="18" t="s">
        <v>2609</v>
      </c>
      <c r="S555" s="18" t="s">
        <v>133</v>
      </c>
      <c r="T555" s="18" t="s">
        <v>2610</v>
      </c>
      <c r="U555" s="18"/>
      <c r="V555" s="19" t="s">
        <v>29</v>
      </c>
      <c r="W555" s="19"/>
      <c r="X555" s="19"/>
      <c r="Y555" s="20"/>
      <c r="Z555" s="19"/>
      <c r="AA555" s="18" t="str">
        <f aca="false">IF(OR(V555="Aprobada"),R555,IF(AND(OR(V555="Aprobada con ajuste",V555="Rechazada"),W555&lt;&gt;""),W555,""))</f>
        <v/>
      </c>
    </row>
    <row r="556" customFormat="false" ht="43.25" hidden="false" customHeight="false" outlineLevel="0" collapsed="false">
      <c r="A556" s="18" t="s">
        <v>2611</v>
      </c>
      <c r="B556" s="18" t="s">
        <v>60</v>
      </c>
      <c r="C556" s="18" t="s">
        <v>61</v>
      </c>
      <c r="D556" s="18" t="s">
        <v>2588</v>
      </c>
      <c r="E556" s="18" t="n">
        <v>20</v>
      </c>
      <c r="F556" s="18" t="s">
        <v>622</v>
      </c>
      <c r="G556" s="18" t="s">
        <v>205</v>
      </c>
      <c r="H556" s="18" t="s">
        <v>129</v>
      </c>
      <c r="I556" s="18" t="s">
        <v>298</v>
      </c>
      <c r="J556" s="18" t="s">
        <v>2612</v>
      </c>
      <c r="K556" s="18"/>
      <c r="L556" s="18" t="s">
        <v>162</v>
      </c>
      <c r="M556" s="18" t="s">
        <v>129</v>
      </c>
      <c r="N556" s="18"/>
      <c r="O556" s="18"/>
      <c r="P556" s="18" t="s">
        <v>2613</v>
      </c>
      <c r="Q556" s="18" t="s">
        <v>131</v>
      </c>
      <c r="R556" s="18" t="s">
        <v>2614</v>
      </c>
      <c r="S556" s="18" t="s">
        <v>133</v>
      </c>
      <c r="T556" s="18" t="s">
        <v>2615</v>
      </c>
      <c r="U556" s="18"/>
      <c r="V556" s="19" t="s">
        <v>29</v>
      </c>
      <c r="W556" s="19"/>
      <c r="X556" s="19"/>
      <c r="Y556" s="20"/>
      <c r="Z556" s="19"/>
      <c r="AA556" s="18" t="str">
        <f aca="false">IF(OR(V556="Aprobada"),R556,IF(AND(OR(V556="Aprobada con ajuste",V556="Rechazada"),W556&lt;&gt;""),W556,""))</f>
        <v/>
      </c>
    </row>
    <row r="557" customFormat="false" ht="32.8" hidden="false" customHeight="false" outlineLevel="0" collapsed="false">
      <c r="A557" s="18" t="s">
        <v>2616</v>
      </c>
      <c r="B557" s="18" t="s">
        <v>60</v>
      </c>
      <c r="C557" s="18" t="s">
        <v>61</v>
      </c>
      <c r="D557" s="18" t="s">
        <v>2588</v>
      </c>
      <c r="E557" s="18" t="n">
        <v>20</v>
      </c>
      <c r="F557" s="18" t="s">
        <v>2617</v>
      </c>
      <c r="G557" s="18" t="s">
        <v>503</v>
      </c>
      <c r="H557" s="18" t="s">
        <v>129</v>
      </c>
      <c r="I557" s="18"/>
      <c r="J557" s="18"/>
      <c r="K557" s="18"/>
      <c r="L557" s="18" t="s">
        <v>129</v>
      </c>
      <c r="M557" s="18" t="s">
        <v>129</v>
      </c>
      <c r="N557" s="18"/>
      <c r="O557" s="18"/>
      <c r="P557" s="18" t="s">
        <v>2618</v>
      </c>
      <c r="Q557" s="18" t="s">
        <v>149</v>
      </c>
      <c r="R557" s="18" t="s">
        <v>2619</v>
      </c>
      <c r="S557" s="18" t="s">
        <v>140</v>
      </c>
      <c r="T557" s="18" t="s">
        <v>183</v>
      </c>
      <c r="U557" s="18" t="s">
        <v>2620</v>
      </c>
      <c r="V557" s="19" t="s">
        <v>29</v>
      </c>
      <c r="W557" s="19"/>
      <c r="X557" s="19"/>
      <c r="Y557" s="20"/>
      <c r="Z557" s="19"/>
      <c r="AA557" s="18" t="str">
        <f aca="false">IF(OR(V557="Aprobada"),R557,IF(AND(OR(V557="Aprobada con ajuste",V557="Rechazada"),W557&lt;&gt;""),W557,""))</f>
        <v/>
      </c>
    </row>
    <row r="558" customFormat="false" ht="32.8" hidden="false" customHeight="false" outlineLevel="0" collapsed="false">
      <c r="A558" s="18" t="s">
        <v>2621</v>
      </c>
      <c r="B558" s="18" t="s">
        <v>60</v>
      </c>
      <c r="C558" s="18" t="s">
        <v>61</v>
      </c>
      <c r="D558" s="18" t="s">
        <v>2588</v>
      </c>
      <c r="E558" s="18" t="n">
        <v>20</v>
      </c>
      <c r="F558" s="18" t="s">
        <v>2622</v>
      </c>
      <c r="G558" s="18" t="s">
        <v>503</v>
      </c>
      <c r="H558" s="18" t="s">
        <v>162</v>
      </c>
      <c r="I558" s="18"/>
      <c r="J558" s="18"/>
      <c r="K558" s="18"/>
      <c r="L558" s="18" t="s">
        <v>129</v>
      </c>
      <c r="M558" s="18" t="s">
        <v>129</v>
      </c>
      <c r="N558" s="18"/>
      <c r="O558" s="18"/>
      <c r="P558" s="18" t="s">
        <v>2623</v>
      </c>
      <c r="Q558" s="18" t="s">
        <v>149</v>
      </c>
      <c r="R558" s="18" t="s">
        <v>2624</v>
      </c>
      <c r="S558" s="18" t="s">
        <v>242</v>
      </c>
      <c r="T558" s="18" t="s">
        <v>183</v>
      </c>
      <c r="U558" s="18" t="s">
        <v>2625</v>
      </c>
      <c r="V558" s="19" t="s">
        <v>29</v>
      </c>
      <c r="W558" s="19"/>
      <c r="X558" s="19"/>
      <c r="Y558" s="20"/>
      <c r="Z558" s="19"/>
      <c r="AA558" s="18" t="str">
        <f aca="false">IF(OR(V558="Aprobada"),R558,IF(AND(OR(V558="Aprobada con ajuste",V558="Rechazada"),W558&lt;&gt;""),W558,""))</f>
        <v/>
      </c>
    </row>
    <row r="559" customFormat="false" ht="32.8" hidden="false" customHeight="false" outlineLevel="0" collapsed="false">
      <c r="A559" s="18" t="s">
        <v>2626</v>
      </c>
      <c r="B559" s="18" t="s">
        <v>60</v>
      </c>
      <c r="C559" s="18" t="s">
        <v>61</v>
      </c>
      <c r="D559" s="18" t="s">
        <v>2588</v>
      </c>
      <c r="E559" s="18" t="n">
        <v>20</v>
      </c>
      <c r="F559" s="18" t="s">
        <v>172</v>
      </c>
      <c r="G559" s="18" t="s">
        <v>173</v>
      </c>
      <c r="H559" s="18" t="s">
        <v>129</v>
      </c>
      <c r="I559" s="18"/>
      <c r="J559" s="18"/>
      <c r="K559" s="18"/>
      <c r="L559" s="18" t="s">
        <v>129</v>
      </c>
      <c r="M559" s="18" t="s">
        <v>129</v>
      </c>
      <c r="N559" s="18"/>
      <c r="O559" s="18"/>
      <c r="P559" s="18" t="s">
        <v>2627</v>
      </c>
      <c r="Q559" s="18" t="s">
        <v>138</v>
      </c>
      <c r="R559" s="18" t="s">
        <v>176</v>
      </c>
      <c r="S559" s="18" t="s">
        <v>140</v>
      </c>
      <c r="T559" s="18" t="s">
        <v>141</v>
      </c>
      <c r="U559" s="18"/>
      <c r="V559" s="19" t="s">
        <v>29</v>
      </c>
      <c r="W559" s="19"/>
      <c r="X559" s="19"/>
      <c r="Y559" s="20"/>
      <c r="Z559" s="19"/>
      <c r="AA559" s="18" t="str">
        <f aca="false">IF(OR(V559="Aprobada"),R559,IF(AND(OR(V559="Aprobada con ajuste",V559="Rechazada"),W559&lt;&gt;""),W559,""))</f>
        <v/>
      </c>
    </row>
    <row r="560" customFormat="false" ht="32.8" hidden="false" customHeight="false" outlineLevel="0" collapsed="false">
      <c r="A560" s="18" t="s">
        <v>2628</v>
      </c>
      <c r="B560" s="18" t="s">
        <v>60</v>
      </c>
      <c r="C560" s="18" t="s">
        <v>61</v>
      </c>
      <c r="D560" s="18" t="s">
        <v>2588</v>
      </c>
      <c r="E560" s="18" t="n">
        <v>20</v>
      </c>
      <c r="F560" s="18" t="s">
        <v>1695</v>
      </c>
      <c r="G560" s="18" t="s">
        <v>317</v>
      </c>
      <c r="H560" s="18" t="s">
        <v>162</v>
      </c>
      <c r="I560" s="18"/>
      <c r="J560" s="18"/>
      <c r="K560" s="18"/>
      <c r="L560" s="18" t="s">
        <v>129</v>
      </c>
      <c r="M560" s="18" t="s">
        <v>129</v>
      </c>
      <c r="N560" s="18"/>
      <c r="O560" s="18"/>
      <c r="P560" s="18" t="s">
        <v>2629</v>
      </c>
      <c r="Q560" s="18" t="s">
        <v>138</v>
      </c>
      <c r="R560" s="18" t="s">
        <v>1697</v>
      </c>
      <c r="S560" s="18" t="s">
        <v>140</v>
      </c>
      <c r="T560" s="18" t="s">
        <v>141</v>
      </c>
      <c r="U560" s="18"/>
      <c r="V560" s="19" t="s">
        <v>29</v>
      </c>
      <c r="W560" s="19"/>
      <c r="X560" s="19"/>
      <c r="Y560" s="20"/>
      <c r="Z560" s="19"/>
      <c r="AA560" s="18" t="str">
        <f aca="false">IF(OR(V560="Aprobada"),R560,IF(AND(OR(V560="Aprobada con ajuste",V560="Rechazada"),W560&lt;&gt;""),W560,""))</f>
        <v/>
      </c>
    </row>
    <row r="561" customFormat="false" ht="32.8" hidden="false" customHeight="false" outlineLevel="0" collapsed="false">
      <c r="A561" s="18" t="s">
        <v>2630</v>
      </c>
      <c r="B561" s="18" t="s">
        <v>60</v>
      </c>
      <c r="C561" s="18" t="s">
        <v>61</v>
      </c>
      <c r="D561" s="18" t="s">
        <v>2588</v>
      </c>
      <c r="E561" s="18" t="n">
        <v>20</v>
      </c>
      <c r="F561" s="18" t="s">
        <v>1699</v>
      </c>
      <c r="G561" s="18" t="s">
        <v>294</v>
      </c>
      <c r="H561" s="18" t="s">
        <v>162</v>
      </c>
      <c r="I561" s="18"/>
      <c r="J561" s="18"/>
      <c r="K561" s="18"/>
      <c r="L561" s="18" t="s">
        <v>129</v>
      </c>
      <c r="M561" s="18" t="s">
        <v>129</v>
      </c>
      <c r="N561" s="18"/>
      <c r="O561" s="18"/>
      <c r="P561" s="18" t="s">
        <v>2631</v>
      </c>
      <c r="Q561" s="18" t="s">
        <v>149</v>
      </c>
      <c r="R561" s="18" t="s">
        <v>1701</v>
      </c>
      <c r="S561" s="18" t="s">
        <v>140</v>
      </c>
      <c r="T561" s="18" t="s">
        <v>1702</v>
      </c>
      <c r="U561" s="18" t="s">
        <v>1703</v>
      </c>
      <c r="V561" s="19" t="s">
        <v>29</v>
      </c>
      <c r="W561" s="19"/>
      <c r="X561" s="19"/>
      <c r="Y561" s="20"/>
      <c r="Z561" s="19"/>
      <c r="AA561" s="18" t="str">
        <f aca="false">IF(OR(V561="Aprobada"),R561,IF(AND(OR(V561="Aprobada con ajuste",V561="Rechazada"),W561&lt;&gt;""),W561,""))</f>
        <v/>
      </c>
    </row>
    <row r="562" customFormat="false" ht="32.8" hidden="false" customHeight="false" outlineLevel="0" collapsed="false">
      <c r="A562" s="18" t="s">
        <v>2632</v>
      </c>
      <c r="B562" s="18" t="s">
        <v>60</v>
      </c>
      <c r="C562" s="18" t="s">
        <v>61</v>
      </c>
      <c r="D562" s="18" t="s">
        <v>2588</v>
      </c>
      <c r="E562" s="18" t="n">
        <v>20</v>
      </c>
      <c r="F562" s="18" t="s">
        <v>2633</v>
      </c>
      <c r="G562" s="18" t="s">
        <v>145</v>
      </c>
      <c r="H562" s="18" t="s">
        <v>162</v>
      </c>
      <c r="I562" s="18"/>
      <c r="J562" s="18"/>
      <c r="K562" s="18"/>
      <c r="L562" s="18" t="s">
        <v>129</v>
      </c>
      <c r="M562" s="18" t="s">
        <v>129</v>
      </c>
      <c r="N562" s="18"/>
      <c r="O562" s="18"/>
      <c r="P562" s="18" t="s">
        <v>2634</v>
      </c>
      <c r="Q562" s="18" t="s">
        <v>149</v>
      </c>
      <c r="R562" s="18" t="s">
        <v>2635</v>
      </c>
      <c r="S562" s="18" t="s">
        <v>140</v>
      </c>
      <c r="T562" s="18" t="s">
        <v>183</v>
      </c>
      <c r="U562" s="18" t="s">
        <v>2636</v>
      </c>
      <c r="V562" s="19" t="s">
        <v>29</v>
      </c>
      <c r="W562" s="19"/>
      <c r="X562" s="19"/>
      <c r="Y562" s="20"/>
      <c r="Z562" s="19"/>
      <c r="AA562" s="18" t="str">
        <f aca="false">IF(OR(V562="Aprobada"),R562,IF(AND(OR(V562="Aprobada con ajuste",V562="Rechazada"),W562&lt;&gt;""),W562,""))</f>
        <v/>
      </c>
    </row>
    <row r="563" customFormat="false" ht="32.8" hidden="false" customHeight="false" outlineLevel="0" collapsed="false">
      <c r="A563" s="18" t="s">
        <v>2637</v>
      </c>
      <c r="B563" s="18" t="s">
        <v>60</v>
      </c>
      <c r="C563" s="18" t="s">
        <v>61</v>
      </c>
      <c r="D563" s="18" t="s">
        <v>2588</v>
      </c>
      <c r="E563" s="18" t="n">
        <v>20</v>
      </c>
      <c r="F563" s="18" t="s">
        <v>2638</v>
      </c>
      <c r="G563" s="18" t="s">
        <v>128</v>
      </c>
      <c r="H563" s="18" t="s">
        <v>162</v>
      </c>
      <c r="I563" s="18"/>
      <c r="J563" s="18"/>
      <c r="K563" s="18"/>
      <c r="L563" s="18" t="s">
        <v>129</v>
      </c>
      <c r="M563" s="18" t="s">
        <v>129</v>
      </c>
      <c r="N563" s="18"/>
      <c r="O563" s="18"/>
      <c r="P563" s="18" t="s">
        <v>2639</v>
      </c>
      <c r="Q563" s="18" t="s">
        <v>149</v>
      </c>
      <c r="R563" s="18" t="s">
        <v>2640</v>
      </c>
      <c r="S563" s="18" t="s">
        <v>140</v>
      </c>
      <c r="T563" s="18" t="s">
        <v>2641</v>
      </c>
      <c r="U563" s="18" t="s">
        <v>2642</v>
      </c>
      <c r="V563" s="19" t="s">
        <v>29</v>
      </c>
      <c r="W563" s="19"/>
      <c r="X563" s="19"/>
      <c r="Y563" s="20"/>
      <c r="Z563" s="19"/>
      <c r="AA563" s="18" t="str">
        <f aca="false">IF(OR(V563="Aprobada"),R563,IF(AND(OR(V563="Aprobada con ajuste",V563="Rechazada"),W563&lt;&gt;""),W563,""))</f>
        <v/>
      </c>
    </row>
    <row r="564" customFormat="false" ht="32.8" hidden="false" customHeight="false" outlineLevel="0" collapsed="false">
      <c r="A564" s="18" t="s">
        <v>2643</v>
      </c>
      <c r="B564" s="18" t="s">
        <v>60</v>
      </c>
      <c r="C564" s="18" t="s">
        <v>61</v>
      </c>
      <c r="D564" s="18" t="s">
        <v>2588</v>
      </c>
      <c r="E564" s="18" t="n">
        <v>20</v>
      </c>
      <c r="F564" s="18" t="s">
        <v>2644</v>
      </c>
      <c r="G564" s="18" t="s">
        <v>337</v>
      </c>
      <c r="H564" s="18" t="s">
        <v>162</v>
      </c>
      <c r="I564" s="18"/>
      <c r="J564" s="18"/>
      <c r="K564" s="18"/>
      <c r="L564" s="18" t="s">
        <v>129</v>
      </c>
      <c r="M564" s="18" t="s">
        <v>129</v>
      </c>
      <c r="N564" s="18"/>
      <c r="O564" s="18"/>
      <c r="P564" s="18" t="s">
        <v>2645</v>
      </c>
      <c r="Q564" s="18" t="s">
        <v>149</v>
      </c>
      <c r="R564" s="18" t="s">
        <v>2646</v>
      </c>
      <c r="S564" s="18" t="s">
        <v>140</v>
      </c>
      <c r="T564" s="18" t="s">
        <v>183</v>
      </c>
      <c r="U564" s="18" t="s">
        <v>2647</v>
      </c>
      <c r="V564" s="19" t="s">
        <v>29</v>
      </c>
      <c r="W564" s="19"/>
      <c r="X564" s="19"/>
      <c r="Y564" s="20"/>
      <c r="Z564" s="19"/>
      <c r="AA564" s="18" t="str">
        <f aca="false">IF(OR(V564="Aprobada"),R564,IF(AND(OR(V564="Aprobada con ajuste",V564="Rechazada"),W564&lt;&gt;""),W564,""))</f>
        <v/>
      </c>
    </row>
    <row r="565" customFormat="false" ht="32.8" hidden="false" customHeight="false" outlineLevel="0" collapsed="false">
      <c r="A565" s="18" t="s">
        <v>2648</v>
      </c>
      <c r="B565" s="18" t="s">
        <v>60</v>
      </c>
      <c r="C565" s="18" t="s">
        <v>61</v>
      </c>
      <c r="D565" s="18" t="s">
        <v>2588</v>
      </c>
      <c r="E565" s="18" t="n">
        <v>20</v>
      </c>
      <c r="F565" s="18" t="s">
        <v>2649</v>
      </c>
      <c r="G565" s="18" t="s">
        <v>128</v>
      </c>
      <c r="H565" s="18" t="s">
        <v>162</v>
      </c>
      <c r="I565" s="18"/>
      <c r="J565" s="18"/>
      <c r="K565" s="18"/>
      <c r="L565" s="18" t="s">
        <v>129</v>
      </c>
      <c r="M565" s="18" t="s">
        <v>129</v>
      </c>
      <c r="N565" s="18"/>
      <c r="O565" s="18"/>
      <c r="P565" s="18" t="s">
        <v>2650</v>
      </c>
      <c r="Q565" s="18" t="s">
        <v>149</v>
      </c>
      <c r="R565" s="18" t="s">
        <v>2651</v>
      </c>
      <c r="S565" s="18" t="s">
        <v>242</v>
      </c>
      <c r="T565" s="18" t="s">
        <v>183</v>
      </c>
      <c r="U565" s="18" t="s">
        <v>2652</v>
      </c>
      <c r="V565" s="19" t="s">
        <v>29</v>
      </c>
      <c r="W565" s="19"/>
      <c r="X565" s="19"/>
      <c r="Y565" s="20"/>
      <c r="Z565" s="19"/>
      <c r="AA565" s="18" t="str">
        <f aca="false">IF(OR(V565="Aprobada"),R565,IF(AND(OR(V565="Aprobada con ajuste",V565="Rechazada"),W565&lt;&gt;""),W565,""))</f>
        <v/>
      </c>
    </row>
    <row r="566" customFormat="false" ht="43.25" hidden="false" customHeight="false" outlineLevel="0" collapsed="false">
      <c r="A566" s="18" t="s">
        <v>2653</v>
      </c>
      <c r="B566" s="18" t="s">
        <v>60</v>
      </c>
      <c r="C566" s="18" t="s">
        <v>61</v>
      </c>
      <c r="D566" s="18" t="s">
        <v>2654</v>
      </c>
      <c r="E566" s="18" t="n">
        <v>99</v>
      </c>
      <c r="F566" s="18" t="s">
        <v>2655</v>
      </c>
      <c r="G566" s="18" t="s">
        <v>486</v>
      </c>
      <c r="H566" s="18" t="s">
        <v>129</v>
      </c>
      <c r="I566" s="18"/>
      <c r="J566" s="18"/>
      <c r="K566" s="18"/>
      <c r="L566" s="18" t="s">
        <v>129</v>
      </c>
      <c r="M566" s="18" t="s">
        <v>129</v>
      </c>
      <c r="N566" s="18"/>
      <c r="O566" s="18" t="s">
        <v>2656</v>
      </c>
      <c r="P566" s="18" t="s">
        <v>2657</v>
      </c>
      <c r="Q566" s="18" t="s">
        <v>131</v>
      </c>
      <c r="R566" s="18" t="s">
        <v>2658</v>
      </c>
      <c r="S566" s="18" t="s">
        <v>133</v>
      </c>
      <c r="T566" s="18" t="s">
        <v>2659</v>
      </c>
      <c r="U566" s="18"/>
      <c r="V566" s="19" t="s">
        <v>29</v>
      </c>
      <c r="W566" s="19"/>
      <c r="X566" s="19"/>
      <c r="Y566" s="20"/>
      <c r="Z566" s="19"/>
      <c r="AA566" s="18" t="str">
        <f aca="false">IF(OR(V566="Aprobada"),R566,IF(AND(OR(V566="Aprobada con ajuste",V566="Rechazada"),W566&lt;&gt;""),W566,""))</f>
        <v/>
      </c>
    </row>
    <row r="567" customFormat="false" ht="32.8" hidden="false" customHeight="false" outlineLevel="0" collapsed="false">
      <c r="A567" s="18" t="s">
        <v>2660</v>
      </c>
      <c r="B567" s="18" t="s">
        <v>60</v>
      </c>
      <c r="C567" s="18" t="s">
        <v>61</v>
      </c>
      <c r="D567" s="18" t="s">
        <v>2654</v>
      </c>
      <c r="E567" s="18" t="n">
        <v>99</v>
      </c>
      <c r="F567" s="18" t="s">
        <v>185</v>
      </c>
      <c r="G567" s="18" t="s">
        <v>145</v>
      </c>
      <c r="H567" s="18" t="s">
        <v>129</v>
      </c>
      <c r="I567" s="18"/>
      <c r="J567" s="18"/>
      <c r="K567" s="18"/>
      <c r="L567" s="18" t="s">
        <v>129</v>
      </c>
      <c r="M567" s="18" t="s">
        <v>129</v>
      </c>
      <c r="N567" s="18"/>
      <c r="O567" s="18"/>
      <c r="P567" s="18" t="s">
        <v>2661</v>
      </c>
      <c r="Q567" s="18" t="s">
        <v>131</v>
      </c>
      <c r="R567" s="18" t="s">
        <v>2662</v>
      </c>
      <c r="S567" s="18" t="s">
        <v>133</v>
      </c>
      <c r="T567" s="18" t="s">
        <v>2663</v>
      </c>
      <c r="U567" s="18"/>
      <c r="V567" s="19" t="s">
        <v>29</v>
      </c>
      <c r="W567" s="19"/>
      <c r="X567" s="19"/>
      <c r="Y567" s="20"/>
      <c r="Z567" s="19"/>
      <c r="AA567" s="18" t="str">
        <f aca="false">IF(OR(V567="Aprobada"),R567,IF(AND(OR(V567="Aprobada con ajuste",V567="Rechazada"),W567&lt;&gt;""),W567,""))</f>
        <v/>
      </c>
    </row>
    <row r="568" customFormat="false" ht="32.8" hidden="false" customHeight="false" outlineLevel="0" collapsed="false">
      <c r="A568" s="18" t="s">
        <v>2664</v>
      </c>
      <c r="B568" s="18" t="s">
        <v>60</v>
      </c>
      <c r="C568" s="18" t="s">
        <v>61</v>
      </c>
      <c r="D568" s="18" t="s">
        <v>2654</v>
      </c>
      <c r="E568" s="18" t="n">
        <v>99</v>
      </c>
      <c r="F568" s="18" t="s">
        <v>2665</v>
      </c>
      <c r="G568" s="18" t="s">
        <v>486</v>
      </c>
      <c r="H568" s="18" t="s">
        <v>162</v>
      </c>
      <c r="I568" s="18"/>
      <c r="J568" s="18"/>
      <c r="K568" s="18"/>
      <c r="L568" s="18" t="s">
        <v>129</v>
      </c>
      <c r="M568" s="18" t="s">
        <v>129</v>
      </c>
      <c r="N568" s="18"/>
      <c r="O568" s="18"/>
      <c r="P568" s="18" t="s">
        <v>2666</v>
      </c>
      <c r="Q568" s="18" t="s">
        <v>149</v>
      </c>
      <c r="R568" s="18" t="s">
        <v>2667</v>
      </c>
      <c r="S568" s="18" t="s">
        <v>140</v>
      </c>
      <c r="T568" s="18" t="s">
        <v>183</v>
      </c>
      <c r="U568" s="18" t="s">
        <v>2668</v>
      </c>
      <c r="V568" s="19" t="s">
        <v>29</v>
      </c>
      <c r="W568" s="19"/>
      <c r="X568" s="19"/>
      <c r="Y568" s="20"/>
      <c r="Z568" s="19"/>
      <c r="AA568" s="18" t="str">
        <f aca="false">IF(OR(V568="Aprobada"),R568,IF(AND(OR(V568="Aprobada con ajuste",V568="Rechazada"),W568&lt;&gt;""),W568,""))</f>
        <v/>
      </c>
    </row>
    <row r="569" customFormat="false" ht="32.8" hidden="false" customHeight="false" outlineLevel="0" collapsed="false">
      <c r="A569" s="18" t="s">
        <v>2669</v>
      </c>
      <c r="B569" s="18" t="s">
        <v>60</v>
      </c>
      <c r="C569" s="18" t="s">
        <v>61</v>
      </c>
      <c r="D569" s="18" t="s">
        <v>2654</v>
      </c>
      <c r="E569" s="18" t="n">
        <v>99</v>
      </c>
      <c r="F569" s="18" t="s">
        <v>2670</v>
      </c>
      <c r="G569" s="18" t="s">
        <v>454</v>
      </c>
      <c r="H569" s="18" t="s">
        <v>162</v>
      </c>
      <c r="I569" s="18"/>
      <c r="J569" s="18"/>
      <c r="K569" s="18"/>
      <c r="L569" s="18" t="s">
        <v>129</v>
      </c>
      <c r="M569" s="18" t="s">
        <v>129</v>
      </c>
      <c r="N569" s="18"/>
      <c r="O569" s="18"/>
      <c r="P569" s="18" t="s">
        <v>2671</v>
      </c>
      <c r="Q569" s="18" t="s">
        <v>149</v>
      </c>
      <c r="R569" s="18" t="s">
        <v>2672</v>
      </c>
      <c r="S569" s="18" t="s">
        <v>133</v>
      </c>
      <c r="T569" s="18" t="s">
        <v>183</v>
      </c>
      <c r="U569" s="18"/>
      <c r="V569" s="19" t="s">
        <v>29</v>
      </c>
      <c r="W569" s="19"/>
      <c r="X569" s="19"/>
      <c r="Y569" s="20"/>
      <c r="Z569" s="19"/>
      <c r="AA569" s="18" t="str">
        <f aca="false">IF(OR(V569="Aprobada"),R569,IF(AND(OR(V569="Aprobada con ajuste",V569="Rechazada"),W569&lt;&gt;""),W569,""))</f>
        <v/>
      </c>
    </row>
    <row r="570" customFormat="false" ht="32.8" hidden="false" customHeight="false" outlineLevel="0" collapsed="false">
      <c r="A570" s="18" t="s">
        <v>2673</v>
      </c>
      <c r="B570" s="18" t="s">
        <v>60</v>
      </c>
      <c r="C570" s="18" t="s">
        <v>61</v>
      </c>
      <c r="D570" s="18" t="s">
        <v>2654</v>
      </c>
      <c r="E570" s="18" t="n">
        <v>99</v>
      </c>
      <c r="F570" s="18" t="s">
        <v>2674</v>
      </c>
      <c r="G570" s="18" t="s">
        <v>486</v>
      </c>
      <c r="H570" s="18" t="s">
        <v>162</v>
      </c>
      <c r="I570" s="18"/>
      <c r="J570" s="18"/>
      <c r="K570" s="18"/>
      <c r="L570" s="18" t="s">
        <v>129</v>
      </c>
      <c r="M570" s="18" t="s">
        <v>129</v>
      </c>
      <c r="N570" s="18"/>
      <c r="O570" s="18"/>
      <c r="P570" s="18" t="s">
        <v>2675</v>
      </c>
      <c r="Q570" s="18" t="s">
        <v>149</v>
      </c>
      <c r="R570" s="18" t="s">
        <v>2676</v>
      </c>
      <c r="S570" s="18" t="s">
        <v>133</v>
      </c>
      <c r="T570" s="18" t="s">
        <v>183</v>
      </c>
      <c r="U570" s="18"/>
      <c r="V570" s="19" t="s">
        <v>29</v>
      </c>
      <c r="W570" s="19"/>
      <c r="X570" s="19"/>
      <c r="Y570" s="20"/>
      <c r="Z570" s="19"/>
      <c r="AA570" s="18" t="str">
        <f aca="false">IF(OR(V570="Aprobada"),R570,IF(AND(OR(V570="Aprobada con ajuste",V570="Rechazada"),W570&lt;&gt;""),W570,""))</f>
        <v/>
      </c>
    </row>
    <row r="571" customFormat="false" ht="32.8" hidden="false" customHeight="false" outlineLevel="0" collapsed="false">
      <c r="A571" s="18" t="s">
        <v>2677</v>
      </c>
      <c r="B571" s="18" t="s">
        <v>60</v>
      </c>
      <c r="C571" s="18" t="s">
        <v>61</v>
      </c>
      <c r="D571" s="18" t="s">
        <v>2654</v>
      </c>
      <c r="E571" s="18" t="n">
        <v>99</v>
      </c>
      <c r="F571" s="18" t="s">
        <v>305</v>
      </c>
      <c r="G571" s="18" t="s">
        <v>128</v>
      </c>
      <c r="H571" s="18" t="s">
        <v>162</v>
      </c>
      <c r="I571" s="18"/>
      <c r="J571" s="18"/>
      <c r="K571" s="18"/>
      <c r="L571" s="18" t="s">
        <v>129</v>
      </c>
      <c r="M571" s="18" t="s">
        <v>129</v>
      </c>
      <c r="N571" s="18"/>
      <c r="O571" s="18"/>
      <c r="P571" s="18" t="s">
        <v>2678</v>
      </c>
      <c r="Q571" s="18" t="s">
        <v>149</v>
      </c>
      <c r="R571" s="18" t="s">
        <v>2679</v>
      </c>
      <c r="S571" s="18" t="s">
        <v>133</v>
      </c>
      <c r="T571" s="18" t="s">
        <v>183</v>
      </c>
      <c r="U571" s="18"/>
      <c r="V571" s="19" t="s">
        <v>29</v>
      </c>
      <c r="W571" s="19"/>
      <c r="X571" s="19"/>
      <c r="Y571" s="20"/>
      <c r="Z571" s="19"/>
      <c r="AA571" s="18" t="str">
        <f aca="false">IF(OR(V571="Aprobada"),R571,IF(AND(OR(V571="Aprobada con ajuste",V571="Rechazada"),W571&lt;&gt;""),W571,""))</f>
        <v/>
      </c>
    </row>
    <row r="572" customFormat="false" ht="32.8" hidden="false" customHeight="false" outlineLevel="0" collapsed="false">
      <c r="A572" s="18" t="s">
        <v>2680</v>
      </c>
      <c r="B572" s="18" t="s">
        <v>60</v>
      </c>
      <c r="C572" s="18" t="s">
        <v>61</v>
      </c>
      <c r="D572" s="18" t="s">
        <v>2654</v>
      </c>
      <c r="E572" s="18" t="n">
        <v>99</v>
      </c>
      <c r="F572" s="18" t="s">
        <v>2681</v>
      </c>
      <c r="G572" s="18" t="s">
        <v>317</v>
      </c>
      <c r="H572" s="18" t="s">
        <v>162</v>
      </c>
      <c r="I572" s="18"/>
      <c r="J572" s="18"/>
      <c r="K572" s="18"/>
      <c r="L572" s="18" t="s">
        <v>129</v>
      </c>
      <c r="M572" s="18" t="s">
        <v>129</v>
      </c>
      <c r="N572" s="18"/>
      <c r="O572" s="18"/>
      <c r="P572" s="18" t="s">
        <v>2682</v>
      </c>
      <c r="Q572" s="18" t="s">
        <v>138</v>
      </c>
      <c r="R572" s="18" t="s">
        <v>2683</v>
      </c>
      <c r="S572" s="18" t="s">
        <v>140</v>
      </c>
      <c r="T572" s="18" t="s">
        <v>141</v>
      </c>
      <c r="U572" s="18"/>
      <c r="V572" s="19" t="s">
        <v>29</v>
      </c>
      <c r="W572" s="19"/>
      <c r="X572" s="19"/>
      <c r="Y572" s="20"/>
      <c r="Z572" s="19"/>
      <c r="AA572" s="18" t="str">
        <f aca="false">IF(OR(V572="Aprobada"),R572,IF(AND(OR(V572="Aprobada con ajuste",V572="Rechazada"),W572&lt;&gt;""),W572,""))</f>
        <v/>
      </c>
    </row>
    <row r="573" customFormat="false" ht="32.8" hidden="false" customHeight="false" outlineLevel="0" collapsed="false">
      <c r="A573" s="18" t="s">
        <v>2684</v>
      </c>
      <c r="B573" s="18" t="s">
        <v>60</v>
      </c>
      <c r="C573" s="18" t="s">
        <v>61</v>
      </c>
      <c r="D573" s="18" t="s">
        <v>2654</v>
      </c>
      <c r="E573" s="18" t="n">
        <v>99</v>
      </c>
      <c r="F573" s="18" t="s">
        <v>2685</v>
      </c>
      <c r="G573" s="18" t="s">
        <v>145</v>
      </c>
      <c r="H573" s="18" t="s">
        <v>162</v>
      </c>
      <c r="I573" s="18"/>
      <c r="J573" s="18"/>
      <c r="K573" s="18"/>
      <c r="L573" s="18" t="s">
        <v>129</v>
      </c>
      <c r="M573" s="18" t="s">
        <v>129</v>
      </c>
      <c r="N573" s="18"/>
      <c r="O573" s="18"/>
      <c r="P573" s="18" t="s">
        <v>2686</v>
      </c>
      <c r="Q573" s="18" t="s">
        <v>131</v>
      </c>
      <c r="R573" s="18" t="s">
        <v>2687</v>
      </c>
      <c r="S573" s="18" t="s">
        <v>133</v>
      </c>
      <c r="T573" s="18" t="s">
        <v>2688</v>
      </c>
      <c r="U573" s="18"/>
      <c r="V573" s="19" t="s">
        <v>29</v>
      </c>
      <c r="W573" s="19"/>
      <c r="X573" s="19"/>
      <c r="Y573" s="20"/>
      <c r="Z573" s="19"/>
      <c r="AA573" s="18" t="str">
        <f aca="false">IF(OR(V573="Aprobada"),R573,IF(AND(OR(V573="Aprobada con ajuste",V573="Rechazada"),W573&lt;&gt;""),W573,""))</f>
        <v/>
      </c>
    </row>
    <row r="574" customFormat="false" ht="32.8" hidden="false" customHeight="false" outlineLevel="0" collapsed="false">
      <c r="A574" s="18" t="s">
        <v>2689</v>
      </c>
      <c r="B574" s="18" t="s">
        <v>60</v>
      </c>
      <c r="C574" s="18" t="s">
        <v>61</v>
      </c>
      <c r="D574" s="18" t="s">
        <v>2654</v>
      </c>
      <c r="E574" s="18" t="n">
        <v>99</v>
      </c>
      <c r="F574" s="18" t="s">
        <v>2690</v>
      </c>
      <c r="G574" s="18" t="s">
        <v>486</v>
      </c>
      <c r="H574" s="18" t="s">
        <v>162</v>
      </c>
      <c r="I574" s="18"/>
      <c r="J574" s="18"/>
      <c r="K574" s="18"/>
      <c r="L574" s="18" t="s">
        <v>129</v>
      </c>
      <c r="M574" s="18" t="s">
        <v>129</v>
      </c>
      <c r="N574" s="18"/>
      <c r="O574" s="18"/>
      <c r="P574" s="18" t="s">
        <v>2691</v>
      </c>
      <c r="Q574" s="18" t="s">
        <v>149</v>
      </c>
      <c r="R574" s="18" t="s">
        <v>2692</v>
      </c>
      <c r="S574" s="18" t="s">
        <v>242</v>
      </c>
      <c r="T574" s="18" t="s">
        <v>2693</v>
      </c>
      <c r="U574" s="18" t="s">
        <v>2694</v>
      </c>
      <c r="V574" s="19" t="s">
        <v>29</v>
      </c>
      <c r="W574" s="19"/>
      <c r="X574" s="19"/>
      <c r="Y574" s="20"/>
      <c r="Z574" s="19"/>
      <c r="AA574" s="18" t="str">
        <f aca="false">IF(OR(V574="Aprobada"),R574,IF(AND(OR(V574="Aprobada con ajuste",V574="Rechazada"),W574&lt;&gt;""),W574,""))</f>
        <v/>
      </c>
    </row>
    <row r="575" customFormat="false" ht="32.8" hidden="false" customHeight="false" outlineLevel="0" collapsed="false">
      <c r="A575" s="18" t="s">
        <v>2695</v>
      </c>
      <c r="B575" s="18" t="s">
        <v>60</v>
      </c>
      <c r="C575" s="18" t="s">
        <v>61</v>
      </c>
      <c r="D575" s="18" t="s">
        <v>2696</v>
      </c>
      <c r="E575" s="18" t="n">
        <v>23</v>
      </c>
      <c r="F575" s="18" t="s">
        <v>2655</v>
      </c>
      <c r="G575" s="18" t="s">
        <v>486</v>
      </c>
      <c r="H575" s="18" t="s">
        <v>129</v>
      </c>
      <c r="I575" s="18"/>
      <c r="J575" s="18"/>
      <c r="K575" s="18"/>
      <c r="L575" s="18" t="s">
        <v>129</v>
      </c>
      <c r="M575" s="18" t="s">
        <v>129</v>
      </c>
      <c r="N575" s="18"/>
      <c r="O575" s="18" t="s">
        <v>2697</v>
      </c>
      <c r="P575" s="18" t="s">
        <v>2698</v>
      </c>
      <c r="Q575" s="18" t="s">
        <v>131</v>
      </c>
      <c r="R575" s="18" t="s">
        <v>2699</v>
      </c>
      <c r="S575" s="18" t="s">
        <v>133</v>
      </c>
      <c r="T575" s="18" t="s">
        <v>2700</v>
      </c>
      <c r="U575" s="18"/>
      <c r="V575" s="19" t="s">
        <v>29</v>
      </c>
      <c r="W575" s="19"/>
      <c r="X575" s="19"/>
      <c r="Y575" s="20"/>
      <c r="Z575" s="19"/>
      <c r="AA575" s="18" t="str">
        <f aca="false">IF(OR(V575="Aprobada"),R575,IF(AND(OR(V575="Aprobada con ajuste",V575="Rechazada"),W575&lt;&gt;""),W575,""))</f>
        <v/>
      </c>
    </row>
    <row r="576" customFormat="false" ht="74.6" hidden="false" customHeight="false" outlineLevel="0" collapsed="false">
      <c r="A576" s="18" t="s">
        <v>2701</v>
      </c>
      <c r="B576" s="18" t="s">
        <v>60</v>
      </c>
      <c r="C576" s="18" t="s">
        <v>61</v>
      </c>
      <c r="D576" s="18" t="s">
        <v>2696</v>
      </c>
      <c r="E576" s="18" t="n">
        <v>23</v>
      </c>
      <c r="F576" s="18" t="s">
        <v>2702</v>
      </c>
      <c r="G576" s="18" t="s">
        <v>145</v>
      </c>
      <c r="H576" s="18" t="s">
        <v>129</v>
      </c>
      <c r="I576" s="18"/>
      <c r="J576" s="18"/>
      <c r="K576" s="18"/>
      <c r="L576" s="18" t="s">
        <v>129</v>
      </c>
      <c r="M576" s="18" t="s">
        <v>129</v>
      </c>
      <c r="N576" s="18"/>
      <c r="O576" s="18" t="s">
        <v>2697</v>
      </c>
      <c r="P576" s="18" t="s">
        <v>2703</v>
      </c>
      <c r="Q576" s="18" t="s">
        <v>131</v>
      </c>
      <c r="R576" s="18" t="s">
        <v>2704</v>
      </c>
      <c r="S576" s="18" t="s">
        <v>133</v>
      </c>
      <c r="T576" s="18" t="s">
        <v>2705</v>
      </c>
      <c r="U576" s="18"/>
      <c r="V576" s="19" t="s">
        <v>29</v>
      </c>
      <c r="W576" s="19"/>
      <c r="X576" s="19"/>
      <c r="Y576" s="20"/>
      <c r="Z576" s="19"/>
      <c r="AA576" s="18" t="str">
        <f aca="false">IF(OR(V576="Aprobada"),R576,IF(AND(OR(V576="Aprobada con ajuste",V576="Rechazada"),W576&lt;&gt;""),W576,""))</f>
        <v/>
      </c>
    </row>
    <row r="577" customFormat="false" ht="32.8" hidden="false" customHeight="false" outlineLevel="0" collapsed="false">
      <c r="A577" s="18" t="s">
        <v>2706</v>
      </c>
      <c r="B577" s="18" t="s">
        <v>60</v>
      </c>
      <c r="C577" s="18" t="s">
        <v>61</v>
      </c>
      <c r="D577" s="18" t="s">
        <v>2696</v>
      </c>
      <c r="E577" s="18" t="n">
        <v>23</v>
      </c>
      <c r="F577" s="18" t="s">
        <v>185</v>
      </c>
      <c r="G577" s="18" t="s">
        <v>145</v>
      </c>
      <c r="H577" s="18" t="s">
        <v>129</v>
      </c>
      <c r="I577" s="18"/>
      <c r="J577" s="18"/>
      <c r="K577" s="18"/>
      <c r="L577" s="18" t="s">
        <v>129</v>
      </c>
      <c r="M577" s="18" t="s">
        <v>129</v>
      </c>
      <c r="N577" s="18"/>
      <c r="O577" s="18"/>
      <c r="P577" s="18" t="s">
        <v>2707</v>
      </c>
      <c r="Q577" s="18" t="s">
        <v>131</v>
      </c>
      <c r="R577" s="18" t="s">
        <v>2708</v>
      </c>
      <c r="S577" s="18" t="s">
        <v>133</v>
      </c>
      <c r="T577" s="18" t="s">
        <v>2709</v>
      </c>
      <c r="U577" s="18"/>
      <c r="V577" s="19" t="s">
        <v>29</v>
      </c>
      <c r="W577" s="19"/>
      <c r="X577" s="19"/>
      <c r="Y577" s="20"/>
      <c r="Z577" s="19"/>
      <c r="AA577" s="18" t="str">
        <f aca="false">IF(OR(V577="Aprobada"),R577,IF(AND(OR(V577="Aprobada con ajuste",V577="Rechazada"),W577&lt;&gt;""),W577,""))</f>
        <v/>
      </c>
    </row>
    <row r="578" customFormat="false" ht="32.8" hidden="false" customHeight="false" outlineLevel="0" collapsed="false">
      <c r="A578" s="18" t="s">
        <v>2710</v>
      </c>
      <c r="B578" s="18" t="s">
        <v>60</v>
      </c>
      <c r="C578" s="18" t="s">
        <v>61</v>
      </c>
      <c r="D578" s="18" t="s">
        <v>2696</v>
      </c>
      <c r="E578" s="18" t="n">
        <v>23</v>
      </c>
      <c r="F578" s="18" t="s">
        <v>2711</v>
      </c>
      <c r="G578" s="18" t="s">
        <v>486</v>
      </c>
      <c r="H578" s="18" t="s">
        <v>162</v>
      </c>
      <c r="I578" s="18"/>
      <c r="J578" s="18"/>
      <c r="K578" s="18"/>
      <c r="L578" s="18" t="s">
        <v>129</v>
      </c>
      <c r="M578" s="18" t="s">
        <v>129</v>
      </c>
      <c r="N578" s="18"/>
      <c r="O578" s="18"/>
      <c r="P578" s="18" t="s">
        <v>2712</v>
      </c>
      <c r="Q578" s="18" t="s">
        <v>149</v>
      </c>
      <c r="R578" s="18" t="s">
        <v>2713</v>
      </c>
      <c r="S578" s="18" t="s">
        <v>140</v>
      </c>
      <c r="T578" s="18" t="s">
        <v>183</v>
      </c>
      <c r="U578" s="18" t="s">
        <v>2714</v>
      </c>
      <c r="V578" s="19" t="s">
        <v>29</v>
      </c>
      <c r="W578" s="19"/>
      <c r="X578" s="19"/>
      <c r="Y578" s="20"/>
      <c r="Z578" s="19"/>
      <c r="AA578" s="18" t="str">
        <f aca="false">IF(OR(V578="Aprobada"),R578,IF(AND(OR(V578="Aprobada con ajuste",V578="Rechazada"),W578&lt;&gt;""),W578,""))</f>
        <v/>
      </c>
    </row>
    <row r="579" customFormat="false" ht="32.8" hidden="false" customHeight="false" outlineLevel="0" collapsed="false">
      <c r="A579" s="18" t="s">
        <v>2715</v>
      </c>
      <c r="B579" s="18" t="s">
        <v>60</v>
      </c>
      <c r="C579" s="18" t="s">
        <v>61</v>
      </c>
      <c r="D579" s="18" t="s">
        <v>2696</v>
      </c>
      <c r="E579" s="18" t="n">
        <v>23</v>
      </c>
      <c r="F579" s="18" t="s">
        <v>2716</v>
      </c>
      <c r="G579" s="18" t="s">
        <v>454</v>
      </c>
      <c r="H579" s="18" t="s">
        <v>162</v>
      </c>
      <c r="I579" s="18"/>
      <c r="J579" s="18"/>
      <c r="K579" s="18"/>
      <c r="L579" s="18" t="s">
        <v>129</v>
      </c>
      <c r="M579" s="18" t="s">
        <v>129</v>
      </c>
      <c r="N579" s="18"/>
      <c r="O579" s="18"/>
      <c r="P579" s="18" t="s">
        <v>2717</v>
      </c>
      <c r="Q579" s="18" t="s">
        <v>149</v>
      </c>
      <c r="R579" s="18" t="s">
        <v>2718</v>
      </c>
      <c r="S579" s="18" t="s">
        <v>133</v>
      </c>
      <c r="T579" s="18" t="s">
        <v>183</v>
      </c>
      <c r="U579" s="18"/>
      <c r="V579" s="19" t="s">
        <v>29</v>
      </c>
      <c r="W579" s="19"/>
      <c r="X579" s="19"/>
      <c r="Y579" s="20"/>
      <c r="Z579" s="19"/>
      <c r="AA579" s="18" t="str">
        <f aca="false">IF(OR(V579="Aprobada"),R579,IF(AND(OR(V579="Aprobada con ajuste",V579="Rechazada"),W579&lt;&gt;""),W579,""))</f>
        <v/>
      </c>
    </row>
    <row r="580" customFormat="false" ht="32.8" hidden="false" customHeight="false" outlineLevel="0" collapsed="false">
      <c r="A580" s="18" t="s">
        <v>2719</v>
      </c>
      <c r="B580" s="18" t="s">
        <v>60</v>
      </c>
      <c r="C580" s="18" t="s">
        <v>61</v>
      </c>
      <c r="D580" s="18" t="s">
        <v>2696</v>
      </c>
      <c r="E580" s="18" t="n">
        <v>23</v>
      </c>
      <c r="F580" s="18" t="s">
        <v>2720</v>
      </c>
      <c r="G580" s="18" t="s">
        <v>486</v>
      </c>
      <c r="H580" s="18" t="s">
        <v>162</v>
      </c>
      <c r="I580" s="18"/>
      <c r="J580" s="18"/>
      <c r="K580" s="18"/>
      <c r="L580" s="18" t="s">
        <v>129</v>
      </c>
      <c r="M580" s="18" t="s">
        <v>129</v>
      </c>
      <c r="N580" s="18"/>
      <c r="O580" s="18"/>
      <c r="P580" s="18" t="s">
        <v>2721</v>
      </c>
      <c r="Q580" s="18" t="s">
        <v>149</v>
      </c>
      <c r="R580" s="18" t="s">
        <v>2722</v>
      </c>
      <c r="S580" s="18" t="s">
        <v>133</v>
      </c>
      <c r="T580" s="18" t="s">
        <v>183</v>
      </c>
      <c r="U580" s="18"/>
      <c r="V580" s="19" t="s">
        <v>29</v>
      </c>
      <c r="W580" s="19"/>
      <c r="X580" s="19"/>
      <c r="Y580" s="20"/>
      <c r="Z580" s="19"/>
      <c r="AA580" s="18" t="str">
        <f aca="false">IF(OR(V580="Aprobada"),R580,IF(AND(OR(V580="Aprobada con ajuste",V580="Rechazada"),W580&lt;&gt;""),W580,""))</f>
        <v/>
      </c>
    </row>
    <row r="581" customFormat="false" ht="32.8" hidden="false" customHeight="false" outlineLevel="0" collapsed="false">
      <c r="A581" s="18" t="s">
        <v>2723</v>
      </c>
      <c r="B581" s="18" t="s">
        <v>60</v>
      </c>
      <c r="C581" s="18" t="s">
        <v>61</v>
      </c>
      <c r="D581" s="18" t="s">
        <v>2696</v>
      </c>
      <c r="E581" s="18" t="n">
        <v>23</v>
      </c>
      <c r="F581" s="18" t="s">
        <v>305</v>
      </c>
      <c r="G581" s="18" t="s">
        <v>128</v>
      </c>
      <c r="H581" s="18" t="s">
        <v>162</v>
      </c>
      <c r="I581" s="18"/>
      <c r="J581" s="18"/>
      <c r="K581" s="18"/>
      <c r="L581" s="18" t="s">
        <v>129</v>
      </c>
      <c r="M581" s="18" t="s">
        <v>129</v>
      </c>
      <c r="N581" s="18"/>
      <c r="O581" s="18"/>
      <c r="P581" s="18" t="s">
        <v>2724</v>
      </c>
      <c r="Q581" s="18" t="s">
        <v>149</v>
      </c>
      <c r="R581" s="18" t="s">
        <v>2725</v>
      </c>
      <c r="S581" s="18" t="s">
        <v>133</v>
      </c>
      <c r="T581" s="18" t="s">
        <v>183</v>
      </c>
      <c r="U581" s="18"/>
      <c r="V581" s="19" t="s">
        <v>29</v>
      </c>
      <c r="W581" s="19"/>
      <c r="X581" s="19"/>
      <c r="Y581" s="20"/>
      <c r="Z581" s="19"/>
      <c r="AA581" s="18" t="str">
        <f aca="false">IF(OR(V581="Aprobada"),R581,IF(AND(OR(V581="Aprobada con ajuste",V581="Rechazada"),W581&lt;&gt;""),W581,""))</f>
        <v/>
      </c>
    </row>
    <row r="582" customFormat="false" ht="43.25" hidden="false" customHeight="false" outlineLevel="0" collapsed="false">
      <c r="A582" s="18" t="s">
        <v>2726</v>
      </c>
      <c r="B582" s="18" t="s">
        <v>60</v>
      </c>
      <c r="C582" s="18" t="s">
        <v>61</v>
      </c>
      <c r="D582" s="18" t="s">
        <v>2696</v>
      </c>
      <c r="E582" s="18" t="n">
        <v>23</v>
      </c>
      <c r="F582" s="18" t="s">
        <v>2727</v>
      </c>
      <c r="G582" s="18" t="s">
        <v>128</v>
      </c>
      <c r="H582" s="18" t="s">
        <v>162</v>
      </c>
      <c r="I582" s="18"/>
      <c r="J582" s="18"/>
      <c r="K582" s="18"/>
      <c r="L582" s="18" t="s">
        <v>129</v>
      </c>
      <c r="M582" s="18" t="s">
        <v>129</v>
      </c>
      <c r="N582" s="18"/>
      <c r="O582" s="18"/>
      <c r="P582" s="18" t="s">
        <v>2728</v>
      </c>
      <c r="Q582" s="18" t="s">
        <v>131</v>
      </c>
      <c r="R582" s="18" t="s">
        <v>2729</v>
      </c>
      <c r="S582" s="18" t="s">
        <v>133</v>
      </c>
      <c r="T582" s="18" t="s">
        <v>2730</v>
      </c>
      <c r="U582" s="18"/>
      <c r="V582" s="19" t="s">
        <v>29</v>
      </c>
      <c r="W582" s="19"/>
      <c r="X582" s="19"/>
      <c r="Y582" s="20"/>
      <c r="Z582" s="19"/>
      <c r="AA582" s="18" t="str">
        <f aca="false">IF(OR(V582="Aprobada"),R582,IF(AND(OR(V582="Aprobada con ajuste",V582="Rechazada"),W582&lt;&gt;""),W582,""))</f>
        <v/>
      </c>
    </row>
    <row r="583" customFormat="false" ht="32.8" hidden="false" customHeight="false" outlineLevel="0" collapsed="false">
      <c r="A583" s="18" t="s">
        <v>2731</v>
      </c>
      <c r="B583" s="18" t="s">
        <v>60</v>
      </c>
      <c r="C583" s="18" t="s">
        <v>61</v>
      </c>
      <c r="D583" s="18" t="s">
        <v>2696</v>
      </c>
      <c r="E583" s="18" t="n">
        <v>23</v>
      </c>
      <c r="F583" s="18" t="s">
        <v>2732</v>
      </c>
      <c r="G583" s="18" t="s">
        <v>317</v>
      </c>
      <c r="H583" s="18" t="s">
        <v>162</v>
      </c>
      <c r="I583" s="18"/>
      <c r="J583" s="18"/>
      <c r="K583" s="18"/>
      <c r="L583" s="18" t="s">
        <v>129</v>
      </c>
      <c r="M583" s="18" t="s">
        <v>129</v>
      </c>
      <c r="N583" s="18"/>
      <c r="O583" s="18"/>
      <c r="P583" s="18" t="s">
        <v>2733</v>
      </c>
      <c r="Q583" s="18" t="s">
        <v>138</v>
      </c>
      <c r="R583" s="18" t="s">
        <v>2734</v>
      </c>
      <c r="S583" s="18" t="s">
        <v>140</v>
      </c>
      <c r="T583" s="18" t="s">
        <v>141</v>
      </c>
      <c r="U583" s="18"/>
      <c r="V583" s="19" t="s">
        <v>29</v>
      </c>
      <c r="W583" s="19"/>
      <c r="X583" s="19"/>
      <c r="Y583" s="20"/>
      <c r="Z583" s="19"/>
      <c r="AA583" s="18" t="str">
        <f aca="false">IF(OR(V583="Aprobada"),R583,IF(AND(OR(V583="Aprobada con ajuste",V583="Rechazada"),W583&lt;&gt;""),W583,""))</f>
        <v/>
      </c>
    </row>
    <row r="584" customFormat="false" ht="32.8" hidden="false" customHeight="false" outlineLevel="0" collapsed="false">
      <c r="A584" s="18" t="s">
        <v>2735</v>
      </c>
      <c r="B584" s="18" t="s">
        <v>60</v>
      </c>
      <c r="C584" s="18" t="s">
        <v>61</v>
      </c>
      <c r="D584" s="18" t="s">
        <v>2696</v>
      </c>
      <c r="E584" s="18" t="n">
        <v>23</v>
      </c>
      <c r="F584" s="18" t="s">
        <v>2685</v>
      </c>
      <c r="G584" s="18" t="s">
        <v>145</v>
      </c>
      <c r="H584" s="18" t="s">
        <v>162</v>
      </c>
      <c r="I584" s="18"/>
      <c r="J584" s="18"/>
      <c r="K584" s="18"/>
      <c r="L584" s="18" t="s">
        <v>129</v>
      </c>
      <c r="M584" s="18" t="s">
        <v>129</v>
      </c>
      <c r="N584" s="18"/>
      <c r="O584" s="18"/>
      <c r="P584" s="18" t="s">
        <v>2736</v>
      </c>
      <c r="Q584" s="18" t="s">
        <v>131</v>
      </c>
      <c r="R584" s="18" t="s">
        <v>2737</v>
      </c>
      <c r="S584" s="18" t="s">
        <v>140</v>
      </c>
      <c r="T584" s="18" t="s">
        <v>2738</v>
      </c>
      <c r="U584" s="18" t="s">
        <v>2739</v>
      </c>
      <c r="V584" s="19" t="s">
        <v>29</v>
      </c>
      <c r="W584" s="19"/>
      <c r="X584" s="19"/>
      <c r="Y584" s="20"/>
      <c r="Z584" s="19"/>
      <c r="AA584" s="18" t="str">
        <f aca="false">IF(OR(V584="Aprobada"),R584,IF(AND(OR(V584="Aprobada con ajuste",V584="Rechazada"),W584&lt;&gt;""),W584,""))</f>
        <v/>
      </c>
    </row>
    <row r="585" customFormat="false" ht="32.8" hidden="false" customHeight="false" outlineLevel="0" collapsed="false">
      <c r="A585" s="18" t="s">
        <v>2740</v>
      </c>
      <c r="B585" s="18" t="s">
        <v>60</v>
      </c>
      <c r="C585" s="18" t="s">
        <v>61</v>
      </c>
      <c r="D585" s="18" t="s">
        <v>2696</v>
      </c>
      <c r="E585" s="18" t="n">
        <v>23</v>
      </c>
      <c r="F585" s="18" t="s">
        <v>2690</v>
      </c>
      <c r="G585" s="18" t="s">
        <v>486</v>
      </c>
      <c r="H585" s="18" t="s">
        <v>162</v>
      </c>
      <c r="I585" s="18"/>
      <c r="J585" s="18"/>
      <c r="K585" s="18"/>
      <c r="L585" s="18" t="s">
        <v>129</v>
      </c>
      <c r="M585" s="18" t="s">
        <v>129</v>
      </c>
      <c r="N585" s="18"/>
      <c r="O585" s="18"/>
      <c r="P585" s="18" t="s">
        <v>2741</v>
      </c>
      <c r="Q585" s="18" t="s">
        <v>149</v>
      </c>
      <c r="R585" s="18" t="s">
        <v>2742</v>
      </c>
      <c r="S585" s="18" t="s">
        <v>242</v>
      </c>
      <c r="T585" s="18" t="s">
        <v>2693</v>
      </c>
      <c r="U585" s="18" t="s">
        <v>2694</v>
      </c>
      <c r="V585" s="19" t="s">
        <v>29</v>
      </c>
      <c r="W585" s="19"/>
      <c r="X585" s="19"/>
      <c r="Y585" s="20"/>
      <c r="Z585" s="19"/>
      <c r="AA585" s="18" t="str">
        <f aca="false">IF(OR(V585="Aprobada"),R585,IF(AND(OR(V585="Aprobada con ajuste",V585="Rechazada"),W585&lt;&gt;""),W585,""))</f>
        <v/>
      </c>
    </row>
    <row r="586" customFormat="false" ht="22.35" hidden="false" customHeight="false" outlineLevel="0" collapsed="false">
      <c r="A586" s="18" t="s">
        <v>2743</v>
      </c>
      <c r="B586" s="18" t="s">
        <v>60</v>
      </c>
      <c r="C586" s="18" t="s">
        <v>61</v>
      </c>
      <c r="D586" s="18" t="s">
        <v>2744</v>
      </c>
      <c r="E586" s="18" t="n">
        <v>83</v>
      </c>
      <c r="F586" s="18" t="s">
        <v>2745</v>
      </c>
      <c r="G586" s="18" t="s">
        <v>128</v>
      </c>
      <c r="H586" s="18" t="s">
        <v>162</v>
      </c>
      <c r="I586" s="18"/>
      <c r="J586" s="18"/>
      <c r="K586" s="18"/>
      <c r="L586" s="18" t="s">
        <v>129</v>
      </c>
      <c r="M586" s="18" t="s">
        <v>129</v>
      </c>
      <c r="N586" s="18"/>
      <c r="O586" s="18" t="s">
        <v>2746</v>
      </c>
      <c r="P586" s="18" t="s">
        <v>2747</v>
      </c>
      <c r="Q586" s="18" t="s">
        <v>149</v>
      </c>
      <c r="R586" s="18" t="s">
        <v>2748</v>
      </c>
      <c r="S586" s="18" t="s">
        <v>133</v>
      </c>
      <c r="T586" s="18" t="s">
        <v>183</v>
      </c>
      <c r="U586" s="18"/>
      <c r="V586" s="19" t="s">
        <v>29</v>
      </c>
      <c r="W586" s="19"/>
      <c r="X586" s="19"/>
      <c r="Y586" s="20"/>
      <c r="Z586" s="19"/>
      <c r="AA586" s="18" t="str">
        <f aca="false">IF(OR(V586="Aprobada"),R586,IF(AND(OR(V586="Aprobada con ajuste",V586="Rechazada"),W586&lt;&gt;""),W586,""))</f>
        <v/>
      </c>
    </row>
    <row r="587" customFormat="false" ht="22.35" hidden="false" customHeight="false" outlineLevel="0" collapsed="false">
      <c r="A587" s="18" t="s">
        <v>2749</v>
      </c>
      <c r="B587" s="18" t="s">
        <v>60</v>
      </c>
      <c r="C587" s="18" t="s">
        <v>61</v>
      </c>
      <c r="D587" s="18" t="s">
        <v>2744</v>
      </c>
      <c r="E587" s="18" t="n">
        <v>83</v>
      </c>
      <c r="F587" s="18" t="s">
        <v>2750</v>
      </c>
      <c r="G587" s="18" t="s">
        <v>128</v>
      </c>
      <c r="H587" s="18" t="s">
        <v>162</v>
      </c>
      <c r="I587" s="18"/>
      <c r="J587" s="18"/>
      <c r="K587" s="18"/>
      <c r="L587" s="18" t="s">
        <v>129</v>
      </c>
      <c r="M587" s="18" t="s">
        <v>129</v>
      </c>
      <c r="N587" s="18"/>
      <c r="O587" s="18"/>
      <c r="P587" s="18" t="s">
        <v>2751</v>
      </c>
      <c r="Q587" s="18" t="s">
        <v>149</v>
      </c>
      <c r="R587" s="18" t="s">
        <v>2752</v>
      </c>
      <c r="S587" s="18" t="s">
        <v>133</v>
      </c>
      <c r="T587" s="18" t="s">
        <v>183</v>
      </c>
      <c r="U587" s="18"/>
      <c r="V587" s="19" t="s">
        <v>29</v>
      </c>
      <c r="W587" s="19"/>
      <c r="X587" s="19"/>
      <c r="Y587" s="20"/>
      <c r="Z587" s="19"/>
      <c r="AA587" s="18" t="str">
        <f aca="false">IF(OR(V587="Aprobada"),R587,IF(AND(OR(V587="Aprobada con ajuste",V587="Rechazada"),W587&lt;&gt;""),W587,""))</f>
        <v/>
      </c>
    </row>
    <row r="588" customFormat="false" ht="53.7" hidden="false" customHeight="false" outlineLevel="0" collapsed="false">
      <c r="A588" s="18" t="s">
        <v>2753</v>
      </c>
      <c r="B588" s="18" t="s">
        <v>60</v>
      </c>
      <c r="C588" s="18" t="s">
        <v>61</v>
      </c>
      <c r="D588" s="18" t="s">
        <v>2744</v>
      </c>
      <c r="E588" s="18" t="n">
        <v>83</v>
      </c>
      <c r="F588" s="18" t="s">
        <v>127</v>
      </c>
      <c r="G588" s="18" t="s">
        <v>128</v>
      </c>
      <c r="H588" s="18" t="s">
        <v>129</v>
      </c>
      <c r="I588" s="18"/>
      <c r="J588" s="18"/>
      <c r="K588" s="18"/>
      <c r="L588" s="18" t="s">
        <v>129</v>
      </c>
      <c r="M588" s="18" t="s">
        <v>129</v>
      </c>
      <c r="N588" s="18"/>
      <c r="O588" s="18"/>
      <c r="P588" s="18" t="s">
        <v>2754</v>
      </c>
      <c r="Q588" s="18" t="s">
        <v>131</v>
      </c>
      <c r="R588" s="18" t="s">
        <v>2755</v>
      </c>
      <c r="S588" s="18" t="s">
        <v>133</v>
      </c>
      <c r="T588" s="18" t="s">
        <v>2756</v>
      </c>
      <c r="U588" s="18"/>
      <c r="V588" s="19" t="s">
        <v>29</v>
      </c>
      <c r="W588" s="19"/>
      <c r="X588" s="19"/>
      <c r="Y588" s="20"/>
      <c r="Z588" s="19"/>
      <c r="AA588" s="18" t="str">
        <f aca="false">IF(OR(V588="Aprobada"),R588,IF(AND(OR(V588="Aprobada con ajuste",V588="Rechazada"),W588&lt;&gt;""),W588,""))</f>
        <v/>
      </c>
    </row>
    <row r="589" customFormat="false" ht="22.35" hidden="false" customHeight="false" outlineLevel="0" collapsed="false">
      <c r="A589" s="18" t="s">
        <v>2757</v>
      </c>
      <c r="B589" s="18" t="s">
        <v>60</v>
      </c>
      <c r="C589" s="18" t="s">
        <v>61</v>
      </c>
      <c r="D589" s="18" t="s">
        <v>2744</v>
      </c>
      <c r="E589" s="18" t="n">
        <v>83</v>
      </c>
      <c r="F589" s="18" t="s">
        <v>2330</v>
      </c>
      <c r="G589" s="18" t="s">
        <v>128</v>
      </c>
      <c r="H589" s="18" t="s">
        <v>162</v>
      </c>
      <c r="I589" s="18"/>
      <c r="J589" s="18"/>
      <c r="K589" s="18"/>
      <c r="L589" s="18" t="s">
        <v>129</v>
      </c>
      <c r="M589" s="18" t="s">
        <v>129</v>
      </c>
      <c r="N589" s="18"/>
      <c r="O589" s="18"/>
      <c r="P589" s="18" t="s">
        <v>2758</v>
      </c>
      <c r="Q589" s="18" t="s">
        <v>149</v>
      </c>
      <c r="R589" s="18" t="s">
        <v>2759</v>
      </c>
      <c r="S589" s="18" t="s">
        <v>133</v>
      </c>
      <c r="T589" s="18" t="s">
        <v>183</v>
      </c>
      <c r="U589" s="18"/>
      <c r="V589" s="19" t="s">
        <v>29</v>
      </c>
      <c r="W589" s="19"/>
      <c r="X589" s="19"/>
      <c r="Y589" s="20"/>
      <c r="Z589" s="19"/>
      <c r="AA589" s="18" t="str">
        <f aca="false">IF(OR(V589="Aprobada"),R589,IF(AND(OR(V589="Aprobada con ajuste",V589="Rechazada"),W589&lt;&gt;""),W589,""))</f>
        <v/>
      </c>
    </row>
    <row r="590" customFormat="false" ht="22.35" hidden="false" customHeight="false" outlineLevel="0" collapsed="false">
      <c r="A590" s="18" t="s">
        <v>2760</v>
      </c>
      <c r="B590" s="18" t="s">
        <v>60</v>
      </c>
      <c r="C590" s="18" t="s">
        <v>61</v>
      </c>
      <c r="D590" s="18" t="s">
        <v>2744</v>
      </c>
      <c r="E590" s="18" t="n">
        <v>83</v>
      </c>
      <c r="F590" s="18" t="s">
        <v>2335</v>
      </c>
      <c r="G590" s="18" t="s">
        <v>128</v>
      </c>
      <c r="H590" s="18" t="s">
        <v>162</v>
      </c>
      <c r="I590" s="18"/>
      <c r="J590" s="18"/>
      <c r="K590" s="18"/>
      <c r="L590" s="18" t="s">
        <v>129</v>
      </c>
      <c r="M590" s="18" t="s">
        <v>129</v>
      </c>
      <c r="N590" s="18"/>
      <c r="O590" s="18"/>
      <c r="P590" s="18" t="s">
        <v>2761</v>
      </c>
      <c r="Q590" s="18" t="s">
        <v>149</v>
      </c>
      <c r="R590" s="18" t="s">
        <v>2762</v>
      </c>
      <c r="S590" s="18" t="s">
        <v>133</v>
      </c>
      <c r="T590" s="18" t="s">
        <v>183</v>
      </c>
      <c r="U590" s="18"/>
      <c r="V590" s="19" t="s">
        <v>29</v>
      </c>
      <c r="W590" s="19"/>
      <c r="X590" s="19"/>
      <c r="Y590" s="20"/>
      <c r="Z590" s="19"/>
      <c r="AA590" s="18" t="str">
        <f aca="false">IF(OR(V590="Aprobada"),R590,IF(AND(OR(V590="Aprobada con ajuste",V590="Rechazada"),W590&lt;&gt;""),W590,""))</f>
        <v/>
      </c>
    </row>
    <row r="591" customFormat="false" ht="22.35" hidden="false" customHeight="false" outlineLevel="0" collapsed="false">
      <c r="A591" s="18" t="s">
        <v>2763</v>
      </c>
      <c r="B591" s="18" t="s">
        <v>60</v>
      </c>
      <c r="C591" s="18" t="s">
        <v>61</v>
      </c>
      <c r="D591" s="18" t="s">
        <v>2744</v>
      </c>
      <c r="E591" s="18" t="n">
        <v>83</v>
      </c>
      <c r="F591" s="18" t="s">
        <v>2764</v>
      </c>
      <c r="G591" s="18" t="s">
        <v>128</v>
      </c>
      <c r="H591" s="18" t="s">
        <v>162</v>
      </c>
      <c r="I591" s="18"/>
      <c r="J591" s="18"/>
      <c r="K591" s="18"/>
      <c r="L591" s="18" t="s">
        <v>129</v>
      </c>
      <c r="M591" s="18" t="s">
        <v>129</v>
      </c>
      <c r="N591" s="18"/>
      <c r="O591" s="18"/>
      <c r="P591" s="18" t="s">
        <v>2765</v>
      </c>
      <c r="Q591" s="18" t="s">
        <v>149</v>
      </c>
      <c r="R591" s="18" t="s">
        <v>2766</v>
      </c>
      <c r="S591" s="18" t="s">
        <v>140</v>
      </c>
      <c r="T591" s="18" t="s">
        <v>183</v>
      </c>
      <c r="U591" s="18" t="s">
        <v>2767</v>
      </c>
      <c r="V591" s="19" t="s">
        <v>29</v>
      </c>
      <c r="W591" s="19"/>
      <c r="X591" s="19"/>
      <c r="Y591" s="20"/>
      <c r="Z591" s="19"/>
      <c r="AA591" s="18" t="str">
        <f aca="false">IF(OR(V591="Aprobada"),R591,IF(AND(OR(V591="Aprobada con ajuste",V591="Rechazada"),W591&lt;&gt;""),W591,""))</f>
        <v/>
      </c>
    </row>
    <row r="592" customFormat="false" ht="22.35" hidden="false" customHeight="false" outlineLevel="0" collapsed="false">
      <c r="A592" s="18" t="s">
        <v>2768</v>
      </c>
      <c r="B592" s="18" t="s">
        <v>60</v>
      </c>
      <c r="C592" s="18" t="s">
        <v>61</v>
      </c>
      <c r="D592" s="18" t="s">
        <v>2744</v>
      </c>
      <c r="E592" s="18" t="n">
        <v>83</v>
      </c>
      <c r="F592" s="18" t="s">
        <v>2345</v>
      </c>
      <c r="G592" s="18" t="s">
        <v>128</v>
      </c>
      <c r="H592" s="18" t="s">
        <v>162</v>
      </c>
      <c r="I592" s="18"/>
      <c r="J592" s="18"/>
      <c r="K592" s="18"/>
      <c r="L592" s="18" t="s">
        <v>129</v>
      </c>
      <c r="M592" s="18" t="s">
        <v>129</v>
      </c>
      <c r="N592" s="18"/>
      <c r="O592" s="18"/>
      <c r="P592" s="18" t="s">
        <v>2769</v>
      </c>
      <c r="Q592" s="18" t="s">
        <v>149</v>
      </c>
      <c r="R592" s="18" t="s">
        <v>2770</v>
      </c>
      <c r="S592" s="18" t="s">
        <v>133</v>
      </c>
      <c r="T592" s="18" t="s">
        <v>183</v>
      </c>
      <c r="U592" s="18"/>
      <c r="V592" s="19" t="s">
        <v>29</v>
      </c>
      <c r="W592" s="19"/>
      <c r="X592" s="19"/>
      <c r="Y592" s="20"/>
      <c r="Z592" s="19"/>
      <c r="AA592" s="18" t="str">
        <f aca="false">IF(OR(V592="Aprobada"),R592,IF(AND(OR(V592="Aprobada con ajuste",V592="Rechazada"),W592&lt;&gt;""),W592,""))</f>
        <v/>
      </c>
    </row>
    <row r="593" customFormat="false" ht="32.8" hidden="false" customHeight="false" outlineLevel="0" collapsed="false">
      <c r="A593" s="18" t="s">
        <v>2771</v>
      </c>
      <c r="B593" s="18" t="s">
        <v>60</v>
      </c>
      <c r="C593" s="18" t="s">
        <v>61</v>
      </c>
      <c r="D593" s="18" t="s">
        <v>2744</v>
      </c>
      <c r="E593" s="18" t="n">
        <v>83</v>
      </c>
      <c r="F593" s="18" t="s">
        <v>2772</v>
      </c>
      <c r="G593" s="18" t="s">
        <v>128</v>
      </c>
      <c r="H593" s="18" t="s">
        <v>129</v>
      </c>
      <c r="I593" s="18"/>
      <c r="J593" s="18"/>
      <c r="K593" s="18"/>
      <c r="L593" s="18" t="s">
        <v>129</v>
      </c>
      <c r="M593" s="18" t="s">
        <v>129</v>
      </c>
      <c r="N593" s="18"/>
      <c r="O593" s="18" t="s">
        <v>2773</v>
      </c>
      <c r="P593" s="18" t="s">
        <v>2774</v>
      </c>
      <c r="Q593" s="18" t="s">
        <v>131</v>
      </c>
      <c r="R593" s="18" t="s">
        <v>2775</v>
      </c>
      <c r="S593" s="18" t="s">
        <v>133</v>
      </c>
      <c r="T593" s="18" t="s">
        <v>2776</v>
      </c>
      <c r="U593" s="18"/>
      <c r="V593" s="19" t="s">
        <v>29</v>
      </c>
      <c r="W593" s="19"/>
      <c r="X593" s="19"/>
      <c r="Y593" s="20"/>
      <c r="Z593" s="19"/>
      <c r="AA593" s="18" t="str">
        <f aca="false">IF(OR(V593="Aprobada"),R593,IF(AND(OR(V593="Aprobada con ajuste",V593="Rechazada"),W593&lt;&gt;""),W593,""))</f>
        <v/>
      </c>
    </row>
    <row r="594" customFormat="false" ht="22.35" hidden="false" customHeight="false" outlineLevel="0" collapsed="false">
      <c r="A594" s="18" t="s">
        <v>2777</v>
      </c>
      <c r="B594" s="18" t="s">
        <v>60</v>
      </c>
      <c r="C594" s="18" t="s">
        <v>61</v>
      </c>
      <c r="D594" s="18" t="s">
        <v>2744</v>
      </c>
      <c r="E594" s="18" t="n">
        <v>83</v>
      </c>
      <c r="F594" s="18" t="s">
        <v>1918</v>
      </c>
      <c r="G594" s="18" t="s">
        <v>128</v>
      </c>
      <c r="H594" s="18" t="s">
        <v>162</v>
      </c>
      <c r="I594" s="18"/>
      <c r="J594" s="18"/>
      <c r="K594" s="18"/>
      <c r="L594" s="18" t="s">
        <v>129</v>
      </c>
      <c r="M594" s="18" t="s">
        <v>129</v>
      </c>
      <c r="N594" s="18"/>
      <c r="O594" s="18"/>
      <c r="P594" s="18" t="s">
        <v>2778</v>
      </c>
      <c r="Q594" s="18" t="s">
        <v>149</v>
      </c>
      <c r="R594" s="18" t="s">
        <v>2779</v>
      </c>
      <c r="S594" s="18" t="s">
        <v>140</v>
      </c>
      <c r="T594" s="18" t="s">
        <v>2780</v>
      </c>
      <c r="U594" s="18" t="s">
        <v>2781</v>
      </c>
      <c r="V594" s="19" t="s">
        <v>29</v>
      </c>
      <c r="W594" s="19"/>
      <c r="X594" s="19"/>
      <c r="Y594" s="20"/>
      <c r="Z594" s="19"/>
      <c r="AA594" s="18" t="str">
        <f aca="false">IF(OR(V594="Aprobada"),R594,IF(AND(OR(V594="Aprobada con ajuste",V594="Rechazada"),W594&lt;&gt;""),W594,""))</f>
        <v/>
      </c>
    </row>
    <row r="595" customFormat="false" ht="22.35" hidden="false" customHeight="false" outlineLevel="0" collapsed="false">
      <c r="A595" s="18" t="s">
        <v>2782</v>
      </c>
      <c r="B595" s="18" t="s">
        <v>60</v>
      </c>
      <c r="C595" s="18" t="s">
        <v>61</v>
      </c>
      <c r="D595" s="18" t="s">
        <v>2744</v>
      </c>
      <c r="E595" s="18" t="n">
        <v>83</v>
      </c>
      <c r="F595" s="18" t="s">
        <v>2783</v>
      </c>
      <c r="G595" s="18" t="s">
        <v>173</v>
      </c>
      <c r="H595" s="18" t="s">
        <v>129</v>
      </c>
      <c r="I595" s="18"/>
      <c r="J595" s="18"/>
      <c r="K595" s="18"/>
      <c r="L595" s="18" t="s">
        <v>129</v>
      </c>
      <c r="M595" s="18" t="s">
        <v>129</v>
      </c>
      <c r="N595" s="18"/>
      <c r="O595" s="18"/>
      <c r="P595" s="18" t="s">
        <v>2784</v>
      </c>
      <c r="Q595" s="18" t="s">
        <v>138</v>
      </c>
      <c r="R595" s="18" t="s">
        <v>2785</v>
      </c>
      <c r="S595" s="18" t="s">
        <v>140</v>
      </c>
      <c r="T595" s="18" t="s">
        <v>141</v>
      </c>
      <c r="U595" s="18"/>
      <c r="V595" s="19" t="s">
        <v>29</v>
      </c>
      <c r="W595" s="19"/>
      <c r="X595" s="19"/>
      <c r="Y595" s="20"/>
      <c r="Z595" s="19"/>
      <c r="AA595" s="18" t="str">
        <f aca="false">IF(OR(V595="Aprobada"),R595,IF(AND(OR(V595="Aprobada con ajuste",V595="Rechazada"),W595&lt;&gt;""),W595,""))</f>
        <v/>
      </c>
    </row>
    <row r="596" customFormat="false" ht="22.35" hidden="false" customHeight="false" outlineLevel="0" collapsed="false">
      <c r="A596" s="18" t="s">
        <v>2786</v>
      </c>
      <c r="B596" s="18" t="s">
        <v>60</v>
      </c>
      <c r="C596" s="18" t="s">
        <v>61</v>
      </c>
      <c r="D596" s="18" t="s">
        <v>2744</v>
      </c>
      <c r="E596" s="18" t="n">
        <v>83</v>
      </c>
      <c r="F596" s="18" t="s">
        <v>2787</v>
      </c>
      <c r="G596" s="18" t="s">
        <v>173</v>
      </c>
      <c r="H596" s="18" t="s">
        <v>129</v>
      </c>
      <c r="I596" s="18"/>
      <c r="J596" s="18"/>
      <c r="K596" s="18"/>
      <c r="L596" s="18" t="s">
        <v>129</v>
      </c>
      <c r="M596" s="18" t="s">
        <v>129</v>
      </c>
      <c r="N596" s="18"/>
      <c r="O596" s="18"/>
      <c r="P596" s="18" t="s">
        <v>2788</v>
      </c>
      <c r="Q596" s="18" t="s">
        <v>138</v>
      </c>
      <c r="R596" s="18" t="s">
        <v>2789</v>
      </c>
      <c r="S596" s="18" t="s">
        <v>140</v>
      </c>
      <c r="T596" s="18" t="s">
        <v>141</v>
      </c>
      <c r="U596" s="18"/>
      <c r="V596" s="19" t="s">
        <v>29</v>
      </c>
      <c r="W596" s="19"/>
      <c r="X596" s="19"/>
      <c r="Y596" s="20"/>
      <c r="Z596" s="19"/>
      <c r="AA596" s="18" t="str">
        <f aca="false">IF(OR(V596="Aprobada"),R596,IF(AND(OR(V596="Aprobada con ajuste",V596="Rechazada"),W596&lt;&gt;""),W596,""))</f>
        <v/>
      </c>
    </row>
    <row r="597" customFormat="false" ht="22.35" hidden="false" customHeight="false" outlineLevel="0" collapsed="false">
      <c r="A597" s="18" t="s">
        <v>2790</v>
      </c>
      <c r="B597" s="18" t="s">
        <v>60</v>
      </c>
      <c r="C597" s="18" t="s">
        <v>61</v>
      </c>
      <c r="D597" s="18" t="s">
        <v>2744</v>
      </c>
      <c r="E597" s="18" t="n">
        <v>83</v>
      </c>
      <c r="F597" s="18" t="s">
        <v>191</v>
      </c>
      <c r="G597" s="18" t="s">
        <v>192</v>
      </c>
      <c r="H597" s="18" t="s">
        <v>162</v>
      </c>
      <c r="I597" s="18"/>
      <c r="J597" s="18"/>
      <c r="K597" s="18"/>
      <c r="L597" s="18" t="s">
        <v>129</v>
      </c>
      <c r="M597" s="18" t="s">
        <v>129</v>
      </c>
      <c r="N597" s="18"/>
      <c r="O597" s="18"/>
      <c r="P597" s="18" t="s">
        <v>2791</v>
      </c>
      <c r="Q597" s="18" t="s">
        <v>138</v>
      </c>
      <c r="R597" s="18" t="s">
        <v>194</v>
      </c>
      <c r="S597" s="18" t="s">
        <v>140</v>
      </c>
      <c r="T597" s="18" t="s">
        <v>141</v>
      </c>
      <c r="U597" s="18"/>
      <c r="V597" s="19" t="s">
        <v>29</v>
      </c>
      <c r="W597" s="19"/>
      <c r="X597" s="19"/>
      <c r="Y597" s="20"/>
      <c r="Z597" s="19"/>
      <c r="AA597" s="18" t="str">
        <f aca="false">IF(OR(V597="Aprobada"),R597,IF(AND(OR(V597="Aprobada con ajuste",V597="Rechazada"),W597&lt;&gt;""),W597,""))</f>
        <v/>
      </c>
    </row>
    <row r="598" customFormat="false" ht="22.35" hidden="false" customHeight="false" outlineLevel="0" collapsed="false">
      <c r="A598" s="18" t="s">
        <v>2792</v>
      </c>
      <c r="B598" s="18" t="s">
        <v>60</v>
      </c>
      <c r="C598" s="18" t="s">
        <v>61</v>
      </c>
      <c r="D598" s="18" t="s">
        <v>2793</v>
      </c>
      <c r="E598" s="18" t="n">
        <v>2</v>
      </c>
      <c r="F598" s="18" t="s">
        <v>275</v>
      </c>
      <c r="G598" s="18" t="s">
        <v>128</v>
      </c>
      <c r="H598" s="18" t="s">
        <v>129</v>
      </c>
      <c r="I598" s="18"/>
      <c r="J598" s="18"/>
      <c r="K598" s="18"/>
      <c r="L598" s="18" t="s">
        <v>129</v>
      </c>
      <c r="M598" s="18" t="s">
        <v>129</v>
      </c>
      <c r="N598" s="18"/>
      <c r="O598" s="18"/>
      <c r="P598" s="18" t="s">
        <v>2794</v>
      </c>
      <c r="Q598" s="18" t="s">
        <v>138</v>
      </c>
      <c r="R598" s="18" t="s">
        <v>2795</v>
      </c>
      <c r="S598" s="18" t="s">
        <v>140</v>
      </c>
      <c r="T598" s="18" t="s">
        <v>141</v>
      </c>
      <c r="U598" s="18"/>
      <c r="V598" s="19" t="s">
        <v>29</v>
      </c>
      <c r="W598" s="19"/>
      <c r="X598" s="19"/>
      <c r="Y598" s="20"/>
      <c r="Z598" s="19"/>
      <c r="AA598" s="18" t="str">
        <f aca="false">IF(OR(V598="Aprobada"),R598,IF(AND(OR(V598="Aprobada con ajuste",V598="Rechazada"),W598&lt;&gt;""),W598,""))</f>
        <v/>
      </c>
    </row>
    <row r="599" customFormat="false" ht="22.35" hidden="false" customHeight="false" outlineLevel="0" collapsed="false">
      <c r="A599" s="18" t="s">
        <v>2796</v>
      </c>
      <c r="B599" s="18" t="s">
        <v>60</v>
      </c>
      <c r="C599" s="18" t="s">
        <v>61</v>
      </c>
      <c r="D599" s="18" t="s">
        <v>2793</v>
      </c>
      <c r="E599" s="18" t="n">
        <v>2</v>
      </c>
      <c r="F599" s="18" t="s">
        <v>2797</v>
      </c>
      <c r="G599" s="18" t="s">
        <v>128</v>
      </c>
      <c r="H599" s="18" t="s">
        <v>129</v>
      </c>
      <c r="I599" s="18"/>
      <c r="J599" s="18"/>
      <c r="K599" s="18"/>
      <c r="L599" s="18" t="s">
        <v>129</v>
      </c>
      <c r="M599" s="18" t="s">
        <v>129</v>
      </c>
      <c r="N599" s="18"/>
      <c r="O599" s="18"/>
      <c r="P599" s="18" t="s">
        <v>2798</v>
      </c>
      <c r="Q599" s="18" t="s">
        <v>149</v>
      </c>
      <c r="R599" s="18" t="s">
        <v>2799</v>
      </c>
      <c r="S599" s="18" t="s">
        <v>140</v>
      </c>
      <c r="T599" s="18" t="s">
        <v>183</v>
      </c>
      <c r="U599" s="18" t="s">
        <v>2800</v>
      </c>
      <c r="V599" s="19" t="s">
        <v>29</v>
      </c>
      <c r="W599" s="19"/>
      <c r="X599" s="19"/>
      <c r="Y599" s="20"/>
      <c r="Z599" s="19"/>
      <c r="AA599" s="18" t="str">
        <f aca="false">IF(OR(V599="Aprobada"),R599,IF(AND(OR(V599="Aprobada con ajuste",V599="Rechazada"),W599&lt;&gt;""),W599,""))</f>
        <v/>
      </c>
    </row>
    <row r="600" customFormat="false" ht="22.35" hidden="false" customHeight="false" outlineLevel="0" collapsed="false">
      <c r="A600" s="18" t="s">
        <v>2801</v>
      </c>
      <c r="B600" s="18" t="s">
        <v>60</v>
      </c>
      <c r="C600" s="18" t="s">
        <v>61</v>
      </c>
      <c r="D600" s="18" t="s">
        <v>2793</v>
      </c>
      <c r="E600" s="18" t="n">
        <v>2</v>
      </c>
      <c r="F600" s="18" t="s">
        <v>2802</v>
      </c>
      <c r="G600" s="18" t="s">
        <v>503</v>
      </c>
      <c r="H600" s="18" t="s">
        <v>129</v>
      </c>
      <c r="I600" s="18"/>
      <c r="J600" s="18"/>
      <c r="K600" s="18"/>
      <c r="L600" s="18" t="s">
        <v>129</v>
      </c>
      <c r="M600" s="18" t="s">
        <v>129</v>
      </c>
      <c r="N600" s="18"/>
      <c r="O600" s="18"/>
      <c r="P600" s="18" t="s">
        <v>2803</v>
      </c>
      <c r="Q600" s="18" t="s">
        <v>149</v>
      </c>
      <c r="R600" s="18" t="s">
        <v>2804</v>
      </c>
      <c r="S600" s="18" t="s">
        <v>133</v>
      </c>
      <c r="T600" s="18" t="s">
        <v>169</v>
      </c>
      <c r="U600" s="18"/>
      <c r="V600" s="19" t="s">
        <v>29</v>
      </c>
      <c r="W600" s="19"/>
      <c r="X600" s="19"/>
      <c r="Y600" s="20"/>
      <c r="Z600" s="19"/>
      <c r="AA600" s="18" t="str">
        <f aca="false">IF(OR(V600="Aprobada"),R600,IF(AND(OR(V600="Aprobada con ajuste",V600="Rechazada"),W600&lt;&gt;""),W600,""))</f>
        <v/>
      </c>
    </row>
    <row r="601" customFormat="false" ht="22.35" hidden="false" customHeight="false" outlineLevel="0" collapsed="false">
      <c r="A601" s="18" t="s">
        <v>2805</v>
      </c>
      <c r="B601" s="18" t="s">
        <v>60</v>
      </c>
      <c r="C601" s="18" t="s">
        <v>61</v>
      </c>
      <c r="D601" s="18" t="s">
        <v>2793</v>
      </c>
      <c r="E601" s="18" t="n">
        <v>2</v>
      </c>
      <c r="F601" s="18" t="s">
        <v>281</v>
      </c>
      <c r="G601" s="18" t="s">
        <v>128</v>
      </c>
      <c r="H601" s="18" t="s">
        <v>162</v>
      </c>
      <c r="I601" s="18"/>
      <c r="J601" s="18"/>
      <c r="K601" s="18"/>
      <c r="L601" s="18" t="s">
        <v>129</v>
      </c>
      <c r="M601" s="18" t="s">
        <v>129</v>
      </c>
      <c r="N601" s="18"/>
      <c r="O601" s="18"/>
      <c r="P601" s="18" t="s">
        <v>2806</v>
      </c>
      <c r="Q601" s="18" t="s">
        <v>149</v>
      </c>
      <c r="R601" s="18" t="s">
        <v>2807</v>
      </c>
      <c r="S601" s="18" t="s">
        <v>242</v>
      </c>
      <c r="T601" s="18" t="s">
        <v>183</v>
      </c>
      <c r="U601" s="18" t="s">
        <v>2808</v>
      </c>
      <c r="V601" s="19" t="s">
        <v>29</v>
      </c>
      <c r="W601" s="19"/>
      <c r="X601" s="19"/>
      <c r="Y601" s="20"/>
      <c r="Z601" s="19"/>
      <c r="AA601" s="18" t="str">
        <f aca="false">IF(OR(V601="Aprobada"),R601,IF(AND(OR(V601="Aprobada con ajuste",V601="Rechazada"),W601&lt;&gt;""),W601,""))</f>
        <v/>
      </c>
    </row>
    <row r="602" customFormat="false" ht="22.35" hidden="false" customHeight="false" outlineLevel="0" collapsed="false">
      <c r="A602" s="18" t="s">
        <v>2809</v>
      </c>
      <c r="B602" s="18" t="s">
        <v>60</v>
      </c>
      <c r="C602" s="18" t="s">
        <v>61</v>
      </c>
      <c r="D602" s="18" t="s">
        <v>2793</v>
      </c>
      <c r="E602" s="18" t="n">
        <v>2</v>
      </c>
      <c r="F602" s="18" t="s">
        <v>2810</v>
      </c>
      <c r="G602" s="18" t="s">
        <v>128</v>
      </c>
      <c r="H602" s="18" t="s">
        <v>162</v>
      </c>
      <c r="I602" s="18"/>
      <c r="J602" s="18"/>
      <c r="K602" s="18"/>
      <c r="L602" s="18" t="s">
        <v>129</v>
      </c>
      <c r="M602" s="18" t="s">
        <v>129</v>
      </c>
      <c r="N602" s="18"/>
      <c r="O602" s="18"/>
      <c r="P602" s="18" t="s">
        <v>2811</v>
      </c>
      <c r="Q602" s="18" t="s">
        <v>149</v>
      </c>
      <c r="R602" s="18" t="s">
        <v>2812</v>
      </c>
      <c r="S602" s="18" t="s">
        <v>133</v>
      </c>
      <c r="T602" s="18" t="s">
        <v>183</v>
      </c>
      <c r="U602" s="18"/>
      <c r="V602" s="19" t="s">
        <v>29</v>
      </c>
      <c r="W602" s="19"/>
      <c r="X602" s="19"/>
      <c r="Y602" s="20"/>
      <c r="Z602" s="19"/>
      <c r="AA602" s="18" t="str">
        <f aca="false">IF(OR(V602="Aprobada"),R602,IF(AND(OR(V602="Aprobada con ajuste",V602="Rechazada"),W602&lt;&gt;""),W602,""))</f>
        <v/>
      </c>
    </row>
    <row r="603" customFormat="false" ht="22.35" hidden="false" customHeight="false" outlineLevel="0" collapsed="false">
      <c r="A603" s="18" t="s">
        <v>2813</v>
      </c>
      <c r="B603" s="18" t="s">
        <v>60</v>
      </c>
      <c r="C603" s="18" t="s">
        <v>61</v>
      </c>
      <c r="D603" s="18" t="s">
        <v>2793</v>
      </c>
      <c r="E603" s="18" t="n">
        <v>2</v>
      </c>
      <c r="F603" s="18" t="s">
        <v>2814</v>
      </c>
      <c r="G603" s="18" t="s">
        <v>503</v>
      </c>
      <c r="H603" s="18" t="s">
        <v>129</v>
      </c>
      <c r="I603" s="18"/>
      <c r="J603" s="18"/>
      <c r="K603" s="18"/>
      <c r="L603" s="18" t="s">
        <v>129</v>
      </c>
      <c r="M603" s="18" t="s">
        <v>129</v>
      </c>
      <c r="N603" s="18"/>
      <c r="O603" s="18"/>
      <c r="P603" s="18" t="s">
        <v>2815</v>
      </c>
      <c r="Q603" s="18" t="s">
        <v>149</v>
      </c>
      <c r="R603" s="18" t="s">
        <v>2816</v>
      </c>
      <c r="S603" s="18" t="s">
        <v>140</v>
      </c>
      <c r="T603" s="18" t="s">
        <v>169</v>
      </c>
      <c r="U603" s="18" t="s">
        <v>2817</v>
      </c>
      <c r="V603" s="19" t="s">
        <v>29</v>
      </c>
      <c r="W603" s="19"/>
      <c r="X603" s="19"/>
      <c r="Y603" s="20"/>
      <c r="Z603" s="19"/>
      <c r="AA603" s="18" t="str">
        <f aca="false">IF(OR(V603="Aprobada"),R603,IF(AND(OR(V603="Aprobada con ajuste",V603="Rechazada"),W603&lt;&gt;""),W603,""))</f>
        <v/>
      </c>
    </row>
    <row r="604" customFormat="false" ht="22.35" hidden="false" customHeight="false" outlineLevel="0" collapsed="false">
      <c r="A604" s="18" t="s">
        <v>2818</v>
      </c>
      <c r="B604" s="18" t="s">
        <v>60</v>
      </c>
      <c r="C604" s="18" t="s">
        <v>61</v>
      </c>
      <c r="D604" s="18" t="s">
        <v>2793</v>
      </c>
      <c r="E604" s="18" t="n">
        <v>2</v>
      </c>
      <c r="F604" s="18" t="s">
        <v>2819</v>
      </c>
      <c r="G604" s="18" t="s">
        <v>128</v>
      </c>
      <c r="H604" s="18" t="s">
        <v>162</v>
      </c>
      <c r="I604" s="18"/>
      <c r="J604" s="18"/>
      <c r="K604" s="18"/>
      <c r="L604" s="18" t="s">
        <v>129</v>
      </c>
      <c r="M604" s="18" t="s">
        <v>129</v>
      </c>
      <c r="N604" s="18"/>
      <c r="O604" s="18"/>
      <c r="P604" s="18"/>
      <c r="Q604" s="18" t="s">
        <v>149</v>
      </c>
      <c r="R604" s="18" t="s">
        <v>2820</v>
      </c>
      <c r="S604" s="18" t="s">
        <v>133</v>
      </c>
      <c r="T604" s="18" t="s">
        <v>183</v>
      </c>
      <c r="U604" s="18"/>
      <c r="V604" s="19" t="s">
        <v>29</v>
      </c>
      <c r="W604" s="19"/>
      <c r="X604" s="19"/>
      <c r="Y604" s="20"/>
      <c r="Z604" s="19"/>
      <c r="AA604" s="18" t="str">
        <f aca="false">IF(OR(V604="Aprobada"),R604,IF(AND(OR(V604="Aprobada con ajuste",V604="Rechazada"),W604&lt;&gt;""),W604,""))</f>
        <v/>
      </c>
    </row>
    <row r="605" customFormat="false" ht="22.35" hidden="false" customHeight="false" outlineLevel="0" collapsed="false">
      <c r="A605" s="18" t="s">
        <v>2821</v>
      </c>
      <c r="B605" s="18" t="s">
        <v>60</v>
      </c>
      <c r="C605" s="18" t="s">
        <v>61</v>
      </c>
      <c r="D605" s="18" t="s">
        <v>2793</v>
      </c>
      <c r="E605" s="18" t="n">
        <v>2</v>
      </c>
      <c r="F605" s="18" t="s">
        <v>2822</v>
      </c>
      <c r="G605" s="18" t="s">
        <v>128</v>
      </c>
      <c r="H605" s="18" t="s">
        <v>162</v>
      </c>
      <c r="I605" s="18"/>
      <c r="J605" s="18"/>
      <c r="K605" s="18"/>
      <c r="L605" s="18" t="s">
        <v>129</v>
      </c>
      <c r="M605" s="18" t="s">
        <v>129</v>
      </c>
      <c r="N605" s="18"/>
      <c r="O605" s="18"/>
      <c r="P605" s="18" t="s">
        <v>2823</v>
      </c>
      <c r="Q605" s="18" t="s">
        <v>149</v>
      </c>
      <c r="R605" s="18" t="s">
        <v>2824</v>
      </c>
      <c r="S605" s="18" t="s">
        <v>133</v>
      </c>
      <c r="T605" s="18" t="s">
        <v>183</v>
      </c>
      <c r="U605" s="18"/>
      <c r="V605" s="19" t="s">
        <v>29</v>
      </c>
      <c r="W605" s="19"/>
      <c r="X605" s="19"/>
      <c r="Y605" s="20"/>
      <c r="Z605" s="19"/>
      <c r="AA605" s="18" t="str">
        <f aca="false">IF(OR(V605="Aprobada"),R605,IF(AND(OR(V605="Aprobada con ajuste",V605="Rechazada"),W605&lt;&gt;""),W605,""))</f>
        <v/>
      </c>
    </row>
    <row r="606" customFormat="false" ht="22.35" hidden="false" customHeight="false" outlineLevel="0" collapsed="false">
      <c r="A606" s="18" t="s">
        <v>2825</v>
      </c>
      <c r="B606" s="18" t="s">
        <v>60</v>
      </c>
      <c r="C606" s="18" t="s">
        <v>61</v>
      </c>
      <c r="D606" s="18" t="s">
        <v>2793</v>
      </c>
      <c r="E606" s="18" t="n">
        <v>2</v>
      </c>
      <c r="F606" s="18" t="s">
        <v>2826</v>
      </c>
      <c r="G606" s="18" t="s">
        <v>128</v>
      </c>
      <c r="H606" s="18" t="s">
        <v>162</v>
      </c>
      <c r="I606" s="18"/>
      <c r="J606" s="18"/>
      <c r="K606" s="18"/>
      <c r="L606" s="18" t="s">
        <v>129</v>
      </c>
      <c r="M606" s="18" t="s">
        <v>129</v>
      </c>
      <c r="N606" s="18"/>
      <c r="O606" s="18"/>
      <c r="P606" s="18" t="s">
        <v>2827</v>
      </c>
      <c r="Q606" s="18" t="s">
        <v>149</v>
      </c>
      <c r="R606" s="18" t="s">
        <v>2828</v>
      </c>
      <c r="S606" s="18" t="s">
        <v>140</v>
      </c>
      <c r="T606" s="18" t="s">
        <v>183</v>
      </c>
      <c r="U606" s="18" t="s">
        <v>2829</v>
      </c>
      <c r="V606" s="19" t="s">
        <v>29</v>
      </c>
      <c r="W606" s="19"/>
      <c r="X606" s="19"/>
      <c r="Y606" s="20"/>
      <c r="Z606" s="19"/>
      <c r="AA606" s="18" t="str">
        <f aca="false">IF(OR(V606="Aprobada"),R606,IF(AND(OR(V606="Aprobada con ajuste",V606="Rechazada"),W606&lt;&gt;""),W606,""))</f>
        <v/>
      </c>
    </row>
    <row r="607" customFormat="false" ht="22.35" hidden="false" customHeight="false" outlineLevel="0" collapsed="false">
      <c r="A607" s="18" t="s">
        <v>2830</v>
      </c>
      <c r="B607" s="18" t="s">
        <v>60</v>
      </c>
      <c r="C607" s="18" t="s">
        <v>61</v>
      </c>
      <c r="D607" s="18" t="s">
        <v>2793</v>
      </c>
      <c r="E607" s="18" t="n">
        <v>2</v>
      </c>
      <c r="F607" s="18" t="s">
        <v>160</v>
      </c>
      <c r="G607" s="18" t="s">
        <v>128</v>
      </c>
      <c r="H607" s="18" t="s">
        <v>162</v>
      </c>
      <c r="I607" s="18"/>
      <c r="J607" s="18"/>
      <c r="K607" s="18"/>
      <c r="L607" s="18" t="s">
        <v>129</v>
      </c>
      <c r="M607" s="18" t="s">
        <v>129</v>
      </c>
      <c r="N607" s="18"/>
      <c r="O607" s="18"/>
      <c r="P607" s="18" t="s">
        <v>2831</v>
      </c>
      <c r="Q607" s="18" t="s">
        <v>138</v>
      </c>
      <c r="R607" s="18" t="s">
        <v>2832</v>
      </c>
      <c r="S607" s="18" t="s">
        <v>140</v>
      </c>
      <c r="T607" s="18" t="s">
        <v>141</v>
      </c>
      <c r="U607" s="18"/>
      <c r="V607" s="19" t="s">
        <v>29</v>
      </c>
      <c r="W607" s="19"/>
      <c r="X607" s="19"/>
      <c r="Y607" s="20"/>
      <c r="Z607" s="19"/>
      <c r="AA607" s="18" t="str">
        <f aca="false">IF(OR(V607="Aprobada"),R607,IF(AND(OR(V607="Aprobada con ajuste",V607="Rechazada"),W607&lt;&gt;""),W607,""))</f>
        <v/>
      </c>
    </row>
    <row r="608" customFormat="false" ht="22.35" hidden="false" customHeight="false" outlineLevel="0" collapsed="false">
      <c r="A608" s="18" t="s">
        <v>2833</v>
      </c>
      <c r="B608" s="18" t="s">
        <v>60</v>
      </c>
      <c r="C608" s="18" t="s">
        <v>61</v>
      </c>
      <c r="D608" s="18" t="s">
        <v>2793</v>
      </c>
      <c r="E608" s="18" t="n">
        <v>2</v>
      </c>
      <c r="F608" s="18" t="s">
        <v>185</v>
      </c>
      <c r="G608" s="18" t="s">
        <v>128</v>
      </c>
      <c r="H608" s="18" t="s">
        <v>129</v>
      </c>
      <c r="I608" s="18"/>
      <c r="J608" s="18"/>
      <c r="K608" s="18"/>
      <c r="L608" s="18" t="s">
        <v>129</v>
      </c>
      <c r="M608" s="18" t="s">
        <v>129</v>
      </c>
      <c r="N608" s="18"/>
      <c r="O608" s="18"/>
      <c r="P608" s="18" t="s">
        <v>2834</v>
      </c>
      <c r="Q608" s="18" t="s">
        <v>138</v>
      </c>
      <c r="R608" s="18" t="s">
        <v>2835</v>
      </c>
      <c r="S608" s="18" t="s">
        <v>140</v>
      </c>
      <c r="T608" s="18" t="s">
        <v>141</v>
      </c>
      <c r="U608" s="18"/>
      <c r="V608" s="19" t="s">
        <v>29</v>
      </c>
      <c r="W608" s="19"/>
      <c r="X608" s="19"/>
      <c r="Y608" s="20"/>
      <c r="Z608" s="19"/>
      <c r="AA608" s="18" t="str">
        <f aca="false">IF(OR(V608="Aprobada"),R608,IF(AND(OR(V608="Aprobada con ajuste",V608="Rechazada"),W608&lt;&gt;""),W608,""))</f>
        <v/>
      </c>
    </row>
    <row r="609" customFormat="false" ht="22.35" hidden="false" customHeight="false" outlineLevel="0" collapsed="false">
      <c r="A609" s="18" t="s">
        <v>2836</v>
      </c>
      <c r="B609" s="18" t="s">
        <v>60</v>
      </c>
      <c r="C609" s="18" t="s">
        <v>61</v>
      </c>
      <c r="D609" s="18" t="s">
        <v>2793</v>
      </c>
      <c r="E609" s="18" t="n">
        <v>2</v>
      </c>
      <c r="F609" s="18" t="s">
        <v>2837</v>
      </c>
      <c r="G609" s="18" t="s">
        <v>128</v>
      </c>
      <c r="H609" s="18" t="s">
        <v>129</v>
      </c>
      <c r="I609" s="18"/>
      <c r="J609" s="18"/>
      <c r="K609" s="18"/>
      <c r="L609" s="18" t="s">
        <v>129</v>
      </c>
      <c r="M609" s="18" t="s">
        <v>129</v>
      </c>
      <c r="N609" s="18"/>
      <c r="O609" s="18" t="s">
        <v>2838</v>
      </c>
      <c r="P609" s="18" t="s">
        <v>2839</v>
      </c>
      <c r="Q609" s="18" t="s">
        <v>149</v>
      </c>
      <c r="R609" s="18" t="s">
        <v>2840</v>
      </c>
      <c r="S609" s="18" t="s">
        <v>140</v>
      </c>
      <c r="T609" s="18" t="s">
        <v>169</v>
      </c>
      <c r="U609" s="18" t="s">
        <v>2841</v>
      </c>
      <c r="V609" s="19" t="s">
        <v>29</v>
      </c>
      <c r="W609" s="19"/>
      <c r="X609" s="19"/>
      <c r="Y609" s="20"/>
      <c r="Z609" s="19"/>
      <c r="AA609" s="18" t="str">
        <f aca="false">IF(OR(V609="Aprobada"),R609,IF(AND(OR(V609="Aprobada con ajuste",V609="Rechazada"),W609&lt;&gt;""),W609,""))</f>
        <v/>
      </c>
    </row>
    <row r="610" customFormat="false" ht="22.35" hidden="false" customHeight="false" outlineLevel="0" collapsed="false">
      <c r="A610" s="18" t="s">
        <v>2842</v>
      </c>
      <c r="B610" s="18" t="s">
        <v>60</v>
      </c>
      <c r="C610" s="18" t="s">
        <v>61</v>
      </c>
      <c r="D610" s="18" t="s">
        <v>2793</v>
      </c>
      <c r="E610" s="18" t="n">
        <v>2</v>
      </c>
      <c r="F610" s="18" t="s">
        <v>2843</v>
      </c>
      <c r="G610" s="18" t="s">
        <v>128</v>
      </c>
      <c r="H610" s="18" t="s">
        <v>162</v>
      </c>
      <c r="I610" s="18"/>
      <c r="J610" s="18"/>
      <c r="K610" s="18"/>
      <c r="L610" s="18" t="s">
        <v>129</v>
      </c>
      <c r="M610" s="18" t="s">
        <v>129</v>
      </c>
      <c r="N610" s="18"/>
      <c r="O610" s="18"/>
      <c r="P610" s="18" t="s">
        <v>2844</v>
      </c>
      <c r="Q610" s="18" t="s">
        <v>149</v>
      </c>
      <c r="R610" s="18" t="s">
        <v>2845</v>
      </c>
      <c r="S610" s="18" t="s">
        <v>140</v>
      </c>
      <c r="T610" s="18" t="s">
        <v>183</v>
      </c>
      <c r="U610" s="18" t="s">
        <v>2846</v>
      </c>
      <c r="V610" s="19" t="s">
        <v>29</v>
      </c>
      <c r="W610" s="19"/>
      <c r="X610" s="19"/>
      <c r="Y610" s="20"/>
      <c r="Z610" s="19"/>
      <c r="AA610" s="18" t="str">
        <f aca="false">IF(OR(V610="Aprobada"),R610,IF(AND(OR(V610="Aprobada con ajuste",V610="Rechazada"),W610&lt;&gt;""),W610,""))</f>
        <v/>
      </c>
    </row>
    <row r="611" customFormat="false" ht="22.35" hidden="false" customHeight="false" outlineLevel="0" collapsed="false">
      <c r="A611" s="18" t="s">
        <v>2847</v>
      </c>
      <c r="B611" s="18" t="s">
        <v>60</v>
      </c>
      <c r="C611" s="18" t="s">
        <v>61</v>
      </c>
      <c r="D611" s="18" t="s">
        <v>2793</v>
      </c>
      <c r="E611" s="18" t="n">
        <v>2</v>
      </c>
      <c r="F611" s="18" t="s">
        <v>2848</v>
      </c>
      <c r="G611" s="18" t="s">
        <v>584</v>
      </c>
      <c r="H611" s="18" t="s">
        <v>162</v>
      </c>
      <c r="I611" s="18"/>
      <c r="J611" s="18"/>
      <c r="K611" s="18"/>
      <c r="L611" s="18" t="s">
        <v>129</v>
      </c>
      <c r="M611" s="18" t="s">
        <v>129</v>
      </c>
      <c r="N611" s="18"/>
      <c r="O611" s="18"/>
      <c r="P611" s="18"/>
      <c r="Q611" s="18" t="s">
        <v>149</v>
      </c>
      <c r="R611" s="18" t="s">
        <v>2849</v>
      </c>
      <c r="S611" s="18" t="s">
        <v>133</v>
      </c>
      <c r="T611" s="18" t="s">
        <v>183</v>
      </c>
      <c r="U611" s="18"/>
      <c r="V611" s="19" t="s">
        <v>29</v>
      </c>
      <c r="W611" s="19"/>
      <c r="X611" s="19"/>
      <c r="Y611" s="20"/>
      <c r="Z611" s="19"/>
      <c r="AA611" s="18" t="str">
        <f aca="false">IF(OR(V611="Aprobada"),R611,IF(AND(OR(V611="Aprobada con ajuste",V611="Rechazada"),W611&lt;&gt;""),W611,""))</f>
        <v/>
      </c>
    </row>
    <row r="612" customFormat="false" ht="22.35" hidden="false" customHeight="false" outlineLevel="0" collapsed="false">
      <c r="A612" s="18" t="s">
        <v>2850</v>
      </c>
      <c r="B612" s="18" t="s">
        <v>60</v>
      </c>
      <c r="C612" s="18" t="s">
        <v>61</v>
      </c>
      <c r="D612" s="18" t="s">
        <v>2793</v>
      </c>
      <c r="E612" s="18" t="n">
        <v>2</v>
      </c>
      <c r="F612" s="18" t="s">
        <v>2851</v>
      </c>
      <c r="G612" s="18" t="s">
        <v>128</v>
      </c>
      <c r="H612" s="18" t="s">
        <v>162</v>
      </c>
      <c r="I612" s="18"/>
      <c r="J612" s="18"/>
      <c r="K612" s="18"/>
      <c r="L612" s="18" t="s">
        <v>129</v>
      </c>
      <c r="M612" s="18" t="s">
        <v>129</v>
      </c>
      <c r="N612" s="18"/>
      <c r="O612" s="18"/>
      <c r="P612" s="18" t="s">
        <v>2852</v>
      </c>
      <c r="Q612" s="18" t="s">
        <v>149</v>
      </c>
      <c r="R612" s="18" t="s">
        <v>2853</v>
      </c>
      <c r="S612" s="18" t="s">
        <v>133</v>
      </c>
      <c r="T612" s="18" t="s">
        <v>183</v>
      </c>
      <c r="U612" s="18"/>
      <c r="V612" s="19" t="s">
        <v>29</v>
      </c>
      <c r="W612" s="19"/>
      <c r="X612" s="19"/>
      <c r="Y612" s="20"/>
      <c r="Z612" s="19"/>
      <c r="AA612" s="18" t="str">
        <f aca="false">IF(OR(V612="Aprobada"),R612,IF(AND(OR(V612="Aprobada con ajuste",V612="Rechazada"),W612&lt;&gt;""),W612,""))</f>
        <v/>
      </c>
    </row>
    <row r="613" customFormat="false" ht="43.25" hidden="false" customHeight="false" outlineLevel="0" collapsed="false">
      <c r="A613" s="18" t="s">
        <v>2854</v>
      </c>
      <c r="B613" s="18" t="s">
        <v>60</v>
      </c>
      <c r="C613" s="18" t="s">
        <v>61</v>
      </c>
      <c r="D613" s="18" t="s">
        <v>2793</v>
      </c>
      <c r="E613" s="18" t="n">
        <v>2</v>
      </c>
      <c r="F613" s="18" t="s">
        <v>2855</v>
      </c>
      <c r="G613" s="18" t="s">
        <v>128</v>
      </c>
      <c r="H613" s="18" t="s">
        <v>162</v>
      </c>
      <c r="I613" s="18"/>
      <c r="J613" s="18"/>
      <c r="K613" s="18"/>
      <c r="L613" s="18" t="s">
        <v>129</v>
      </c>
      <c r="M613" s="18" t="s">
        <v>129</v>
      </c>
      <c r="N613" s="18"/>
      <c r="O613" s="18"/>
      <c r="P613" s="18" t="s">
        <v>2856</v>
      </c>
      <c r="Q613" s="18" t="s">
        <v>131</v>
      </c>
      <c r="R613" s="18" t="s">
        <v>2857</v>
      </c>
      <c r="S613" s="18" t="s">
        <v>133</v>
      </c>
      <c r="T613" s="18" t="s">
        <v>2858</v>
      </c>
      <c r="U613" s="18"/>
      <c r="V613" s="19" t="s">
        <v>29</v>
      </c>
      <c r="W613" s="19"/>
      <c r="X613" s="19"/>
      <c r="Y613" s="20"/>
      <c r="Z613" s="19"/>
      <c r="AA613" s="18" t="str">
        <f aca="false">IF(OR(V613="Aprobada"),R613,IF(AND(OR(V613="Aprobada con ajuste",V613="Rechazada"),W613&lt;&gt;""),W613,""))</f>
        <v/>
      </c>
    </row>
    <row r="614" customFormat="false" ht="32.8" hidden="false" customHeight="false" outlineLevel="0" collapsed="false">
      <c r="A614" s="18" t="s">
        <v>2859</v>
      </c>
      <c r="B614" s="18" t="s">
        <v>60</v>
      </c>
      <c r="C614" s="18" t="s">
        <v>61</v>
      </c>
      <c r="D614" s="18" t="s">
        <v>2860</v>
      </c>
      <c r="E614" s="18" t="n">
        <v>3</v>
      </c>
      <c r="F614" s="18" t="s">
        <v>2861</v>
      </c>
      <c r="G614" s="18" t="s">
        <v>128</v>
      </c>
      <c r="H614" s="18" t="s">
        <v>129</v>
      </c>
      <c r="I614" s="18"/>
      <c r="J614" s="18"/>
      <c r="K614" s="18"/>
      <c r="L614" s="18" t="s">
        <v>129</v>
      </c>
      <c r="M614" s="18" t="s">
        <v>129</v>
      </c>
      <c r="N614" s="18"/>
      <c r="O614" s="18" t="s">
        <v>2862</v>
      </c>
      <c r="P614" s="18" t="s">
        <v>2863</v>
      </c>
      <c r="Q614" s="18" t="s">
        <v>149</v>
      </c>
      <c r="R614" s="18" t="s">
        <v>2864</v>
      </c>
      <c r="S614" s="18" t="s">
        <v>140</v>
      </c>
      <c r="T614" s="18" t="s">
        <v>2865</v>
      </c>
      <c r="U614" s="18" t="s">
        <v>2866</v>
      </c>
      <c r="V614" s="19" t="s">
        <v>29</v>
      </c>
      <c r="W614" s="19"/>
      <c r="X614" s="19"/>
      <c r="Y614" s="20"/>
      <c r="Z614" s="19"/>
      <c r="AA614" s="18" t="str">
        <f aca="false">IF(OR(V614="Aprobada"),R614,IF(AND(OR(V614="Aprobada con ajuste",V614="Rechazada"),W614&lt;&gt;""),W614,""))</f>
        <v/>
      </c>
    </row>
    <row r="615" customFormat="false" ht="32.8" hidden="false" customHeight="false" outlineLevel="0" collapsed="false">
      <c r="A615" s="18" t="s">
        <v>2867</v>
      </c>
      <c r="B615" s="18" t="s">
        <v>60</v>
      </c>
      <c r="C615" s="18" t="s">
        <v>61</v>
      </c>
      <c r="D615" s="18" t="s">
        <v>2860</v>
      </c>
      <c r="E615" s="18" t="n">
        <v>3</v>
      </c>
      <c r="F615" s="18" t="s">
        <v>2868</v>
      </c>
      <c r="G615" s="18" t="s">
        <v>128</v>
      </c>
      <c r="H615" s="18" t="s">
        <v>162</v>
      </c>
      <c r="I615" s="18"/>
      <c r="J615" s="18"/>
      <c r="K615" s="18"/>
      <c r="L615" s="18" t="s">
        <v>129</v>
      </c>
      <c r="M615" s="18" t="s">
        <v>129</v>
      </c>
      <c r="N615" s="18"/>
      <c r="O615" s="18"/>
      <c r="P615" s="18" t="s">
        <v>2869</v>
      </c>
      <c r="Q615" s="18" t="s">
        <v>149</v>
      </c>
      <c r="R615" s="18" t="s">
        <v>2870</v>
      </c>
      <c r="S615" s="18" t="s">
        <v>133</v>
      </c>
      <c r="T615" s="18" t="s">
        <v>183</v>
      </c>
      <c r="U615" s="18"/>
      <c r="V615" s="19" t="s">
        <v>29</v>
      </c>
      <c r="W615" s="19"/>
      <c r="X615" s="19"/>
      <c r="Y615" s="20"/>
      <c r="Z615" s="19"/>
      <c r="AA615" s="18" t="str">
        <f aca="false">IF(OR(V615="Aprobada"),R615,IF(AND(OR(V615="Aprobada con ajuste",V615="Rechazada"),W615&lt;&gt;""),W615,""))</f>
        <v/>
      </c>
    </row>
    <row r="616" customFormat="false" ht="43.25" hidden="false" customHeight="false" outlineLevel="0" collapsed="false">
      <c r="A616" s="18" t="s">
        <v>2871</v>
      </c>
      <c r="B616" s="18" t="s">
        <v>60</v>
      </c>
      <c r="C616" s="18" t="s">
        <v>61</v>
      </c>
      <c r="D616" s="18" t="s">
        <v>2860</v>
      </c>
      <c r="E616" s="18" t="n">
        <v>3</v>
      </c>
      <c r="F616" s="18" t="s">
        <v>185</v>
      </c>
      <c r="G616" s="18" t="s">
        <v>145</v>
      </c>
      <c r="H616" s="18" t="s">
        <v>129</v>
      </c>
      <c r="I616" s="18"/>
      <c r="J616" s="18"/>
      <c r="K616" s="18"/>
      <c r="L616" s="18" t="s">
        <v>129</v>
      </c>
      <c r="M616" s="18" t="s">
        <v>129</v>
      </c>
      <c r="N616" s="18"/>
      <c r="O616" s="18"/>
      <c r="P616" s="18" t="s">
        <v>2872</v>
      </c>
      <c r="Q616" s="18" t="s">
        <v>131</v>
      </c>
      <c r="R616" s="18" t="s">
        <v>2873</v>
      </c>
      <c r="S616" s="18" t="s">
        <v>133</v>
      </c>
      <c r="T616" s="18" t="s">
        <v>2874</v>
      </c>
      <c r="U616" s="18"/>
      <c r="V616" s="19" t="s">
        <v>29</v>
      </c>
      <c r="W616" s="19"/>
      <c r="X616" s="19"/>
      <c r="Y616" s="20"/>
      <c r="Z616" s="19"/>
      <c r="AA616" s="18" t="str">
        <f aca="false">IF(OR(V616="Aprobada"),R616,IF(AND(OR(V616="Aprobada con ajuste",V616="Rechazada"),W616&lt;&gt;""),W616,""))</f>
        <v/>
      </c>
    </row>
    <row r="617" customFormat="false" ht="22.35" hidden="false" customHeight="false" outlineLevel="0" collapsed="false">
      <c r="A617" s="18" t="s">
        <v>2875</v>
      </c>
      <c r="B617" s="18" t="s">
        <v>60</v>
      </c>
      <c r="C617" s="18" t="s">
        <v>61</v>
      </c>
      <c r="D617" s="18" t="s">
        <v>2860</v>
      </c>
      <c r="E617" s="18" t="n">
        <v>3</v>
      </c>
      <c r="F617" s="18" t="s">
        <v>2876</v>
      </c>
      <c r="G617" s="18" t="s">
        <v>486</v>
      </c>
      <c r="H617" s="18" t="s">
        <v>162</v>
      </c>
      <c r="I617" s="18"/>
      <c r="J617" s="18"/>
      <c r="K617" s="18"/>
      <c r="L617" s="18" t="s">
        <v>129</v>
      </c>
      <c r="M617" s="18" t="s">
        <v>129</v>
      </c>
      <c r="N617" s="18"/>
      <c r="O617" s="18"/>
      <c r="P617" s="18" t="s">
        <v>2877</v>
      </c>
      <c r="Q617" s="18" t="s">
        <v>149</v>
      </c>
      <c r="R617" s="18" t="s">
        <v>2878</v>
      </c>
      <c r="S617" s="18" t="s">
        <v>140</v>
      </c>
      <c r="T617" s="18" t="s">
        <v>183</v>
      </c>
      <c r="U617" s="18" t="s">
        <v>2879</v>
      </c>
      <c r="V617" s="19" t="s">
        <v>29</v>
      </c>
      <c r="W617" s="19"/>
      <c r="X617" s="19"/>
      <c r="Y617" s="20"/>
      <c r="Z617" s="19"/>
      <c r="AA617" s="18" t="str">
        <f aca="false">IF(OR(V617="Aprobada"),R617,IF(AND(OR(V617="Aprobada con ajuste",V617="Rechazada"),W617&lt;&gt;""),W617,""))</f>
        <v/>
      </c>
    </row>
    <row r="618" customFormat="false" ht="32.8" hidden="false" customHeight="false" outlineLevel="0" collapsed="false">
      <c r="A618" s="18" t="s">
        <v>2880</v>
      </c>
      <c r="B618" s="18" t="s">
        <v>60</v>
      </c>
      <c r="C618" s="18" t="s">
        <v>61</v>
      </c>
      <c r="D618" s="18" t="s">
        <v>2860</v>
      </c>
      <c r="E618" s="18" t="n">
        <v>3</v>
      </c>
      <c r="F618" s="18" t="s">
        <v>2881</v>
      </c>
      <c r="G618" s="18" t="s">
        <v>454</v>
      </c>
      <c r="H618" s="18" t="s">
        <v>162</v>
      </c>
      <c r="I618" s="18"/>
      <c r="J618" s="18"/>
      <c r="K618" s="18"/>
      <c r="L618" s="18" t="s">
        <v>129</v>
      </c>
      <c r="M618" s="18" t="s">
        <v>129</v>
      </c>
      <c r="N618" s="18"/>
      <c r="O618" s="18"/>
      <c r="P618" s="18" t="s">
        <v>2882</v>
      </c>
      <c r="Q618" s="18" t="s">
        <v>149</v>
      </c>
      <c r="R618" s="18" t="s">
        <v>2883</v>
      </c>
      <c r="S618" s="18" t="s">
        <v>133</v>
      </c>
      <c r="T618" s="18" t="s">
        <v>183</v>
      </c>
      <c r="U618" s="18"/>
      <c r="V618" s="19" t="s">
        <v>29</v>
      </c>
      <c r="W618" s="19"/>
      <c r="X618" s="19"/>
      <c r="Y618" s="20"/>
      <c r="Z618" s="19"/>
      <c r="AA618" s="18" t="str">
        <f aca="false">IF(OR(V618="Aprobada"),R618,IF(AND(OR(V618="Aprobada con ajuste",V618="Rechazada"),W618&lt;&gt;""),W618,""))</f>
        <v/>
      </c>
    </row>
    <row r="619" customFormat="false" ht="32.8" hidden="false" customHeight="false" outlineLevel="0" collapsed="false">
      <c r="A619" s="18" t="s">
        <v>2884</v>
      </c>
      <c r="B619" s="18" t="s">
        <v>60</v>
      </c>
      <c r="C619" s="18" t="s">
        <v>61</v>
      </c>
      <c r="D619" s="18" t="s">
        <v>2860</v>
      </c>
      <c r="E619" s="18" t="n">
        <v>3</v>
      </c>
      <c r="F619" s="18" t="s">
        <v>2885</v>
      </c>
      <c r="G619" s="18" t="s">
        <v>486</v>
      </c>
      <c r="H619" s="18" t="s">
        <v>162</v>
      </c>
      <c r="I619" s="18"/>
      <c r="J619" s="18"/>
      <c r="K619" s="18"/>
      <c r="L619" s="18" t="s">
        <v>129</v>
      </c>
      <c r="M619" s="18" t="s">
        <v>129</v>
      </c>
      <c r="N619" s="18"/>
      <c r="O619" s="18"/>
      <c r="P619" s="18" t="s">
        <v>2886</v>
      </c>
      <c r="Q619" s="18" t="s">
        <v>149</v>
      </c>
      <c r="R619" s="18" t="s">
        <v>2887</v>
      </c>
      <c r="S619" s="18" t="s">
        <v>133</v>
      </c>
      <c r="T619" s="18" t="s">
        <v>183</v>
      </c>
      <c r="U619" s="18"/>
      <c r="V619" s="19" t="s">
        <v>29</v>
      </c>
      <c r="W619" s="19"/>
      <c r="X619" s="19"/>
      <c r="Y619" s="20"/>
      <c r="Z619" s="19"/>
      <c r="AA619" s="18" t="str">
        <f aca="false">IF(OR(V619="Aprobada"),R619,IF(AND(OR(V619="Aprobada con ajuste",V619="Rechazada"),W619&lt;&gt;""),W619,""))</f>
        <v/>
      </c>
    </row>
    <row r="620" customFormat="false" ht="32.8" hidden="false" customHeight="false" outlineLevel="0" collapsed="false">
      <c r="A620" s="18" t="s">
        <v>2888</v>
      </c>
      <c r="B620" s="18" t="s">
        <v>60</v>
      </c>
      <c r="C620" s="18" t="s">
        <v>61</v>
      </c>
      <c r="D620" s="18" t="s">
        <v>2860</v>
      </c>
      <c r="E620" s="18" t="n">
        <v>3</v>
      </c>
      <c r="F620" s="18" t="s">
        <v>305</v>
      </c>
      <c r="G620" s="18" t="s">
        <v>128</v>
      </c>
      <c r="H620" s="18" t="s">
        <v>162</v>
      </c>
      <c r="I620" s="18"/>
      <c r="J620" s="18"/>
      <c r="K620" s="18"/>
      <c r="L620" s="18" t="s">
        <v>129</v>
      </c>
      <c r="M620" s="18" t="s">
        <v>129</v>
      </c>
      <c r="N620" s="18"/>
      <c r="O620" s="18"/>
      <c r="P620" s="18" t="s">
        <v>2889</v>
      </c>
      <c r="Q620" s="18" t="s">
        <v>149</v>
      </c>
      <c r="R620" s="18" t="s">
        <v>2890</v>
      </c>
      <c r="S620" s="18" t="s">
        <v>133</v>
      </c>
      <c r="T620" s="18" t="s">
        <v>183</v>
      </c>
      <c r="U620" s="18"/>
      <c r="V620" s="19" t="s">
        <v>29</v>
      </c>
      <c r="W620" s="19"/>
      <c r="X620" s="19"/>
      <c r="Y620" s="20"/>
      <c r="Z620" s="19"/>
      <c r="AA620" s="18" t="str">
        <f aca="false">IF(OR(V620="Aprobada"),R620,IF(AND(OR(V620="Aprobada con ajuste",V620="Rechazada"),W620&lt;&gt;""),W620,""))</f>
        <v/>
      </c>
    </row>
    <row r="621" customFormat="false" ht="32.8" hidden="false" customHeight="false" outlineLevel="0" collapsed="false">
      <c r="A621" s="18" t="s">
        <v>2891</v>
      </c>
      <c r="B621" s="18" t="s">
        <v>60</v>
      </c>
      <c r="C621" s="18" t="s">
        <v>61</v>
      </c>
      <c r="D621" s="18" t="s">
        <v>2860</v>
      </c>
      <c r="E621" s="18" t="n">
        <v>3</v>
      </c>
      <c r="F621" s="18" t="s">
        <v>2892</v>
      </c>
      <c r="G621" s="18" t="s">
        <v>317</v>
      </c>
      <c r="H621" s="18" t="s">
        <v>162</v>
      </c>
      <c r="I621" s="18"/>
      <c r="J621" s="18"/>
      <c r="K621" s="18"/>
      <c r="L621" s="18" t="s">
        <v>129</v>
      </c>
      <c r="M621" s="18" t="s">
        <v>129</v>
      </c>
      <c r="N621" s="18"/>
      <c r="O621" s="18"/>
      <c r="P621" s="18" t="s">
        <v>2893</v>
      </c>
      <c r="Q621" s="18" t="s">
        <v>138</v>
      </c>
      <c r="R621" s="18" t="s">
        <v>2894</v>
      </c>
      <c r="S621" s="18" t="s">
        <v>140</v>
      </c>
      <c r="T621" s="18" t="s">
        <v>141</v>
      </c>
      <c r="U621" s="18"/>
      <c r="V621" s="19" t="s">
        <v>29</v>
      </c>
      <c r="W621" s="19"/>
      <c r="X621" s="19"/>
      <c r="Y621" s="20"/>
      <c r="Z621" s="19"/>
      <c r="AA621" s="18" t="str">
        <f aca="false">IF(OR(V621="Aprobada"),R621,IF(AND(OR(V621="Aprobada con ajuste",V621="Rechazada"),W621&lt;&gt;""),W621,""))</f>
        <v/>
      </c>
    </row>
    <row r="622" customFormat="false" ht="43.25" hidden="false" customHeight="false" outlineLevel="0" collapsed="false">
      <c r="A622" s="18" t="s">
        <v>2895</v>
      </c>
      <c r="B622" s="18" t="s">
        <v>60</v>
      </c>
      <c r="C622" s="18" t="s">
        <v>61</v>
      </c>
      <c r="D622" s="18" t="s">
        <v>2860</v>
      </c>
      <c r="E622" s="18" t="n">
        <v>3</v>
      </c>
      <c r="F622" s="18" t="s">
        <v>1994</v>
      </c>
      <c r="G622" s="18" t="s">
        <v>205</v>
      </c>
      <c r="H622" s="18" t="s">
        <v>129</v>
      </c>
      <c r="I622" s="18"/>
      <c r="J622" s="18"/>
      <c r="K622" s="18"/>
      <c r="L622" s="18" t="s">
        <v>129</v>
      </c>
      <c r="M622" s="18" t="s">
        <v>129</v>
      </c>
      <c r="N622" s="18"/>
      <c r="O622" s="18" t="s">
        <v>2862</v>
      </c>
      <c r="P622" s="18" t="s">
        <v>2896</v>
      </c>
      <c r="Q622" s="18" t="s">
        <v>131</v>
      </c>
      <c r="R622" s="18" t="s">
        <v>2897</v>
      </c>
      <c r="S622" s="18" t="s">
        <v>133</v>
      </c>
      <c r="T622" s="18" t="s">
        <v>2898</v>
      </c>
      <c r="U622" s="18"/>
      <c r="V622" s="19" t="s">
        <v>29</v>
      </c>
      <c r="W622" s="19"/>
      <c r="X622" s="19"/>
      <c r="Y622" s="20"/>
      <c r="Z622" s="19"/>
      <c r="AA622" s="18" t="str">
        <f aca="false">IF(OR(V622="Aprobada"),R622,IF(AND(OR(V622="Aprobada con ajuste",V622="Rechazada"),W622&lt;&gt;""),W622,""))</f>
        <v/>
      </c>
    </row>
    <row r="623" customFormat="false" ht="64.15" hidden="false" customHeight="false" outlineLevel="0" collapsed="false">
      <c r="A623" s="18" t="s">
        <v>2899</v>
      </c>
      <c r="B623" s="18" t="s">
        <v>60</v>
      </c>
      <c r="C623" s="18" t="s">
        <v>61</v>
      </c>
      <c r="D623" s="18" t="s">
        <v>2860</v>
      </c>
      <c r="E623" s="18" t="n">
        <v>3</v>
      </c>
      <c r="F623" s="18" t="s">
        <v>2655</v>
      </c>
      <c r="G623" s="18" t="s">
        <v>2900</v>
      </c>
      <c r="H623" s="18" t="s">
        <v>129</v>
      </c>
      <c r="I623" s="18"/>
      <c r="J623" s="18"/>
      <c r="K623" s="18"/>
      <c r="L623" s="18" t="s">
        <v>129</v>
      </c>
      <c r="M623" s="18" t="s">
        <v>129</v>
      </c>
      <c r="N623" s="18"/>
      <c r="O623" s="18" t="s">
        <v>2901</v>
      </c>
      <c r="P623" s="18" t="s">
        <v>2902</v>
      </c>
      <c r="Q623" s="18" t="s">
        <v>131</v>
      </c>
      <c r="R623" s="18" t="s">
        <v>2903</v>
      </c>
      <c r="S623" s="18" t="s">
        <v>133</v>
      </c>
      <c r="T623" s="18" t="s">
        <v>2904</v>
      </c>
      <c r="U623" s="18"/>
      <c r="V623" s="19" t="s">
        <v>29</v>
      </c>
      <c r="W623" s="19"/>
      <c r="X623" s="19"/>
      <c r="Y623" s="20"/>
      <c r="Z623" s="19"/>
      <c r="AA623" s="18" t="str">
        <f aca="false">IF(OR(V623="Aprobada"),R623,IF(AND(OR(V623="Aprobada con ajuste",V623="Rechazada"),W623&lt;&gt;""),W623,""))</f>
        <v/>
      </c>
    </row>
    <row r="624" customFormat="false" ht="22.35" hidden="false" customHeight="false" outlineLevel="0" collapsed="false">
      <c r="A624" s="18" t="s">
        <v>2905</v>
      </c>
      <c r="B624" s="18" t="s">
        <v>60</v>
      </c>
      <c r="C624" s="18" t="s">
        <v>61</v>
      </c>
      <c r="D624" s="18" t="s">
        <v>2860</v>
      </c>
      <c r="E624" s="18" t="n">
        <v>3</v>
      </c>
      <c r="F624" s="18" t="s">
        <v>2685</v>
      </c>
      <c r="G624" s="18" t="s">
        <v>145</v>
      </c>
      <c r="H624" s="18" t="s">
        <v>162</v>
      </c>
      <c r="I624" s="18"/>
      <c r="J624" s="18"/>
      <c r="K624" s="18"/>
      <c r="L624" s="18" t="s">
        <v>129</v>
      </c>
      <c r="M624" s="18" t="s">
        <v>129</v>
      </c>
      <c r="N624" s="18"/>
      <c r="O624" s="18"/>
      <c r="P624" s="18"/>
      <c r="Q624" s="18" t="s">
        <v>149</v>
      </c>
      <c r="R624" s="18" t="s">
        <v>2906</v>
      </c>
      <c r="S624" s="18" t="s">
        <v>242</v>
      </c>
      <c r="T624" s="18" t="s">
        <v>2907</v>
      </c>
      <c r="U624" s="18" t="s">
        <v>2908</v>
      </c>
      <c r="V624" s="19" t="s">
        <v>29</v>
      </c>
      <c r="W624" s="19"/>
      <c r="X624" s="19"/>
      <c r="Y624" s="20"/>
      <c r="Z624" s="19"/>
      <c r="AA624" s="18" t="str">
        <f aca="false">IF(OR(V624="Aprobada"),R624,IF(AND(OR(V624="Aprobada con ajuste",V624="Rechazada"),W624&lt;&gt;""),W624,""))</f>
        <v/>
      </c>
    </row>
    <row r="625" customFormat="false" ht="22.35" hidden="false" customHeight="false" outlineLevel="0" collapsed="false">
      <c r="A625" s="18" t="s">
        <v>2909</v>
      </c>
      <c r="B625" s="18" t="s">
        <v>60</v>
      </c>
      <c r="C625" s="18" t="s">
        <v>61</v>
      </c>
      <c r="D625" s="18" t="s">
        <v>2860</v>
      </c>
      <c r="E625" s="18" t="n">
        <v>3</v>
      </c>
      <c r="F625" s="18" t="s">
        <v>2690</v>
      </c>
      <c r="G625" s="18" t="s">
        <v>486</v>
      </c>
      <c r="H625" s="18" t="s">
        <v>162</v>
      </c>
      <c r="I625" s="18"/>
      <c r="J625" s="18"/>
      <c r="K625" s="18"/>
      <c r="L625" s="18" t="s">
        <v>129</v>
      </c>
      <c r="M625" s="18" t="s">
        <v>129</v>
      </c>
      <c r="N625" s="18"/>
      <c r="O625" s="18"/>
      <c r="P625" s="18"/>
      <c r="Q625" s="18" t="s">
        <v>149</v>
      </c>
      <c r="R625" s="18" t="s">
        <v>2692</v>
      </c>
      <c r="S625" s="18" t="s">
        <v>242</v>
      </c>
      <c r="T625" s="18" t="s">
        <v>2693</v>
      </c>
      <c r="U625" s="18" t="s">
        <v>2910</v>
      </c>
      <c r="V625" s="19" t="s">
        <v>29</v>
      </c>
      <c r="W625" s="19"/>
      <c r="X625" s="19"/>
      <c r="Y625" s="20"/>
      <c r="Z625" s="19"/>
      <c r="AA625" s="18" t="str">
        <f aca="false">IF(OR(V625="Aprobada"),R625,IF(AND(OR(V625="Aprobada con ajuste",V625="Rechazada"),W625&lt;&gt;""),W625,""))</f>
        <v/>
      </c>
    </row>
    <row r="626" customFormat="false" ht="32.8" hidden="false" customHeight="false" outlineLevel="0" collapsed="false">
      <c r="A626" s="18" t="s">
        <v>2911</v>
      </c>
      <c r="B626" s="18" t="s">
        <v>60</v>
      </c>
      <c r="C626" s="18" t="s">
        <v>61</v>
      </c>
      <c r="D626" s="18" t="s">
        <v>2912</v>
      </c>
      <c r="E626" s="18" t="n">
        <v>3</v>
      </c>
      <c r="F626" s="18" t="s">
        <v>2861</v>
      </c>
      <c r="G626" s="18" t="s">
        <v>128</v>
      </c>
      <c r="H626" s="18" t="s">
        <v>129</v>
      </c>
      <c r="I626" s="18"/>
      <c r="J626" s="18"/>
      <c r="K626" s="18"/>
      <c r="L626" s="18" t="s">
        <v>129</v>
      </c>
      <c r="M626" s="18" t="s">
        <v>129</v>
      </c>
      <c r="N626" s="18"/>
      <c r="O626" s="18" t="s">
        <v>2913</v>
      </c>
      <c r="P626" s="18" t="s">
        <v>2914</v>
      </c>
      <c r="Q626" s="18" t="s">
        <v>149</v>
      </c>
      <c r="R626" s="18" t="s">
        <v>2915</v>
      </c>
      <c r="S626" s="18" t="s">
        <v>140</v>
      </c>
      <c r="T626" s="18" t="s">
        <v>2865</v>
      </c>
      <c r="U626" s="18" t="s">
        <v>2866</v>
      </c>
      <c r="V626" s="19" t="s">
        <v>29</v>
      </c>
      <c r="W626" s="19"/>
      <c r="X626" s="19"/>
      <c r="Y626" s="20"/>
      <c r="Z626" s="19"/>
      <c r="AA626" s="18" t="str">
        <f aca="false">IF(OR(V626="Aprobada"),R626,IF(AND(OR(V626="Aprobada con ajuste",V626="Rechazada"),W626&lt;&gt;""),W626,""))</f>
        <v/>
      </c>
    </row>
    <row r="627" customFormat="false" ht="32.8" hidden="false" customHeight="false" outlineLevel="0" collapsed="false">
      <c r="A627" s="18" t="s">
        <v>2916</v>
      </c>
      <c r="B627" s="18" t="s">
        <v>60</v>
      </c>
      <c r="C627" s="18" t="s">
        <v>61</v>
      </c>
      <c r="D627" s="18" t="s">
        <v>2912</v>
      </c>
      <c r="E627" s="18" t="n">
        <v>3</v>
      </c>
      <c r="F627" s="18" t="s">
        <v>2868</v>
      </c>
      <c r="G627" s="18" t="s">
        <v>128</v>
      </c>
      <c r="H627" s="18" t="s">
        <v>162</v>
      </c>
      <c r="I627" s="18"/>
      <c r="J627" s="18"/>
      <c r="K627" s="18"/>
      <c r="L627" s="18" t="s">
        <v>129</v>
      </c>
      <c r="M627" s="18" t="s">
        <v>129</v>
      </c>
      <c r="N627" s="18"/>
      <c r="O627" s="18"/>
      <c r="P627" s="18" t="s">
        <v>2917</v>
      </c>
      <c r="Q627" s="18" t="s">
        <v>149</v>
      </c>
      <c r="R627" s="18" t="s">
        <v>2918</v>
      </c>
      <c r="S627" s="18" t="s">
        <v>133</v>
      </c>
      <c r="T627" s="18" t="s">
        <v>183</v>
      </c>
      <c r="U627" s="18"/>
      <c r="V627" s="19" t="s">
        <v>29</v>
      </c>
      <c r="W627" s="19"/>
      <c r="X627" s="19"/>
      <c r="Y627" s="20"/>
      <c r="Z627" s="19"/>
      <c r="AA627" s="18" t="str">
        <f aca="false">IF(OR(V627="Aprobada"),R627,IF(AND(OR(V627="Aprobada con ajuste",V627="Rechazada"),W627&lt;&gt;""),W627,""))</f>
        <v/>
      </c>
    </row>
    <row r="628" customFormat="false" ht="43.25" hidden="false" customHeight="false" outlineLevel="0" collapsed="false">
      <c r="A628" s="18" t="s">
        <v>2919</v>
      </c>
      <c r="B628" s="18" t="s">
        <v>60</v>
      </c>
      <c r="C628" s="18" t="s">
        <v>61</v>
      </c>
      <c r="D628" s="18" t="s">
        <v>2912</v>
      </c>
      <c r="E628" s="18" t="n">
        <v>3</v>
      </c>
      <c r="F628" s="18" t="s">
        <v>1994</v>
      </c>
      <c r="G628" s="18" t="s">
        <v>205</v>
      </c>
      <c r="H628" s="18" t="s">
        <v>129</v>
      </c>
      <c r="I628" s="18"/>
      <c r="J628" s="18"/>
      <c r="K628" s="18"/>
      <c r="L628" s="18" t="s">
        <v>129</v>
      </c>
      <c r="M628" s="18" t="s">
        <v>129</v>
      </c>
      <c r="N628" s="18"/>
      <c r="O628" s="18" t="s">
        <v>2913</v>
      </c>
      <c r="P628" s="18" t="s">
        <v>2920</v>
      </c>
      <c r="Q628" s="18" t="s">
        <v>131</v>
      </c>
      <c r="R628" s="18" t="s">
        <v>2921</v>
      </c>
      <c r="S628" s="18" t="s">
        <v>133</v>
      </c>
      <c r="T628" s="18" t="s">
        <v>2922</v>
      </c>
      <c r="U628" s="18"/>
      <c r="V628" s="19" t="s">
        <v>29</v>
      </c>
      <c r="W628" s="19"/>
      <c r="X628" s="19"/>
      <c r="Y628" s="20"/>
      <c r="Z628" s="19"/>
      <c r="AA628" s="18" t="str">
        <f aca="false">IF(OR(V628="Aprobada"),R628,IF(AND(OR(V628="Aprobada con ajuste",V628="Rechazada"),W628&lt;&gt;""),W628,""))</f>
        <v/>
      </c>
    </row>
    <row r="629" customFormat="false" ht="43.25" hidden="false" customHeight="false" outlineLevel="0" collapsed="false">
      <c r="A629" s="18" t="s">
        <v>2923</v>
      </c>
      <c r="B629" s="18" t="s">
        <v>60</v>
      </c>
      <c r="C629" s="18" t="s">
        <v>61</v>
      </c>
      <c r="D629" s="18" t="s">
        <v>2912</v>
      </c>
      <c r="E629" s="18" t="n">
        <v>3</v>
      </c>
      <c r="F629" s="18" t="s">
        <v>185</v>
      </c>
      <c r="G629" s="18" t="s">
        <v>145</v>
      </c>
      <c r="H629" s="18" t="s">
        <v>129</v>
      </c>
      <c r="I629" s="18"/>
      <c r="J629" s="18"/>
      <c r="K629" s="18"/>
      <c r="L629" s="18" t="s">
        <v>129</v>
      </c>
      <c r="M629" s="18" t="s">
        <v>129</v>
      </c>
      <c r="N629" s="18"/>
      <c r="O629" s="18"/>
      <c r="P629" s="18" t="s">
        <v>2924</v>
      </c>
      <c r="Q629" s="18" t="s">
        <v>131</v>
      </c>
      <c r="R629" s="18" t="s">
        <v>2925</v>
      </c>
      <c r="S629" s="18" t="s">
        <v>133</v>
      </c>
      <c r="T629" s="18" t="s">
        <v>2926</v>
      </c>
      <c r="U629" s="18"/>
      <c r="V629" s="19" t="s">
        <v>29</v>
      </c>
      <c r="W629" s="19"/>
      <c r="X629" s="19"/>
      <c r="Y629" s="20"/>
      <c r="Z629" s="19"/>
      <c r="AA629" s="18" t="str">
        <f aca="false">IF(OR(V629="Aprobada"),R629,IF(AND(OR(V629="Aprobada con ajuste",V629="Rechazada"),W629&lt;&gt;""),W629,""))</f>
        <v/>
      </c>
    </row>
    <row r="630" customFormat="false" ht="22.35" hidden="false" customHeight="false" outlineLevel="0" collapsed="false">
      <c r="A630" s="18" t="s">
        <v>2927</v>
      </c>
      <c r="B630" s="18" t="s">
        <v>60</v>
      </c>
      <c r="C630" s="18" t="s">
        <v>61</v>
      </c>
      <c r="D630" s="18" t="s">
        <v>2912</v>
      </c>
      <c r="E630" s="18" t="n">
        <v>3</v>
      </c>
      <c r="F630" s="18" t="s">
        <v>2711</v>
      </c>
      <c r="G630" s="18" t="s">
        <v>486</v>
      </c>
      <c r="H630" s="18" t="s">
        <v>162</v>
      </c>
      <c r="I630" s="18"/>
      <c r="J630" s="18"/>
      <c r="K630" s="18"/>
      <c r="L630" s="18" t="s">
        <v>129</v>
      </c>
      <c r="M630" s="18" t="s">
        <v>129</v>
      </c>
      <c r="N630" s="18"/>
      <c r="O630" s="18"/>
      <c r="P630" s="18" t="s">
        <v>2928</v>
      </c>
      <c r="Q630" s="18" t="s">
        <v>149</v>
      </c>
      <c r="R630" s="18" t="s">
        <v>2929</v>
      </c>
      <c r="S630" s="18" t="s">
        <v>140</v>
      </c>
      <c r="T630" s="18" t="s">
        <v>183</v>
      </c>
      <c r="U630" s="18" t="s">
        <v>2714</v>
      </c>
      <c r="V630" s="19" t="s">
        <v>29</v>
      </c>
      <c r="W630" s="19"/>
      <c r="X630" s="19"/>
      <c r="Y630" s="20"/>
      <c r="Z630" s="19"/>
      <c r="AA630" s="18" t="str">
        <f aca="false">IF(OR(V630="Aprobada"),R630,IF(AND(OR(V630="Aprobada con ajuste",V630="Rechazada"),W630&lt;&gt;""),W630,""))</f>
        <v/>
      </c>
    </row>
    <row r="631" customFormat="false" ht="32.8" hidden="false" customHeight="false" outlineLevel="0" collapsed="false">
      <c r="A631" s="18" t="s">
        <v>2930</v>
      </c>
      <c r="B631" s="18" t="s">
        <v>60</v>
      </c>
      <c r="C631" s="18" t="s">
        <v>61</v>
      </c>
      <c r="D631" s="18" t="s">
        <v>2912</v>
      </c>
      <c r="E631" s="18" t="n">
        <v>3</v>
      </c>
      <c r="F631" s="18" t="s">
        <v>2716</v>
      </c>
      <c r="G631" s="18" t="s">
        <v>454</v>
      </c>
      <c r="H631" s="18" t="s">
        <v>162</v>
      </c>
      <c r="I631" s="18"/>
      <c r="J631" s="18"/>
      <c r="K631" s="18"/>
      <c r="L631" s="18" t="s">
        <v>129</v>
      </c>
      <c r="M631" s="18" t="s">
        <v>129</v>
      </c>
      <c r="N631" s="18"/>
      <c r="O631" s="18"/>
      <c r="P631" s="18" t="s">
        <v>2931</v>
      </c>
      <c r="Q631" s="18" t="s">
        <v>149</v>
      </c>
      <c r="R631" s="18" t="s">
        <v>2932</v>
      </c>
      <c r="S631" s="18" t="s">
        <v>133</v>
      </c>
      <c r="T631" s="18" t="s">
        <v>183</v>
      </c>
      <c r="U631" s="18"/>
      <c r="V631" s="19" t="s">
        <v>29</v>
      </c>
      <c r="W631" s="19"/>
      <c r="X631" s="19"/>
      <c r="Y631" s="20"/>
      <c r="Z631" s="19"/>
      <c r="AA631" s="18" t="str">
        <f aca="false">IF(OR(V631="Aprobada"),R631,IF(AND(OR(V631="Aprobada con ajuste",V631="Rechazada"),W631&lt;&gt;""),W631,""))</f>
        <v/>
      </c>
    </row>
    <row r="632" customFormat="false" ht="22.35" hidden="false" customHeight="false" outlineLevel="0" collapsed="false">
      <c r="A632" s="18" t="s">
        <v>2933</v>
      </c>
      <c r="B632" s="18" t="s">
        <v>60</v>
      </c>
      <c r="C632" s="18" t="s">
        <v>61</v>
      </c>
      <c r="D632" s="18" t="s">
        <v>2912</v>
      </c>
      <c r="E632" s="18" t="n">
        <v>3</v>
      </c>
      <c r="F632" s="18" t="s">
        <v>2720</v>
      </c>
      <c r="G632" s="18" t="s">
        <v>486</v>
      </c>
      <c r="H632" s="18" t="s">
        <v>162</v>
      </c>
      <c r="I632" s="18"/>
      <c r="J632" s="18"/>
      <c r="K632" s="18"/>
      <c r="L632" s="18" t="s">
        <v>129</v>
      </c>
      <c r="M632" s="18" t="s">
        <v>129</v>
      </c>
      <c r="N632" s="18"/>
      <c r="O632" s="18"/>
      <c r="P632" s="18" t="s">
        <v>2934</v>
      </c>
      <c r="Q632" s="18" t="s">
        <v>149</v>
      </c>
      <c r="R632" s="18" t="s">
        <v>2935</v>
      </c>
      <c r="S632" s="18" t="s">
        <v>133</v>
      </c>
      <c r="T632" s="18" t="s">
        <v>183</v>
      </c>
      <c r="U632" s="18"/>
      <c r="V632" s="19" t="s">
        <v>29</v>
      </c>
      <c r="W632" s="19"/>
      <c r="X632" s="19"/>
      <c r="Y632" s="20"/>
      <c r="Z632" s="19"/>
      <c r="AA632" s="18" t="str">
        <f aca="false">IF(OR(V632="Aprobada"),R632,IF(AND(OR(V632="Aprobada con ajuste",V632="Rechazada"),W632&lt;&gt;""),W632,""))</f>
        <v/>
      </c>
    </row>
    <row r="633" customFormat="false" ht="32.8" hidden="false" customHeight="false" outlineLevel="0" collapsed="false">
      <c r="A633" s="18" t="s">
        <v>2936</v>
      </c>
      <c r="B633" s="18" t="s">
        <v>60</v>
      </c>
      <c r="C633" s="18" t="s">
        <v>61</v>
      </c>
      <c r="D633" s="18" t="s">
        <v>2912</v>
      </c>
      <c r="E633" s="18" t="n">
        <v>3</v>
      </c>
      <c r="F633" s="18" t="s">
        <v>305</v>
      </c>
      <c r="G633" s="18" t="s">
        <v>128</v>
      </c>
      <c r="H633" s="18" t="s">
        <v>162</v>
      </c>
      <c r="I633" s="18"/>
      <c r="J633" s="18"/>
      <c r="K633" s="18"/>
      <c r="L633" s="18" t="s">
        <v>129</v>
      </c>
      <c r="M633" s="18" t="s">
        <v>129</v>
      </c>
      <c r="N633" s="18"/>
      <c r="O633" s="18"/>
      <c r="P633" s="18" t="s">
        <v>2937</v>
      </c>
      <c r="Q633" s="18" t="s">
        <v>149</v>
      </c>
      <c r="R633" s="18" t="s">
        <v>2938</v>
      </c>
      <c r="S633" s="18" t="s">
        <v>133</v>
      </c>
      <c r="T633" s="18" t="s">
        <v>183</v>
      </c>
      <c r="U633" s="18"/>
      <c r="V633" s="19" t="s">
        <v>29</v>
      </c>
      <c r="W633" s="19"/>
      <c r="X633" s="19"/>
      <c r="Y633" s="20"/>
      <c r="Z633" s="19"/>
      <c r="AA633" s="18" t="str">
        <f aca="false">IF(OR(V633="Aprobada"),R633,IF(AND(OR(V633="Aprobada con ajuste",V633="Rechazada"),W633&lt;&gt;""),W633,""))</f>
        <v/>
      </c>
    </row>
    <row r="634" customFormat="false" ht="32.8" hidden="false" customHeight="false" outlineLevel="0" collapsed="false">
      <c r="A634" s="18" t="s">
        <v>2939</v>
      </c>
      <c r="B634" s="18" t="s">
        <v>60</v>
      </c>
      <c r="C634" s="18" t="s">
        <v>61</v>
      </c>
      <c r="D634" s="18" t="s">
        <v>2912</v>
      </c>
      <c r="E634" s="18" t="n">
        <v>3</v>
      </c>
      <c r="F634" s="18" t="s">
        <v>2732</v>
      </c>
      <c r="G634" s="18" t="s">
        <v>317</v>
      </c>
      <c r="H634" s="18" t="s">
        <v>162</v>
      </c>
      <c r="I634" s="18"/>
      <c r="J634" s="18"/>
      <c r="K634" s="18"/>
      <c r="L634" s="18" t="s">
        <v>129</v>
      </c>
      <c r="M634" s="18" t="s">
        <v>129</v>
      </c>
      <c r="N634" s="18"/>
      <c r="O634" s="18"/>
      <c r="P634" s="18" t="s">
        <v>2940</v>
      </c>
      <c r="Q634" s="18" t="s">
        <v>138</v>
      </c>
      <c r="R634" s="18" t="s">
        <v>2734</v>
      </c>
      <c r="S634" s="18" t="s">
        <v>140</v>
      </c>
      <c r="T634" s="18" t="s">
        <v>141</v>
      </c>
      <c r="U634" s="18"/>
      <c r="V634" s="19" t="s">
        <v>29</v>
      </c>
      <c r="W634" s="19"/>
      <c r="X634" s="19"/>
      <c r="Y634" s="20"/>
      <c r="Z634" s="19"/>
      <c r="AA634" s="18" t="str">
        <f aca="false">IF(OR(V634="Aprobada"),R634,IF(AND(OR(V634="Aprobada con ajuste",V634="Rechazada"),W634&lt;&gt;""),W634,""))</f>
        <v/>
      </c>
    </row>
    <row r="635" customFormat="false" ht="53.7" hidden="false" customHeight="false" outlineLevel="0" collapsed="false">
      <c r="A635" s="18" t="s">
        <v>2941</v>
      </c>
      <c r="B635" s="18" t="s">
        <v>60</v>
      </c>
      <c r="C635" s="18" t="s">
        <v>61</v>
      </c>
      <c r="D635" s="18" t="s">
        <v>2912</v>
      </c>
      <c r="E635" s="18" t="n">
        <v>3</v>
      </c>
      <c r="F635" s="18" t="s">
        <v>2655</v>
      </c>
      <c r="G635" s="18" t="s">
        <v>2900</v>
      </c>
      <c r="H635" s="18" t="s">
        <v>129</v>
      </c>
      <c r="I635" s="18"/>
      <c r="J635" s="18"/>
      <c r="K635" s="18"/>
      <c r="L635" s="18" t="s">
        <v>129</v>
      </c>
      <c r="M635" s="18" t="s">
        <v>129</v>
      </c>
      <c r="N635" s="18"/>
      <c r="O635" s="18" t="s">
        <v>2942</v>
      </c>
      <c r="P635" s="18" t="s">
        <v>2943</v>
      </c>
      <c r="Q635" s="18" t="s">
        <v>131</v>
      </c>
      <c r="R635" s="18" t="s">
        <v>2944</v>
      </c>
      <c r="S635" s="18" t="s">
        <v>133</v>
      </c>
      <c r="T635" s="18" t="s">
        <v>2945</v>
      </c>
      <c r="U635" s="18"/>
      <c r="V635" s="19" t="s">
        <v>29</v>
      </c>
      <c r="W635" s="19"/>
      <c r="X635" s="19"/>
      <c r="Y635" s="20"/>
      <c r="Z635" s="19"/>
      <c r="AA635" s="18" t="str">
        <f aca="false">IF(OR(V635="Aprobada"),R635,IF(AND(OR(V635="Aprobada con ajuste",V635="Rechazada"),W635&lt;&gt;""),W635,""))</f>
        <v/>
      </c>
    </row>
    <row r="636" customFormat="false" ht="22.35" hidden="false" customHeight="false" outlineLevel="0" collapsed="false">
      <c r="A636" s="18" t="s">
        <v>2946</v>
      </c>
      <c r="B636" s="18" t="s">
        <v>60</v>
      </c>
      <c r="C636" s="18" t="s">
        <v>61</v>
      </c>
      <c r="D636" s="18" t="s">
        <v>2947</v>
      </c>
      <c r="E636" s="18" t="n">
        <v>55</v>
      </c>
      <c r="F636" s="18" t="s">
        <v>2948</v>
      </c>
      <c r="G636" s="18" t="s">
        <v>128</v>
      </c>
      <c r="H636" s="18" t="s">
        <v>129</v>
      </c>
      <c r="I636" s="18" t="s">
        <v>146</v>
      </c>
      <c r="J636" s="18"/>
      <c r="K636" s="18"/>
      <c r="L636" s="18" t="s">
        <v>129</v>
      </c>
      <c r="M636" s="18" t="s">
        <v>129</v>
      </c>
      <c r="N636" s="18"/>
      <c r="O636" s="18" t="s">
        <v>2949</v>
      </c>
      <c r="P636" s="18" t="s">
        <v>2950</v>
      </c>
      <c r="Q636" s="18" t="s">
        <v>149</v>
      </c>
      <c r="R636" s="18" t="s">
        <v>2951</v>
      </c>
      <c r="S636" s="18" t="s">
        <v>133</v>
      </c>
      <c r="T636" s="18" t="s">
        <v>1105</v>
      </c>
      <c r="U636" s="18"/>
      <c r="V636" s="19" t="s">
        <v>29</v>
      </c>
      <c r="W636" s="19"/>
      <c r="X636" s="19"/>
      <c r="Y636" s="20"/>
      <c r="Z636" s="19"/>
      <c r="AA636" s="18" t="str">
        <f aca="false">IF(OR(V636="Aprobada"),R636,IF(AND(OR(V636="Aprobada con ajuste",V636="Rechazada"),W636&lt;&gt;""),W636,""))</f>
        <v/>
      </c>
    </row>
    <row r="637" customFormat="false" ht="22.35" hidden="false" customHeight="false" outlineLevel="0" collapsed="false">
      <c r="A637" s="18" t="s">
        <v>2952</v>
      </c>
      <c r="B637" s="18" t="s">
        <v>60</v>
      </c>
      <c r="C637" s="18" t="s">
        <v>61</v>
      </c>
      <c r="D637" s="18" t="s">
        <v>2947</v>
      </c>
      <c r="E637" s="18" t="n">
        <v>55</v>
      </c>
      <c r="F637" s="18" t="s">
        <v>2953</v>
      </c>
      <c r="G637" s="18" t="s">
        <v>192</v>
      </c>
      <c r="H637" s="18" t="s">
        <v>129</v>
      </c>
      <c r="I637" s="18"/>
      <c r="J637" s="18"/>
      <c r="K637" s="18"/>
      <c r="L637" s="18" t="s">
        <v>129</v>
      </c>
      <c r="M637" s="18" t="s">
        <v>129</v>
      </c>
      <c r="N637" s="18"/>
      <c r="O637" s="18"/>
      <c r="P637" s="18" t="s">
        <v>2954</v>
      </c>
      <c r="Q637" s="18" t="s">
        <v>149</v>
      </c>
      <c r="R637" s="18" t="s">
        <v>2955</v>
      </c>
      <c r="S637" s="18" t="s">
        <v>242</v>
      </c>
      <c r="T637" s="18" t="s">
        <v>183</v>
      </c>
      <c r="U637" s="18" t="s">
        <v>2956</v>
      </c>
      <c r="V637" s="19" t="s">
        <v>29</v>
      </c>
      <c r="W637" s="19"/>
      <c r="X637" s="19"/>
      <c r="Y637" s="20"/>
      <c r="Z637" s="19"/>
      <c r="AA637" s="18" t="str">
        <f aca="false">IF(OR(V637="Aprobada"),R637,IF(AND(OR(V637="Aprobada con ajuste",V637="Rechazada"),W637&lt;&gt;""),W637,""))</f>
        <v/>
      </c>
    </row>
    <row r="638" customFormat="false" ht="22.35" hidden="false" customHeight="false" outlineLevel="0" collapsed="false">
      <c r="A638" s="18" t="s">
        <v>2957</v>
      </c>
      <c r="B638" s="18" t="s">
        <v>60</v>
      </c>
      <c r="C638" s="18" t="s">
        <v>61</v>
      </c>
      <c r="D638" s="18" t="s">
        <v>2947</v>
      </c>
      <c r="E638" s="18" t="n">
        <v>55</v>
      </c>
      <c r="F638" s="18" t="s">
        <v>2958</v>
      </c>
      <c r="G638" s="18" t="s">
        <v>192</v>
      </c>
      <c r="H638" s="18" t="s">
        <v>129</v>
      </c>
      <c r="I638" s="18"/>
      <c r="J638" s="18"/>
      <c r="K638" s="18"/>
      <c r="L638" s="18" t="s">
        <v>129</v>
      </c>
      <c r="M638" s="18" t="s">
        <v>129</v>
      </c>
      <c r="N638" s="18"/>
      <c r="O638" s="18"/>
      <c r="P638" s="18" t="s">
        <v>2959</v>
      </c>
      <c r="Q638" s="18" t="s">
        <v>149</v>
      </c>
      <c r="R638" s="18" t="s">
        <v>2960</v>
      </c>
      <c r="S638" s="18" t="s">
        <v>242</v>
      </c>
      <c r="T638" s="18" t="s">
        <v>183</v>
      </c>
      <c r="U638" s="18" t="s">
        <v>2961</v>
      </c>
      <c r="V638" s="19" t="s">
        <v>29</v>
      </c>
      <c r="W638" s="19"/>
      <c r="X638" s="19"/>
      <c r="Y638" s="20"/>
      <c r="Z638" s="19"/>
      <c r="AA638" s="18" t="str">
        <f aca="false">IF(OR(V638="Aprobada"),R638,IF(AND(OR(V638="Aprobada con ajuste",V638="Rechazada"),W638&lt;&gt;""),W638,""))</f>
        <v/>
      </c>
    </row>
    <row r="639" customFormat="false" ht="22.35" hidden="false" customHeight="false" outlineLevel="0" collapsed="false">
      <c r="A639" s="18" t="s">
        <v>2962</v>
      </c>
      <c r="B639" s="18" t="s">
        <v>60</v>
      </c>
      <c r="C639" s="18" t="s">
        <v>61</v>
      </c>
      <c r="D639" s="18" t="s">
        <v>2947</v>
      </c>
      <c r="E639" s="18" t="n">
        <v>55</v>
      </c>
      <c r="F639" s="18" t="s">
        <v>2963</v>
      </c>
      <c r="G639" s="18" t="s">
        <v>192</v>
      </c>
      <c r="H639" s="18" t="s">
        <v>129</v>
      </c>
      <c r="I639" s="18"/>
      <c r="J639" s="18"/>
      <c r="K639" s="18"/>
      <c r="L639" s="18" t="s">
        <v>129</v>
      </c>
      <c r="M639" s="18" t="s">
        <v>129</v>
      </c>
      <c r="N639" s="18"/>
      <c r="O639" s="18"/>
      <c r="P639" s="18" t="s">
        <v>2964</v>
      </c>
      <c r="Q639" s="18" t="s">
        <v>149</v>
      </c>
      <c r="R639" s="18" t="s">
        <v>2965</v>
      </c>
      <c r="S639" s="18" t="s">
        <v>242</v>
      </c>
      <c r="T639" s="18" t="s">
        <v>183</v>
      </c>
      <c r="U639" s="18" t="s">
        <v>2966</v>
      </c>
      <c r="V639" s="19" t="s">
        <v>29</v>
      </c>
      <c r="W639" s="19"/>
      <c r="X639" s="19"/>
      <c r="Y639" s="20"/>
      <c r="Z639" s="19"/>
      <c r="AA639" s="18" t="str">
        <f aca="false">IF(OR(V639="Aprobada"),R639,IF(AND(OR(V639="Aprobada con ajuste",V639="Rechazada"),W639&lt;&gt;""),W639,""))</f>
        <v/>
      </c>
    </row>
    <row r="640" customFormat="false" ht="22.35" hidden="false" customHeight="false" outlineLevel="0" collapsed="false">
      <c r="A640" s="18" t="s">
        <v>2967</v>
      </c>
      <c r="B640" s="18" t="s">
        <v>60</v>
      </c>
      <c r="C640" s="18" t="s">
        <v>61</v>
      </c>
      <c r="D640" s="18" t="s">
        <v>2947</v>
      </c>
      <c r="E640" s="18" t="n">
        <v>55</v>
      </c>
      <c r="F640" s="18" t="s">
        <v>2968</v>
      </c>
      <c r="G640" s="18" t="s">
        <v>192</v>
      </c>
      <c r="H640" s="18" t="s">
        <v>129</v>
      </c>
      <c r="I640" s="18"/>
      <c r="J640" s="18"/>
      <c r="K640" s="18"/>
      <c r="L640" s="18" t="s">
        <v>129</v>
      </c>
      <c r="M640" s="18" t="s">
        <v>129</v>
      </c>
      <c r="N640" s="18"/>
      <c r="O640" s="18"/>
      <c r="P640" s="18" t="s">
        <v>2969</v>
      </c>
      <c r="Q640" s="18" t="s">
        <v>149</v>
      </c>
      <c r="R640" s="18" t="s">
        <v>2970</v>
      </c>
      <c r="S640" s="18" t="s">
        <v>242</v>
      </c>
      <c r="T640" s="18" t="s">
        <v>183</v>
      </c>
      <c r="U640" s="18" t="s">
        <v>2971</v>
      </c>
      <c r="V640" s="19" t="s">
        <v>29</v>
      </c>
      <c r="W640" s="19"/>
      <c r="X640" s="19"/>
      <c r="Y640" s="20"/>
      <c r="Z640" s="19"/>
      <c r="AA640" s="18" t="str">
        <f aca="false">IF(OR(V640="Aprobada"),R640,IF(AND(OR(V640="Aprobada con ajuste",V640="Rechazada"),W640&lt;&gt;""),W640,""))</f>
        <v/>
      </c>
    </row>
    <row r="641" customFormat="false" ht="53.7" hidden="false" customHeight="false" outlineLevel="0" collapsed="false">
      <c r="A641" s="18" t="s">
        <v>2972</v>
      </c>
      <c r="B641" s="18" t="s">
        <v>60</v>
      </c>
      <c r="C641" s="18" t="s">
        <v>61</v>
      </c>
      <c r="D641" s="18" t="s">
        <v>2973</v>
      </c>
      <c r="E641" s="18" t="n">
        <v>12</v>
      </c>
      <c r="F641" s="18" t="s">
        <v>275</v>
      </c>
      <c r="G641" s="18" t="s">
        <v>128</v>
      </c>
      <c r="H641" s="18" t="s">
        <v>129</v>
      </c>
      <c r="I641" s="18"/>
      <c r="J641" s="18"/>
      <c r="K641" s="18"/>
      <c r="L641" s="18" t="s">
        <v>129</v>
      </c>
      <c r="M641" s="18" t="s">
        <v>162</v>
      </c>
      <c r="N641" s="18" t="s">
        <v>2593</v>
      </c>
      <c r="O641" s="18" t="s">
        <v>2974</v>
      </c>
      <c r="P641" s="18"/>
      <c r="Q641" s="18" t="s">
        <v>138</v>
      </c>
      <c r="R641" s="18" t="s">
        <v>2975</v>
      </c>
      <c r="S641" s="18" t="s">
        <v>140</v>
      </c>
      <c r="T641" s="18" t="s">
        <v>141</v>
      </c>
      <c r="U641" s="18"/>
      <c r="V641" s="19" t="s">
        <v>29</v>
      </c>
      <c r="W641" s="19"/>
      <c r="X641" s="19"/>
      <c r="Y641" s="20"/>
      <c r="Z641" s="19"/>
      <c r="AA641" s="18" t="str">
        <f aca="false">IF(OR(V641="Aprobada"),R641,IF(AND(OR(V641="Aprobada con ajuste",V641="Rechazada"),W641&lt;&gt;""),W641,""))</f>
        <v/>
      </c>
    </row>
    <row r="642" customFormat="false" ht="22.35" hidden="false" customHeight="false" outlineLevel="0" collapsed="false">
      <c r="A642" s="18" t="s">
        <v>2976</v>
      </c>
      <c r="B642" s="18" t="s">
        <v>60</v>
      </c>
      <c r="C642" s="18" t="s">
        <v>61</v>
      </c>
      <c r="D642" s="18" t="s">
        <v>2973</v>
      </c>
      <c r="E642" s="18" t="n">
        <v>12</v>
      </c>
      <c r="F642" s="18" t="s">
        <v>160</v>
      </c>
      <c r="G642" s="18" t="s">
        <v>128</v>
      </c>
      <c r="H642" s="18" t="s">
        <v>162</v>
      </c>
      <c r="I642" s="18"/>
      <c r="J642" s="18"/>
      <c r="K642" s="18"/>
      <c r="L642" s="18" t="s">
        <v>129</v>
      </c>
      <c r="M642" s="18" t="s">
        <v>129</v>
      </c>
      <c r="N642" s="18"/>
      <c r="O642" s="18"/>
      <c r="P642" s="18"/>
      <c r="Q642" s="18" t="s">
        <v>138</v>
      </c>
      <c r="R642" s="18" t="s">
        <v>2977</v>
      </c>
      <c r="S642" s="18" t="s">
        <v>140</v>
      </c>
      <c r="T642" s="18" t="s">
        <v>141</v>
      </c>
      <c r="U642" s="18"/>
      <c r="V642" s="19" t="s">
        <v>29</v>
      </c>
      <c r="W642" s="19"/>
      <c r="X642" s="19"/>
      <c r="Y642" s="20"/>
      <c r="Z642" s="19"/>
      <c r="AA642" s="18" t="str">
        <f aca="false">IF(OR(V642="Aprobada"),R642,IF(AND(OR(V642="Aprobada con ajuste",V642="Rechazada"),W642&lt;&gt;""),W642,""))</f>
        <v/>
      </c>
    </row>
    <row r="643" customFormat="false" ht="22.35" hidden="false" customHeight="false" outlineLevel="0" collapsed="false">
      <c r="A643" s="18" t="s">
        <v>2978</v>
      </c>
      <c r="B643" s="18" t="s">
        <v>60</v>
      </c>
      <c r="C643" s="18" t="s">
        <v>61</v>
      </c>
      <c r="D643" s="18" t="s">
        <v>2973</v>
      </c>
      <c r="E643" s="18" t="n">
        <v>12</v>
      </c>
      <c r="F643" s="18" t="s">
        <v>2979</v>
      </c>
      <c r="G643" s="18" t="s">
        <v>173</v>
      </c>
      <c r="H643" s="18" t="s">
        <v>129</v>
      </c>
      <c r="I643" s="18"/>
      <c r="J643" s="18"/>
      <c r="K643" s="18"/>
      <c r="L643" s="18" t="s">
        <v>129</v>
      </c>
      <c r="M643" s="18" t="s">
        <v>129</v>
      </c>
      <c r="N643" s="18"/>
      <c r="O643" s="18"/>
      <c r="P643" s="18"/>
      <c r="Q643" s="18" t="s">
        <v>138</v>
      </c>
      <c r="R643" s="18" t="s">
        <v>2980</v>
      </c>
      <c r="S643" s="18" t="s">
        <v>140</v>
      </c>
      <c r="T643" s="18" t="s">
        <v>141</v>
      </c>
      <c r="U643" s="18"/>
      <c r="V643" s="19" t="s">
        <v>29</v>
      </c>
      <c r="W643" s="19"/>
      <c r="X643" s="19"/>
      <c r="Y643" s="20"/>
      <c r="Z643" s="19"/>
      <c r="AA643" s="18" t="str">
        <f aca="false">IF(OR(V643="Aprobada"),R643,IF(AND(OR(V643="Aprobada con ajuste",V643="Rechazada"),W643&lt;&gt;""),W643,""))</f>
        <v/>
      </c>
    </row>
    <row r="644" customFormat="false" ht="22.35" hidden="false" customHeight="false" outlineLevel="0" collapsed="false">
      <c r="A644" s="18" t="s">
        <v>2981</v>
      </c>
      <c r="B644" s="18" t="s">
        <v>60</v>
      </c>
      <c r="C644" s="18" t="s">
        <v>61</v>
      </c>
      <c r="D644" s="18" t="s">
        <v>2973</v>
      </c>
      <c r="E644" s="18" t="n">
        <v>12</v>
      </c>
      <c r="F644" s="18" t="s">
        <v>185</v>
      </c>
      <c r="G644" s="18" t="s">
        <v>128</v>
      </c>
      <c r="H644" s="18" t="s">
        <v>129</v>
      </c>
      <c r="I644" s="18"/>
      <c r="J644" s="18"/>
      <c r="K644" s="18"/>
      <c r="L644" s="18" t="s">
        <v>129</v>
      </c>
      <c r="M644" s="18" t="s">
        <v>129</v>
      </c>
      <c r="N644" s="18"/>
      <c r="O644" s="18"/>
      <c r="P644" s="18"/>
      <c r="Q644" s="18" t="s">
        <v>138</v>
      </c>
      <c r="R644" s="18" t="s">
        <v>2982</v>
      </c>
      <c r="S644" s="18" t="s">
        <v>140</v>
      </c>
      <c r="T644" s="18" t="s">
        <v>141</v>
      </c>
      <c r="U644" s="18"/>
      <c r="V644" s="19" t="s">
        <v>29</v>
      </c>
      <c r="W644" s="19"/>
      <c r="X644" s="19"/>
      <c r="Y644" s="20"/>
      <c r="Z644" s="19"/>
      <c r="AA644" s="18" t="str">
        <f aca="false">IF(OR(V644="Aprobada"),R644,IF(AND(OR(V644="Aprobada con ajuste",V644="Rechazada"),W644&lt;&gt;""),W644,""))</f>
        <v/>
      </c>
    </row>
    <row r="645" customFormat="false" ht="22.35" hidden="false" customHeight="false" outlineLevel="0" collapsed="false">
      <c r="A645" s="18" t="s">
        <v>2983</v>
      </c>
      <c r="B645" s="18" t="s">
        <v>60</v>
      </c>
      <c r="C645" s="18" t="s">
        <v>61</v>
      </c>
      <c r="D645" s="18" t="s">
        <v>2984</v>
      </c>
      <c r="E645" s="18" t="n">
        <v>9141</v>
      </c>
      <c r="F645" s="18" t="s">
        <v>2876</v>
      </c>
      <c r="G645" s="18" t="s">
        <v>128</v>
      </c>
      <c r="H645" s="18" t="s">
        <v>129</v>
      </c>
      <c r="I645" s="18"/>
      <c r="J645" s="18"/>
      <c r="K645" s="18"/>
      <c r="L645" s="18" t="s">
        <v>129</v>
      </c>
      <c r="M645" s="18" t="s">
        <v>129</v>
      </c>
      <c r="N645" s="18"/>
      <c r="O645" s="18" t="s">
        <v>2985</v>
      </c>
      <c r="P645" s="18"/>
      <c r="Q645" s="18" t="s">
        <v>149</v>
      </c>
      <c r="R645" s="18" t="s">
        <v>2986</v>
      </c>
      <c r="S645" s="18" t="s">
        <v>133</v>
      </c>
      <c r="T645" s="18" t="s">
        <v>2987</v>
      </c>
      <c r="U645" s="18"/>
      <c r="V645" s="19" t="s">
        <v>29</v>
      </c>
      <c r="W645" s="19"/>
      <c r="X645" s="19"/>
      <c r="Y645" s="20"/>
      <c r="Z645" s="19"/>
      <c r="AA645" s="18" t="str">
        <f aca="false">IF(OR(V645="Aprobada"),R645,IF(AND(OR(V645="Aprobada con ajuste",V645="Rechazada"),W645&lt;&gt;""),W645,""))</f>
        <v/>
      </c>
    </row>
    <row r="646" customFormat="false" ht="22.35" hidden="false" customHeight="false" outlineLevel="0" collapsed="false">
      <c r="A646" s="18" t="s">
        <v>2988</v>
      </c>
      <c r="B646" s="18" t="s">
        <v>60</v>
      </c>
      <c r="C646" s="18" t="s">
        <v>61</v>
      </c>
      <c r="D646" s="18" t="s">
        <v>2984</v>
      </c>
      <c r="E646" s="18" t="n">
        <v>9141</v>
      </c>
      <c r="F646" s="18" t="s">
        <v>2989</v>
      </c>
      <c r="G646" s="18" t="s">
        <v>651</v>
      </c>
      <c r="H646" s="18" t="s">
        <v>129</v>
      </c>
      <c r="I646" s="18"/>
      <c r="J646" s="18"/>
      <c r="K646" s="18"/>
      <c r="L646" s="18" t="s">
        <v>129</v>
      </c>
      <c r="M646" s="18" t="s">
        <v>129</v>
      </c>
      <c r="N646" s="18"/>
      <c r="O646" s="18"/>
      <c r="P646" s="18"/>
      <c r="Q646" s="18" t="s">
        <v>149</v>
      </c>
      <c r="R646" s="18" t="s">
        <v>2990</v>
      </c>
      <c r="S646" s="18" t="s">
        <v>133</v>
      </c>
      <c r="T646" s="18" t="s">
        <v>2991</v>
      </c>
      <c r="U646" s="18"/>
      <c r="V646" s="19" t="s">
        <v>29</v>
      </c>
      <c r="W646" s="19"/>
      <c r="X646" s="19"/>
      <c r="Y646" s="20"/>
      <c r="Z646" s="19"/>
      <c r="AA646" s="18" t="str">
        <f aca="false">IF(OR(V646="Aprobada"),R646,IF(AND(OR(V646="Aprobada con ajuste",V646="Rechazada"),W646&lt;&gt;""),W646,""))</f>
        <v/>
      </c>
    </row>
    <row r="647" customFormat="false" ht="22.35" hidden="false" customHeight="false" outlineLevel="0" collapsed="false">
      <c r="A647" s="18" t="s">
        <v>2992</v>
      </c>
      <c r="B647" s="18" t="s">
        <v>60</v>
      </c>
      <c r="C647" s="18" t="s">
        <v>61</v>
      </c>
      <c r="D647" s="18" t="s">
        <v>2984</v>
      </c>
      <c r="E647" s="18" t="n">
        <v>9141</v>
      </c>
      <c r="F647" s="18" t="s">
        <v>2993</v>
      </c>
      <c r="G647" s="18" t="s">
        <v>128</v>
      </c>
      <c r="H647" s="18" t="s">
        <v>129</v>
      </c>
      <c r="I647" s="18"/>
      <c r="J647" s="18"/>
      <c r="K647" s="18"/>
      <c r="L647" s="18" t="s">
        <v>129</v>
      </c>
      <c r="M647" s="18" t="s">
        <v>129</v>
      </c>
      <c r="N647" s="18"/>
      <c r="O647" s="18"/>
      <c r="P647" s="18"/>
      <c r="Q647" s="18" t="s">
        <v>149</v>
      </c>
      <c r="R647" s="18" t="s">
        <v>2994</v>
      </c>
      <c r="S647" s="18" t="s">
        <v>133</v>
      </c>
      <c r="T647" s="18" t="s">
        <v>2122</v>
      </c>
      <c r="U647" s="18"/>
      <c r="V647" s="19" t="s">
        <v>29</v>
      </c>
      <c r="W647" s="19"/>
      <c r="X647" s="19"/>
      <c r="Y647" s="20"/>
      <c r="Z647" s="19"/>
      <c r="AA647" s="18" t="str">
        <f aca="false">IF(OR(V647="Aprobada"),R647,IF(AND(OR(V647="Aprobada con ajuste",V647="Rechazada"),W647&lt;&gt;""),W647,""))</f>
        <v/>
      </c>
    </row>
    <row r="648" customFormat="false" ht="22.35" hidden="false" customHeight="false" outlineLevel="0" collapsed="false">
      <c r="A648" s="18" t="s">
        <v>2995</v>
      </c>
      <c r="B648" s="18" t="s">
        <v>60</v>
      </c>
      <c r="C648" s="18" t="s">
        <v>61</v>
      </c>
      <c r="D648" s="18" t="s">
        <v>2984</v>
      </c>
      <c r="E648" s="18" t="n">
        <v>9141</v>
      </c>
      <c r="F648" s="18" t="s">
        <v>2996</v>
      </c>
      <c r="G648" s="18" t="s">
        <v>128</v>
      </c>
      <c r="H648" s="18" t="s">
        <v>162</v>
      </c>
      <c r="I648" s="18"/>
      <c r="J648" s="18"/>
      <c r="K648" s="18"/>
      <c r="L648" s="18" t="s">
        <v>129</v>
      </c>
      <c r="M648" s="18" t="s">
        <v>129</v>
      </c>
      <c r="N648" s="18"/>
      <c r="O648" s="18" t="s">
        <v>2997</v>
      </c>
      <c r="P648" s="18"/>
      <c r="Q648" s="18" t="s">
        <v>149</v>
      </c>
      <c r="R648" s="18" t="s">
        <v>2998</v>
      </c>
      <c r="S648" s="18" t="s">
        <v>140</v>
      </c>
      <c r="T648" s="18" t="s">
        <v>2050</v>
      </c>
      <c r="U648" s="18" t="s">
        <v>2999</v>
      </c>
      <c r="V648" s="19" t="s">
        <v>29</v>
      </c>
      <c r="W648" s="19"/>
      <c r="X648" s="19"/>
      <c r="Y648" s="20"/>
      <c r="Z648" s="19"/>
      <c r="AA648" s="18" t="str">
        <f aca="false">IF(OR(V648="Aprobada"),R648,IF(AND(OR(V648="Aprobada con ajuste",V648="Rechazada"),W648&lt;&gt;""),W648,""))</f>
        <v/>
      </c>
    </row>
    <row r="649" customFormat="false" ht="22.35" hidden="false" customHeight="false" outlineLevel="0" collapsed="false">
      <c r="A649" s="18" t="s">
        <v>3000</v>
      </c>
      <c r="B649" s="18" t="s">
        <v>60</v>
      </c>
      <c r="C649" s="18" t="s">
        <v>61</v>
      </c>
      <c r="D649" s="18" t="s">
        <v>2984</v>
      </c>
      <c r="E649" s="18" t="n">
        <v>9141</v>
      </c>
      <c r="F649" s="18" t="s">
        <v>3001</v>
      </c>
      <c r="G649" s="18" t="s">
        <v>651</v>
      </c>
      <c r="H649" s="18" t="s">
        <v>129</v>
      </c>
      <c r="I649" s="18"/>
      <c r="J649" s="18"/>
      <c r="K649" s="18"/>
      <c r="L649" s="18" t="s">
        <v>129</v>
      </c>
      <c r="M649" s="18" t="s">
        <v>129</v>
      </c>
      <c r="N649" s="18"/>
      <c r="O649" s="18" t="s">
        <v>3002</v>
      </c>
      <c r="P649" s="18"/>
      <c r="Q649" s="18" t="s">
        <v>149</v>
      </c>
      <c r="R649" s="18" t="s">
        <v>3003</v>
      </c>
      <c r="S649" s="18" t="s">
        <v>133</v>
      </c>
      <c r="T649" s="18" t="s">
        <v>3004</v>
      </c>
      <c r="U649" s="18"/>
      <c r="V649" s="19" t="s">
        <v>29</v>
      </c>
      <c r="W649" s="19"/>
      <c r="X649" s="19"/>
      <c r="Y649" s="20"/>
      <c r="Z649" s="19"/>
      <c r="AA649" s="18" t="str">
        <f aca="false">IF(OR(V649="Aprobada"),R649,IF(AND(OR(V649="Aprobada con ajuste",V649="Rechazada"),W649&lt;&gt;""),W649,""))</f>
        <v/>
      </c>
    </row>
    <row r="650" customFormat="false" ht="22.35" hidden="false" customHeight="false" outlineLevel="0" collapsed="false">
      <c r="A650" s="18" t="s">
        <v>3005</v>
      </c>
      <c r="B650" s="18" t="s">
        <v>60</v>
      </c>
      <c r="C650" s="18" t="s">
        <v>61</v>
      </c>
      <c r="D650" s="18" t="s">
        <v>2984</v>
      </c>
      <c r="E650" s="18" t="n">
        <v>9141</v>
      </c>
      <c r="F650" s="18" t="s">
        <v>3006</v>
      </c>
      <c r="G650" s="18" t="s">
        <v>651</v>
      </c>
      <c r="H650" s="18" t="s">
        <v>129</v>
      </c>
      <c r="I650" s="18"/>
      <c r="J650" s="18"/>
      <c r="K650" s="18"/>
      <c r="L650" s="18" t="s">
        <v>129</v>
      </c>
      <c r="M650" s="18" t="s">
        <v>129</v>
      </c>
      <c r="N650" s="18"/>
      <c r="O650" s="18"/>
      <c r="P650" s="18"/>
      <c r="Q650" s="18" t="s">
        <v>149</v>
      </c>
      <c r="R650" s="18" t="s">
        <v>3007</v>
      </c>
      <c r="S650" s="18" t="s">
        <v>133</v>
      </c>
      <c r="T650" s="18" t="s">
        <v>2991</v>
      </c>
      <c r="U650" s="18"/>
      <c r="V650" s="19" t="s">
        <v>29</v>
      </c>
      <c r="W650" s="19"/>
      <c r="X650" s="19"/>
      <c r="Y650" s="20"/>
      <c r="Z650" s="19"/>
      <c r="AA650" s="18" t="str">
        <f aca="false">IF(OR(V650="Aprobada"),R650,IF(AND(OR(V650="Aprobada con ajuste",V650="Rechazada"),W650&lt;&gt;""),W650,""))</f>
        <v/>
      </c>
    </row>
    <row r="651" customFormat="false" ht="22.35" hidden="false" customHeight="false" outlineLevel="0" collapsed="false">
      <c r="A651" s="18" t="s">
        <v>3008</v>
      </c>
      <c r="B651" s="18" t="s">
        <v>60</v>
      </c>
      <c r="C651" s="18" t="s">
        <v>61</v>
      </c>
      <c r="D651" s="18" t="s">
        <v>2984</v>
      </c>
      <c r="E651" s="18" t="n">
        <v>9141</v>
      </c>
      <c r="F651" s="18" t="s">
        <v>1766</v>
      </c>
      <c r="G651" s="18" t="s">
        <v>128</v>
      </c>
      <c r="H651" s="18" t="s">
        <v>129</v>
      </c>
      <c r="I651" s="18" t="s">
        <v>298</v>
      </c>
      <c r="J651" s="18" t="s">
        <v>3009</v>
      </c>
      <c r="K651" s="18"/>
      <c r="L651" s="18" t="s">
        <v>162</v>
      </c>
      <c r="M651" s="18" t="s">
        <v>129</v>
      </c>
      <c r="N651" s="18"/>
      <c r="O651" s="18"/>
      <c r="P651" s="18"/>
      <c r="Q651" s="18" t="s">
        <v>149</v>
      </c>
      <c r="R651" s="18" t="s">
        <v>3010</v>
      </c>
      <c r="S651" s="18" t="s">
        <v>133</v>
      </c>
      <c r="T651" s="18" t="s">
        <v>801</v>
      </c>
      <c r="U651" s="18"/>
      <c r="V651" s="19" t="s">
        <v>29</v>
      </c>
      <c r="W651" s="19"/>
      <c r="X651" s="19"/>
      <c r="Y651" s="20"/>
      <c r="Z651" s="19"/>
      <c r="AA651" s="18" t="str">
        <f aca="false">IF(OR(V651="Aprobada"),R651,IF(AND(OR(V651="Aprobada con ajuste",V651="Rechazada"),W651&lt;&gt;""),W651,""))</f>
        <v/>
      </c>
    </row>
    <row r="652" customFormat="false" ht="22.35" hidden="false" customHeight="false" outlineLevel="0" collapsed="false">
      <c r="A652" s="18" t="s">
        <v>3011</v>
      </c>
      <c r="B652" s="18" t="s">
        <v>60</v>
      </c>
      <c r="C652" s="18" t="s">
        <v>61</v>
      </c>
      <c r="D652" s="18" t="s">
        <v>2984</v>
      </c>
      <c r="E652" s="18" t="n">
        <v>9141</v>
      </c>
      <c r="F652" s="18" t="s">
        <v>3012</v>
      </c>
      <c r="G652" s="18" t="s">
        <v>128</v>
      </c>
      <c r="H652" s="18" t="s">
        <v>162</v>
      </c>
      <c r="I652" s="18"/>
      <c r="J652" s="18"/>
      <c r="K652" s="18"/>
      <c r="L652" s="18" t="s">
        <v>129</v>
      </c>
      <c r="M652" s="18" t="s">
        <v>129</v>
      </c>
      <c r="N652" s="18"/>
      <c r="O652" s="18"/>
      <c r="P652" s="18"/>
      <c r="Q652" s="18" t="s">
        <v>138</v>
      </c>
      <c r="R652" s="18" t="s">
        <v>3013</v>
      </c>
      <c r="S652" s="18" t="s">
        <v>140</v>
      </c>
      <c r="T652" s="18" t="s">
        <v>141</v>
      </c>
      <c r="U652" s="18"/>
      <c r="V652" s="19" t="s">
        <v>29</v>
      </c>
      <c r="W652" s="19"/>
      <c r="X652" s="19"/>
      <c r="Y652" s="20"/>
      <c r="Z652" s="19"/>
      <c r="AA652" s="18" t="str">
        <f aca="false">IF(OR(V652="Aprobada"),R652,IF(AND(OR(V652="Aprobada con ajuste",V652="Rechazada"),W652&lt;&gt;""),W652,""))</f>
        <v/>
      </c>
    </row>
    <row r="653" customFormat="false" ht="32.8" hidden="false" customHeight="false" outlineLevel="0" collapsed="false">
      <c r="A653" s="18" t="s">
        <v>3014</v>
      </c>
      <c r="B653" s="18" t="s">
        <v>60</v>
      </c>
      <c r="C653" s="18" t="s">
        <v>61</v>
      </c>
      <c r="D653" s="18" t="s">
        <v>3015</v>
      </c>
      <c r="E653" s="18" t="n">
        <v>0</v>
      </c>
      <c r="F653" s="18" t="s">
        <v>3016</v>
      </c>
      <c r="G653" s="18" t="s">
        <v>128</v>
      </c>
      <c r="H653" s="18" t="s">
        <v>129</v>
      </c>
      <c r="I653" s="18"/>
      <c r="J653" s="18"/>
      <c r="K653" s="18"/>
      <c r="L653" s="18" t="s">
        <v>129</v>
      </c>
      <c r="M653" s="18" t="s">
        <v>129</v>
      </c>
      <c r="N653" s="18"/>
      <c r="O653" s="18"/>
      <c r="P653" s="18" t="s">
        <v>3017</v>
      </c>
      <c r="Q653" s="18" t="s">
        <v>149</v>
      </c>
      <c r="R653" s="18" t="s">
        <v>3018</v>
      </c>
      <c r="S653" s="18" t="s">
        <v>133</v>
      </c>
      <c r="T653" s="18" t="s">
        <v>3019</v>
      </c>
      <c r="U653" s="18"/>
      <c r="V653" s="19" t="s">
        <v>29</v>
      </c>
      <c r="W653" s="19"/>
      <c r="X653" s="19"/>
      <c r="Y653" s="20"/>
      <c r="Z653" s="19"/>
      <c r="AA653" s="18" t="str">
        <f aca="false">IF(OR(V653="Aprobada"),R653,IF(AND(OR(V653="Aprobada con ajuste",V653="Rechazada"),W653&lt;&gt;""),W653,""))</f>
        <v/>
      </c>
    </row>
    <row r="654" customFormat="false" ht="32.8" hidden="false" customHeight="false" outlineLevel="0" collapsed="false">
      <c r="A654" s="18" t="s">
        <v>3020</v>
      </c>
      <c r="B654" s="18" t="s">
        <v>60</v>
      </c>
      <c r="C654" s="18" t="s">
        <v>61</v>
      </c>
      <c r="D654" s="18" t="s">
        <v>3015</v>
      </c>
      <c r="E654" s="18" t="n">
        <v>0</v>
      </c>
      <c r="F654" s="18" t="s">
        <v>3021</v>
      </c>
      <c r="G654" s="18" t="s">
        <v>128</v>
      </c>
      <c r="H654" s="18" t="s">
        <v>162</v>
      </c>
      <c r="I654" s="18"/>
      <c r="J654" s="18"/>
      <c r="K654" s="18"/>
      <c r="L654" s="18" t="s">
        <v>129</v>
      </c>
      <c r="M654" s="18" t="s">
        <v>129</v>
      </c>
      <c r="N654" s="18"/>
      <c r="O654" s="18"/>
      <c r="P654" s="18" t="s">
        <v>3022</v>
      </c>
      <c r="Q654" s="18" t="s">
        <v>149</v>
      </c>
      <c r="R654" s="18" t="s">
        <v>3023</v>
      </c>
      <c r="S654" s="18" t="s">
        <v>140</v>
      </c>
      <c r="T654" s="18" t="s">
        <v>2122</v>
      </c>
      <c r="U654" s="18" t="s">
        <v>3024</v>
      </c>
      <c r="V654" s="19" t="s">
        <v>29</v>
      </c>
      <c r="W654" s="19"/>
      <c r="X654" s="19"/>
      <c r="Y654" s="20"/>
      <c r="Z654" s="19"/>
      <c r="AA654" s="18" t="str">
        <f aca="false">IF(OR(V654="Aprobada"),R654,IF(AND(OR(V654="Aprobada con ajuste",V654="Rechazada"),W654&lt;&gt;""),W654,""))</f>
        <v/>
      </c>
    </row>
    <row r="655" customFormat="false" ht="43.25" hidden="false" customHeight="false" outlineLevel="0" collapsed="false">
      <c r="A655" s="18" t="s">
        <v>3025</v>
      </c>
      <c r="B655" s="18" t="s">
        <v>60</v>
      </c>
      <c r="C655" s="18" t="s">
        <v>61</v>
      </c>
      <c r="D655" s="18" t="s">
        <v>3015</v>
      </c>
      <c r="E655" s="18" t="n">
        <v>0</v>
      </c>
      <c r="F655" s="18" t="s">
        <v>964</v>
      </c>
      <c r="G655" s="18" t="s">
        <v>128</v>
      </c>
      <c r="H655" s="18" t="s">
        <v>129</v>
      </c>
      <c r="I655" s="18" t="s">
        <v>146</v>
      </c>
      <c r="J655" s="18"/>
      <c r="K655" s="18"/>
      <c r="L655" s="18" t="s">
        <v>129</v>
      </c>
      <c r="M655" s="18" t="s">
        <v>129</v>
      </c>
      <c r="N655" s="18"/>
      <c r="O655" s="18" t="s">
        <v>3026</v>
      </c>
      <c r="P655" s="18" t="s">
        <v>3027</v>
      </c>
      <c r="Q655" s="18" t="s">
        <v>149</v>
      </c>
      <c r="R655" s="18" t="s">
        <v>3028</v>
      </c>
      <c r="S655" s="18" t="s">
        <v>133</v>
      </c>
      <c r="T655" s="18" t="s">
        <v>3029</v>
      </c>
      <c r="U655" s="18"/>
      <c r="V655" s="19" t="s">
        <v>29</v>
      </c>
      <c r="W655" s="19"/>
      <c r="X655" s="19"/>
      <c r="Y655" s="20"/>
      <c r="Z655" s="19"/>
      <c r="AA655" s="18" t="str">
        <f aca="false">IF(OR(V655="Aprobada"),R655,IF(AND(OR(V655="Aprobada con ajuste",V655="Rechazada"),W655&lt;&gt;""),W655,""))</f>
        <v/>
      </c>
    </row>
    <row r="656" customFormat="false" ht="74.6" hidden="false" customHeight="false" outlineLevel="0" collapsed="false">
      <c r="A656" s="18" t="s">
        <v>3030</v>
      </c>
      <c r="B656" s="18" t="s">
        <v>60</v>
      </c>
      <c r="C656" s="18" t="s">
        <v>61</v>
      </c>
      <c r="D656" s="18" t="s">
        <v>3015</v>
      </c>
      <c r="E656" s="18" t="n">
        <v>0</v>
      </c>
      <c r="F656" s="18" t="s">
        <v>3031</v>
      </c>
      <c r="G656" s="18" t="s">
        <v>128</v>
      </c>
      <c r="H656" s="18" t="s">
        <v>129</v>
      </c>
      <c r="I656" s="18"/>
      <c r="J656" s="18"/>
      <c r="K656" s="18"/>
      <c r="L656" s="18" t="s">
        <v>129</v>
      </c>
      <c r="M656" s="18" t="s">
        <v>129</v>
      </c>
      <c r="N656" s="18"/>
      <c r="O656" s="18"/>
      <c r="P656" s="18" t="s">
        <v>3032</v>
      </c>
      <c r="Q656" s="18" t="s">
        <v>131</v>
      </c>
      <c r="R656" s="18" t="s">
        <v>3033</v>
      </c>
      <c r="S656" s="18" t="s">
        <v>133</v>
      </c>
      <c r="T656" s="18" t="s">
        <v>3034</v>
      </c>
      <c r="U656" s="18"/>
      <c r="V656" s="19" t="s">
        <v>29</v>
      </c>
      <c r="W656" s="19"/>
      <c r="X656" s="19"/>
      <c r="Y656" s="20"/>
      <c r="Z656" s="19"/>
      <c r="AA656" s="18" t="str">
        <f aca="false">IF(OR(V656="Aprobada"),R656,IF(AND(OR(V656="Aprobada con ajuste",V656="Rechazada"),W656&lt;&gt;""),W656,""))</f>
        <v/>
      </c>
    </row>
    <row r="657" customFormat="false" ht="22.35" hidden="false" customHeight="false" outlineLevel="0" collapsed="false">
      <c r="A657" s="18" t="s">
        <v>3035</v>
      </c>
      <c r="B657" s="18" t="s">
        <v>60</v>
      </c>
      <c r="C657" s="18" t="s">
        <v>61</v>
      </c>
      <c r="D657" s="18" t="s">
        <v>3015</v>
      </c>
      <c r="E657" s="18" t="n">
        <v>0</v>
      </c>
      <c r="F657" s="18" t="s">
        <v>3036</v>
      </c>
      <c r="G657" s="18" t="s">
        <v>128</v>
      </c>
      <c r="H657" s="18" t="s">
        <v>162</v>
      </c>
      <c r="I657" s="18"/>
      <c r="J657" s="18"/>
      <c r="K657" s="18"/>
      <c r="L657" s="18" t="s">
        <v>129</v>
      </c>
      <c r="M657" s="18" t="s">
        <v>129</v>
      </c>
      <c r="N657" s="18"/>
      <c r="O657" s="18"/>
      <c r="P657" s="18" t="s">
        <v>3037</v>
      </c>
      <c r="Q657" s="18" t="s">
        <v>149</v>
      </c>
      <c r="R657" s="18" t="s">
        <v>3038</v>
      </c>
      <c r="S657" s="18" t="s">
        <v>133</v>
      </c>
      <c r="T657" s="18" t="s">
        <v>2122</v>
      </c>
      <c r="U657" s="18"/>
      <c r="V657" s="19" t="s">
        <v>29</v>
      </c>
      <c r="W657" s="19"/>
      <c r="X657" s="19"/>
      <c r="Y657" s="20"/>
      <c r="Z657" s="19"/>
      <c r="AA657" s="18" t="str">
        <f aca="false">IF(OR(V657="Aprobada"),R657,IF(AND(OR(V657="Aprobada con ajuste",V657="Rechazada"),W657&lt;&gt;""),W657,""))</f>
        <v/>
      </c>
    </row>
    <row r="658" customFormat="false" ht="22.35" hidden="false" customHeight="false" outlineLevel="0" collapsed="false">
      <c r="A658" s="18" t="s">
        <v>3039</v>
      </c>
      <c r="B658" s="18" t="s">
        <v>60</v>
      </c>
      <c r="C658" s="18" t="s">
        <v>61</v>
      </c>
      <c r="D658" s="18" t="s">
        <v>3015</v>
      </c>
      <c r="E658" s="18" t="n">
        <v>0</v>
      </c>
      <c r="F658" s="18" t="s">
        <v>2414</v>
      </c>
      <c r="G658" s="18" t="s">
        <v>584</v>
      </c>
      <c r="H658" s="18" t="s">
        <v>129</v>
      </c>
      <c r="I658" s="18" t="s">
        <v>298</v>
      </c>
      <c r="J658" s="18"/>
      <c r="K658" s="18"/>
      <c r="L658" s="18" t="s">
        <v>129</v>
      </c>
      <c r="M658" s="18" t="s">
        <v>129</v>
      </c>
      <c r="N658" s="18"/>
      <c r="O658" s="18"/>
      <c r="P658" s="18" t="s">
        <v>3040</v>
      </c>
      <c r="Q658" s="18" t="s">
        <v>138</v>
      </c>
      <c r="R658" s="18" t="s">
        <v>2416</v>
      </c>
      <c r="S658" s="18" t="s">
        <v>140</v>
      </c>
      <c r="T658" s="18" t="s">
        <v>141</v>
      </c>
      <c r="U658" s="18"/>
      <c r="V658" s="19" t="s">
        <v>29</v>
      </c>
      <c r="W658" s="19"/>
      <c r="X658" s="19"/>
      <c r="Y658" s="20"/>
      <c r="Z658" s="19"/>
      <c r="AA658" s="18" t="str">
        <f aca="false">IF(OR(V658="Aprobada"),R658,IF(AND(OR(V658="Aprobada con ajuste",V658="Rechazada"),W658&lt;&gt;""),W658,""))</f>
        <v/>
      </c>
    </row>
    <row r="659" customFormat="false" ht="22.35" hidden="false" customHeight="false" outlineLevel="0" collapsed="false">
      <c r="A659" s="18" t="s">
        <v>3041</v>
      </c>
      <c r="B659" s="18" t="s">
        <v>60</v>
      </c>
      <c r="C659" s="18" t="s">
        <v>61</v>
      </c>
      <c r="D659" s="18" t="s">
        <v>3015</v>
      </c>
      <c r="E659" s="18" t="n">
        <v>0</v>
      </c>
      <c r="F659" s="18" t="s">
        <v>2418</v>
      </c>
      <c r="G659" s="18" t="s">
        <v>584</v>
      </c>
      <c r="H659" s="18" t="s">
        <v>129</v>
      </c>
      <c r="I659" s="18" t="s">
        <v>298</v>
      </c>
      <c r="J659" s="18"/>
      <c r="K659" s="18"/>
      <c r="L659" s="18" t="s">
        <v>129</v>
      </c>
      <c r="M659" s="18" t="s">
        <v>129</v>
      </c>
      <c r="N659" s="18"/>
      <c r="O659" s="18" t="s">
        <v>3042</v>
      </c>
      <c r="P659" s="18" t="s">
        <v>3043</v>
      </c>
      <c r="Q659" s="18" t="s">
        <v>138</v>
      </c>
      <c r="R659" s="18" t="s">
        <v>2420</v>
      </c>
      <c r="S659" s="18" t="s">
        <v>140</v>
      </c>
      <c r="T659" s="18" t="s">
        <v>141</v>
      </c>
      <c r="U659" s="18"/>
      <c r="V659" s="19" t="s">
        <v>29</v>
      </c>
      <c r="W659" s="19"/>
      <c r="X659" s="19"/>
      <c r="Y659" s="20"/>
      <c r="Z659" s="19"/>
      <c r="AA659" s="18" t="str">
        <f aca="false">IF(OR(V659="Aprobada"),R659,IF(AND(OR(V659="Aprobada con ajuste",V659="Rechazada"),W659&lt;&gt;""),W659,""))</f>
        <v/>
      </c>
    </row>
    <row r="660" customFormat="false" ht="22.35" hidden="false" customHeight="false" outlineLevel="0" collapsed="false">
      <c r="A660" s="18" t="s">
        <v>3044</v>
      </c>
      <c r="B660" s="18" t="s">
        <v>60</v>
      </c>
      <c r="C660" s="18" t="s">
        <v>61</v>
      </c>
      <c r="D660" s="18" t="s">
        <v>3015</v>
      </c>
      <c r="E660" s="18" t="n">
        <v>0</v>
      </c>
      <c r="F660" s="18" t="s">
        <v>172</v>
      </c>
      <c r="G660" s="18" t="s">
        <v>173</v>
      </c>
      <c r="H660" s="18" t="s">
        <v>129</v>
      </c>
      <c r="I660" s="18"/>
      <c r="J660" s="18"/>
      <c r="K660" s="18"/>
      <c r="L660" s="18" t="s">
        <v>129</v>
      </c>
      <c r="M660" s="18" t="s">
        <v>129</v>
      </c>
      <c r="N660" s="18"/>
      <c r="O660" s="18" t="s">
        <v>3042</v>
      </c>
      <c r="P660" s="18" t="s">
        <v>3045</v>
      </c>
      <c r="Q660" s="18" t="s">
        <v>138</v>
      </c>
      <c r="R660" s="18" t="s">
        <v>176</v>
      </c>
      <c r="S660" s="18" t="s">
        <v>140</v>
      </c>
      <c r="T660" s="18" t="s">
        <v>141</v>
      </c>
      <c r="U660" s="18"/>
      <c r="V660" s="19" t="s">
        <v>29</v>
      </c>
      <c r="W660" s="19"/>
      <c r="X660" s="19"/>
      <c r="Y660" s="20"/>
      <c r="Z660" s="19"/>
      <c r="AA660" s="18" t="str">
        <f aca="false">IF(OR(V660="Aprobada"),R660,IF(AND(OR(V660="Aprobada con ajuste",V660="Rechazada"),W660&lt;&gt;""),W660,""))</f>
        <v/>
      </c>
    </row>
    <row r="661" customFormat="false" ht="32.8" hidden="false" customHeight="false" outlineLevel="0" collapsed="false">
      <c r="A661" s="18" t="s">
        <v>3046</v>
      </c>
      <c r="B661" s="18" t="s">
        <v>60</v>
      </c>
      <c r="C661" s="18" t="s">
        <v>61</v>
      </c>
      <c r="D661" s="18" t="s">
        <v>3015</v>
      </c>
      <c r="E661" s="18" t="n">
        <v>0</v>
      </c>
      <c r="F661" s="18" t="s">
        <v>3047</v>
      </c>
      <c r="G661" s="18" t="s">
        <v>128</v>
      </c>
      <c r="H661" s="18" t="s">
        <v>129</v>
      </c>
      <c r="I661" s="18"/>
      <c r="J661" s="18"/>
      <c r="K661" s="18"/>
      <c r="L661" s="18" t="s">
        <v>129</v>
      </c>
      <c r="M661" s="18" t="s">
        <v>129</v>
      </c>
      <c r="N661" s="18"/>
      <c r="O661" s="18"/>
      <c r="P661" s="18" t="s">
        <v>3048</v>
      </c>
      <c r="Q661" s="18" t="s">
        <v>149</v>
      </c>
      <c r="R661" s="18" t="s">
        <v>3049</v>
      </c>
      <c r="S661" s="18" t="s">
        <v>133</v>
      </c>
      <c r="T661" s="18" t="s">
        <v>3050</v>
      </c>
      <c r="U661" s="18"/>
      <c r="V661" s="19" t="s">
        <v>29</v>
      </c>
      <c r="W661" s="19"/>
      <c r="X661" s="19"/>
      <c r="Y661" s="20"/>
      <c r="Z661" s="19"/>
      <c r="AA661" s="18" t="str">
        <f aca="false">IF(OR(V661="Aprobada"),R661,IF(AND(OR(V661="Aprobada con ajuste",V661="Rechazada"),W661&lt;&gt;""),W661,""))</f>
        <v/>
      </c>
    </row>
    <row r="662" customFormat="false" ht="22.35" hidden="false" customHeight="false" outlineLevel="0" collapsed="false">
      <c r="A662" s="18" t="s">
        <v>3051</v>
      </c>
      <c r="B662" s="18" t="s">
        <v>60</v>
      </c>
      <c r="C662" s="18" t="s">
        <v>61</v>
      </c>
      <c r="D662" s="18" t="s">
        <v>3015</v>
      </c>
      <c r="E662" s="18" t="n">
        <v>0</v>
      </c>
      <c r="F662" s="18" t="s">
        <v>3052</v>
      </c>
      <c r="G662" s="18" t="s">
        <v>584</v>
      </c>
      <c r="H662" s="18" t="s">
        <v>162</v>
      </c>
      <c r="I662" s="18"/>
      <c r="J662" s="18"/>
      <c r="K662" s="18"/>
      <c r="L662" s="18" t="s">
        <v>129</v>
      </c>
      <c r="M662" s="18" t="s">
        <v>129</v>
      </c>
      <c r="N662" s="18"/>
      <c r="O662" s="18"/>
      <c r="P662" s="18" t="s">
        <v>3053</v>
      </c>
      <c r="Q662" s="18" t="s">
        <v>149</v>
      </c>
      <c r="R662" s="18" t="s">
        <v>3054</v>
      </c>
      <c r="S662" s="18" t="s">
        <v>133</v>
      </c>
      <c r="T662" s="18" t="s">
        <v>3055</v>
      </c>
      <c r="U662" s="18"/>
      <c r="V662" s="19" t="s">
        <v>29</v>
      </c>
      <c r="W662" s="19"/>
      <c r="X662" s="19"/>
      <c r="Y662" s="20"/>
      <c r="Z662" s="19"/>
      <c r="AA662" s="18" t="str">
        <f aca="false">IF(OR(V662="Aprobada"),R662,IF(AND(OR(V662="Aprobada con ajuste",V662="Rechazada"),W662&lt;&gt;""),W662,""))</f>
        <v/>
      </c>
    </row>
    <row r="663" customFormat="false" ht="22.35" hidden="false" customHeight="false" outlineLevel="0" collapsed="false">
      <c r="A663" s="18" t="s">
        <v>3056</v>
      </c>
      <c r="B663" s="18" t="s">
        <v>60</v>
      </c>
      <c r="C663" s="18" t="s">
        <v>61</v>
      </c>
      <c r="D663" s="18" t="s">
        <v>3015</v>
      </c>
      <c r="E663" s="18" t="n">
        <v>0</v>
      </c>
      <c r="F663" s="18" t="s">
        <v>3057</v>
      </c>
      <c r="G663" s="18" t="s">
        <v>128</v>
      </c>
      <c r="H663" s="18" t="s">
        <v>162</v>
      </c>
      <c r="I663" s="18"/>
      <c r="J663" s="18"/>
      <c r="K663" s="18"/>
      <c r="L663" s="18" t="s">
        <v>129</v>
      </c>
      <c r="M663" s="18" t="s">
        <v>129</v>
      </c>
      <c r="N663" s="18"/>
      <c r="O663" s="18"/>
      <c r="P663" s="18" t="s">
        <v>3058</v>
      </c>
      <c r="Q663" s="18" t="s">
        <v>149</v>
      </c>
      <c r="R663" s="18" t="s">
        <v>3059</v>
      </c>
      <c r="S663" s="18" t="s">
        <v>133</v>
      </c>
      <c r="T663" s="18" t="s">
        <v>3060</v>
      </c>
      <c r="U663" s="18"/>
      <c r="V663" s="19" t="s">
        <v>29</v>
      </c>
      <c r="W663" s="19"/>
      <c r="X663" s="19"/>
      <c r="Y663" s="20"/>
      <c r="Z663" s="19"/>
      <c r="AA663" s="18" t="str">
        <f aca="false">IF(OR(V663="Aprobada"),R663,IF(AND(OR(V663="Aprobada con ajuste",V663="Rechazada"),W663&lt;&gt;""),W663,""))</f>
        <v/>
      </c>
    </row>
    <row r="664" customFormat="false" ht="22.35" hidden="false" customHeight="false" outlineLevel="0" collapsed="false">
      <c r="A664" s="18" t="s">
        <v>3061</v>
      </c>
      <c r="B664" s="18" t="s">
        <v>60</v>
      </c>
      <c r="C664" s="18" t="s">
        <v>61</v>
      </c>
      <c r="D664" s="18" t="s">
        <v>3062</v>
      </c>
      <c r="E664" s="18" t="n">
        <v>6760</v>
      </c>
      <c r="F664" s="18" t="s">
        <v>3031</v>
      </c>
      <c r="G664" s="18" t="s">
        <v>312</v>
      </c>
      <c r="H664" s="18" t="s">
        <v>129</v>
      </c>
      <c r="I664" s="18"/>
      <c r="J664" s="18"/>
      <c r="K664" s="18"/>
      <c r="L664" s="18" t="s">
        <v>129</v>
      </c>
      <c r="M664" s="18" t="s">
        <v>129</v>
      </c>
      <c r="N664" s="18"/>
      <c r="O664" s="18" t="s">
        <v>3063</v>
      </c>
      <c r="P664" s="18" t="s">
        <v>3064</v>
      </c>
      <c r="Q664" s="18" t="s">
        <v>149</v>
      </c>
      <c r="R664" s="18" t="s">
        <v>3065</v>
      </c>
      <c r="S664" s="18" t="s">
        <v>133</v>
      </c>
      <c r="T664" s="18" t="s">
        <v>3066</v>
      </c>
      <c r="U664" s="18"/>
      <c r="V664" s="19" t="s">
        <v>29</v>
      </c>
      <c r="W664" s="19"/>
      <c r="X664" s="19"/>
      <c r="Y664" s="20"/>
      <c r="Z664" s="19"/>
      <c r="AA664" s="18" t="str">
        <f aca="false">IF(OR(V664="Aprobada"),R664,IF(AND(OR(V664="Aprobada con ajuste",V664="Rechazada"),W664&lt;&gt;""),W664,""))</f>
        <v/>
      </c>
    </row>
    <row r="665" customFormat="false" ht="32.8" hidden="false" customHeight="false" outlineLevel="0" collapsed="false">
      <c r="A665" s="18" t="s">
        <v>3067</v>
      </c>
      <c r="B665" s="18" t="s">
        <v>60</v>
      </c>
      <c r="C665" s="18" t="s">
        <v>61</v>
      </c>
      <c r="D665" s="18" t="s">
        <v>3062</v>
      </c>
      <c r="E665" s="18" t="n">
        <v>6760</v>
      </c>
      <c r="F665" s="18" t="s">
        <v>3068</v>
      </c>
      <c r="G665" s="18" t="s">
        <v>128</v>
      </c>
      <c r="H665" s="18" t="s">
        <v>162</v>
      </c>
      <c r="I665" s="18"/>
      <c r="J665" s="18"/>
      <c r="K665" s="18"/>
      <c r="L665" s="18" t="s">
        <v>129</v>
      </c>
      <c r="M665" s="18" t="s">
        <v>129</v>
      </c>
      <c r="N665" s="18"/>
      <c r="O665" s="18"/>
      <c r="P665" s="18" t="s">
        <v>3069</v>
      </c>
      <c r="Q665" s="18" t="s">
        <v>131</v>
      </c>
      <c r="R665" s="18" t="s">
        <v>3070</v>
      </c>
      <c r="S665" s="18" t="s">
        <v>133</v>
      </c>
      <c r="T665" s="18" t="s">
        <v>3071</v>
      </c>
      <c r="U665" s="18"/>
      <c r="V665" s="19" t="s">
        <v>29</v>
      </c>
      <c r="W665" s="19"/>
      <c r="X665" s="19"/>
      <c r="Y665" s="20"/>
      <c r="Z665" s="19"/>
      <c r="AA665" s="18" t="str">
        <f aca="false">IF(OR(V665="Aprobada"),R665,IF(AND(OR(V665="Aprobada con ajuste",V665="Rechazada"),W665&lt;&gt;""),W665,""))</f>
        <v/>
      </c>
    </row>
    <row r="666" customFormat="false" ht="43.25" hidden="false" customHeight="false" outlineLevel="0" collapsed="false">
      <c r="A666" s="18" t="s">
        <v>3072</v>
      </c>
      <c r="B666" s="18" t="s">
        <v>60</v>
      </c>
      <c r="C666" s="18" t="s">
        <v>61</v>
      </c>
      <c r="D666" s="18" t="s">
        <v>3062</v>
      </c>
      <c r="E666" s="18" t="n">
        <v>6760</v>
      </c>
      <c r="F666" s="18" t="s">
        <v>1744</v>
      </c>
      <c r="G666" s="18" t="s">
        <v>128</v>
      </c>
      <c r="H666" s="18" t="s">
        <v>129</v>
      </c>
      <c r="I666" s="18"/>
      <c r="J666" s="18"/>
      <c r="K666" s="18"/>
      <c r="L666" s="18" t="s">
        <v>129</v>
      </c>
      <c r="M666" s="18" t="s">
        <v>129</v>
      </c>
      <c r="N666" s="18"/>
      <c r="O666" s="18"/>
      <c r="P666" s="18" t="s">
        <v>3073</v>
      </c>
      <c r="Q666" s="18" t="s">
        <v>131</v>
      </c>
      <c r="R666" s="18" t="s">
        <v>3074</v>
      </c>
      <c r="S666" s="18" t="s">
        <v>133</v>
      </c>
      <c r="T666" s="18" t="s">
        <v>3075</v>
      </c>
      <c r="U666" s="18"/>
      <c r="V666" s="19" t="s">
        <v>29</v>
      </c>
      <c r="W666" s="19"/>
      <c r="X666" s="19"/>
      <c r="Y666" s="20"/>
      <c r="Z666" s="19"/>
      <c r="AA666" s="18" t="str">
        <f aca="false">IF(OR(V666="Aprobada"),R666,IF(AND(OR(V666="Aprobada con ajuste",V666="Rechazada"),W666&lt;&gt;""),W666,""))</f>
        <v/>
      </c>
    </row>
    <row r="667" customFormat="false" ht="32.8" hidden="false" customHeight="false" outlineLevel="0" collapsed="false">
      <c r="A667" s="18" t="s">
        <v>3076</v>
      </c>
      <c r="B667" s="18" t="s">
        <v>60</v>
      </c>
      <c r="C667" s="18" t="s">
        <v>61</v>
      </c>
      <c r="D667" s="18" t="s">
        <v>3062</v>
      </c>
      <c r="E667" s="18" t="n">
        <v>6760</v>
      </c>
      <c r="F667" s="18" t="s">
        <v>2876</v>
      </c>
      <c r="G667" s="18" t="s">
        <v>128</v>
      </c>
      <c r="H667" s="18" t="s">
        <v>129</v>
      </c>
      <c r="I667" s="18"/>
      <c r="J667" s="18"/>
      <c r="K667" s="18"/>
      <c r="L667" s="18" t="s">
        <v>129</v>
      </c>
      <c r="M667" s="18" t="s">
        <v>129</v>
      </c>
      <c r="N667" s="18"/>
      <c r="O667" s="18"/>
      <c r="P667" s="18" t="s">
        <v>3077</v>
      </c>
      <c r="Q667" s="18" t="s">
        <v>131</v>
      </c>
      <c r="R667" s="18" t="s">
        <v>3078</v>
      </c>
      <c r="S667" s="18" t="s">
        <v>133</v>
      </c>
      <c r="T667" s="18" t="s">
        <v>3079</v>
      </c>
      <c r="U667" s="18"/>
      <c r="V667" s="19" t="s">
        <v>29</v>
      </c>
      <c r="W667" s="19"/>
      <c r="X667" s="19"/>
      <c r="Y667" s="20"/>
      <c r="Z667" s="19"/>
      <c r="AA667" s="18" t="str">
        <f aca="false">IF(OR(V667="Aprobada"),R667,IF(AND(OR(V667="Aprobada con ajuste",V667="Rechazada"),W667&lt;&gt;""),W667,""))</f>
        <v/>
      </c>
    </row>
    <row r="668" customFormat="false" ht="32.8" hidden="false" customHeight="false" outlineLevel="0" collapsed="false">
      <c r="A668" s="18" t="s">
        <v>3080</v>
      </c>
      <c r="B668" s="18" t="s">
        <v>60</v>
      </c>
      <c r="C668" s="18" t="s">
        <v>61</v>
      </c>
      <c r="D668" s="18" t="s">
        <v>3062</v>
      </c>
      <c r="E668" s="18" t="n">
        <v>6760</v>
      </c>
      <c r="F668" s="18" t="s">
        <v>2236</v>
      </c>
      <c r="G668" s="18" t="s">
        <v>128</v>
      </c>
      <c r="H668" s="18" t="s">
        <v>162</v>
      </c>
      <c r="I668" s="18"/>
      <c r="J668" s="18"/>
      <c r="K668" s="18"/>
      <c r="L668" s="18" t="s">
        <v>129</v>
      </c>
      <c r="M668" s="18" t="s">
        <v>129</v>
      </c>
      <c r="N668" s="18"/>
      <c r="O668" s="18"/>
      <c r="P668" s="18" t="s">
        <v>3081</v>
      </c>
      <c r="Q668" s="18" t="s">
        <v>131</v>
      </c>
      <c r="R668" s="18" t="s">
        <v>3082</v>
      </c>
      <c r="S668" s="18" t="s">
        <v>133</v>
      </c>
      <c r="T668" s="18" t="s">
        <v>3083</v>
      </c>
      <c r="U668" s="18"/>
      <c r="V668" s="19" t="s">
        <v>29</v>
      </c>
      <c r="W668" s="19"/>
      <c r="X668" s="19"/>
      <c r="Y668" s="20"/>
      <c r="Z668" s="19"/>
      <c r="AA668" s="18" t="str">
        <f aca="false">IF(OR(V668="Aprobada"),R668,IF(AND(OR(V668="Aprobada con ajuste",V668="Rechazada"),W668&lt;&gt;""),W668,""))</f>
        <v/>
      </c>
    </row>
    <row r="669" customFormat="false" ht="32.8" hidden="false" customHeight="false" outlineLevel="0" collapsed="false">
      <c r="A669" s="18" t="s">
        <v>3084</v>
      </c>
      <c r="B669" s="18" t="s">
        <v>60</v>
      </c>
      <c r="C669" s="18" t="s">
        <v>61</v>
      </c>
      <c r="D669" s="18" t="s">
        <v>3062</v>
      </c>
      <c r="E669" s="18" t="n">
        <v>6760</v>
      </c>
      <c r="F669" s="18" t="s">
        <v>3085</v>
      </c>
      <c r="G669" s="18" t="s">
        <v>128</v>
      </c>
      <c r="H669" s="18" t="s">
        <v>162</v>
      </c>
      <c r="I669" s="18"/>
      <c r="J669" s="18"/>
      <c r="K669" s="18"/>
      <c r="L669" s="18" t="s">
        <v>129</v>
      </c>
      <c r="M669" s="18" t="s">
        <v>129</v>
      </c>
      <c r="N669" s="18"/>
      <c r="O669" s="18"/>
      <c r="P669" s="18" t="s">
        <v>3086</v>
      </c>
      <c r="Q669" s="18" t="s">
        <v>131</v>
      </c>
      <c r="R669" s="18" t="s">
        <v>3087</v>
      </c>
      <c r="S669" s="18" t="s">
        <v>133</v>
      </c>
      <c r="T669" s="18" t="s">
        <v>3088</v>
      </c>
      <c r="U669" s="18"/>
      <c r="V669" s="19" t="s">
        <v>29</v>
      </c>
      <c r="W669" s="19"/>
      <c r="X669" s="19"/>
      <c r="Y669" s="20"/>
      <c r="Z669" s="19"/>
      <c r="AA669" s="18" t="str">
        <f aca="false">IF(OR(V669="Aprobada"),R669,IF(AND(OR(V669="Aprobada con ajuste",V669="Rechazada"),W669&lt;&gt;""),W669,""))</f>
        <v/>
      </c>
    </row>
    <row r="670" customFormat="false" ht="32.8" hidden="false" customHeight="false" outlineLevel="0" collapsed="false">
      <c r="A670" s="18" t="s">
        <v>3089</v>
      </c>
      <c r="B670" s="18" t="s">
        <v>60</v>
      </c>
      <c r="C670" s="18" t="s">
        <v>61</v>
      </c>
      <c r="D670" s="18" t="s">
        <v>3062</v>
      </c>
      <c r="E670" s="18" t="n">
        <v>6760</v>
      </c>
      <c r="F670" s="18" t="s">
        <v>3090</v>
      </c>
      <c r="G670" s="18" t="s">
        <v>128</v>
      </c>
      <c r="H670" s="18" t="s">
        <v>162</v>
      </c>
      <c r="I670" s="18"/>
      <c r="J670" s="18"/>
      <c r="K670" s="18"/>
      <c r="L670" s="18" t="s">
        <v>129</v>
      </c>
      <c r="M670" s="18" t="s">
        <v>129</v>
      </c>
      <c r="N670" s="18"/>
      <c r="O670" s="18"/>
      <c r="P670" s="18" t="s">
        <v>3091</v>
      </c>
      <c r="Q670" s="18" t="s">
        <v>131</v>
      </c>
      <c r="R670" s="18" t="s">
        <v>3092</v>
      </c>
      <c r="S670" s="18" t="s">
        <v>133</v>
      </c>
      <c r="T670" s="18" t="s">
        <v>3093</v>
      </c>
      <c r="U670" s="18"/>
      <c r="V670" s="19" t="s">
        <v>29</v>
      </c>
      <c r="W670" s="19"/>
      <c r="X670" s="19"/>
      <c r="Y670" s="20"/>
      <c r="Z670" s="19"/>
      <c r="AA670" s="18" t="str">
        <f aca="false">IF(OR(V670="Aprobada"),R670,IF(AND(OR(V670="Aprobada con ajuste",V670="Rechazada"),W670&lt;&gt;""),W670,""))</f>
        <v/>
      </c>
    </row>
    <row r="671" customFormat="false" ht="32.8" hidden="false" customHeight="false" outlineLevel="0" collapsed="false">
      <c r="A671" s="18" t="s">
        <v>3094</v>
      </c>
      <c r="B671" s="18" t="s">
        <v>60</v>
      </c>
      <c r="C671" s="18" t="s">
        <v>61</v>
      </c>
      <c r="D671" s="18" t="s">
        <v>3062</v>
      </c>
      <c r="E671" s="18" t="n">
        <v>6760</v>
      </c>
      <c r="F671" s="18" t="s">
        <v>3095</v>
      </c>
      <c r="G671" s="18" t="s">
        <v>128</v>
      </c>
      <c r="H671" s="18" t="s">
        <v>162</v>
      </c>
      <c r="I671" s="18"/>
      <c r="J671" s="18"/>
      <c r="K671" s="18"/>
      <c r="L671" s="18" t="s">
        <v>129</v>
      </c>
      <c r="M671" s="18" t="s">
        <v>129</v>
      </c>
      <c r="N671" s="18"/>
      <c r="O671" s="18"/>
      <c r="P671" s="18" t="s">
        <v>3096</v>
      </c>
      <c r="Q671" s="18" t="s">
        <v>131</v>
      </c>
      <c r="R671" s="18" t="s">
        <v>3097</v>
      </c>
      <c r="S671" s="18" t="s">
        <v>133</v>
      </c>
      <c r="T671" s="18" t="s">
        <v>3098</v>
      </c>
      <c r="U671" s="18"/>
      <c r="V671" s="19" t="s">
        <v>29</v>
      </c>
      <c r="W671" s="19"/>
      <c r="X671" s="19"/>
      <c r="Y671" s="20"/>
      <c r="Z671" s="19"/>
      <c r="AA671" s="18" t="str">
        <f aca="false">IF(OR(V671="Aprobada"),R671,IF(AND(OR(V671="Aprobada con ajuste",V671="Rechazada"),W671&lt;&gt;""),W671,""))</f>
        <v/>
      </c>
    </row>
    <row r="672" customFormat="false" ht="32.8" hidden="false" customHeight="false" outlineLevel="0" collapsed="false">
      <c r="A672" s="18" t="s">
        <v>3099</v>
      </c>
      <c r="B672" s="18" t="s">
        <v>60</v>
      </c>
      <c r="C672" s="18" t="s">
        <v>61</v>
      </c>
      <c r="D672" s="18" t="s">
        <v>3062</v>
      </c>
      <c r="E672" s="18" t="n">
        <v>6760</v>
      </c>
      <c r="F672" s="18" t="s">
        <v>3100</v>
      </c>
      <c r="G672" s="18" t="s">
        <v>128</v>
      </c>
      <c r="H672" s="18" t="s">
        <v>162</v>
      </c>
      <c r="I672" s="18"/>
      <c r="J672" s="18"/>
      <c r="K672" s="18"/>
      <c r="L672" s="18" t="s">
        <v>129</v>
      </c>
      <c r="M672" s="18" t="s">
        <v>129</v>
      </c>
      <c r="N672" s="18"/>
      <c r="O672" s="18"/>
      <c r="P672" s="18" t="s">
        <v>3101</v>
      </c>
      <c r="Q672" s="18" t="s">
        <v>131</v>
      </c>
      <c r="R672" s="18" t="s">
        <v>3102</v>
      </c>
      <c r="S672" s="18" t="s">
        <v>133</v>
      </c>
      <c r="T672" s="18" t="s">
        <v>3103</v>
      </c>
      <c r="U672" s="18"/>
      <c r="V672" s="19" t="s">
        <v>29</v>
      </c>
      <c r="W672" s="19"/>
      <c r="X672" s="19"/>
      <c r="Y672" s="20"/>
      <c r="Z672" s="19"/>
      <c r="AA672" s="18" t="str">
        <f aca="false">IF(OR(V672="Aprobada"),R672,IF(AND(OR(V672="Aprobada con ajuste",V672="Rechazada"),W672&lt;&gt;""),W672,""))</f>
        <v/>
      </c>
    </row>
    <row r="673" customFormat="false" ht="32.8" hidden="false" customHeight="false" outlineLevel="0" collapsed="false">
      <c r="A673" s="18" t="s">
        <v>3104</v>
      </c>
      <c r="B673" s="18" t="s">
        <v>60</v>
      </c>
      <c r="C673" s="18" t="s">
        <v>61</v>
      </c>
      <c r="D673" s="18" t="s">
        <v>3062</v>
      </c>
      <c r="E673" s="18" t="n">
        <v>6760</v>
      </c>
      <c r="F673" s="18" t="s">
        <v>3105</v>
      </c>
      <c r="G673" s="18" t="s">
        <v>128</v>
      </c>
      <c r="H673" s="18" t="s">
        <v>162</v>
      </c>
      <c r="I673" s="18"/>
      <c r="J673" s="18"/>
      <c r="K673" s="18"/>
      <c r="L673" s="18" t="s">
        <v>129</v>
      </c>
      <c r="M673" s="18" t="s">
        <v>129</v>
      </c>
      <c r="N673" s="18"/>
      <c r="O673" s="18"/>
      <c r="P673" s="18" t="s">
        <v>3106</v>
      </c>
      <c r="Q673" s="18" t="s">
        <v>131</v>
      </c>
      <c r="R673" s="18" t="s">
        <v>3107</v>
      </c>
      <c r="S673" s="18" t="s">
        <v>133</v>
      </c>
      <c r="T673" s="18" t="s">
        <v>3108</v>
      </c>
      <c r="U673" s="18"/>
      <c r="V673" s="19" t="s">
        <v>29</v>
      </c>
      <c r="W673" s="19"/>
      <c r="X673" s="19"/>
      <c r="Y673" s="20"/>
      <c r="Z673" s="19"/>
      <c r="AA673" s="18" t="str">
        <f aca="false">IF(OR(V673="Aprobada"),R673,IF(AND(OR(V673="Aprobada con ajuste",V673="Rechazada"),W673&lt;&gt;""),W673,""))</f>
        <v/>
      </c>
    </row>
    <row r="674" customFormat="false" ht="32.8" hidden="false" customHeight="false" outlineLevel="0" collapsed="false">
      <c r="A674" s="18" t="s">
        <v>3109</v>
      </c>
      <c r="B674" s="18" t="s">
        <v>60</v>
      </c>
      <c r="C674" s="18" t="s">
        <v>61</v>
      </c>
      <c r="D674" s="18" t="s">
        <v>3062</v>
      </c>
      <c r="E674" s="18" t="n">
        <v>6760</v>
      </c>
      <c r="F674" s="18" t="s">
        <v>3012</v>
      </c>
      <c r="G674" s="18" t="s">
        <v>128</v>
      </c>
      <c r="H674" s="18" t="s">
        <v>162</v>
      </c>
      <c r="I674" s="18"/>
      <c r="J674" s="18"/>
      <c r="K674" s="18"/>
      <c r="L674" s="18" t="s">
        <v>129</v>
      </c>
      <c r="M674" s="18" t="s">
        <v>129</v>
      </c>
      <c r="N674" s="18"/>
      <c r="O674" s="18"/>
      <c r="P674" s="18" t="s">
        <v>3110</v>
      </c>
      <c r="Q674" s="18" t="s">
        <v>131</v>
      </c>
      <c r="R674" s="18" t="s">
        <v>3111</v>
      </c>
      <c r="S674" s="18" t="s">
        <v>133</v>
      </c>
      <c r="T674" s="18" t="s">
        <v>3112</v>
      </c>
      <c r="U674" s="18"/>
      <c r="V674" s="19" t="s">
        <v>29</v>
      </c>
      <c r="W674" s="19"/>
      <c r="X674" s="19"/>
      <c r="Y674" s="20"/>
      <c r="Z674" s="19"/>
      <c r="AA674" s="18" t="str">
        <f aca="false">IF(OR(V674="Aprobada"),R674,IF(AND(OR(V674="Aprobada con ajuste",V674="Rechazada"),W674&lt;&gt;""),W674,""))</f>
        <v/>
      </c>
    </row>
    <row r="675" customFormat="false" ht="32.8" hidden="false" customHeight="false" outlineLevel="0" collapsed="false">
      <c r="A675" s="18" t="s">
        <v>3113</v>
      </c>
      <c r="B675" s="18" t="s">
        <v>60</v>
      </c>
      <c r="C675" s="18" t="s">
        <v>61</v>
      </c>
      <c r="D675" s="18" t="s">
        <v>3062</v>
      </c>
      <c r="E675" s="18" t="n">
        <v>6760</v>
      </c>
      <c r="F675" s="18" t="s">
        <v>191</v>
      </c>
      <c r="G675" s="18" t="s">
        <v>192</v>
      </c>
      <c r="H675" s="18" t="s">
        <v>162</v>
      </c>
      <c r="I675" s="18"/>
      <c r="J675" s="18"/>
      <c r="K675" s="18"/>
      <c r="L675" s="18" t="s">
        <v>129</v>
      </c>
      <c r="M675" s="18" t="s">
        <v>129</v>
      </c>
      <c r="N675" s="18"/>
      <c r="O675" s="18"/>
      <c r="P675" s="18" t="s">
        <v>3114</v>
      </c>
      <c r="Q675" s="18" t="s">
        <v>131</v>
      </c>
      <c r="R675" s="18" t="s">
        <v>3115</v>
      </c>
      <c r="S675" s="18" t="s">
        <v>133</v>
      </c>
      <c r="T675" s="18" t="s">
        <v>3116</v>
      </c>
      <c r="U675" s="18"/>
      <c r="V675" s="19" t="s">
        <v>29</v>
      </c>
      <c r="W675" s="19"/>
      <c r="X675" s="19"/>
      <c r="Y675" s="20"/>
      <c r="Z675" s="19"/>
      <c r="AA675" s="18" t="str">
        <f aca="false">IF(OR(V675="Aprobada"),R675,IF(AND(OR(V675="Aprobada con ajuste",V675="Rechazada"),W675&lt;&gt;""),W675,""))</f>
        <v/>
      </c>
    </row>
    <row r="676" customFormat="false" ht="22.35" hidden="false" customHeight="false" outlineLevel="0" collapsed="false">
      <c r="A676" s="18" t="s">
        <v>3117</v>
      </c>
      <c r="B676" s="18" t="s">
        <v>60</v>
      </c>
      <c r="C676" s="18" t="s">
        <v>61</v>
      </c>
      <c r="D676" s="18" t="s">
        <v>3118</v>
      </c>
      <c r="E676" s="18" t="n">
        <v>6594</v>
      </c>
      <c r="F676" s="18" t="s">
        <v>3031</v>
      </c>
      <c r="G676" s="18" t="s">
        <v>180</v>
      </c>
      <c r="H676" s="18" t="s">
        <v>129</v>
      </c>
      <c r="I676" s="18"/>
      <c r="J676" s="18"/>
      <c r="K676" s="18"/>
      <c r="L676" s="18" t="s">
        <v>129</v>
      </c>
      <c r="M676" s="18" t="s">
        <v>129</v>
      </c>
      <c r="N676" s="18"/>
      <c r="O676" s="18" t="s">
        <v>3119</v>
      </c>
      <c r="P676" s="18" t="s">
        <v>3120</v>
      </c>
      <c r="Q676" s="18" t="s">
        <v>149</v>
      </c>
      <c r="R676" s="18" t="s">
        <v>3121</v>
      </c>
      <c r="S676" s="18" t="s">
        <v>133</v>
      </c>
      <c r="T676" s="18" t="s">
        <v>2050</v>
      </c>
      <c r="U676" s="18"/>
      <c r="V676" s="19" t="s">
        <v>29</v>
      </c>
      <c r="W676" s="19"/>
      <c r="X676" s="19"/>
      <c r="Y676" s="20"/>
      <c r="Z676" s="19"/>
      <c r="AA676" s="18" t="str">
        <f aca="false">IF(OR(V676="Aprobada"),R676,IF(AND(OR(V676="Aprobada con ajuste",V676="Rechazada"),W676&lt;&gt;""),W676,""))</f>
        <v/>
      </c>
    </row>
    <row r="677" customFormat="false" ht="74.6" hidden="false" customHeight="false" outlineLevel="0" collapsed="false">
      <c r="A677" s="18" t="s">
        <v>3122</v>
      </c>
      <c r="B677" s="18" t="s">
        <v>60</v>
      </c>
      <c r="C677" s="18" t="s">
        <v>61</v>
      </c>
      <c r="D677" s="18" t="s">
        <v>3118</v>
      </c>
      <c r="E677" s="18" t="n">
        <v>6594</v>
      </c>
      <c r="F677" s="18" t="s">
        <v>3068</v>
      </c>
      <c r="G677" s="18" t="s">
        <v>145</v>
      </c>
      <c r="H677" s="18" t="s">
        <v>129</v>
      </c>
      <c r="I677" s="18"/>
      <c r="J677" s="18"/>
      <c r="K677" s="18"/>
      <c r="L677" s="18" t="s">
        <v>129</v>
      </c>
      <c r="M677" s="18" t="s">
        <v>129</v>
      </c>
      <c r="N677" s="18"/>
      <c r="O677" s="18"/>
      <c r="P677" s="18" t="s">
        <v>3123</v>
      </c>
      <c r="Q677" s="18" t="s">
        <v>131</v>
      </c>
      <c r="R677" s="18" t="s">
        <v>3124</v>
      </c>
      <c r="S677" s="18" t="s">
        <v>133</v>
      </c>
      <c r="T677" s="18" t="s">
        <v>3125</v>
      </c>
      <c r="U677" s="18"/>
      <c r="V677" s="19" t="s">
        <v>29</v>
      </c>
      <c r="W677" s="19"/>
      <c r="X677" s="19"/>
      <c r="Y677" s="20"/>
      <c r="Z677" s="19"/>
      <c r="AA677" s="18" t="str">
        <f aca="false">IF(OR(V677="Aprobada"),R677,IF(AND(OR(V677="Aprobada con ajuste",V677="Rechazada"),W677&lt;&gt;""),W677,""))</f>
        <v/>
      </c>
    </row>
    <row r="678" customFormat="false" ht="43.25" hidden="false" customHeight="false" outlineLevel="0" collapsed="false">
      <c r="A678" s="18" t="s">
        <v>3126</v>
      </c>
      <c r="B678" s="18" t="s">
        <v>60</v>
      </c>
      <c r="C678" s="18" t="s">
        <v>61</v>
      </c>
      <c r="D678" s="18" t="s">
        <v>3118</v>
      </c>
      <c r="E678" s="18" t="n">
        <v>6594</v>
      </c>
      <c r="F678" s="18" t="s">
        <v>185</v>
      </c>
      <c r="G678" s="18" t="s">
        <v>145</v>
      </c>
      <c r="H678" s="18" t="s">
        <v>129</v>
      </c>
      <c r="I678" s="18"/>
      <c r="J678" s="18"/>
      <c r="K678" s="18"/>
      <c r="L678" s="18" t="s">
        <v>129</v>
      </c>
      <c r="M678" s="18" t="s">
        <v>129</v>
      </c>
      <c r="N678" s="18"/>
      <c r="O678" s="18"/>
      <c r="P678" s="18" t="s">
        <v>3127</v>
      </c>
      <c r="Q678" s="18" t="s">
        <v>131</v>
      </c>
      <c r="R678" s="18" t="s">
        <v>3128</v>
      </c>
      <c r="S678" s="18" t="s">
        <v>133</v>
      </c>
      <c r="T678" s="18" t="s">
        <v>3129</v>
      </c>
      <c r="U678" s="18"/>
      <c r="V678" s="19" t="s">
        <v>29</v>
      </c>
      <c r="W678" s="19"/>
      <c r="X678" s="19"/>
      <c r="Y678" s="20"/>
      <c r="Z678" s="19"/>
      <c r="AA678" s="18" t="str">
        <f aca="false">IF(OR(V678="Aprobada"),R678,IF(AND(OR(V678="Aprobada con ajuste",V678="Rechazada"),W678&lt;&gt;""),W678,""))</f>
        <v/>
      </c>
    </row>
    <row r="679" customFormat="false" ht="32.8" hidden="false" customHeight="false" outlineLevel="0" collapsed="false">
      <c r="A679" s="18" t="s">
        <v>3130</v>
      </c>
      <c r="B679" s="18" t="s">
        <v>60</v>
      </c>
      <c r="C679" s="18" t="s">
        <v>61</v>
      </c>
      <c r="D679" s="18" t="s">
        <v>3118</v>
      </c>
      <c r="E679" s="18" t="n">
        <v>6594</v>
      </c>
      <c r="F679" s="18" t="s">
        <v>3131</v>
      </c>
      <c r="G679" s="18" t="s">
        <v>180</v>
      </c>
      <c r="H679" s="18" t="s">
        <v>162</v>
      </c>
      <c r="I679" s="18"/>
      <c r="J679" s="18"/>
      <c r="K679" s="18"/>
      <c r="L679" s="18" t="s">
        <v>129</v>
      </c>
      <c r="M679" s="18" t="s">
        <v>129</v>
      </c>
      <c r="N679" s="18"/>
      <c r="O679" s="18"/>
      <c r="P679" s="18" t="s">
        <v>3132</v>
      </c>
      <c r="Q679" s="18" t="s">
        <v>131</v>
      </c>
      <c r="R679" s="18" t="s">
        <v>3133</v>
      </c>
      <c r="S679" s="18" t="s">
        <v>133</v>
      </c>
      <c r="T679" s="18" t="s">
        <v>3134</v>
      </c>
      <c r="U679" s="18"/>
      <c r="V679" s="19" t="s">
        <v>29</v>
      </c>
      <c r="W679" s="19"/>
      <c r="X679" s="19"/>
      <c r="Y679" s="20"/>
      <c r="Z679" s="19"/>
      <c r="AA679" s="18" t="str">
        <f aca="false">IF(OR(V679="Aprobada"),R679,IF(AND(OR(V679="Aprobada con ajuste",V679="Rechazada"),W679&lt;&gt;""),W679,""))</f>
        <v/>
      </c>
    </row>
    <row r="680" customFormat="false" ht="43.25" hidden="false" customHeight="false" outlineLevel="0" collapsed="false">
      <c r="A680" s="18" t="s">
        <v>3135</v>
      </c>
      <c r="B680" s="18" t="s">
        <v>60</v>
      </c>
      <c r="C680" s="18" t="s">
        <v>61</v>
      </c>
      <c r="D680" s="18" t="s">
        <v>3118</v>
      </c>
      <c r="E680" s="18" t="n">
        <v>6594</v>
      </c>
      <c r="F680" s="18" t="s">
        <v>3136</v>
      </c>
      <c r="G680" s="18" t="s">
        <v>180</v>
      </c>
      <c r="H680" s="18" t="s">
        <v>162</v>
      </c>
      <c r="I680" s="18"/>
      <c r="J680" s="18"/>
      <c r="K680" s="18"/>
      <c r="L680" s="18" t="s">
        <v>129</v>
      </c>
      <c r="M680" s="18" t="s">
        <v>129</v>
      </c>
      <c r="N680" s="18"/>
      <c r="O680" s="18"/>
      <c r="P680" s="18" t="s">
        <v>3137</v>
      </c>
      <c r="Q680" s="18" t="s">
        <v>131</v>
      </c>
      <c r="R680" s="18" t="s">
        <v>3138</v>
      </c>
      <c r="S680" s="18" t="s">
        <v>133</v>
      </c>
      <c r="T680" s="18" t="s">
        <v>3139</v>
      </c>
      <c r="U680" s="18"/>
      <c r="V680" s="19" t="s">
        <v>29</v>
      </c>
      <c r="W680" s="19"/>
      <c r="X680" s="19"/>
      <c r="Y680" s="20"/>
      <c r="Z680" s="19"/>
      <c r="AA680" s="18" t="str">
        <f aca="false">IF(OR(V680="Aprobada"),R680,IF(AND(OR(V680="Aprobada con ajuste",V680="Rechazada"),W680&lt;&gt;""),W680,""))</f>
        <v/>
      </c>
    </row>
    <row r="681" customFormat="false" ht="32.8" hidden="false" customHeight="false" outlineLevel="0" collapsed="false">
      <c r="A681" s="18" t="s">
        <v>3140</v>
      </c>
      <c r="B681" s="18" t="s">
        <v>60</v>
      </c>
      <c r="C681" s="18" t="s">
        <v>61</v>
      </c>
      <c r="D681" s="18" t="s">
        <v>3118</v>
      </c>
      <c r="E681" s="18" t="n">
        <v>6594</v>
      </c>
      <c r="F681" s="18" t="s">
        <v>3100</v>
      </c>
      <c r="G681" s="18" t="s">
        <v>128</v>
      </c>
      <c r="H681" s="18" t="s">
        <v>162</v>
      </c>
      <c r="I681" s="18"/>
      <c r="J681" s="18"/>
      <c r="K681" s="18"/>
      <c r="L681" s="18" t="s">
        <v>129</v>
      </c>
      <c r="M681" s="18" t="s">
        <v>129</v>
      </c>
      <c r="N681" s="18"/>
      <c r="O681" s="18"/>
      <c r="P681" s="18" t="s">
        <v>3141</v>
      </c>
      <c r="Q681" s="18" t="s">
        <v>131</v>
      </c>
      <c r="R681" s="18" t="s">
        <v>3142</v>
      </c>
      <c r="S681" s="18" t="s">
        <v>133</v>
      </c>
      <c r="T681" s="18" t="s">
        <v>3143</v>
      </c>
      <c r="U681" s="18"/>
      <c r="V681" s="19" t="s">
        <v>29</v>
      </c>
      <c r="W681" s="19"/>
      <c r="X681" s="19"/>
      <c r="Y681" s="20"/>
      <c r="Z681" s="19"/>
      <c r="AA681" s="18" t="str">
        <f aca="false">IF(OR(V681="Aprobada"),R681,IF(AND(OR(V681="Aprobada con ajuste",V681="Rechazada"),W681&lt;&gt;""),W681,""))</f>
        <v/>
      </c>
    </row>
    <row r="682" customFormat="false" ht="32.8" hidden="false" customHeight="false" outlineLevel="0" collapsed="false">
      <c r="A682" s="18" t="s">
        <v>3144</v>
      </c>
      <c r="B682" s="18" t="s">
        <v>60</v>
      </c>
      <c r="C682" s="18" t="s">
        <v>61</v>
      </c>
      <c r="D682" s="18" t="s">
        <v>3118</v>
      </c>
      <c r="E682" s="18" t="n">
        <v>6594</v>
      </c>
      <c r="F682" s="18" t="s">
        <v>1018</v>
      </c>
      <c r="G682" s="18" t="s">
        <v>503</v>
      </c>
      <c r="H682" s="18" t="s">
        <v>129</v>
      </c>
      <c r="I682" s="18"/>
      <c r="J682" s="18"/>
      <c r="K682" s="18"/>
      <c r="L682" s="18" t="s">
        <v>129</v>
      </c>
      <c r="M682" s="18" t="s">
        <v>129</v>
      </c>
      <c r="N682" s="18"/>
      <c r="O682" s="18"/>
      <c r="P682" s="18" t="s">
        <v>3145</v>
      </c>
      <c r="Q682" s="18" t="s">
        <v>131</v>
      </c>
      <c r="R682" s="18" t="s">
        <v>3146</v>
      </c>
      <c r="S682" s="18" t="s">
        <v>133</v>
      </c>
      <c r="T682" s="18" t="s">
        <v>3147</v>
      </c>
      <c r="U682" s="18"/>
      <c r="V682" s="19" t="s">
        <v>29</v>
      </c>
      <c r="W682" s="19"/>
      <c r="X682" s="19"/>
      <c r="Y682" s="20"/>
      <c r="Z682" s="19"/>
      <c r="AA682" s="18" t="str">
        <f aca="false">IF(OR(V682="Aprobada"),R682,IF(AND(OR(V682="Aprobada con ajuste",V682="Rechazada"),W682&lt;&gt;""),W682,""))</f>
        <v/>
      </c>
    </row>
    <row r="683" customFormat="false" ht="32.8" hidden="false" customHeight="false" outlineLevel="0" collapsed="false">
      <c r="A683" s="18" t="s">
        <v>3148</v>
      </c>
      <c r="B683" s="18" t="s">
        <v>60</v>
      </c>
      <c r="C683" s="18" t="s">
        <v>61</v>
      </c>
      <c r="D683" s="18" t="s">
        <v>3118</v>
      </c>
      <c r="E683" s="18" t="n">
        <v>6594</v>
      </c>
      <c r="F683" s="18" t="s">
        <v>2236</v>
      </c>
      <c r="G683" s="18" t="s">
        <v>145</v>
      </c>
      <c r="H683" s="18" t="s">
        <v>162</v>
      </c>
      <c r="I683" s="18"/>
      <c r="J683" s="18"/>
      <c r="K683" s="18"/>
      <c r="L683" s="18" t="s">
        <v>129</v>
      </c>
      <c r="M683" s="18" t="s">
        <v>129</v>
      </c>
      <c r="N683" s="18"/>
      <c r="O683" s="18"/>
      <c r="P683" s="18" t="s">
        <v>3149</v>
      </c>
      <c r="Q683" s="18" t="s">
        <v>131</v>
      </c>
      <c r="R683" s="18" t="s">
        <v>3150</v>
      </c>
      <c r="S683" s="18" t="s">
        <v>133</v>
      </c>
      <c r="T683" s="18" t="s">
        <v>3151</v>
      </c>
      <c r="U683" s="18"/>
      <c r="V683" s="19" t="s">
        <v>29</v>
      </c>
      <c r="W683" s="19"/>
      <c r="X683" s="19"/>
      <c r="Y683" s="20"/>
      <c r="Z683" s="19"/>
      <c r="AA683" s="18" t="str">
        <f aca="false">IF(OR(V683="Aprobada"),R683,IF(AND(OR(V683="Aprobada con ajuste",V683="Rechazada"),W683&lt;&gt;""),W683,""))</f>
        <v/>
      </c>
    </row>
    <row r="684" customFormat="false" ht="32.8" hidden="false" customHeight="false" outlineLevel="0" collapsed="false">
      <c r="A684" s="18" t="s">
        <v>3152</v>
      </c>
      <c r="B684" s="18" t="s">
        <v>60</v>
      </c>
      <c r="C684" s="18" t="s">
        <v>61</v>
      </c>
      <c r="D684" s="18" t="s">
        <v>3118</v>
      </c>
      <c r="E684" s="18" t="n">
        <v>6594</v>
      </c>
      <c r="F684" s="18" t="s">
        <v>3153</v>
      </c>
      <c r="G684" s="18" t="s">
        <v>192</v>
      </c>
      <c r="H684" s="18" t="s">
        <v>129</v>
      </c>
      <c r="I684" s="18"/>
      <c r="J684" s="18"/>
      <c r="K684" s="18"/>
      <c r="L684" s="18" t="s">
        <v>129</v>
      </c>
      <c r="M684" s="18" t="s">
        <v>129</v>
      </c>
      <c r="N684" s="18"/>
      <c r="O684" s="18"/>
      <c r="P684" s="18" t="s">
        <v>3154</v>
      </c>
      <c r="Q684" s="18" t="s">
        <v>131</v>
      </c>
      <c r="R684" s="18" t="s">
        <v>3155</v>
      </c>
      <c r="S684" s="18" t="s">
        <v>133</v>
      </c>
      <c r="T684" s="18" t="s">
        <v>3156</v>
      </c>
      <c r="U684" s="18"/>
      <c r="V684" s="19" t="s">
        <v>29</v>
      </c>
      <c r="W684" s="19"/>
      <c r="X684" s="19"/>
      <c r="Y684" s="20"/>
      <c r="Z684" s="19"/>
      <c r="AA684" s="18" t="str">
        <f aca="false">IF(OR(V684="Aprobada"),R684,IF(AND(OR(V684="Aprobada con ajuste",V684="Rechazada"),W684&lt;&gt;""),W684,""))</f>
        <v/>
      </c>
    </row>
    <row r="685" customFormat="false" ht="32.8" hidden="false" customHeight="false" outlineLevel="0" collapsed="false">
      <c r="A685" s="18" t="s">
        <v>3157</v>
      </c>
      <c r="B685" s="18" t="s">
        <v>60</v>
      </c>
      <c r="C685" s="18" t="s">
        <v>61</v>
      </c>
      <c r="D685" s="18" t="s">
        <v>3118</v>
      </c>
      <c r="E685" s="18" t="n">
        <v>6594</v>
      </c>
      <c r="F685" s="18" t="s">
        <v>2732</v>
      </c>
      <c r="G685" s="18" t="s">
        <v>317</v>
      </c>
      <c r="H685" s="18" t="s">
        <v>162</v>
      </c>
      <c r="I685" s="18"/>
      <c r="J685" s="18"/>
      <c r="K685" s="18"/>
      <c r="L685" s="18" t="s">
        <v>129</v>
      </c>
      <c r="M685" s="18" t="s">
        <v>129</v>
      </c>
      <c r="N685" s="18"/>
      <c r="O685" s="18"/>
      <c r="P685" s="18" t="s">
        <v>3158</v>
      </c>
      <c r="Q685" s="18" t="s">
        <v>131</v>
      </c>
      <c r="R685" s="18" t="s">
        <v>3159</v>
      </c>
      <c r="S685" s="18" t="s">
        <v>133</v>
      </c>
      <c r="T685" s="18" t="s">
        <v>3160</v>
      </c>
      <c r="U685" s="18"/>
      <c r="V685" s="19" t="s">
        <v>29</v>
      </c>
      <c r="W685" s="19"/>
      <c r="X685" s="19"/>
      <c r="Y685" s="20"/>
      <c r="Z685" s="19"/>
      <c r="AA685" s="18" t="str">
        <f aca="false">IF(OR(V685="Aprobada"),R685,IF(AND(OR(V685="Aprobada con ajuste",V685="Rechazada"),W685&lt;&gt;""),W685,""))</f>
        <v/>
      </c>
    </row>
    <row r="686" customFormat="false" ht="22.35" hidden="false" customHeight="false" outlineLevel="0" collapsed="false">
      <c r="A686" s="18" t="s">
        <v>3161</v>
      </c>
      <c r="B686" s="18" t="s">
        <v>60</v>
      </c>
      <c r="C686" s="18" t="s">
        <v>61</v>
      </c>
      <c r="D686" s="18" t="s">
        <v>3162</v>
      </c>
      <c r="E686" s="18" t="n">
        <v>0</v>
      </c>
      <c r="F686" s="18" t="s">
        <v>3163</v>
      </c>
      <c r="G686" s="18" t="s">
        <v>128</v>
      </c>
      <c r="H686" s="18" t="s">
        <v>129</v>
      </c>
      <c r="I686" s="18"/>
      <c r="J686" s="18"/>
      <c r="K686" s="18"/>
      <c r="L686" s="18" t="s">
        <v>129</v>
      </c>
      <c r="M686" s="18" t="s">
        <v>129</v>
      </c>
      <c r="N686" s="18"/>
      <c r="O686" s="18"/>
      <c r="P686" s="18"/>
      <c r="Q686" s="18" t="s">
        <v>149</v>
      </c>
      <c r="R686" s="18" t="s">
        <v>3164</v>
      </c>
      <c r="S686" s="18" t="s">
        <v>133</v>
      </c>
      <c r="T686" s="18" t="s">
        <v>3165</v>
      </c>
      <c r="U686" s="18"/>
      <c r="V686" s="19" t="s">
        <v>29</v>
      </c>
      <c r="W686" s="19"/>
      <c r="X686" s="19"/>
      <c r="Y686" s="20"/>
      <c r="Z686" s="19"/>
      <c r="AA686" s="18" t="str">
        <f aca="false">IF(OR(V686="Aprobada"),R686,IF(AND(OR(V686="Aprobada con ajuste",V686="Rechazada"),W686&lt;&gt;""),W686,""))</f>
        <v/>
      </c>
    </row>
    <row r="687" customFormat="false" ht="22.35" hidden="false" customHeight="false" outlineLevel="0" collapsed="false">
      <c r="A687" s="18" t="s">
        <v>3166</v>
      </c>
      <c r="B687" s="18" t="s">
        <v>60</v>
      </c>
      <c r="C687" s="18" t="s">
        <v>61</v>
      </c>
      <c r="D687" s="18" t="s">
        <v>3162</v>
      </c>
      <c r="E687" s="18" t="n">
        <v>0</v>
      </c>
      <c r="F687" s="18" t="s">
        <v>3167</v>
      </c>
      <c r="G687" s="18" t="s">
        <v>128</v>
      </c>
      <c r="H687" s="18" t="s">
        <v>129</v>
      </c>
      <c r="I687" s="18"/>
      <c r="J687" s="18"/>
      <c r="K687" s="18"/>
      <c r="L687" s="18" t="s">
        <v>129</v>
      </c>
      <c r="M687" s="18" t="s">
        <v>129</v>
      </c>
      <c r="N687" s="18"/>
      <c r="O687" s="18"/>
      <c r="P687" s="18"/>
      <c r="Q687" s="18" t="s">
        <v>149</v>
      </c>
      <c r="R687" s="18" t="s">
        <v>3168</v>
      </c>
      <c r="S687" s="18" t="s">
        <v>133</v>
      </c>
      <c r="T687" s="18" t="s">
        <v>275</v>
      </c>
      <c r="U687" s="18"/>
      <c r="V687" s="19" t="s">
        <v>29</v>
      </c>
      <c r="W687" s="19"/>
      <c r="X687" s="19"/>
      <c r="Y687" s="20"/>
      <c r="Z687" s="19"/>
      <c r="AA687" s="18" t="str">
        <f aca="false">IF(OR(V687="Aprobada"),R687,IF(AND(OR(V687="Aprobada con ajuste",V687="Rechazada"),W687&lt;&gt;""),W687,""))</f>
        <v/>
      </c>
    </row>
    <row r="688" customFormat="false" ht="22.35" hidden="false" customHeight="false" outlineLevel="0" collapsed="false">
      <c r="A688" s="18" t="s">
        <v>3169</v>
      </c>
      <c r="B688" s="18" t="s">
        <v>60</v>
      </c>
      <c r="C688" s="18" t="s">
        <v>61</v>
      </c>
      <c r="D688" s="18" t="s">
        <v>3162</v>
      </c>
      <c r="E688" s="18" t="n">
        <v>0</v>
      </c>
      <c r="F688" s="18" t="s">
        <v>293</v>
      </c>
      <c r="G688" s="18" t="s">
        <v>294</v>
      </c>
      <c r="H688" s="18" t="s">
        <v>129</v>
      </c>
      <c r="I688" s="18" t="s">
        <v>298</v>
      </c>
      <c r="J688" s="18"/>
      <c r="K688" s="18"/>
      <c r="L688" s="18" t="s">
        <v>129</v>
      </c>
      <c r="M688" s="18" t="s">
        <v>129</v>
      </c>
      <c r="N688" s="18"/>
      <c r="O688" s="18"/>
      <c r="P688" s="18"/>
      <c r="Q688" s="18" t="s">
        <v>138</v>
      </c>
      <c r="R688" s="18" t="s">
        <v>296</v>
      </c>
      <c r="S688" s="18" t="s">
        <v>140</v>
      </c>
      <c r="T688" s="18" t="s">
        <v>141</v>
      </c>
      <c r="U688" s="18"/>
      <c r="V688" s="19" t="s">
        <v>29</v>
      </c>
      <c r="W688" s="19"/>
      <c r="X688" s="19"/>
      <c r="Y688" s="20"/>
      <c r="Z688" s="19"/>
      <c r="AA688" s="18" t="str">
        <f aca="false">IF(OR(V688="Aprobada"),R688,IF(AND(OR(V688="Aprobada con ajuste",V688="Rechazada"),W688&lt;&gt;""),W688,""))</f>
        <v/>
      </c>
    </row>
    <row r="689" customFormat="false" ht="22.35" hidden="false" customHeight="false" outlineLevel="0" collapsed="false">
      <c r="A689" s="18" t="s">
        <v>3170</v>
      </c>
      <c r="B689" s="18" t="s">
        <v>60</v>
      </c>
      <c r="C689" s="18" t="s">
        <v>61</v>
      </c>
      <c r="D689" s="18" t="s">
        <v>3162</v>
      </c>
      <c r="E689" s="18" t="n">
        <v>0</v>
      </c>
      <c r="F689" s="18" t="s">
        <v>3171</v>
      </c>
      <c r="G689" s="18" t="s">
        <v>3172</v>
      </c>
      <c r="H689" s="18" t="s">
        <v>129</v>
      </c>
      <c r="I689" s="18"/>
      <c r="J689" s="18"/>
      <c r="K689" s="18"/>
      <c r="L689" s="18" t="s">
        <v>129</v>
      </c>
      <c r="M689" s="18" t="s">
        <v>129</v>
      </c>
      <c r="N689" s="18"/>
      <c r="O689" s="18"/>
      <c r="P689" s="18"/>
      <c r="Q689" s="18" t="s">
        <v>149</v>
      </c>
      <c r="R689" s="18" t="s">
        <v>3173</v>
      </c>
      <c r="S689" s="18" t="s">
        <v>133</v>
      </c>
      <c r="T689" s="18" t="s">
        <v>3174</v>
      </c>
      <c r="U689" s="18"/>
      <c r="V689" s="19" t="s">
        <v>29</v>
      </c>
      <c r="W689" s="19"/>
      <c r="X689" s="19"/>
      <c r="Y689" s="20"/>
      <c r="Z689" s="19"/>
      <c r="AA689" s="18" t="str">
        <f aca="false">IF(OR(V689="Aprobada"),R689,IF(AND(OR(V689="Aprobada con ajuste",V689="Rechazada"),W689&lt;&gt;""),W689,""))</f>
        <v/>
      </c>
    </row>
    <row r="690" customFormat="false" ht="22.35" hidden="false" customHeight="false" outlineLevel="0" collapsed="false">
      <c r="A690" s="18" t="s">
        <v>3175</v>
      </c>
      <c r="B690" s="18" t="s">
        <v>60</v>
      </c>
      <c r="C690" s="18" t="s">
        <v>61</v>
      </c>
      <c r="D690" s="18" t="s">
        <v>3162</v>
      </c>
      <c r="E690" s="18" t="n">
        <v>0</v>
      </c>
      <c r="F690" s="18" t="s">
        <v>3176</v>
      </c>
      <c r="G690" s="18" t="s">
        <v>3177</v>
      </c>
      <c r="H690" s="18" t="s">
        <v>129</v>
      </c>
      <c r="I690" s="18"/>
      <c r="J690" s="18"/>
      <c r="K690" s="18"/>
      <c r="L690" s="18" t="s">
        <v>129</v>
      </c>
      <c r="M690" s="18" t="s">
        <v>129</v>
      </c>
      <c r="N690" s="18"/>
      <c r="O690" s="18"/>
      <c r="P690" s="18"/>
      <c r="Q690" s="18" t="s">
        <v>149</v>
      </c>
      <c r="R690" s="18" t="s">
        <v>3178</v>
      </c>
      <c r="S690" s="18" t="s">
        <v>133</v>
      </c>
      <c r="T690" s="18" t="s">
        <v>3179</v>
      </c>
      <c r="U690" s="18"/>
      <c r="V690" s="19" t="s">
        <v>29</v>
      </c>
      <c r="W690" s="19"/>
      <c r="X690" s="19"/>
      <c r="Y690" s="20"/>
      <c r="Z690" s="19"/>
      <c r="AA690" s="18" t="str">
        <f aca="false">IF(OR(V690="Aprobada"),R690,IF(AND(OR(V690="Aprobada con ajuste",V690="Rechazada"),W690&lt;&gt;""),W690,""))</f>
        <v/>
      </c>
    </row>
    <row r="691" customFormat="false" ht="22.35" hidden="false" customHeight="false" outlineLevel="0" collapsed="false">
      <c r="A691" s="18" t="s">
        <v>3180</v>
      </c>
      <c r="B691" s="18" t="s">
        <v>60</v>
      </c>
      <c r="C691" s="18" t="s">
        <v>61</v>
      </c>
      <c r="D691" s="18" t="s">
        <v>3162</v>
      </c>
      <c r="E691" s="18" t="n">
        <v>0</v>
      </c>
      <c r="F691" s="18" t="s">
        <v>2876</v>
      </c>
      <c r="G691" s="18" t="s">
        <v>128</v>
      </c>
      <c r="H691" s="18" t="s">
        <v>129</v>
      </c>
      <c r="I691" s="18"/>
      <c r="J691" s="18"/>
      <c r="K691" s="18"/>
      <c r="L691" s="18" t="s">
        <v>129</v>
      </c>
      <c r="M691" s="18" t="s">
        <v>129</v>
      </c>
      <c r="N691" s="18"/>
      <c r="O691" s="18"/>
      <c r="P691" s="18"/>
      <c r="Q691" s="18" t="s">
        <v>149</v>
      </c>
      <c r="R691" s="18" t="s">
        <v>3181</v>
      </c>
      <c r="S691" s="18" t="s">
        <v>133</v>
      </c>
      <c r="T691" s="18" t="s">
        <v>275</v>
      </c>
      <c r="U691" s="18"/>
      <c r="V691" s="19" t="s">
        <v>29</v>
      </c>
      <c r="W691" s="19"/>
      <c r="X691" s="19"/>
      <c r="Y691" s="20"/>
      <c r="Z691" s="19"/>
      <c r="AA691" s="18" t="str">
        <f aca="false">IF(OR(V691="Aprobada"),R691,IF(AND(OR(V691="Aprobada con ajuste",V691="Rechazada"),W691&lt;&gt;""),W691,""))</f>
        <v/>
      </c>
    </row>
    <row r="692" customFormat="false" ht="22.35" hidden="false" customHeight="false" outlineLevel="0" collapsed="false">
      <c r="A692" s="18" t="s">
        <v>3182</v>
      </c>
      <c r="B692" s="18" t="s">
        <v>60</v>
      </c>
      <c r="C692" s="18" t="s">
        <v>61</v>
      </c>
      <c r="D692" s="18" t="s">
        <v>3162</v>
      </c>
      <c r="E692" s="18" t="n">
        <v>0</v>
      </c>
      <c r="F692" s="18" t="s">
        <v>3183</v>
      </c>
      <c r="G692" s="18" t="s">
        <v>128</v>
      </c>
      <c r="H692" s="18" t="s">
        <v>129</v>
      </c>
      <c r="I692" s="18"/>
      <c r="J692" s="18"/>
      <c r="K692" s="18"/>
      <c r="L692" s="18" t="s">
        <v>129</v>
      </c>
      <c r="M692" s="18" t="s">
        <v>129</v>
      </c>
      <c r="N692" s="18"/>
      <c r="O692" s="18"/>
      <c r="P692" s="18"/>
      <c r="Q692" s="18" t="s">
        <v>149</v>
      </c>
      <c r="R692" s="18" t="s">
        <v>3184</v>
      </c>
      <c r="S692" s="18" t="s">
        <v>133</v>
      </c>
      <c r="T692" s="18" t="s">
        <v>3185</v>
      </c>
      <c r="U692" s="18"/>
      <c r="V692" s="19" t="s">
        <v>29</v>
      </c>
      <c r="W692" s="19"/>
      <c r="X692" s="19"/>
      <c r="Y692" s="20"/>
      <c r="Z692" s="19"/>
      <c r="AA692" s="18" t="str">
        <f aca="false">IF(OR(V692="Aprobada"),R692,IF(AND(OR(V692="Aprobada con ajuste",V692="Rechazada"),W692&lt;&gt;""),W692,""))</f>
        <v/>
      </c>
    </row>
    <row r="693" customFormat="false" ht="22.35" hidden="false" customHeight="false" outlineLevel="0" collapsed="false">
      <c r="A693" s="18" t="s">
        <v>3186</v>
      </c>
      <c r="B693" s="18" t="s">
        <v>60</v>
      </c>
      <c r="C693" s="18" t="s">
        <v>61</v>
      </c>
      <c r="D693" s="18" t="s">
        <v>3162</v>
      </c>
      <c r="E693" s="18" t="n">
        <v>0</v>
      </c>
      <c r="F693" s="18" t="s">
        <v>3012</v>
      </c>
      <c r="G693" s="18" t="s">
        <v>128</v>
      </c>
      <c r="H693" s="18" t="s">
        <v>162</v>
      </c>
      <c r="I693" s="18"/>
      <c r="J693" s="18"/>
      <c r="K693" s="18"/>
      <c r="L693" s="18" t="s">
        <v>129</v>
      </c>
      <c r="M693" s="18" t="s">
        <v>129</v>
      </c>
      <c r="N693" s="18"/>
      <c r="O693" s="18"/>
      <c r="P693" s="18"/>
      <c r="Q693" s="18" t="s">
        <v>138</v>
      </c>
      <c r="R693" s="18" t="s">
        <v>3013</v>
      </c>
      <c r="S693" s="18" t="s">
        <v>140</v>
      </c>
      <c r="T693" s="18" t="s">
        <v>141</v>
      </c>
      <c r="U693" s="18"/>
      <c r="V693" s="19" t="s">
        <v>29</v>
      </c>
      <c r="W693" s="19"/>
      <c r="X693" s="19"/>
      <c r="Y693" s="20"/>
      <c r="Z693" s="19"/>
      <c r="AA693" s="18" t="str">
        <f aca="false">IF(OR(V693="Aprobada"),R693,IF(AND(OR(V693="Aprobada con ajuste",V693="Rechazada"),W693&lt;&gt;""),W693,""))</f>
        <v/>
      </c>
    </row>
    <row r="694" customFormat="false" ht="32.8" hidden="false" customHeight="false" outlineLevel="0" collapsed="false">
      <c r="A694" s="18" t="s">
        <v>3187</v>
      </c>
      <c r="B694" s="18" t="s">
        <v>60</v>
      </c>
      <c r="C694" s="18" t="s">
        <v>61</v>
      </c>
      <c r="D694" s="18" t="s">
        <v>3162</v>
      </c>
      <c r="E694" s="18" t="n">
        <v>0</v>
      </c>
      <c r="F694" s="18" t="s">
        <v>185</v>
      </c>
      <c r="G694" s="18" t="s">
        <v>128</v>
      </c>
      <c r="H694" s="18" t="s">
        <v>129</v>
      </c>
      <c r="I694" s="18" t="s">
        <v>298</v>
      </c>
      <c r="J694" s="18" t="s">
        <v>3188</v>
      </c>
      <c r="K694" s="18"/>
      <c r="L694" s="18" t="s">
        <v>162</v>
      </c>
      <c r="M694" s="18" t="s">
        <v>129</v>
      </c>
      <c r="N694" s="18"/>
      <c r="O694" s="18"/>
      <c r="P694" s="18"/>
      <c r="Q694" s="18" t="s">
        <v>138</v>
      </c>
      <c r="R694" s="18" t="s">
        <v>3189</v>
      </c>
      <c r="S694" s="18" t="s">
        <v>140</v>
      </c>
      <c r="T694" s="18" t="s">
        <v>141</v>
      </c>
      <c r="U694" s="18"/>
      <c r="V694" s="19" t="s">
        <v>29</v>
      </c>
      <c r="W694" s="19"/>
      <c r="X694" s="19"/>
      <c r="Y694" s="20"/>
      <c r="Z694" s="19"/>
      <c r="AA694" s="18" t="str">
        <f aca="false">IF(OR(V694="Aprobada"),R694,IF(AND(OR(V694="Aprobada con ajuste",V694="Rechazada"),W694&lt;&gt;""),W694,""))</f>
        <v/>
      </c>
    </row>
    <row r="695" customFormat="false" ht="22.35" hidden="false" customHeight="false" outlineLevel="0" collapsed="false">
      <c r="A695" s="18" t="s">
        <v>3190</v>
      </c>
      <c r="B695" s="18" t="s">
        <v>60</v>
      </c>
      <c r="C695" s="18" t="s">
        <v>61</v>
      </c>
      <c r="D695" s="18" t="s">
        <v>3162</v>
      </c>
      <c r="E695" s="18" t="n">
        <v>0</v>
      </c>
      <c r="F695" s="18" t="s">
        <v>3191</v>
      </c>
      <c r="G695" s="18" t="s">
        <v>192</v>
      </c>
      <c r="H695" s="18" t="s">
        <v>129</v>
      </c>
      <c r="I695" s="18"/>
      <c r="J695" s="18"/>
      <c r="K695" s="18"/>
      <c r="L695" s="18" t="s">
        <v>129</v>
      </c>
      <c r="M695" s="18" t="s">
        <v>129</v>
      </c>
      <c r="N695" s="18"/>
      <c r="O695" s="18"/>
      <c r="P695" s="18"/>
      <c r="Q695" s="18" t="s">
        <v>149</v>
      </c>
      <c r="R695" s="18" t="s">
        <v>3192</v>
      </c>
      <c r="S695" s="18" t="s">
        <v>140</v>
      </c>
      <c r="T695" s="18" t="s">
        <v>3193</v>
      </c>
      <c r="U695" s="18" t="s">
        <v>3194</v>
      </c>
      <c r="V695" s="19" t="s">
        <v>29</v>
      </c>
      <c r="W695" s="19"/>
      <c r="X695" s="19"/>
      <c r="Y695" s="20"/>
      <c r="Z695" s="19"/>
      <c r="AA695" s="18" t="str">
        <f aca="false">IF(OR(V695="Aprobada"),R695,IF(AND(OR(V695="Aprobada con ajuste",V695="Rechazada"),W695&lt;&gt;""),W695,""))</f>
        <v/>
      </c>
    </row>
    <row r="696" customFormat="false" ht="22.35" hidden="false" customHeight="false" outlineLevel="0" collapsed="false">
      <c r="A696" s="18" t="s">
        <v>3195</v>
      </c>
      <c r="B696" s="18" t="s">
        <v>60</v>
      </c>
      <c r="C696" s="18" t="s">
        <v>61</v>
      </c>
      <c r="D696" s="18" t="s">
        <v>3196</v>
      </c>
      <c r="E696" s="18" t="n">
        <v>10</v>
      </c>
      <c r="F696" s="18" t="s">
        <v>275</v>
      </c>
      <c r="G696" s="18" t="s">
        <v>128</v>
      </c>
      <c r="H696" s="18" t="s">
        <v>129</v>
      </c>
      <c r="I696" s="18"/>
      <c r="J696" s="18"/>
      <c r="K696" s="18"/>
      <c r="L696" s="18" t="s">
        <v>129</v>
      </c>
      <c r="M696" s="18" t="s">
        <v>129</v>
      </c>
      <c r="N696" s="18"/>
      <c r="O696" s="18"/>
      <c r="P696" s="18"/>
      <c r="Q696" s="18" t="s">
        <v>138</v>
      </c>
      <c r="R696" s="18" t="s">
        <v>3197</v>
      </c>
      <c r="S696" s="18" t="s">
        <v>140</v>
      </c>
      <c r="T696" s="18" t="s">
        <v>141</v>
      </c>
      <c r="U696" s="18"/>
      <c r="V696" s="19" t="s">
        <v>29</v>
      </c>
      <c r="W696" s="19"/>
      <c r="X696" s="19"/>
      <c r="Y696" s="20"/>
      <c r="Z696" s="19"/>
      <c r="AA696" s="18" t="str">
        <f aca="false">IF(OR(V696="Aprobada"),R696,IF(AND(OR(V696="Aprobada con ajuste",V696="Rechazada"),W696&lt;&gt;""),W696,""))</f>
        <v/>
      </c>
    </row>
    <row r="697" customFormat="false" ht="22.35" hidden="false" customHeight="false" outlineLevel="0" collapsed="false">
      <c r="A697" s="18" t="s">
        <v>3198</v>
      </c>
      <c r="B697" s="18" t="s">
        <v>60</v>
      </c>
      <c r="C697" s="18" t="s">
        <v>61</v>
      </c>
      <c r="D697" s="18" t="s">
        <v>3196</v>
      </c>
      <c r="E697" s="18" t="n">
        <v>10</v>
      </c>
      <c r="F697" s="18" t="s">
        <v>160</v>
      </c>
      <c r="G697" s="18" t="s">
        <v>128</v>
      </c>
      <c r="H697" s="18" t="s">
        <v>162</v>
      </c>
      <c r="I697" s="18"/>
      <c r="J697" s="18"/>
      <c r="K697" s="18"/>
      <c r="L697" s="18" t="s">
        <v>129</v>
      </c>
      <c r="M697" s="18" t="s">
        <v>129</v>
      </c>
      <c r="N697" s="18"/>
      <c r="O697" s="18"/>
      <c r="P697" s="18"/>
      <c r="Q697" s="18" t="s">
        <v>138</v>
      </c>
      <c r="R697" s="18" t="s">
        <v>3199</v>
      </c>
      <c r="S697" s="18" t="s">
        <v>140</v>
      </c>
      <c r="T697" s="18" t="s">
        <v>141</v>
      </c>
      <c r="U697" s="18"/>
      <c r="V697" s="19" t="s">
        <v>29</v>
      </c>
      <c r="W697" s="19"/>
      <c r="X697" s="19"/>
      <c r="Y697" s="20"/>
      <c r="Z697" s="19"/>
      <c r="AA697" s="18" t="str">
        <f aca="false">IF(OR(V697="Aprobada"),R697,IF(AND(OR(V697="Aprobada con ajuste",V697="Rechazada"),W697&lt;&gt;""),W697,""))</f>
        <v/>
      </c>
    </row>
    <row r="698" customFormat="false" ht="22.35" hidden="false" customHeight="false" outlineLevel="0" collapsed="false">
      <c r="A698" s="18" t="s">
        <v>3200</v>
      </c>
      <c r="B698" s="18" t="s">
        <v>60</v>
      </c>
      <c r="C698" s="18" t="s">
        <v>61</v>
      </c>
      <c r="D698" s="18" t="s">
        <v>3196</v>
      </c>
      <c r="E698" s="18" t="n">
        <v>10</v>
      </c>
      <c r="F698" s="18" t="s">
        <v>3201</v>
      </c>
      <c r="G698" s="18" t="s">
        <v>651</v>
      </c>
      <c r="H698" s="18" t="s">
        <v>129</v>
      </c>
      <c r="I698" s="18"/>
      <c r="J698" s="18"/>
      <c r="K698" s="18"/>
      <c r="L698" s="18" t="s">
        <v>129</v>
      </c>
      <c r="M698" s="18" t="s">
        <v>129</v>
      </c>
      <c r="N698" s="18"/>
      <c r="O698" s="18"/>
      <c r="P698" s="18"/>
      <c r="Q698" s="18" t="s">
        <v>149</v>
      </c>
      <c r="R698" s="18" t="s">
        <v>3202</v>
      </c>
      <c r="S698" s="18" t="s">
        <v>133</v>
      </c>
      <c r="T698" s="18" t="s">
        <v>3203</v>
      </c>
      <c r="U698" s="18"/>
      <c r="V698" s="19" t="s">
        <v>29</v>
      </c>
      <c r="W698" s="19"/>
      <c r="X698" s="19"/>
      <c r="Y698" s="20"/>
      <c r="Z698" s="19"/>
      <c r="AA698" s="18" t="str">
        <f aca="false">IF(OR(V698="Aprobada"),R698,IF(AND(OR(V698="Aprobada con ajuste",V698="Rechazada"),W698&lt;&gt;""),W698,""))</f>
        <v/>
      </c>
    </row>
    <row r="699" customFormat="false" ht="22.35" hidden="false" customHeight="false" outlineLevel="0" collapsed="false">
      <c r="A699" s="18" t="s">
        <v>3204</v>
      </c>
      <c r="B699" s="18" t="s">
        <v>60</v>
      </c>
      <c r="C699" s="18" t="s">
        <v>61</v>
      </c>
      <c r="D699" s="18" t="s">
        <v>3196</v>
      </c>
      <c r="E699" s="18" t="n">
        <v>10</v>
      </c>
      <c r="F699" s="18" t="s">
        <v>3205</v>
      </c>
      <c r="G699" s="18" t="s">
        <v>294</v>
      </c>
      <c r="H699" s="18" t="s">
        <v>129</v>
      </c>
      <c r="I699" s="18"/>
      <c r="J699" s="18"/>
      <c r="K699" s="18"/>
      <c r="L699" s="18" t="s">
        <v>129</v>
      </c>
      <c r="M699" s="18" t="s">
        <v>129</v>
      </c>
      <c r="N699" s="18"/>
      <c r="O699" s="18"/>
      <c r="P699" s="18"/>
      <c r="Q699" s="18" t="s">
        <v>149</v>
      </c>
      <c r="R699" s="18" t="s">
        <v>3206</v>
      </c>
      <c r="S699" s="18" t="s">
        <v>133</v>
      </c>
      <c r="T699" s="18" t="s">
        <v>3207</v>
      </c>
      <c r="U699" s="18"/>
      <c r="V699" s="19" t="s">
        <v>29</v>
      </c>
      <c r="W699" s="19"/>
      <c r="X699" s="19"/>
      <c r="Y699" s="20"/>
      <c r="Z699" s="19"/>
      <c r="AA699" s="18" t="str">
        <f aca="false">IF(OR(V699="Aprobada"),R699,IF(AND(OR(V699="Aprobada con ajuste",V699="Rechazada"),W699&lt;&gt;""),W699,""))</f>
        <v/>
      </c>
    </row>
    <row r="700" customFormat="false" ht="22.35" hidden="false" customHeight="false" outlineLevel="0" collapsed="false">
      <c r="A700" s="18" t="s">
        <v>3208</v>
      </c>
      <c r="B700" s="18" t="s">
        <v>60</v>
      </c>
      <c r="C700" s="18" t="s">
        <v>61</v>
      </c>
      <c r="D700" s="18" t="s">
        <v>3196</v>
      </c>
      <c r="E700" s="18" t="n">
        <v>10</v>
      </c>
      <c r="F700" s="18" t="s">
        <v>172</v>
      </c>
      <c r="G700" s="18" t="s">
        <v>173</v>
      </c>
      <c r="H700" s="18" t="s">
        <v>129</v>
      </c>
      <c r="I700" s="18"/>
      <c r="J700" s="18"/>
      <c r="K700" s="18"/>
      <c r="L700" s="18" t="s">
        <v>129</v>
      </c>
      <c r="M700" s="18" t="s">
        <v>129</v>
      </c>
      <c r="N700" s="18"/>
      <c r="O700" s="18"/>
      <c r="P700" s="18"/>
      <c r="Q700" s="18" t="s">
        <v>138</v>
      </c>
      <c r="R700" s="18" t="s">
        <v>176</v>
      </c>
      <c r="S700" s="18" t="s">
        <v>140</v>
      </c>
      <c r="T700" s="18" t="s">
        <v>141</v>
      </c>
      <c r="U700" s="18"/>
      <c r="V700" s="19" t="s">
        <v>29</v>
      </c>
      <c r="W700" s="19"/>
      <c r="X700" s="19"/>
      <c r="Y700" s="20"/>
      <c r="Z700" s="19"/>
      <c r="AA700" s="18" t="str">
        <f aca="false">IF(OR(V700="Aprobada"),R700,IF(AND(OR(V700="Aprobada con ajuste",V700="Rechazada"),W700&lt;&gt;""),W700,""))</f>
        <v/>
      </c>
    </row>
    <row r="701" customFormat="false" ht="22.35" hidden="false" customHeight="false" outlineLevel="0" collapsed="false">
      <c r="A701" s="18" t="s">
        <v>3209</v>
      </c>
      <c r="B701" s="18" t="s">
        <v>60</v>
      </c>
      <c r="C701" s="18" t="s">
        <v>61</v>
      </c>
      <c r="D701" s="18" t="s">
        <v>3196</v>
      </c>
      <c r="E701" s="18" t="n">
        <v>10</v>
      </c>
      <c r="F701" s="18" t="s">
        <v>937</v>
      </c>
      <c r="G701" s="18" t="s">
        <v>503</v>
      </c>
      <c r="H701" s="18" t="s">
        <v>129</v>
      </c>
      <c r="I701" s="18"/>
      <c r="J701" s="18"/>
      <c r="K701" s="18"/>
      <c r="L701" s="18" t="s">
        <v>129</v>
      </c>
      <c r="M701" s="18" t="s">
        <v>129</v>
      </c>
      <c r="N701" s="18"/>
      <c r="O701" s="18"/>
      <c r="P701" s="18"/>
      <c r="Q701" s="18" t="s">
        <v>138</v>
      </c>
      <c r="R701" s="18" t="s">
        <v>939</v>
      </c>
      <c r="S701" s="18" t="s">
        <v>140</v>
      </c>
      <c r="T701" s="18" t="s">
        <v>141</v>
      </c>
      <c r="U701" s="18"/>
      <c r="V701" s="19" t="s">
        <v>29</v>
      </c>
      <c r="W701" s="19"/>
      <c r="X701" s="19"/>
      <c r="Y701" s="20"/>
      <c r="Z701" s="19"/>
      <c r="AA701" s="18" t="str">
        <f aca="false">IF(OR(V701="Aprobada"),R701,IF(AND(OR(V701="Aprobada con ajuste",V701="Rechazada"),W701&lt;&gt;""),W701,""))</f>
        <v/>
      </c>
    </row>
    <row r="702" customFormat="false" ht="53.7" hidden="false" customHeight="false" outlineLevel="0" collapsed="false">
      <c r="A702" s="18" t="s">
        <v>3210</v>
      </c>
      <c r="B702" s="18" t="s">
        <v>60</v>
      </c>
      <c r="C702" s="18" t="s">
        <v>61</v>
      </c>
      <c r="D702" s="18" t="s">
        <v>3211</v>
      </c>
      <c r="E702" s="18" t="n">
        <v>11</v>
      </c>
      <c r="F702" s="18" t="s">
        <v>3212</v>
      </c>
      <c r="G702" s="18" t="s">
        <v>312</v>
      </c>
      <c r="H702" s="18" t="s">
        <v>129</v>
      </c>
      <c r="I702" s="18"/>
      <c r="J702" s="18"/>
      <c r="K702" s="18"/>
      <c r="L702" s="18" t="s">
        <v>129</v>
      </c>
      <c r="M702" s="18" t="s">
        <v>129</v>
      </c>
      <c r="N702" s="18"/>
      <c r="O702" s="18" t="s">
        <v>3213</v>
      </c>
      <c r="P702" s="18"/>
      <c r="Q702" s="18" t="s">
        <v>149</v>
      </c>
      <c r="R702" s="18" t="s">
        <v>3214</v>
      </c>
      <c r="S702" s="18" t="s">
        <v>133</v>
      </c>
      <c r="T702" s="18" t="s">
        <v>3215</v>
      </c>
      <c r="U702" s="18"/>
      <c r="V702" s="19" t="s">
        <v>29</v>
      </c>
      <c r="W702" s="19"/>
      <c r="X702" s="19"/>
      <c r="Y702" s="20"/>
      <c r="Z702" s="19"/>
      <c r="AA702" s="18" t="str">
        <f aca="false">IF(OR(V702="Aprobada"),R702,IF(AND(OR(V702="Aprobada con ajuste",V702="Rechazada"),W702&lt;&gt;""),W702,""))</f>
        <v/>
      </c>
    </row>
    <row r="703" customFormat="false" ht="64.15" hidden="false" customHeight="false" outlineLevel="0" collapsed="false">
      <c r="A703" s="18" t="s">
        <v>3216</v>
      </c>
      <c r="B703" s="18" t="s">
        <v>60</v>
      </c>
      <c r="C703" s="18" t="s">
        <v>61</v>
      </c>
      <c r="D703" s="18" t="s">
        <v>3211</v>
      </c>
      <c r="E703" s="18" t="n">
        <v>11</v>
      </c>
      <c r="F703" s="18" t="s">
        <v>3031</v>
      </c>
      <c r="G703" s="18" t="s">
        <v>312</v>
      </c>
      <c r="H703" s="18" t="s">
        <v>129</v>
      </c>
      <c r="I703" s="18"/>
      <c r="J703" s="18"/>
      <c r="K703" s="18"/>
      <c r="L703" s="18" t="s">
        <v>129</v>
      </c>
      <c r="M703" s="18" t="s">
        <v>162</v>
      </c>
      <c r="N703" s="18" t="s">
        <v>3217</v>
      </c>
      <c r="O703" s="18" t="s">
        <v>3218</v>
      </c>
      <c r="P703" s="18"/>
      <c r="Q703" s="18" t="s">
        <v>149</v>
      </c>
      <c r="R703" s="18" t="s">
        <v>3219</v>
      </c>
      <c r="S703" s="18" t="s">
        <v>133</v>
      </c>
      <c r="T703" s="18" t="s">
        <v>3220</v>
      </c>
      <c r="U703" s="18"/>
      <c r="V703" s="19" t="s">
        <v>29</v>
      </c>
      <c r="W703" s="19"/>
      <c r="X703" s="19"/>
      <c r="Y703" s="20"/>
      <c r="Z703" s="19"/>
      <c r="AA703" s="18" t="str">
        <f aca="false">IF(OR(V703="Aprobada"),R703,IF(AND(OR(V703="Aprobada con ajuste",V703="Rechazada"),W703&lt;&gt;""),W703,""))</f>
        <v/>
      </c>
    </row>
    <row r="704" customFormat="false" ht="22.35" hidden="false" customHeight="false" outlineLevel="0" collapsed="false">
      <c r="A704" s="18" t="s">
        <v>3221</v>
      </c>
      <c r="B704" s="18" t="s">
        <v>60</v>
      </c>
      <c r="C704" s="18" t="s">
        <v>61</v>
      </c>
      <c r="D704" s="18" t="s">
        <v>3211</v>
      </c>
      <c r="E704" s="18" t="n">
        <v>11</v>
      </c>
      <c r="F704" s="18" t="s">
        <v>3068</v>
      </c>
      <c r="G704" s="18" t="s">
        <v>128</v>
      </c>
      <c r="H704" s="18" t="s">
        <v>162</v>
      </c>
      <c r="I704" s="18"/>
      <c r="J704" s="18"/>
      <c r="K704" s="18"/>
      <c r="L704" s="18" t="s">
        <v>129</v>
      </c>
      <c r="M704" s="18" t="s">
        <v>129</v>
      </c>
      <c r="N704" s="18"/>
      <c r="O704" s="18"/>
      <c r="P704" s="18"/>
      <c r="Q704" s="18" t="s">
        <v>149</v>
      </c>
      <c r="R704" s="18" t="s">
        <v>3222</v>
      </c>
      <c r="S704" s="18" t="s">
        <v>140</v>
      </c>
      <c r="T704" s="18" t="s">
        <v>3223</v>
      </c>
      <c r="U704" s="18" t="s">
        <v>3224</v>
      </c>
      <c r="V704" s="19" t="s">
        <v>29</v>
      </c>
      <c r="W704" s="19"/>
      <c r="X704" s="19"/>
      <c r="Y704" s="20"/>
      <c r="Z704" s="19"/>
      <c r="AA704" s="18" t="str">
        <f aca="false">IF(OR(V704="Aprobada"),R704,IF(AND(OR(V704="Aprobada con ajuste",V704="Rechazada"),W704&lt;&gt;""),W704,""))</f>
        <v/>
      </c>
    </row>
    <row r="705" customFormat="false" ht="22.35" hidden="false" customHeight="false" outlineLevel="0" collapsed="false">
      <c r="A705" s="18" t="s">
        <v>3225</v>
      </c>
      <c r="B705" s="18" t="s">
        <v>60</v>
      </c>
      <c r="C705" s="18" t="s">
        <v>61</v>
      </c>
      <c r="D705" s="18" t="s">
        <v>3211</v>
      </c>
      <c r="E705" s="18" t="n">
        <v>11</v>
      </c>
      <c r="F705" s="18" t="s">
        <v>3226</v>
      </c>
      <c r="G705" s="18" t="s">
        <v>128</v>
      </c>
      <c r="H705" s="18" t="s">
        <v>162</v>
      </c>
      <c r="I705" s="18"/>
      <c r="J705" s="18"/>
      <c r="K705" s="18"/>
      <c r="L705" s="18" t="s">
        <v>129</v>
      </c>
      <c r="M705" s="18" t="s">
        <v>129</v>
      </c>
      <c r="N705" s="18"/>
      <c r="O705" s="18"/>
      <c r="P705" s="18"/>
      <c r="Q705" s="18" t="s">
        <v>149</v>
      </c>
      <c r="R705" s="18" t="s">
        <v>3227</v>
      </c>
      <c r="S705" s="18" t="s">
        <v>140</v>
      </c>
      <c r="T705" s="18" t="s">
        <v>275</v>
      </c>
      <c r="U705" s="18" t="s">
        <v>3228</v>
      </c>
      <c r="V705" s="19" t="s">
        <v>29</v>
      </c>
      <c r="W705" s="19"/>
      <c r="X705" s="19"/>
      <c r="Y705" s="20"/>
      <c r="Z705" s="19"/>
      <c r="AA705" s="18" t="str">
        <f aca="false">IF(OR(V705="Aprobada"),R705,IF(AND(OR(V705="Aprobada con ajuste",V705="Rechazada"),W705&lt;&gt;""),W705,""))</f>
        <v/>
      </c>
    </row>
    <row r="706" customFormat="false" ht="22.35" hidden="false" customHeight="false" outlineLevel="0" collapsed="false">
      <c r="A706" s="18" t="s">
        <v>3229</v>
      </c>
      <c r="B706" s="18" t="s">
        <v>60</v>
      </c>
      <c r="C706" s="18" t="s">
        <v>61</v>
      </c>
      <c r="D706" s="18" t="s">
        <v>3211</v>
      </c>
      <c r="E706" s="18" t="n">
        <v>11</v>
      </c>
      <c r="F706" s="18" t="s">
        <v>160</v>
      </c>
      <c r="G706" s="18" t="s">
        <v>128</v>
      </c>
      <c r="H706" s="18" t="s">
        <v>162</v>
      </c>
      <c r="I706" s="18"/>
      <c r="J706" s="18"/>
      <c r="K706" s="18"/>
      <c r="L706" s="18" t="s">
        <v>129</v>
      </c>
      <c r="M706" s="18" t="s">
        <v>129</v>
      </c>
      <c r="N706" s="18"/>
      <c r="O706" s="18"/>
      <c r="P706" s="18"/>
      <c r="Q706" s="18" t="s">
        <v>138</v>
      </c>
      <c r="R706" s="18" t="s">
        <v>3230</v>
      </c>
      <c r="S706" s="18" t="s">
        <v>140</v>
      </c>
      <c r="T706" s="18" t="s">
        <v>141</v>
      </c>
      <c r="U706" s="18"/>
      <c r="V706" s="19" t="s">
        <v>29</v>
      </c>
      <c r="W706" s="19"/>
      <c r="X706" s="19"/>
      <c r="Y706" s="20"/>
      <c r="Z706" s="19"/>
      <c r="AA706" s="18" t="str">
        <f aca="false">IF(OR(V706="Aprobada"),R706,IF(AND(OR(V706="Aprobada con ajuste",V706="Rechazada"),W706&lt;&gt;""),W706,""))</f>
        <v/>
      </c>
    </row>
    <row r="707" customFormat="false" ht="32.8" hidden="false" customHeight="false" outlineLevel="0" collapsed="false">
      <c r="A707" s="18" t="s">
        <v>3231</v>
      </c>
      <c r="B707" s="18" t="s">
        <v>60</v>
      </c>
      <c r="C707" s="18" t="s">
        <v>61</v>
      </c>
      <c r="D707" s="18" t="s">
        <v>3211</v>
      </c>
      <c r="E707" s="18" t="n">
        <v>11</v>
      </c>
      <c r="F707" s="18" t="s">
        <v>1018</v>
      </c>
      <c r="G707" s="18" t="s">
        <v>503</v>
      </c>
      <c r="H707" s="18" t="s">
        <v>129</v>
      </c>
      <c r="I707" s="18" t="s">
        <v>298</v>
      </c>
      <c r="J707" s="18"/>
      <c r="K707" s="18"/>
      <c r="L707" s="18" t="s">
        <v>129</v>
      </c>
      <c r="M707" s="18" t="s">
        <v>129</v>
      </c>
      <c r="N707" s="18"/>
      <c r="O707" s="18" t="s">
        <v>3232</v>
      </c>
      <c r="P707" s="18"/>
      <c r="Q707" s="18" t="s">
        <v>138</v>
      </c>
      <c r="R707" s="18" t="s">
        <v>2302</v>
      </c>
      <c r="S707" s="18" t="s">
        <v>140</v>
      </c>
      <c r="T707" s="18" t="s">
        <v>141</v>
      </c>
      <c r="U707" s="18"/>
      <c r="V707" s="19" t="s">
        <v>29</v>
      </c>
      <c r="W707" s="19"/>
      <c r="X707" s="19"/>
      <c r="Y707" s="20"/>
      <c r="Z707" s="19"/>
      <c r="AA707" s="18" t="str">
        <f aca="false">IF(OR(V707="Aprobada"),R707,IF(AND(OR(V707="Aprobada con ajuste",V707="Rechazada"),W707&lt;&gt;""),W707,""))</f>
        <v/>
      </c>
    </row>
    <row r="708" customFormat="false" ht="22.35" hidden="false" customHeight="false" outlineLevel="0" collapsed="false">
      <c r="A708" s="18" t="s">
        <v>3233</v>
      </c>
      <c r="B708" s="18" t="s">
        <v>60</v>
      </c>
      <c r="C708" s="18" t="s">
        <v>61</v>
      </c>
      <c r="D708" s="18" t="s">
        <v>3211</v>
      </c>
      <c r="E708" s="18" t="n">
        <v>11</v>
      </c>
      <c r="F708" s="18" t="s">
        <v>3163</v>
      </c>
      <c r="G708" s="18" t="s">
        <v>128</v>
      </c>
      <c r="H708" s="18" t="s">
        <v>129</v>
      </c>
      <c r="I708" s="18"/>
      <c r="J708" s="18"/>
      <c r="K708" s="18"/>
      <c r="L708" s="18" t="s">
        <v>129</v>
      </c>
      <c r="M708" s="18" t="s">
        <v>129</v>
      </c>
      <c r="N708" s="18"/>
      <c r="O708" s="18"/>
      <c r="P708" s="18"/>
      <c r="Q708" s="18" t="s">
        <v>149</v>
      </c>
      <c r="R708" s="18" t="s">
        <v>3234</v>
      </c>
      <c r="S708" s="18" t="s">
        <v>133</v>
      </c>
      <c r="T708" s="18" t="s">
        <v>275</v>
      </c>
      <c r="U708" s="18"/>
      <c r="V708" s="19" t="s">
        <v>29</v>
      </c>
      <c r="W708" s="19"/>
      <c r="X708" s="19"/>
      <c r="Y708" s="20"/>
      <c r="Z708" s="19"/>
      <c r="AA708" s="18" t="str">
        <f aca="false">IF(OR(V708="Aprobada"),R708,IF(AND(OR(V708="Aprobada con ajuste",V708="Rechazada"),W708&lt;&gt;""),W708,""))</f>
        <v/>
      </c>
    </row>
    <row r="709" customFormat="false" ht="22.35" hidden="false" customHeight="false" outlineLevel="0" collapsed="false">
      <c r="A709" s="18" t="s">
        <v>3235</v>
      </c>
      <c r="B709" s="18" t="s">
        <v>60</v>
      </c>
      <c r="C709" s="18" t="s">
        <v>61</v>
      </c>
      <c r="D709" s="18" t="s">
        <v>3211</v>
      </c>
      <c r="E709" s="18" t="n">
        <v>11</v>
      </c>
      <c r="F709" s="18" t="s">
        <v>1080</v>
      </c>
      <c r="G709" s="18" t="s">
        <v>128</v>
      </c>
      <c r="H709" s="18" t="s">
        <v>129</v>
      </c>
      <c r="I709" s="18"/>
      <c r="J709" s="18"/>
      <c r="K709" s="18"/>
      <c r="L709" s="18" t="s">
        <v>129</v>
      </c>
      <c r="M709" s="18" t="s">
        <v>129</v>
      </c>
      <c r="N709" s="18"/>
      <c r="O709" s="18"/>
      <c r="P709" s="18"/>
      <c r="Q709" s="18" t="s">
        <v>138</v>
      </c>
      <c r="R709" s="18" t="s">
        <v>1082</v>
      </c>
      <c r="S709" s="18" t="s">
        <v>140</v>
      </c>
      <c r="T709" s="18" t="s">
        <v>141</v>
      </c>
      <c r="U709" s="18"/>
      <c r="V709" s="19" t="s">
        <v>29</v>
      </c>
      <c r="W709" s="19"/>
      <c r="X709" s="19"/>
      <c r="Y709" s="20"/>
      <c r="Z709" s="19"/>
      <c r="AA709" s="18" t="str">
        <f aca="false">IF(OR(V709="Aprobada"),R709,IF(AND(OR(V709="Aprobada con ajuste",V709="Rechazada"),W709&lt;&gt;""),W709,""))</f>
        <v/>
      </c>
    </row>
    <row r="710" customFormat="false" ht="22.35" hidden="false" customHeight="false" outlineLevel="0" collapsed="false">
      <c r="A710" s="18" t="s">
        <v>3236</v>
      </c>
      <c r="B710" s="18" t="s">
        <v>60</v>
      </c>
      <c r="C710" s="18" t="s">
        <v>61</v>
      </c>
      <c r="D710" s="18" t="s">
        <v>3211</v>
      </c>
      <c r="E710" s="18" t="n">
        <v>11</v>
      </c>
      <c r="F710" s="18" t="s">
        <v>293</v>
      </c>
      <c r="G710" s="18" t="s">
        <v>294</v>
      </c>
      <c r="H710" s="18" t="s">
        <v>129</v>
      </c>
      <c r="I710" s="18" t="s">
        <v>298</v>
      </c>
      <c r="J710" s="18"/>
      <c r="K710" s="18"/>
      <c r="L710" s="18" t="s">
        <v>129</v>
      </c>
      <c r="M710" s="18" t="s">
        <v>129</v>
      </c>
      <c r="N710" s="18"/>
      <c r="O710" s="18"/>
      <c r="P710" s="18"/>
      <c r="Q710" s="18" t="s">
        <v>138</v>
      </c>
      <c r="R710" s="18" t="s">
        <v>296</v>
      </c>
      <c r="S710" s="18" t="s">
        <v>140</v>
      </c>
      <c r="T710" s="18" t="s">
        <v>141</v>
      </c>
      <c r="U710" s="18"/>
      <c r="V710" s="19" t="s">
        <v>29</v>
      </c>
      <c r="W710" s="19"/>
      <c r="X710" s="19"/>
      <c r="Y710" s="20"/>
      <c r="Z710" s="19"/>
      <c r="AA710" s="18" t="str">
        <f aca="false">IF(OR(V710="Aprobada"),R710,IF(AND(OR(V710="Aprobada con ajuste",V710="Rechazada"),W710&lt;&gt;""),W710,""))</f>
        <v/>
      </c>
    </row>
    <row r="711" customFormat="false" ht="22.35" hidden="false" customHeight="false" outlineLevel="0" collapsed="false">
      <c r="A711" s="18" t="s">
        <v>3237</v>
      </c>
      <c r="B711" s="18" t="s">
        <v>60</v>
      </c>
      <c r="C711" s="18" t="s">
        <v>61</v>
      </c>
      <c r="D711" s="18" t="s">
        <v>3211</v>
      </c>
      <c r="E711" s="18" t="n">
        <v>11</v>
      </c>
      <c r="F711" s="18" t="s">
        <v>3238</v>
      </c>
      <c r="G711" s="18" t="s">
        <v>128</v>
      </c>
      <c r="H711" s="18" t="s">
        <v>129</v>
      </c>
      <c r="I711" s="18"/>
      <c r="J711" s="18"/>
      <c r="K711" s="18"/>
      <c r="L711" s="18" t="s">
        <v>129</v>
      </c>
      <c r="M711" s="18" t="s">
        <v>129</v>
      </c>
      <c r="N711" s="18"/>
      <c r="O711" s="18"/>
      <c r="P711" s="18"/>
      <c r="Q711" s="18" t="s">
        <v>149</v>
      </c>
      <c r="R711" s="18" t="s">
        <v>3239</v>
      </c>
      <c r="S711" s="18" t="s">
        <v>133</v>
      </c>
      <c r="T711" s="18" t="s">
        <v>275</v>
      </c>
      <c r="U711" s="18"/>
      <c r="V711" s="19" t="s">
        <v>29</v>
      </c>
      <c r="W711" s="19"/>
      <c r="X711" s="19"/>
      <c r="Y711" s="20"/>
      <c r="Z711" s="19"/>
      <c r="AA711" s="18" t="str">
        <f aca="false">IF(OR(V711="Aprobada"),R711,IF(AND(OR(V711="Aprobada con ajuste",V711="Rechazada"),W711&lt;&gt;""),W711,""))</f>
        <v/>
      </c>
    </row>
    <row r="712" customFormat="false" ht="22.35" hidden="false" customHeight="false" outlineLevel="0" collapsed="false">
      <c r="A712" s="18" t="s">
        <v>3240</v>
      </c>
      <c r="B712" s="18" t="s">
        <v>60</v>
      </c>
      <c r="C712" s="18" t="s">
        <v>61</v>
      </c>
      <c r="D712" s="18" t="s">
        <v>3211</v>
      </c>
      <c r="E712" s="18" t="n">
        <v>11</v>
      </c>
      <c r="F712" s="18" t="s">
        <v>3241</v>
      </c>
      <c r="G712" s="18" t="s">
        <v>128</v>
      </c>
      <c r="H712" s="18" t="s">
        <v>129</v>
      </c>
      <c r="I712" s="18"/>
      <c r="J712" s="18"/>
      <c r="K712" s="18"/>
      <c r="L712" s="18" t="s">
        <v>129</v>
      </c>
      <c r="M712" s="18" t="s">
        <v>129</v>
      </c>
      <c r="N712" s="18"/>
      <c r="O712" s="18"/>
      <c r="P712" s="18"/>
      <c r="Q712" s="18" t="s">
        <v>149</v>
      </c>
      <c r="R712" s="18" t="s">
        <v>3242</v>
      </c>
      <c r="S712" s="18" t="s">
        <v>140</v>
      </c>
      <c r="T712" s="18" t="s">
        <v>3165</v>
      </c>
      <c r="U712" s="18" t="s">
        <v>3243</v>
      </c>
      <c r="V712" s="19" t="s">
        <v>29</v>
      </c>
      <c r="W712" s="19"/>
      <c r="X712" s="19"/>
      <c r="Y712" s="20"/>
      <c r="Z712" s="19"/>
      <c r="AA712" s="18" t="str">
        <f aca="false">IF(OR(V712="Aprobada"),R712,IF(AND(OR(V712="Aprobada con ajuste",V712="Rechazada"),W712&lt;&gt;""),W712,""))</f>
        <v/>
      </c>
    </row>
    <row r="713" customFormat="false" ht="22.35" hidden="false" customHeight="false" outlineLevel="0" collapsed="false">
      <c r="A713" s="18" t="s">
        <v>3244</v>
      </c>
      <c r="B713" s="18" t="s">
        <v>60</v>
      </c>
      <c r="C713" s="18" t="s">
        <v>61</v>
      </c>
      <c r="D713" s="18" t="s">
        <v>3211</v>
      </c>
      <c r="E713" s="18" t="n">
        <v>11</v>
      </c>
      <c r="F713" s="18" t="s">
        <v>3245</v>
      </c>
      <c r="G713" s="18" t="s">
        <v>128</v>
      </c>
      <c r="H713" s="18" t="s">
        <v>162</v>
      </c>
      <c r="I713" s="18"/>
      <c r="J713" s="18"/>
      <c r="K713" s="18"/>
      <c r="L713" s="18" t="s">
        <v>129</v>
      </c>
      <c r="M713" s="18" t="s">
        <v>129</v>
      </c>
      <c r="N713" s="18"/>
      <c r="O713" s="18"/>
      <c r="P713" s="18"/>
      <c r="Q713" s="18" t="s">
        <v>149</v>
      </c>
      <c r="R713" s="18" t="s">
        <v>3246</v>
      </c>
      <c r="S713" s="18" t="s">
        <v>133</v>
      </c>
      <c r="T713" s="18" t="s">
        <v>3165</v>
      </c>
      <c r="U713" s="18"/>
      <c r="V713" s="19" t="s">
        <v>29</v>
      </c>
      <c r="W713" s="19"/>
      <c r="X713" s="19"/>
      <c r="Y713" s="20"/>
      <c r="Z713" s="19"/>
      <c r="AA713" s="18" t="str">
        <f aca="false">IF(OR(V713="Aprobada"),R713,IF(AND(OR(V713="Aprobada con ajuste",V713="Rechazada"),W713&lt;&gt;""),W713,""))</f>
        <v/>
      </c>
    </row>
    <row r="714" customFormat="false" ht="22.35" hidden="false" customHeight="false" outlineLevel="0" collapsed="false">
      <c r="A714" s="18" t="s">
        <v>3247</v>
      </c>
      <c r="B714" s="18" t="s">
        <v>60</v>
      </c>
      <c r="C714" s="18" t="s">
        <v>61</v>
      </c>
      <c r="D714" s="18" t="s">
        <v>3211</v>
      </c>
      <c r="E714" s="18" t="n">
        <v>11</v>
      </c>
      <c r="F714" s="18" t="s">
        <v>3248</v>
      </c>
      <c r="G714" s="18" t="s">
        <v>128</v>
      </c>
      <c r="H714" s="18" t="s">
        <v>129</v>
      </c>
      <c r="I714" s="18"/>
      <c r="J714" s="18"/>
      <c r="K714" s="18"/>
      <c r="L714" s="18" t="s">
        <v>129</v>
      </c>
      <c r="M714" s="18" t="s">
        <v>129</v>
      </c>
      <c r="N714" s="18"/>
      <c r="O714" s="18"/>
      <c r="P714" s="18"/>
      <c r="Q714" s="18" t="s">
        <v>149</v>
      </c>
      <c r="R714" s="18" t="s">
        <v>3249</v>
      </c>
      <c r="S714" s="18" t="s">
        <v>133</v>
      </c>
      <c r="T714" s="18" t="s">
        <v>3165</v>
      </c>
      <c r="U714" s="18"/>
      <c r="V714" s="19" t="s">
        <v>29</v>
      </c>
      <c r="W714" s="19"/>
      <c r="X714" s="19"/>
      <c r="Y714" s="20"/>
      <c r="Z714" s="19"/>
      <c r="AA714" s="18" t="str">
        <f aca="false">IF(OR(V714="Aprobada"),R714,IF(AND(OR(V714="Aprobada con ajuste",V714="Rechazada"),W714&lt;&gt;""),W714,""))</f>
        <v/>
      </c>
    </row>
    <row r="715" customFormat="false" ht="53.7" hidden="false" customHeight="false" outlineLevel="0" collapsed="false">
      <c r="A715" s="18" t="s">
        <v>3250</v>
      </c>
      <c r="B715" s="18" t="s">
        <v>60</v>
      </c>
      <c r="C715" s="18" t="s">
        <v>61</v>
      </c>
      <c r="D715" s="18" t="s">
        <v>3211</v>
      </c>
      <c r="E715" s="18" t="n">
        <v>11</v>
      </c>
      <c r="F715" s="18" t="s">
        <v>185</v>
      </c>
      <c r="G715" s="18" t="s">
        <v>128</v>
      </c>
      <c r="H715" s="18" t="s">
        <v>129</v>
      </c>
      <c r="I715" s="18" t="s">
        <v>298</v>
      </c>
      <c r="J715" s="18" t="s">
        <v>3251</v>
      </c>
      <c r="K715" s="18"/>
      <c r="L715" s="18" t="s">
        <v>162</v>
      </c>
      <c r="M715" s="18" t="s">
        <v>162</v>
      </c>
      <c r="N715" s="18" t="s">
        <v>2064</v>
      </c>
      <c r="O715" s="18"/>
      <c r="P715" s="18"/>
      <c r="Q715" s="18" t="s">
        <v>138</v>
      </c>
      <c r="R715" s="18" t="s">
        <v>3252</v>
      </c>
      <c r="S715" s="18" t="s">
        <v>140</v>
      </c>
      <c r="T715" s="18" t="s">
        <v>141</v>
      </c>
      <c r="U715" s="18"/>
      <c r="V715" s="19" t="s">
        <v>29</v>
      </c>
      <c r="W715" s="19"/>
      <c r="X715" s="19"/>
      <c r="Y715" s="20"/>
      <c r="Z715" s="19"/>
      <c r="AA715" s="18" t="str">
        <f aca="false">IF(OR(V715="Aprobada"),R715,IF(AND(OR(V715="Aprobada con ajuste",V715="Rechazada"),W715&lt;&gt;""),W715,""))</f>
        <v/>
      </c>
    </row>
    <row r="716" customFormat="false" ht="22.35" hidden="false" customHeight="false" outlineLevel="0" collapsed="false">
      <c r="A716" s="18" t="s">
        <v>3253</v>
      </c>
      <c r="B716" s="18" t="s">
        <v>60</v>
      </c>
      <c r="C716" s="18" t="s">
        <v>61</v>
      </c>
      <c r="D716" s="18" t="s">
        <v>3211</v>
      </c>
      <c r="E716" s="18" t="n">
        <v>11</v>
      </c>
      <c r="F716" s="18" t="s">
        <v>3254</v>
      </c>
      <c r="G716" s="18" t="s">
        <v>312</v>
      </c>
      <c r="H716" s="18" t="s">
        <v>162</v>
      </c>
      <c r="I716" s="18"/>
      <c r="J716" s="18"/>
      <c r="K716" s="18"/>
      <c r="L716" s="18" t="s">
        <v>129</v>
      </c>
      <c r="M716" s="18" t="s">
        <v>129</v>
      </c>
      <c r="N716" s="18"/>
      <c r="O716" s="18" t="s">
        <v>3255</v>
      </c>
      <c r="P716" s="18"/>
      <c r="Q716" s="18" t="s">
        <v>149</v>
      </c>
      <c r="R716" s="18" t="s">
        <v>3256</v>
      </c>
      <c r="S716" s="18" t="s">
        <v>140</v>
      </c>
      <c r="T716" s="18" t="s">
        <v>2050</v>
      </c>
      <c r="U716" s="18" t="s">
        <v>3257</v>
      </c>
      <c r="V716" s="19" t="s">
        <v>29</v>
      </c>
      <c r="W716" s="19"/>
      <c r="X716" s="19"/>
      <c r="Y716" s="20"/>
      <c r="Z716" s="19"/>
      <c r="AA716" s="18" t="str">
        <f aca="false">IF(OR(V716="Aprobada"),R716,IF(AND(OR(V716="Aprobada con ajuste",V716="Rechazada"),W716&lt;&gt;""),W716,""))</f>
        <v/>
      </c>
    </row>
    <row r="717" customFormat="false" ht="22.35" hidden="false" customHeight="false" outlineLevel="0" collapsed="false">
      <c r="A717" s="18" t="s">
        <v>3258</v>
      </c>
      <c r="B717" s="18" t="s">
        <v>60</v>
      </c>
      <c r="C717" s="18" t="s">
        <v>61</v>
      </c>
      <c r="D717" s="18" t="s">
        <v>3211</v>
      </c>
      <c r="E717" s="18" t="n">
        <v>11</v>
      </c>
      <c r="F717" s="18" t="s">
        <v>3259</v>
      </c>
      <c r="G717" s="18" t="s">
        <v>128</v>
      </c>
      <c r="H717" s="18" t="s">
        <v>162</v>
      </c>
      <c r="I717" s="18"/>
      <c r="J717" s="18"/>
      <c r="K717" s="18"/>
      <c r="L717" s="18" t="s">
        <v>129</v>
      </c>
      <c r="M717" s="18" t="s">
        <v>129</v>
      </c>
      <c r="N717" s="18"/>
      <c r="O717" s="18"/>
      <c r="P717" s="18"/>
      <c r="Q717" s="18" t="s">
        <v>138</v>
      </c>
      <c r="R717" s="18" t="s">
        <v>3260</v>
      </c>
      <c r="S717" s="18" t="s">
        <v>140</v>
      </c>
      <c r="T717" s="18" t="s">
        <v>141</v>
      </c>
      <c r="U717" s="18"/>
      <c r="V717" s="19" t="s">
        <v>29</v>
      </c>
      <c r="W717" s="19"/>
      <c r="X717" s="19"/>
      <c r="Y717" s="20"/>
      <c r="Z717" s="19"/>
      <c r="AA717" s="18" t="str">
        <f aca="false">IF(OR(V717="Aprobada"),R717,IF(AND(OR(V717="Aprobada con ajuste",V717="Rechazada"),W717&lt;&gt;""),W717,""))</f>
        <v/>
      </c>
    </row>
    <row r="718" customFormat="false" ht="22.35" hidden="false" customHeight="false" outlineLevel="0" collapsed="false">
      <c r="A718" s="18" t="s">
        <v>3261</v>
      </c>
      <c r="B718" s="18" t="s">
        <v>60</v>
      </c>
      <c r="C718" s="18" t="s">
        <v>61</v>
      </c>
      <c r="D718" s="18" t="s">
        <v>3211</v>
      </c>
      <c r="E718" s="18" t="n">
        <v>11</v>
      </c>
      <c r="F718" s="18" t="s">
        <v>3262</v>
      </c>
      <c r="G718" s="18" t="s">
        <v>317</v>
      </c>
      <c r="H718" s="18" t="s">
        <v>162</v>
      </c>
      <c r="I718" s="18"/>
      <c r="J718" s="18"/>
      <c r="K718" s="18"/>
      <c r="L718" s="18" t="s">
        <v>129</v>
      </c>
      <c r="M718" s="18" t="s">
        <v>129</v>
      </c>
      <c r="N718" s="18"/>
      <c r="O718" s="18"/>
      <c r="P718" s="18"/>
      <c r="Q718" s="18" t="s">
        <v>138</v>
      </c>
      <c r="R718" s="18" t="s">
        <v>1697</v>
      </c>
      <c r="S718" s="18" t="s">
        <v>140</v>
      </c>
      <c r="T718" s="18" t="s">
        <v>141</v>
      </c>
      <c r="U718" s="18"/>
      <c r="V718" s="19" t="s">
        <v>29</v>
      </c>
      <c r="W718" s="19"/>
      <c r="X718" s="19"/>
      <c r="Y718" s="20"/>
      <c r="Z718" s="19"/>
      <c r="AA718" s="18" t="str">
        <f aca="false">IF(OR(V718="Aprobada"),R718,IF(AND(OR(V718="Aprobada con ajuste",V718="Rechazada"),W718&lt;&gt;""),W718,""))</f>
        <v/>
      </c>
    </row>
    <row r="719" customFormat="false" ht="22.35" hidden="false" customHeight="false" outlineLevel="0" collapsed="false">
      <c r="A719" s="18" t="s">
        <v>3263</v>
      </c>
      <c r="B719" s="18" t="s">
        <v>60</v>
      </c>
      <c r="C719" s="18" t="s">
        <v>61</v>
      </c>
      <c r="D719" s="18" t="s">
        <v>3264</v>
      </c>
      <c r="E719" s="18" t="n">
        <v>0</v>
      </c>
      <c r="F719" s="18" t="s">
        <v>3265</v>
      </c>
      <c r="G719" s="18" t="s">
        <v>584</v>
      </c>
      <c r="H719" s="18" t="s">
        <v>129</v>
      </c>
      <c r="I719" s="18"/>
      <c r="J719" s="18"/>
      <c r="K719" s="18"/>
      <c r="L719" s="18" t="s">
        <v>162</v>
      </c>
      <c r="M719" s="18" t="s">
        <v>129</v>
      </c>
      <c r="N719" s="18"/>
      <c r="O719" s="18"/>
      <c r="P719" s="18"/>
      <c r="Q719" s="18" t="s">
        <v>149</v>
      </c>
      <c r="R719" s="18" t="s">
        <v>3266</v>
      </c>
      <c r="S719" s="18" t="s">
        <v>242</v>
      </c>
      <c r="T719" s="18" t="s">
        <v>3267</v>
      </c>
      <c r="U719" s="18" t="s">
        <v>3268</v>
      </c>
      <c r="V719" s="19" t="s">
        <v>29</v>
      </c>
      <c r="W719" s="19"/>
      <c r="X719" s="19"/>
      <c r="Y719" s="20"/>
      <c r="Z719" s="19"/>
      <c r="AA719" s="18" t="str">
        <f aca="false">IF(OR(V719="Aprobada"),R719,IF(AND(OR(V719="Aprobada con ajuste",V719="Rechazada"),W719&lt;&gt;""),W719,""))</f>
        <v/>
      </c>
    </row>
    <row r="720" customFormat="false" ht="53.7" hidden="false" customHeight="false" outlineLevel="0" collapsed="false">
      <c r="A720" s="18" t="s">
        <v>3269</v>
      </c>
      <c r="B720" s="18" t="s">
        <v>60</v>
      </c>
      <c r="C720" s="18" t="s">
        <v>61</v>
      </c>
      <c r="D720" s="18" t="s">
        <v>3270</v>
      </c>
      <c r="E720" s="18" t="n">
        <v>0</v>
      </c>
      <c r="F720" s="18" t="s">
        <v>3271</v>
      </c>
      <c r="G720" s="18" t="s">
        <v>128</v>
      </c>
      <c r="H720" s="18" t="s">
        <v>129</v>
      </c>
      <c r="I720" s="18"/>
      <c r="J720" s="18"/>
      <c r="K720" s="18"/>
      <c r="L720" s="18" t="s">
        <v>129</v>
      </c>
      <c r="M720" s="18" t="s">
        <v>162</v>
      </c>
      <c r="N720" s="18" t="s">
        <v>3272</v>
      </c>
      <c r="O720" s="18" t="s">
        <v>3273</v>
      </c>
      <c r="P720" s="18"/>
      <c r="Q720" s="18" t="s">
        <v>149</v>
      </c>
      <c r="R720" s="18" t="s">
        <v>3274</v>
      </c>
      <c r="S720" s="18" t="s">
        <v>133</v>
      </c>
      <c r="T720" s="18" t="s">
        <v>3275</v>
      </c>
      <c r="U720" s="18"/>
      <c r="V720" s="19" t="s">
        <v>29</v>
      </c>
      <c r="W720" s="19"/>
      <c r="X720" s="19"/>
      <c r="Y720" s="20"/>
      <c r="Z720" s="19"/>
      <c r="AA720" s="18" t="str">
        <f aca="false">IF(OR(V720="Aprobada"),R720,IF(AND(OR(V720="Aprobada con ajuste",V720="Rechazada"),W720&lt;&gt;""),W720,""))</f>
        <v/>
      </c>
    </row>
    <row r="721" customFormat="false" ht="64.15" hidden="false" customHeight="false" outlineLevel="0" collapsed="false">
      <c r="A721" s="18" t="s">
        <v>3276</v>
      </c>
      <c r="B721" s="18" t="s">
        <v>60</v>
      </c>
      <c r="C721" s="18" t="s">
        <v>61</v>
      </c>
      <c r="D721" s="18" t="s">
        <v>3270</v>
      </c>
      <c r="E721" s="18" t="n">
        <v>0</v>
      </c>
      <c r="F721" s="18" t="s">
        <v>1922</v>
      </c>
      <c r="G721" s="18" t="s">
        <v>128</v>
      </c>
      <c r="H721" s="18" t="s">
        <v>129</v>
      </c>
      <c r="I721" s="18"/>
      <c r="J721" s="18"/>
      <c r="K721" s="18"/>
      <c r="L721" s="18" t="s">
        <v>129</v>
      </c>
      <c r="M721" s="18" t="s">
        <v>162</v>
      </c>
      <c r="N721" s="18" t="s">
        <v>3277</v>
      </c>
      <c r="O721" s="18"/>
      <c r="P721" s="18"/>
      <c r="Q721" s="18" t="s">
        <v>149</v>
      </c>
      <c r="R721" s="18" t="s">
        <v>3278</v>
      </c>
      <c r="S721" s="18" t="s">
        <v>133</v>
      </c>
      <c r="T721" s="18" t="s">
        <v>3279</v>
      </c>
      <c r="U721" s="18"/>
      <c r="V721" s="19" t="s">
        <v>29</v>
      </c>
      <c r="W721" s="19"/>
      <c r="X721" s="19"/>
      <c r="Y721" s="20"/>
      <c r="Z721" s="19"/>
      <c r="AA721" s="18" t="str">
        <f aca="false">IF(OR(V721="Aprobada"),R721,IF(AND(OR(V721="Aprobada con ajuste",V721="Rechazada"),W721&lt;&gt;""),W721,""))</f>
        <v/>
      </c>
    </row>
    <row r="722" customFormat="false" ht="22.35" hidden="false" customHeight="false" outlineLevel="0" collapsed="false">
      <c r="A722" s="18" t="s">
        <v>3280</v>
      </c>
      <c r="B722" s="18" t="s">
        <v>60</v>
      </c>
      <c r="C722" s="18" t="s">
        <v>61</v>
      </c>
      <c r="D722" s="18" t="s">
        <v>3270</v>
      </c>
      <c r="E722" s="18" t="n">
        <v>0</v>
      </c>
      <c r="F722" s="18" t="s">
        <v>3281</v>
      </c>
      <c r="G722" s="18" t="s">
        <v>128</v>
      </c>
      <c r="H722" s="18" t="s">
        <v>162</v>
      </c>
      <c r="I722" s="18"/>
      <c r="J722" s="18"/>
      <c r="K722" s="18"/>
      <c r="L722" s="18" t="s">
        <v>129</v>
      </c>
      <c r="M722" s="18" t="s">
        <v>129</v>
      </c>
      <c r="N722" s="18"/>
      <c r="O722" s="18"/>
      <c r="P722" s="18"/>
      <c r="Q722" s="18" t="s">
        <v>149</v>
      </c>
      <c r="R722" s="18" t="s">
        <v>3282</v>
      </c>
      <c r="S722" s="18" t="s">
        <v>133</v>
      </c>
      <c r="T722" s="18" t="s">
        <v>3283</v>
      </c>
      <c r="U722" s="18"/>
      <c r="V722" s="19" t="s">
        <v>29</v>
      </c>
      <c r="W722" s="19"/>
      <c r="X722" s="19"/>
      <c r="Y722" s="20"/>
      <c r="Z722" s="19"/>
      <c r="AA722" s="18" t="str">
        <f aca="false">IF(OR(V722="Aprobada"),R722,IF(AND(OR(V722="Aprobada con ajuste",V722="Rechazada"),W722&lt;&gt;""),W722,""))</f>
        <v/>
      </c>
    </row>
    <row r="723" customFormat="false" ht="22.35" hidden="false" customHeight="false" outlineLevel="0" collapsed="false">
      <c r="A723" s="18" t="s">
        <v>3284</v>
      </c>
      <c r="B723" s="18" t="s">
        <v>60</v>
      </c>
      <c r="C723" s="18" t="s">
        <v>61</v>
      </c>
      <c r="D723" s="18" t="s">
        <v>3270</v>
      </c>
      <c r="E723" s="18" t="n">
        <v>0</v>
      </c>
      <c r="F723" s="18" t="s">
        <v>3285</v>
      </c>
      <c r="G723" s="18" t="s">
        <v>503</v>
      </c>
      <c r="H723" s="18" t="s">
        <v>129</v>
      </c>
      <c r="I723" s="18" t="s">
        <v>298</v>
      </c>
      <c r="J723" s="18"/>
      <c r="K723" s="18"/>
      <c r="L723" s="18" t="s">
        <v>129</v>
      </c>
      <c r="M723" s="18" t="s">
        <v>129</v>
      </c>
      <c r="N723" s="18"/>
      <c r="O723" s="18"/>
      <c r="P723" s="18"/>
      <c r="Q723" s="18" t="s">
        <v>149</v>
      </c>
      <c r="R723" s="18" t="s">
        <v>3286</v>
      </c>
      <c r="S723" s="18" t="s">
        <v>133</v>
      </c>
      <c r="T723" s="18" t="s">
        <v>3287</v>
      </c>
      <c r="U723" s="18"/>
      <c r="V723" s="19" t="s">
        <v>29</v>
      </c>
      <c r="W723" s="19"/>
      <c r="X723" s="19"/>
      <c r="Y723" s="20"/>
      <c r="Z723" s="19"/>
      <c r="AA723" s="18" t="str">
        <f aca="false">IF(OR(V723="Aprobada"),R723,IF(AND(OR(V723="Aprobada con ajuste",V723="Rechazada"),W723&lt;&gt;""),W723,""))</f>
        <v/>
      </c>
    </row>
    <row r="724" customFormat="false" ht="22.35" hidden="false" customHeight="false" outlineLevel="0" collapsed="false">
      <c r="A724" s="18" t="s">
        <v>3288</v>
      </c>
      <c r="B724" s="18" t="s">
        <v>60</v>
      </c>
      <c r="C724" s="18" t="s">
        <v>61</v>
      </c>
      <c r="D724" s="18" t="s">
        <v>3270</v>
      </c>
      <c r="E724" s="18" t="n">
        <v>0</v>
      </c>
      <c r="F724" s="18" t="s">
        <v>3289</v>
      </c>
      <c r="G724" s="18" t="s">
        <v>128</v>
      </c>
      <c r="H724" s="18" t="s">
        <v>129</v>
      </c>
      <c r="I724" s="18"/>
      <c r="J724" s="18"/>
      <c r="K724" s="18"/>
      <c r="L724" s="18" t="s">
        <v>129</v>
      </c>
      <c r="M724" s="18" t="s">
        <v>129</v>
      </c>
      <c r="N724" s="18"/>
      <c r="O724" s="18"/>
      <c r="P724" s="18"/>
      <c r="Q724" s="18" t="s">
        <v>149</v>
      </c>
      <c r="R724" s="18" t="s">
        <v>3290</v>
      </c>
      <c r="S724" s="18" t="s">
        <v>140</v>
      </c>
      <c r="T724" s="18" t="s">
        <v>3291</v>
      </c>
      <c r="U724" s="18" t="s">
        <v>3292</v>
      </c>
      <c r="V724" s="19" t="s">
        <v>29</v>
      </c>
      <c r="W724" s="19"/>
      <c r="X724" s="19"/>
      <c r="Y724" s="20"/>
      <c r="Z724" s="19"/>
      <c r="AA724" s="18" t="str">
        <f aca="false">IF(OR(V724="Aprobada"),R724,IF(AND(OR(V724="Aprobada con ajuste",V724="Rechazada"),W724&lt;&gt;""),W724,""))</f>
        <v/>
      </c>
    </row>
    <row r="725" customFormat="false" ht="22.35" hidden="false" customHeight="false" outlineLevel="0" collapsed="false">
      <c r="A725" s="18" t="s">
        <v>3293</v>
      </c>
      <c r="B725" s="18" t="s">
        <v>60</v>
      </c>
      <c r="C725" s="18" t="s">
        <v>61</v>
      </c>
      <c r="D725" s="18" t="s">
        <v>3270</v>
      </c>
      <c r="E725" s="18" t="n">
        <v>0</v>
      </c>
      <c r="F725" s="18" t="s">
        <v>3294</v>
      </c>
      <c r="G725" s="18" t="s">
        <v>3295</v>
      </c>
      <c r="H725" s="18" t="s">
        <v>129</v>
      </c>
      <c r="I725" s="18" t="s">
        <v>298</v>
      </c>
      <c r="J725" s="18"/>
      <c r="K725" s="18"/>
      <c r="L725" s="18" t="s">
        <v>129</v>
      </c>
      <c r="M725" s="18" t="s">
        <v>129</v>
      </c>
      <c r="N725" s="18"/>
      <c r="O725" s="18"/>
      <c r="P725" s="18"/>
      <c r="Q725" s="18" t="s">
        <v>149</v>
      </c>
      <c r="R725" s="18" t="s">
        <v>3296</v>
      </c>
      <c r="S725" s="18" t="s">
        <v>133</v>
      </c>
      <c r="T725" s="18" t="s">
        <v>3297</v>
      </c>
      <c r="U725" s="18"/>
      <c r="V725" s="19" t="s">
        <v>29</v>
      </c>
      <c r="W725" s="19"/>
      <c r="X725" s="19"/>
      <c r="Y725" s="20"/>
      <c r="Z725" s="19"/>
      <c r="AA725" s="18" t="str">
        <f aca="false">IF(OR(V725="Aprobada"),R725,IF(AND(OR(V725="Aprobada con ajuste",V725="Rechazada"),W725&lt;&gt;""),W725,""))</f>
        <v/>
      </c>
    </row>
    <row r="726" customFormat="false" ht="22.35" hidden="false" customHeight="false" outlineLevel="0" collapsed="false">
      <c r="A726" s="18" t="s">
        <v>3298</v>
      </c>
      <c r="B726" s="18" t="s">
        <v>60</v>
      </c>
      <c r="C726" s="18" t="s">
        <v>61</v>
      </c>
      <c r="D726" s="18" t="s">
        <v>3270</v>
      </c>
      <c r="E726" s="18" t="n">
        <v>0</v>
      </c>
      <c r="F726" s="18" t="s">
        <v>3299</v>
      </c>
      <c r="G726" s="18" t="s">
        <v>173</v>
      </c>
      <c r="H726" s="18" t="s">
        <v>129</v>
      </c>
      <c r="I726" s="18"/>
      <c r="J726" s="18"/>
      <c r="K726" s="18"/>
      <c r="L726" s="18" t="s">
        <v>129</v>
      </c>
      <c r="M726" s="18" t="s">
        <v>129</v>
      </c>
      <c r="N726" s="18"/>
      <c r="O726" s="18"/>
      <c r="P726" s="18"/>
      <c r="Q726" s="18" t="s">
        <v>138</v>
      </c>
      <c r="R726" s="18" t="s">
        <v>3300</v>
      </c>
      <c r="S726" s="18" t="s">
        <v>140</v>
      </c>
      <c r="T726" s="18" t="s">
        <v>141</v>
      </c>
      <c r="U726" s="18"/>
      <c r="V726" s="19" t="s">
        <v>29</v>
      </c>
      <c r="W726" s="19"/>
      <c r="X726" s="19"/>
      <c r="Y726" s="20"/>
      <c r="Z726" s="19"/>
      <c r="AA726" s="18" t="str">
        <f aca="false">IF(OR(V726="Aprobada"),R726,IF(AND(OR(V726="Aprobada con ajuste",V726="Rechazada"),W726&lt;&gt;""),W726,""))</f>
        <v/>
      </c>
    </row>
    <row r="727" customFormat="false" ht="53.7" hidden="false" customHeight="false" outlineLevel="0" collapsed="false">
      <c r="A727" s="18" t="s">
        <v>3301</v>
      </c>
      <c r="B727" s="18" t="s">
        <v>60</v>
      </c>
      <c r="C727" s="18" t="s">
        <v>61</v>
      </c>
      <c r="D727" s="18" t="s">
        <v>3270</v>
      </c>
      <c r="E727" s="18" t="n">
        <v>0</v>
      </c>
      <c r="F727" s="18" t="s">
        <v>185</v>
      </c>
      <c r="G727" s="18" t="s">
        <v>128</v>
      </c>
      <c r="H727" s="18" t="s">
        <v>129</v>
      </c>
      <c r="I727" s="18" t="s">
        <v>298</v>
      </c>
      <c r="J727" s="18" t="s">
        <v>3302</v>
      </c>
      <c r="K727" s="18"/>
      <c r="L727" s="18" t="s">
        <v>162</v>
      </c>
      <c r="M727" s="18" t="s">
        <v>162</v>
      </c>
      <c r="N727" s="18" t="s">
        <v>2064</v>
      </c>
      <c r="O727" s="18"/>
      <c r="P727" s="18"/>
      <c r="Q727" s="18" t="s">
        <v>138</v>
      </c>
      <c r="R727" s="18" t="s">
        <v>3303</v>
      </c>
      <c r="S727" s="18" t="s">
        <v>140</v>
      </c>
      <c r="T727" s="18" t="s">
        <v>141</v>
      </c>
      <c r="U727" s="18"/>
      <c r="V727" s="19" t="s">
        <v>29</v>
      </c>
      <c r="W727" s="19"/>
      <c r="X727" s="19"/>
      <c r="Y727" s="20"/>
      <c r="Z727" s="19"/>
      <c r="AA727" s="18" t="str">
        <f aca="false">IF(OR(V727="Aprobada"),R727,IF(AND(OR(V727="Aprobada con ajuste",V727="Rechazada"),W727&lt;&gt;""),W727,""))</f>
        <v/>
      </c>
    </row>
    <row r="728" customFormat="false" ht="22.35" hidden="false" customHeight="false" outlineLevel="0" collapsed="false">
      <c r="A728" s="18" t="s">
        <v>3304</v>
      </c>
      <c r="B728" s="18" t="s">
        <v>60</v>
      </c>
      <c r="C728" s="18" t="s">
        <v>61</v>
      </c>
      <c r="D728" s="18" t="s">
        <v>3270</v>
      </c>
      <c r="E728" s="18" t="n">
        <v>0</v>
      </c>
      <c r="F728" s="18" t="s">
        <v>3305</v>
      </c>
      <c r="G728" s="18" t="s">
        <v>128</v>
      </c>
      <c r="H728" s="18" t="s">
        <v>162</v>
      </c>
      <c r="I728" s="18"/>
      <c r="J728" s="18"/>
      <c r="K728" s="18"/>
      <c r="L728" s="18" t="s">
        <v>129</v>
      </c>
      <c r="M728" s="18" t="s">
        <v>129</v>
      </c>
      <c r="N728" s="18"/>
      <c r="O728" s="18"/>
      <c r="P728" s="18"/>
      <c r="Q728" s="18" t="s">
        <v>149</v>
      </c>
      <c r="R728" s="18" t="s">
        <v>3306</v>
      </c>
      <c r="S728" s="18" t="s">
        <v>133</v>
      </c>
      <c r="T728" s="18" t="s">
        <v>3307</v>
      </c>
      <c r="U728" s="18"/>
      <c r="V728" s="19" t="s">
        <v>29</v>
      </c>
      <c r="W728" s="19"/>
      <c r="X728" s="19"/>
      <c r="Y728" s="20"/>
      <c r="Z728" s="19"/>
      <c r="AA728" s="18" t="str">
        <f aca="false">IF(OR(V728="Aprobada"),R728,IF(AND(OR(V728="Aprobada con ajuste",V728="Rechazada"),W728&lt;&gt;""),W728,""))</f>
        <v/>
      </c>
    </row>
    <row r="729" customFormat="false" ht="22.35" hidden="false" customHeight="false" outlineLevel="0" collapsed="false">
      <c r="A729" s="18" t="s">
        <v>3308</v>
      </c>
      <c r="B729" s="18" t="s">
        <v>60</v>
      </c>
      <c r="C729" s="18" t="s">
        <v>61</v>
      </c>
      <c r="D729" s="18" t="s">
        <v>3270</v>
      </c>
      <c r="E729" s="18" t="n">
        <v>0</v>
      </c>
      <c r="F729" s="18" t="s">
        <v>3136</v>
      </c>
      <c r="G729" s="18" t="s">
        <v>128</v>
      </c>
      <c r="H729" s="18" t="s">
        <v>162</v>
      </c>
      <c r="I729" s="18"/>
      <c r="J729" s="18"/>
      <c r="K729" s="18"/>
      <c r="L729" s="18" t="s">
        <v>129</v>
      </c>
      <c r="M729" s="18" t="s">
        <v>129</v>
      </c>
      <c r="N729" s="18"/>
      <c r="O729" s="18"/>
      <c r="P729" s="18"/>
      <c r="Q729" s="18" t="s">
        <v>138</v>
      </c>
      <c r="R729" s="18" t="s">
        <v>3309</v>
      </c>
      <c r="S729" s="18" t="s">
        <v>140</v>
      </c>
      <c r="T729" s="18" t="s">
        <v>141</v>
      </c>
      <c r="U729" s="18"/>
      <c r="V729" s="19" t="s">
        <v>29</v>
      </c>
      <c r="W729" s="19"/>
      <c r="X729" s="19"/>
      <c r="Y729" s="20"/>
      <c r="Z729" s="19"/>
      <c r="AA729" s="18" t="str">
        <f aca="false">IF(OR(V729="Aprobada"),R729,IF(AND(OR(V729="Aprobada con ajuste",V729="Rechazada"),W729&lt;&gt;""),W729,""))</f>
        <v/>
      </c>
    </row>
    <row r="730" customFormat="false" ht="22.35" hidden="false" customHeight="false" outlineLevel="0" collapsed="false">
      <c r="A730" s="18" t="s">
        <v>3310</v>
      </c>
      <c r="B730" s="18" t="s">
        <v>60</v>
      </c>
      <c r="C730" s="18" t="s">
        <v>61</v>
      </c>
      <c r="D730" s="18" t="s">
        <v>3270</v>
      </c>
      <c r="E730" s="18" t="n">
        <v>0</v>
      </c>
      <c r="F730" s="18" t="s">
        <v>3036</v>
      </c>
      <c r="G730" s="18" t="s">
        <v>128</v>
      </c>
      <c r="H730" s="18" t="s">
        <v>162</v>
      </c>
      <c r="I730" s="18"/>
      <c r="J730" s="18"/>
      <c r="K730" s="18"/>
      <c r="L730" s="18" t="s">
        <v>129</v>
      </c>
      <c r="M730" s="18" t="s">
        <v>129</v>
      </c>
      <c r="N730" s="18"/>
      <c r="O730" s="18"/>
      <c r="P730" s="18"/>
      <c r="Q730" s="18" t="s">
        <v>149</v>
      </c>
      <c r="R730" s="18" t="s">
        <v>3311</v>
      </c>
      <c r="S730" s="18" t="s">
        <v>140</v>
      </c>
      <c r="T730" s="18" t="s">
        <v>3312</v>
      </c>
      <c r="U730" s="18" t="s">
        <v>3313</v>
      </c>
      <c r="V730" s="19" t="s">
        <v>29</v>
      </c>
      <c r="W730" s="19"/>
      <c r="X730" s="19"/>
      <c r="Y730" s="20"/>
      <c r="Z730" s="19"/>
      <c r="AA730" s="18" t="str">
        <f aca="false">IF(OR(V730="Aprobada"),R730,IF(AND(OR(V730="Aprobada con ajuste",V730="Rechazada"),W730&lt;&gt;""),W730,""))</f>
        <v/>
      </c>
    </row>
    <row r="731" customFormat="false" ht="22.35" hidden="false" customHeight="false" outlineLevel="0" collapsed="false">
      <c r="A731" s="18" t="s">
        <v>3314</v>
      </c>
      <c r="B731" s="18" t="s">
        <v>60</v>
      </c>
      <c r="C731" s="18" t="s">
        <v>61</v>
      </c>
      <c r="D731" s="18" t="s">
        <v>3270</v>
      </c>
      <c r="E731" s="18" t="n">
        <v>0</v>
      </c>
      <c r="F731" s="18" t="s">
        <v>3315</v>
      </c>
      <c r="G731" s="18" t="s">
        <v>584</v>
      </c>
      <c r="H731" s="18" t="s">
        <v>162</v>
      </c>
      <c r="I731" s="18"/>
      <c r="J731" s="18"/>
      <c r="K731" s="18"/>
      <c r="L731" s="18" t="s">
        <v>129</v>
      </c>
      <c r="M731" s="18" t="s">
        <v>129</v>
      </c>
      <c r="N731" s="18"/>
      <c r="O731" s="18"/>
      <c r="P731" s="18"/>
      <c r="Q731" s="18" t="s">
        <v>138</v>
      </c>
      <c r="R731" s="18" t="s">
        <v>1324</v>
      </c>
      <c r="S731" s="18" t="s">
        <v>140</v>
      </c>
      <c r="T731" s="18" t="s">
        <v>141</v>
      </c>
      <c r="U731" s="18"/>
      <c r="V731" s="19" t="s">
        <v>29</v>
      </c>
      <c r="W731" s="19"/>
      <c r="X731" s="19"/>
      <c r="Y731" s="20"/>
      <c r="Z731" s="19"/>
      <c r="AA731" s="18" t="str">
        <f aca="false">IF(OR(V731="Aprobada"),R731,IF(AND(OR(V731="Aprobada con ajuste",V731="Rechazada"),W731&lt;&gt;""),W731,""))</f>
        <v/>
      </c>
    </row>
    <row r="732" customFormat="false" ht="64.15" hidden="false" customHeight="false" outlineLevel="0" collapsed="false">
      <c r="A732" s="18" t="s">
        <v>3316</v>
      </c>
      <c r="B732" s="18" t="s">
        <v>60</v>
      </c>
      <c r="C732" s="18" t="s">
        <v>61</v>
      </c>
      <c r="D732" s="18" t="s">
        <v>3317</v>
      </c>
      <c r="E732" s="18" t="n">
        <v>0</v>
      </c>
      <c r="F732" s="18" t="s">
        <v>3031</v>
      </c>
      <c r="G732" s="18" t="s">
        <v>312</v>
      </c>
      <c r="H732" s="18" t="s">
        <v>129</v>
      </c>
      <c r="I732" s="18"/>
      <c r="J732" s="18"/>
      <c r="K732" s="18"/>
      <c r="L732" s="18" t="s">
        <v>129</v>
      </c>
      <c r="M732" s="18" t="s">
        <v>162</v>
      </c>
      <c r="N732" s="18" t="s">
        <v>3217</v>
      </c>
      <c r="O732" s="18" t="s">
        <v>3318</v>
      </c>
      <c r="P732" s="18"/>
      <c r="Q732" s="18" t="s">
        <v>149</v>
      </c>
      <c r="R732" s="18" t="s">
        <v>3319</v>
      </c>
      <c r="S732" s="18" t="s">
        <v>133</v>
      </c>
      <c r="T732" s="18" t="s">
        <v>3320</v>
      </c>
      <c r="U732" s="18"/>
      <c r="V732" s="19" t="s">
        <v>29</v>
      </c>
      <c r="W732" s="19"/>
      <c r="X732" s="19"/>
      <c r="Y732" s="20"/>
      <c r="Z732" s="19"/>
      <c r="AA732" s="18" t="str">
        <f aca="false">IF(OR(V732="Aprobada"),R732,IF(AND(OR(V732="Aprobada con ajuste",V732="Rechazada"),W732&lt;&gt;""),W732,""))</f>
        <v/>
      </c>
    </row>
    <row r="733" customFormat="false" ht="53.7" hidden="false" customHeight="false" outlineLevel="0" collapsed="false">
      <c r="A733" s="18" t="s">
        <v>3321</v>
      </c>
      <c r="B733" s="18" t="s">
        <v>60</v>
      </c>
      <c r="C733" s="18" t="s">
        <v>61</v>
      </c>
      <c r="D733" s="18" t="s">
        <v>3317</v>
      </c>
      <c r="E733" s="18" t="n">
        <v>0</v>
      </c>
      <c r="F733" s="18" t="s">
        <v>185</v>
      </c>
      <c r="G733" s="18" t="s">
        <v>128</v>
      </c>
      <c r="H733" s="18" t="s">
        <v>129</v>
      </c>
      <c r="I733" s="18" t="s">
        <v>298</v>
      </c>
      <c r="J733" s="18" t="s">
        <v>3322</v>
      </c>
      <c r="K733" s="18"/>
      <c r="L733" s="18" t="s">
        <v>162</v>
      </c>
      <c r="M733" s="18" t="s">
        <v>162</v>
      </c>
      <c r="N733" s="18" t="s">
        <v>2064</v>
      </c>
      <c r="O733" s="18" t="s">
        <v>3323</v>
      </c>
      <c r="P733" s="18"/>
      <c r="Q733" s="18" t="s">
        <v>138</v>
      </c>
      <c r="R733" s="18" t="s">
        <v>3324</v>
      </c>
      <c r="S733" s="18" t="s">
        <v>140</v>
      </c>
      <c r="T733" s="18" t="s">
        <v>141</v>
      </c>
      <c r="U733" s="18"/>
      <c r="V733" s="19" t="s">
        <v>29</v>
      </c>
      <c r="W733" s="19"/>
      <c r="X733" s="19"/>
      <c r="Y733" s="20"/>
      <c r="Z733" s="19"/>
      <c r="AA733" s="18" t="str">
        <f aca="false">IF(OR(V733="Aprobada"),R733,IF(AND(OR(V733="Aprobada con ajuste",V733="Rechazada"),W733&lt;&gt;""),W733,""))</f>
        <v/>
      </c>
    </row>
    <row r="734" customFormat="false" ht="32.8" hidden="false" customHeight="false" outlineLevel="0" collapsed="false">
      <c r="A734" s="18" t="s">
        <v>3325</v>
      </c>
      <c r="B734" s="18" t="s">
        <v>60</v>
      </c>
      <c r="C734" s="18" t="s">
        <v>61</v>
      </c>
      <c r="D734" s="18" t="s">
        <v>3317</v>
      </c>
      <c r="E734" s="18" t="n">
        <v>0</v>
      </c>
      <c r="F734" s="18" t="s">
        <v>3326</v>
      </c>
      <c r="G734" s="18" t="s">
        <v>503</v>
      </c>
      <c r="H734" s="18" t="s">
        <v>129</v>
      </c>
      <c r="I734" s="18"/>
      <c r="J734" s="18"/>
      <c r="K734" s="18"/>
      <c r="L734" s="18" t="s">
        <v>129</v>
      </c>
      <c r="M734" s="18" t="s">
        <v>129</v>
      </c>
      <c r="N734" s="18"/>
      <c r="O734" s="18"/>
      <c r="P734" s="18"/>
      <c r="Q734" s="18" t="s">
        <v>149</v>
      </c>
      <c r="R734" s="18" t="s">
        <v>3327</v>
      </c>
      <c r="S734" s="18" t="s">
        <v>140</v>
      </c>
      <c r="T734" s="18" t="s">
        <v>3328</v>
      </c>
      <c r="U734" s="18" t="s">
        <v>3329</v>
      </c>
      <c r="V734" s="19" t="s">
        <v>29</v>
      </c>
      <c r="W734" s="19"/>
      <c r="X734" s="19"/>
      <c r="Y734" s="20"/>
      <c r="Z734" s="19"/>
      <c r="AA734" s="18" t="str">
        <f aca="false">IF(OR(V734="Aprobada"),R734,IF(AND(OR(V734="Aprobada con ajuste",V734="Rechazada"),W734&lt;&gt;""),W734,""))</f>
        <v/>
      </c>
    </row>
    <row r="735" customFormat="false" ht="22.35" hidden="false" customHeight="false" outlineLevel="0" collapsed="false">
      <c r="A735" s="18" t="s">
        <v>3330</v>
      </c>
      <c r="B735" s="18" t="s">
        <v>60</v>
      </c>
      <c r="C735" s="18" t="s">
        <v>61</v>
      </c>
      <c r="D735" s="18" t="s">
        <v>3317</v>
      </c>
      <c r="E735" s="18" t="n">
        <v>0</v>
      </c>
      <c r="F735" s="18" t="s">
        <v>3331</v>
      </c>
      <c r="G735" s="18" t="s">
        <v>584</v>
      </c>
      <c r="H735" s="18" t="s">
        <v>129</v>
      </c>
      <c r="I735" s="18"/>
      <c r="J735" s="18"/>
      <c r="K735" s="18"/>
      <c r="L735" s="18" t="s">
        <v>129</v>
      </c>
      <c r="M735" s="18" t="s">
        <v>129</v>
      </c>
      <c r="N735" s="18"/>
      <c r="O735" s="18" t="s">
        <v>3323</v>
      </c>
      <c r="P735" s="18"/>
      <c r="Q735" s="18" t="s">
        <v>149</v>
      </c>
      <c r="R735" s="18" t="s">
        <v>3332</v>
      </c>
      <c r="S735" s="18" t="s">
        <v>140</v>
      </c>
      <c r="T735" s="18" t="s">
        <v>3333</v>
      </c>
      <c r="U735" s="18" t="s">
        <v>3334</v>
      </c>
      <c r="V735" s="19" t="s">
        <v>29</v>
      </c>
      <c r="W735" s="19"/>
      <c r="X735" s="19"/>
      <c r="Y735" s="20"/>
      <c r="Z735" s="19"/>
      <c r="AA735" s="18" t="str">
        <f aca="false">IF(OR(V735="Aprobada"),R735,IF(AND(OR(V735="Aprobada con ajuste",V735="Rechazada"),W735&lt;&gt;""),W735,""))</f>
        <v/>
      </c>
    </row>
    <row r="736" customFormat="false" ht="22.35" hidden="false" customHeight="false" outlineLevel="0" collapsed="false">
      <c r="A736" s="18" t="s">
        <v>3335</v>
      </c>
      <c r="B736" s="18" t="s">
        <v>60</v>
      </c>
      <c r="C736" s="18" t="s">
        <v>61</v>
      </c>
      <c r="D736" s="18" t="s">
        <v>3317</v>
      </c>
      <c r="E736" s="18" t="n">
        <v>0</v>
      </c>
      <c r="F736" s="18" t="s">
        <v>3336</v>
      </c>
      <c r="G736" s="18" t="s">
        <v>312</v>
      </c>
      <c r="H736" s="18" t="s">
        <v>162</v>
      </c>
      <c r="I736" s="18"/>
      <c r="J736" s="18"/>
      <c r="K736" s="18"/>
      <c r="L736" s="18" t="s">
        <v>129</v>
      </c>
      <c r="M736" s="18" t="s">
        <v>129</v>
      </c>
      <c r="N736" s="18"/>
      <c r="O736" s="18"/>
      <c r="P736" s="18"/>
      <c r="Q736" s="18" t="s">
        <v>149</v>
      </c>
      <c r="R736" s="18" t="s">
        <v>3337</v>
      </c>
      <c r="S736" s="18" t="s">
        <v>242</v>
      </c>
      <c r="T736" s="18" t="s">
        <v>3338</v>
      </c>
      <c r="U736" s="18" t="s">
        <v>3339</v>
      </c>
      <c r="V736" s="19" t="s">
        <v>29</v>
      </c>
      <c r="W736" s="19"/>
      <c r="X736" s="19"/>
      <c r="Y736" s="20"/>
      <c r="Z736" s="19"/>
      <c r="AA736" s="18" t="str">
        <f aca="false">IF(OR(V736="Aprobada"),R736,IF(AND(OR(V736="Aprobada con ajuste",V736="Rechazada"),W736&lt;&gt;""),W736,""))</f>
        <v/>
      </c>
    </row>
    <row r="737" customFormat="false" ht="32.8" hidden="false" customHeight="false" outlineLevel="0" collapsed="false">
      <c r="A737" s="18" t="s">
        <v>3340</v>
      </c>
      <c r="B737" s="18" t="s">
        <v>60</v>
      </c>
      <c r="C737" s="18" t="s">
        <v>61</v>
      </c>
      <c r="D737" s="18" t="s">
        <v>3317</v>
      </c>
      <c r="E737" s="18" t="n">
        <v>0</v>
      </c>
      <c r="F737" s="18" t="s">
        <v>3341</v>
      </c>
      <c r="G737" s="18" t="s">
        <v>584</v>
      </c>
      <c r="H737" s="18" t="s">
        <v>162</v>
      </c>
      <c r="I737" s="18"/>
      <c r="J737" s="18"/>
      <c r="K737" s="18"/>
      <c r="L737" s="18" t="s">
        <v>129</v>
      </c>
      <c r="M737" s="18" t="s">
        <v>129</v>
      </c>
      <c r="N737" s="18"/>
      <c r="O737" s="18"/>
      <c r="P737" s="18"/>
      <c r="Q737" s="18" t="s">
        <v>149</v>
      </c>
      <c r="R737" s="18" t="s">
        <v>3342</v>
      </c>
      <c r="S737" s="18" t="s">
        <v>242</v>
      </c>
      <c r="T737" s="18" t="s">
        <v>3343</v>
      </c>
      <c r="U737" s="18" t="s">
        <v>3344</v>
      </c>
      <c r="V737" s="19" t="s">
        <v>29</v>
      </c>
      <c r="W737" s="19"/>
      <c r="X737" s="19"/>
      <c r="Y737" s="20"/>
      <c r="Z737" s="19"/>
      <c r="AA737" s="18" t="str">
        <f aca="false">IF(OR(V737="Aprobada"),R737,IF(AND(OR(V737="Aprobada con ajuste",V737="Rechazada"),W737&lt;&gt;""),W737,""))</f>
        <v/>
      </c>
    </row>
    <row r="738" customFormat="false" ht="22.35" hidden="false" customHeight="false" outlineLevel="0" collapsed="false">
      <c r="A738" s="18" t="s">
        <v>3345</v>
      </c>
      <c r="B738" s="18" t="s">
        <v>60</v>
      </c>
      <c r="C738" s="18" t="s">
        <v>61</v>
      </c>
      <c r="D738" s="18" t="s">
        <v>3317</v>
      </c>
      <c r="E738" s="18" t="n">
        <v>0</v>
      </c>
      <c r="F738" s="18" t="s">
        <v>3346</v>
      </c>
      <c r="G738" s="18" t="s">
        <v>192</v>
      </c>
      <c r="H738" s="18" t="s">
        <v>129</v>
      </c>
      <c r="I738" s="18"/>
      <c r="J738" s="18"/>
      <c r="K738" s="18"/>
      <c r="L738" s="18" t="s">
        <v>129</v>
      </c>
      <c r="M738" s="18" t="s">
        <v>129</v>
      </c>
      <c r="N738" s="18"/>
      <c r="O738" s="18"/>
      <c r="P738" s="18"/>
      <c r="Q738" s="18" t="s">
        <v>149</v>
      </c>
      <c r="R738" s="18" t="s">
        <v>3347</v>
      </c>
      <c r="S738" s="18" t="s">
        <v>242</v>
      </c>
      <c r="T738" s="18" t="s">
        <v>3348</v>
      </c>
      <c r="U738" s="18" t="s">
        <v>3349</v>
      </c>
      <c r="V738" s="19" t="s">
        <v>29</v>
      </c>
      <c r="W738" s="19"/>
      <c r="X738" s="19"/>
      <c r="Y738" s="20"/>
      <c r="Z738" s="19"/>
      <c r="AA738" s="18" t="str">
        <f aca="false">IF(OR(V738="Aprobada"),R738,IF(AND(OR(V738="Aprobada con ajuste",V738="Rechazada"),W738&lt;&gt;""),W738,""))</f>
        <v/>
      </c>
    </row>
    <row r="739" customFormat="false" ht="32.8" hidden="false" customHeight="false" outlineLevel="0" collapsed="false">
      <c r="A739" s="18" t="s">
        <v>3350</v>
      </c>
      <c r="B739" s="18" t="s">
        <v>60</v>
      </c>
      <c r="C739" s="18" t="s">
        <v>61</v>
      </c>
      <c r="D739" s="18" t="s">
        <v>3317</v>
      </c>
      <c r="E739" s="18" t="n">
        <v>0</v>
      </c>
      <c r="F739" s="18" t="s">
        <v>3351</v>
      </c>
      <c r="G739" s="18" t="s">
        <v>192</v>
      </c>
      <c r="H739" s="18" t="s">
        <v>129</v>
      </c>
      <c r="I739" s="18"/>
      <c r="J739" s="18"/>
      <c r="K739" s="18"/>
      <c r="L739" s="18" t="s">
        <v>129</v>
      </c>
      <c r="M739" s="18" t="s">
        <v>129</v>
      </c>
      <c r="N739" s="18"/>
      <c r="O739" s="18"/>
      <c r="P739" s="18"/>
      <c r="Q739" s="18" t="s">
        <v>149</v>
      </c>
      <c r="R739" s="18" t="s">
        <v>3352</v>
      </c>
      <c r="S739" s="18" t="s">
        <v>242</v>
      </c>
      <c r="T739" s="18" t="s">
        <v>3353</v>
      </c>
      <c r="U739" s="18" t="s">
        <v>3354</v>
      </c>
      <c r="V739" s="19" t="s">
        <v>29</v>
      </c>
      <c r="W739" s="19"/>
      <c r="X739" s="19"/>
      <c r="Y739" s="20"/>
      <c r="Z739" s="19"/>
      <c r="AA739" s="18" t="str">
        <f aca="false">IF(OR(V739="Aprobada"),R739,IF(AND(OR(V739="Aprobada con ajuste",V739="Rechazada"),W739&lt;&gt;""),W739,""))</f>
        <v/>
      </c>
    </row>
    <row r="740" customFormat="false" ht="22.35" hidden="false" customHeight="false" outlineLevel="0" collapsed="false">
      <c r="A740" s="18" t="s">
        <v>3355</v>
      </c>
      <c r="B740" s="18" t="s">
        <v>60</v>
      </c>
      <c r="C740" s="18" t="s">
        <v>61</v>
      </c>
      <c r="D740" s="18" t="s">
        <v>3317</v>
      </c>
      <c r="E740" s="18" t="n">
        <v>0</v>
      </c>
      <c r="F740" s="18" t="s">
        <v>3356</v>
      </c>
      <c r="G740" s="18" t="s">
        <v>128</v>
      </c>
      <c r="H740" s="18" t="s">
        <v>162</v>
      </c>
      <c r="I740" s="18"/>
      <c r="J740" s="18"/>
      <c r="K740" s="18"/>
      <c r="L740" s="18" t="s">
        <v>129</v>
      </c>
      <c r="M740" s="18" t="s">
        <v>129</v>
      </c>
      <c r="N740" s="18"/>
      <c r="O740" s="18"/>
      <c r="P740" s="18"/>
      <c r="Q740" s="18" t="s">
        <v>149</v>
      </c>
      <c r="R740" s="18" t="s">
        <v>3357</v>
      </c>
      <c r="S740" s="18" t="s">
        <v>140</v>
      </c>
      <c r="T740" s="18" t="s">
        <v>3358</v>
      </c>
      <c r="U740" s="18" t="s">
        <v>3359</v>
      </c>
      <c r="V740" s="19" t="s">
        <v>29</v>
      </c>
      <c r="W740" s="19"/>
      <c r="X740" s="19"/>
      <c r="Y740" s="20"/>
      <c r="Z740" s="19"/>
      <c r="AA740" s="18" t="str">
        <f aca="false">IF(OR(V740="Aprobada"),R740,IF(AND(OR(V740="Aprobada con ajuste",V740="Rechazada"),W740&lt;&gt;""),W740,""))</f>
        <v/>
      </c>
    </row>
    <row r="741" customFormat="false" ht="32.8" hidden="false" customHeight="false" outlineLevel="0" collapsed="false">
      <c r="A741" s="18" t="s">
        <v>3360</v>
      </c>
      <c r="B741" s="18" t="s">
        <v>60</v>
      </c>
      <c r="C741" s="18" t="s">
        <v>61</v>
      </c>
      <c r="D741" s="18" t="s">
        <v>3317</v>
      </c>
      <c r="E741" s="18" t="n">
        <v>0</v>
      </c>
      <c r="F741" s="18" t="s">
        <v>3361</v>
      </c>
      <c r="G741" s="18" t="s">
        <v>128</v>
      </c>
      <c r="H741" s="18" t="s">
        <v>129</v>
      </c>
      <c r="I741" s="18"/>
      <c r="J741" s="18"/>
      <c r="K741" s="18"/>
      <c r="L741" s="18" t="s">
        <v>129</v>
      </c>
      <c r="M741" s="18" t="s">
        <v>129</v>
      </c>
      <c r="N741" s="18"/>
      <c r="O741" s="18"/>
      <c r="P741" s="18"/>
      <c r="Q741" s="18" t="s">
        <v>149</v>
      </c>
      <c r="R741" s="18" t="s">
        <v>3362</v>
      </c>
      <c r="S741" s="18" t="s">
        <v>140</v>
      </c>
      <c r="T741" s="18" t="s">
        <v>3363</v>
      </c>
      <c r="U741" s="18" t="s">
        <v>3364</v>
      </c>
      <c r="V741" s="19" t="s">
        <v>29</v>
      </c>
      <c r="W741" s="19"/>
      <c r="X741" s="19"/>
      <c r="Y741" s="20"/>
      <c r="Z741" s="19"/>
      <c r="AA741" s="18" t="str">
        <f aca="false">IF(OR(V741="Aprobada"),R741,IF(AND(OR(V741="Aprobada con ajuste",V741="Rechazada"),W741&lt;&gt;""),W741,""))</f>
        <v/>
      </c>
    </row>
    <row r="742" customFormat="false" ht="22.35" hidden="false" customHeight="false" outlineLevel="0" collapsed="false">
      <c r="A742" s="18" t="s">
        <v>3365</v>
      </c>
      <c r="B742" s="18" t="s">
        <v>60</v>
      </c>
      <c r="C742" s="18" t="s">
        <v>61</v>
      </c>
      <c r="D742" s="18" t="s">
        <v>3317</v>
      </c>
      <c r="E742" s="18" t="n">
        <v>0</v>
      </c>
      <c r="F742" s="18" t="s">
        <v>3366</v>
      </c>
      <c r="G742" s="18" t="s">
        <v>584</v>
      </c>
      <c r="H742" s="18" t="s">
        <v>129</v>
      </c>
      <c r="I742" s="18"/>
      <c r="J742" s="18"/>
      <c r="K742" s="18"/>
      <c r="L742" s="18" t="s">
        <v>129</v>
      </c>
      <c r="M742" s="18" t="s">
        <v>129</v>
      </c>
      <c r="N742" s="18"/>
      <c r="O742" s="18"/>
      <c r="P742" s="18"/>
      <c r="Q742" s="18" t="s">
        <v>149</v>
      </c>
      <c r="R742" s="18" t="s">
        <v>3367</v>
      </c>
      <c r="S742" s="18" t="s">
        <v>133</v>
      </c>
      <c r="T742" s="18" t="s">
        <v>3368</v>
      </c>
      <c r="U742" s="18"/>
      <c r="V742" s="19" t="s">
        <v>29</v>
      </c>
      <c r="W742" s="19"/>
      <c r="X742" s="19"/>
      <c r="Y742" s="20"/>
      <c r="Z742" s="19"/>
      <c r="AA742" s="18" t="str">
        <f aca="false">IF(OR(V742="Aprobada"),R742,IF(AND(OR(V742="Aprobada con ajuste",V742="Rechazada"),W742&lt;&gt;""),W742,""))</f>
        <v/>
      </c>
    </row>
    <row r="743" customFormat="false" ht="22.35" hidden="false" customHeight="false" outlineLevel="0" collapsed="false">
      <c r="A743" s="18" t="s">
        <v>3369</v>
      </c>
      <c r="B743" s="18" t="s">
        <v>60</v>
      </c>
      <c r="C743" s="18" t="s">
        <v>61</v>
      </c>
      <c r="D743" s="18" t="s">
        <v>3317</v>
      </c>
      <c r="E743" s="18" t="n">
        <v>0</v>
      </c>
      <c r="F743" s="18" t="s">
        <v>3370</v>
      </c>
      <c r="G743" s="18" t="s">
        <v>584</v>
      </c>
      <c r="H743" s="18" t="s">
        <v>162</v>
      </c>
      <c r="I743" s="18"/>
      <c r="J743" s="18"/>
      <c r="K743" s="18"/>
      <c r="L743" s="18" t="s">
        <v>129</v>
      </c>
      <c r="M743" s="18" t="s">
        <v>129</v>
      </c>
      <c r="N743" s="18"/>
      <c r="O743" s="18"/>
      <c r="P743" s="18"/>
      <c r="Q743" s="18" t="s">
        <v>138</v>
      </c>
      <c r="R743" s="18" t="s">
        <v>3371</v>
      </c>
      <c r="S743" s="18" t="s">
        <v>140</v>
      </c>
      <c r="T743" s="18" t="s">
        <v>141</v>
      </c>
      <c r="U743" s="18"/>
      <c r="V743" s="19" t="s">
        <v>29</v>
      </c>
      <c r="W743" s="19"/>
      <c r="X743" s="19"/>
      <c r="Y743" s="20"/>
      <c r="Z743" s="19"/>
      <c r="AA743" s="18" t="str">
        <f aca="false">IF(OR(V743="Aprobada"),R743,IF(AND(OR(V743="Aprobada con ajuste",V743="Rechazada"),W743&lt;&gt;""),W743,""))</f>
        <v/>
      </c>
    </row>
    <row r="744" customFormat="false" ht="32.8" hidden="false" customHeight="false" outlineLevel="0" collapsed="false">
      <c r="A744" s="18" t="s">
        <v>3372</v>
      </c>
      <c r="B744" s="18" t="s">
        <v>60</v>
      </c>
      <c r="C744" s="18" t="s">
        <v>61</v>
      </c>
      <c r="D744" s="18" t="s">
        <v>3317</v>
      </c>
      <c r="E744" s="18" t="n">
        <v>0</v>
      </c>
      <c r="F744" s="18" t="s">
        <v>3373</v>
      </c>
      <c r="G744" s="18" t="s">
        <v>312</v>
      </c>
      <c r="H744" s="18" t="s">
        <v>129</v>
      </c>
      <c r="I744" s="18"/>
      <c r="J744" s="18"/>
      <c r="K744" s="18"/>
      <c r="L744" s="18" t="s">
        <v>129</v>
      </c>
      <c r="M744" s="18" t="s">
        <v>129</v>
      </c>
      <c r="N744" s="18"/>
      <c r="O744" s="18"/>
      <c r="P744" s="18"/>
      <c r="Q744" s="18" t="s">
        <v>149</v>
      </c>
      <c r="R744" s="18" t="s">
        <v>3374</v>
      </c>
      <c r="S744" s="18" t="s">
        <v>242</v>
      </c>
      <c r="T744" s="18" t="s">
        <v>3375</v>
      </c>
      <c r="U744" s="18" t="s">
        <v>3376</v>
      </c>
      <c r="V744" s="19" t="s">
        <v>29</v>
      </c>
      <c r="W744" s="19"/>
      <c r="X744" s="19"/>
      <c r="Y744" s="20"/>
      <c r="Z744" s="19"/>
      <c r="AA744" s="18" t="str">
        <f aca="false">IF(OR(V744="Aprobada"),R744,IF(AND(OR(V744="Aprobada con ajuste",V744="Rechazada"),W744&lt;&gt;""),W744,""))</f>
        <v/>
      </c>
    </row>
    <row r="745" customFormat="false" ht="22.35" hidden="false" customHeight="false" outlineLevel="0" collapsed="false">
      <c r="A745" s="18" t="s">
        <v>3377</v>
      </c>
      <c r="B745" s="18" t="s">
        <v>60</v>
      </c>
      <c r="C745" s="18" t="s">
        <v>61</v>
      </c>
      <c r="D745" s="18" t="s">
        <v>3317</v>
      </c>
      <c r="E745" s="18" t="n">
        <v>0</v>
      </c>
      <c r="F745" s="18" t="s">
        <v>3378</v>
      </c>
      <c r="G745" s="18" t="s">
        <v>584</v>
      </c>
      <c r="H745" s="18" t="s">
        <v>162</v>
      </c>
      <c r="I745" s="18"/>
      <c r="J745" s="18"/>
      <c r="K745" s="18"/>
      <c r="L745" s="18" t="s">
        <v>129</v>
      </c>
      <c r="M745" s="18" t="s">
        <v>129</v>
      </c>
      <c r="N745" s="18"/>
      <c r="O745" s="18"/>
      <c r="P745" s="18"/>
      <c r="Q745" s="18" t="s">
        <v>138</v>
      </c>
      <c r="R745" s="18" t="s">
        <v>3379</v>
      </c>
      <c r="S745" s="18" t="s">
        <v>140</v>
      </c>
      <c r="T745" s="18" t="s">
        <v>141</v>
      </c>
      <c r="U745" s="18"/>
      <c r="V745" s="19" t="s">
        <v>29</v>
      </c>
      <c r="W745" s="19"/>
      <c r="X745" s="19"/>
      <c r="Y745" s="20"/>
      <c r="Z745" s="19"/>
      <c r="AA745" s="18" t="str">
        <f aca="false">IF(OR(V745="Aprobada"),R745,IF(AND(OR(V745="Aprobada con ajuste",V745="Rechazada"),W745&lt;&gt;""),W745,""))</f>
        <v/>
      </c>
    </row>
    <row r="746" customFormat="false" ht="22.35" hidden="false" customHeight="false" outlineLevel="0" collapsed="false">
      <c r="A746" s="18" t="s">
        <v>3380</v>
      </c>
      <c r="B746" s="18" t="s">
        <v>60</v>
      </c>
      <c r="C746" s="18" t="s">
        <v>61</v>
      </c>
      <c r="D746" s="18" t="s">
        <v>3317</v>
      </c>
      <c r="E746" s="18" t="n">
        <v>0</v>
      </c>
      <c r="F746" s="18" t="s">
        <v>3381</v>
      </c>
      <c r="G746" s="18" t="s">
        <v>584</v>
      </c>
      <c r="H746" s="18" t="s">
        <v>129</v>
      </c>
      <c r="I746" s="18"/>
      <c r="J746" s="18"/>
      <c r="K746" s="18"/>
      <c r="L746" s="18" t="s">
        <v>129</v>
      </c>
      <c r="M746" s="18" t="s">
        <v>129</v>
      </c>
      <c r="N746" s="18"/>
      <c r="O746" s="18" t="s">
        <v>3382</v>
      </c>
      <c r="P746" s="18"/>
      <c r="Q746" s="18" t="s">
        <v>149</v>
      </c>
      <c r="R746" s="18" t="s">
        <v>3383</v>
      </c>
      <c r="S746" s="18" t="s">
        <v>140</v>
      </c>
      <c r="T746" s="18" t="s">
        <v>3384</v>
      </c>
      <c r="U746" s="18" t="s">
        <v>3385</v>
      </c>
      <c r="V746" s="19" t="s">
        <v>29</v>
      </c>
      <c r="W746" s="19"/>
      <c r="X746" s="19"/>
      <c r="Y746" s="20"/>
      <c r="Z746" s="19"/>
      <c r="AA746" s="18" t="str">
        <f aca="false">IF(OR(V746="Aprobada"),R746,IF(AND(OR(V746="Aprobada con ajuste",V746="Rechazada"),W746&lt;&gt;""),W746,""))</f>
        <v/>
      </c>
    </row>
    <row r="747" customFormat="false" ht="22.35" hidden="false" customHeight="false" outlineLevel="0" collapsed="false">
      <c r="A747" s="18" t="s">
        <v>3386</v>
      </c>
      <c r="B747" s="18" t="s">
        <v>60</v>
      </c>
      <c r="C747" s="18" t="s">
        <v>61</v>
      </c>
      <c r="D747" s="18" t="s">
        <v>3387</v>
      </c>
      <c r="E747" s="18" t="n">
        <v>0</v>
      </c>
      <c r="F747" s="18" t="s">
        <v>1773</v>
      </c>
      <c r="G747" s="18" t="s">
        <v>180</v>
      </c>
      <c r="H747" s="18" t="s">
        <v>129</v>
      </c>
      <c r="I747" s="18"/>
      <c r="J747" s="18"/>
      <c r="K747" s="18"/>
      <c r="L747" s="18" t="s">
        <v>129</v>
      </c>
      <c r="M747" s="18" t="s">
        <v>129</v>
      </c>
      <c r="N747" s="18"/>
      <c r="O747" s="18" t="s">
        <v>3388</v>
      </c>
      <c r="P747" s="18"/>
      <c r="Q747" s="18" t="s">
        <v>149</v>
      </c>
      <c r="R747" s="18" t="s">
        <v>3389</v>
      </c>
      <c r="S747" s="18" t="s">
        <v>133</v>
      </c>
      <c r="T747" s="18" t="s">
        <v>3390</v>
      </c>
      <c r="U747" s="18"/>
      <c r="V747" s="19" t="s">
        <v>29</v>
      </c>
      <c r="W747" s="19"/>
      <c r="X747" s="19"/>
      <c r="Y747" s="20"/>
      <c r="Z747" s="19"/>
      <c r="AA747" s="18" t="str">
        <f aca="false">IF(OR(V747="Aprobada"),R747,IF(AND(OR(V747="Aprobada con ajuste",V747="Rechazada"),W747&lt;&gt;""),W747,""))</f>
        <v/>
      </c>
    </row>
    <row r="748" customFormat="false" ht="22.35" hidden="false" customHeight="false" outlineLevel="0" collapsed="false">
      <c r="A748" s="18" t="s">
        <v>3391</v>
      </c>
      <c r="B748" s="18" t="s">
        <v>60</v>
      </c>
      <c r="C748" s="18" t="s">
        <v>61</v>
      </c>
      <c r="D748" s="18" t="s">
        <v>3387</v>
      </c>
      <c r="E748" s="18" t="n">
        <v>0</v>
      </c>
      <c r="F748" s="18" t="s">
        <v>3392</v>
      </c>
      <c r="G748" s="18" t="s">
        <v>486</v>
      </c>
      <c r="H748" s="18" t="s">
        <v>162</v>
      </c>
      <c r="I748" s="18"/>
      <c r="J748" s="18"/>
      <c r="K748" s="18"/>
      <c r="L748" s="18" t="s">
        <v>129</v>
      </c>
      <c r="M748" s="18" t="s">
        <v>129</v>
      </c>
      <c r="N748" s="18"/>
      <c r="O748" s="18"/>
      <c r="P748" s="18"/>
      <c r="Q748" s="18" t="s">
        <v>149</v>
      </c>
      <c r="R748" s="18" t="s">
        <v>3393</v>
      </c>
      <c r="S748" s="18" t="s">
        <v>133</v>
      </c>
      <c r="T748" s="18" t="s">
        <v>3394</v>
      </c>
      <c r="U748" s="18"/>
      <c r="V748" s="19" t="s">
        <v>29</v>
      </c>
      <c r="W748" s="19"/>
      <c r="X748" s="19"/>
      <c r="Y748" s="20"/>
      <c r="Z748" s="19"/>
      <c r="AA748" s="18" t="str">
        <f aca="false">IF(OR(V748="Aprobada"),R748,IF(AND(OR(V748="Aprobada con ajuste",V748="Rechazada"),W748&lt;&gt;""),W748,""))</f>
        <v/>
      </c>
    </row>
    <row r="749" customFormat="false" ht="43.25" hidden="false" customHeight="false" outlineLevel="0" collapsed="false">
      <c r="A749" s="18" t="s">
        <v>3395</v>
      </c>
      <c r="B749" s="18" t="s">
        <v>60</v>
      </c>
      <c r="C749" s="18" t="s">
        <v>61</v>
      </c>
      <c r="D749" s="18" t="s">
        <v>3387</v>
      </c>
      <c r="E749" s="18" t="n">
        <v>0</v>
      </c>
      <c r="F749" s="18" t="s">
        <v>3396</v>
      </c>
      <c r="G749" s="18" t="s">
        <v>180</v>
      </c>
      <c r="H749" s="18" t="s">
        <v>129</v>
      </c>
      <c r="I749" s="18" t="s">
        <v>146</v>
      </c>
      <c r="J749" s="18"/>
      <c r="K749" s="18"/>
      <c r="L749" s="18" t="s">
        <v>129</v>
      </c>
      <c r="M749" s="18" t="s">
        <v>129</v>
      </c>
      <c r="N749" s="18"/>
      <c r="O749" s="18" t="s">
        <v>3397</v>
      </c>
      <c r="P749" s="18"/>
      <c r="Q749" s="18" t="s">
        <v>149</v>
      </c>
      <c r="R749" s="18" t="s">
        <v>3398</v>
      </c>
      <c r="S749" s="18" t="s">
        <v>133</v>
      </c>
      <c r="T749" s="18" t="s">
        <v>3399</v>
      </c>
      <c r="U749" s="18"/>
      <c r="V749" s="19" t="s">
        <v>29</v>
      </c>
      <c r="W749" s="19"/>
      <c r="X749" s="19"/>
      <c r="Y749" s="20"/>
      <c r="Z749" s="19"/>
      <c r="AA749" s="18" t="str">
        <f aca="false">IF(OR(V749="Aprobada"),R749,IF(AND(OR(V749="Aprobada con ajuste",V749="Rechazada"),W749&lt;&gt;""),W749,""))</f>
        <v/>
      </c>
    </row>
    <row r="750" customFormat="false" ht="22.35" hidden="false" customHeight="false" outlineLevel="0" collapsed="false">
      <c r="A750" s="18" t="s">
        <v>3400</v>
      </c>
      <c r="B750" s="18" t="s">
        <v>60</v>
      </c>
      <c r="C750" s="18" t="s">
        <v>61</v>
      </c>
      <c r="D750" s="18" t="s">
        <v>3387</v>
      </c>
      <c r="E750" s="18" t="n">
        <v>0</v>
      </c>
      <c r="F750" s="18" t="s">
        <v>3401</v>
      </c>
      <c r="G750" s="18" t="s">
        <v>180</v>
      </c>
      <c r="H750" s="18" t="s">
        <v>162</v>
      </c>
      <c r="I750" s="18"/>
      <c r="J750" s="18"/>
      <c r="K750" s="18"/>
      <c r="L750" s="18" t="s">
        <v>129</v>
      </c>
      <c r="M750" s="18" t="s">
        <v>129</v>
      </c>
      <c r="N750" s="18"/>
      <c r="O750" s="18"/>
      <c r="P750" s="18"/>
      <c r="Q750" s="18" t="s">
        <v>149</v>
      </c>
      <c r="R750" s="18" t="s">
        <v>3402</v>
      </c>
      <c r="S750" s="18" t="s">
        <v>140</v>
      </c>
      <c r="T750" s="18" t="s">
        <v>3403</v>
      </c>
      <c r="U750" s="18" t="s">
        <v>3404</v>
      </c>
      <c r="V750" s="19" t="s">
        <v>29</v>
      </c>
      <c r="W750" s="19"/>
      <c r="X750" s="19"/>
      <c r="Y750" s="20"/>
      <c r="Z750" s="19"/>
      <c r="AA750" s="18" t="str">
        <f aca="false">IF(OR(V750="Aprobada"),R750,IF(AND(OR(V750="Aprobada con ajuste",V750="Rechazada"),W750&lt;&gt;""),W750,""))</f>
        <v/>
      </c>
    </row>
    <row r="751" customFormat="false" ht="32.8" hidden="false" customHeight="false" outlineLevel="0" collapsed="false">
      <c r="A751" s="18" t="s">
        <v>3405</v>
      </c>
      <c r="B751" s="18" t="s">
        <v>60</v>
      </c>
      <c r="C751" s="18" t="s">
        <v>61</v>
      </c>
      <c r="D751" s="18" t="s">
        <v>3387</v>
      </c>
      <c r="E751" s="18" t="n">
        <v>0</v>
      </c>
      <c r="F751" s="18" t="s">
        <v>3406</v>
      </c>
      <c r="G751" s="18" t="s">
        <v>145</v>
      </c>
      <c r="H751" s="18" t="s">
        <v>129</v>
      </c>
      <c r="I751" s="18"/>
      <c r="J751" s="18"/>
      <c r="K751" s="18"/>
      <c r="L751" s="18" t="s">
        <v>129</v>
      </c>
      <c r="M751" s="18" t="s">
        <v>129</v>
      </c>
      <c r="N751" s="18"/>
      <c r="O751" s="18"/>
      <c r="P751" s="18"/>
      <c r="Q751" s="18" t="s">
        <v>149</v>
      </c>
      <c r="R751" s="18" t="s">
        <v>3407</v>
      </c>
      <c r="S751" s="18" t="s">
        <v>140</v>
      </c>
      <c r="T751" s="18" t="s">
        <v>3408</v>
      </c>
      <c r="U751" s="18" t="s">
        <v>3409</v>
      </c>
      <c r="V751" s="19" t="s">
        <v>29</v>
      </c>
      <c r="W751" s="19"/>
      <c r="X751" s="19"/>
      <c r="Y751" s="20"/>
      <c r="Z751" s="19"/>
      <c r="AA751" s="18" t="str">
        <f aca="false">IF(OR(V751="Aprobada"),R751,IF(AND(OR(V751="Aprobada con ajuste",V751="Rechazada"),W751&lt;&gt;""),W751,""))</f>
        <v/>
      </c>
    </row>
    <row r="752" customFormat="false" ht="22.35" hidden="false" customHeight="false" outlineLevel="0" collapsed="false">
      <c r="A752" s="18" t="s">
        <v>3410</v>
      </c>
      <c r="B752" s="18" t="s">
        <v>60</v>
      </c>
      <c r="C752" s="18" t="s">
        <v>61</v>
      </c>
      <c r="D752" s="18" t="s">
        <v>3387</v>
      </c>
      <c r="E752" s="18" t="n">
        <v>0</v>
      </c>
      <c r="F752" s="18" t="s">
        <v>3411</v>
      </c>
      <c r="G752" s="18" t="s">
        <v>317</v>
      </c>
      <c r="H752" s="18" t="s">
        <v>129</v>
      </c>
      <c r="I752" s="18"/>
      <c r="J752" s="18"/>
      <c r="K752" s="18"/>
      <c r="L752" s="18" t="s">
        <v>129</v>
      </c>
      <c r="M752" s="18" t="s">
        <v>129</v>
      </c>
      <c r="N752" s="18"/>
      <c r="O752" s="18"/>
      <c r="P752" s="18"/>
      <c r="Q752" s="18" t="s">
        <v>149</v>
      </c>
      <c r="R752" s="18" t="s">
        <v>3412</v>
      </c>
      <c r="S752" s="18" t="s">
        <v>133</v>
      </c>
      <c r="T752" s="18" t="s">
        <v>3413</v>
      </c>
      <c r="U752" s="18"/>
      <c r="V752" s="19" t="s">
        <v>29</v>
      </c>
      <c r="W752" s="19"/>
      <c r="X752" s="19"/>
      <c r="Y752" s="20"/>
      <c r="Z752" s="19"/>
      <c r="AA752" s="18" t="str">
        <f aca="false">IF(OR(V752="Aprobada"),R752,IF(AND(OR(V752="Aprobada con ajuste",V752="Rechazada"),W752&lt;&gt;""),W752,""))</f>
        <v/>
      </c>
    </row>
    <row r="753" customFormat="false" ht="32.8" hidden="false" customHeight="false" outlineLevel="0" collapsed="false">
      <c r="A753" s="18" t="s">
        <v>3414</v>
      </c>
      <c r="B753" s="18" t="s">
        <v>60</v>
      </c>
      <c r="C753" s="18" t="s">
        <v>61</v>
      </c>
      <c r="D753" s="18" t="s">
        <v>3387</v>
      </c>
      <c r="E753" s="18" t="n">
        <v>0</v>
      </c>
      <c r="F753" s="18" t="s">
        <v>1793</v>
      </c>
      <c r="G753" s="18" t="s">
        <v>503</v>
      </c>
      <c r="H753" s="18" t="s">
        <v>162</v>
      </c>
      <c r="I753" s="18"/>
      <c r="J753" s="18"/>
      <c r="K753" s="18"/>
      <c r="L753" s="18" t="s">
        <v>129</v>
      </c>
      <c r="M753" s="18" t="s">
        <v>129</v>
      </c>
      <c r="N753" s="18"/>
      <c r="O753" s="18"/>
      <c r="P753" s="18"/>
      <c r="Q753" s="18" t="s">
        <v>149</v>
      </c>
      <c r="R753" s="18" t="s">
        <v>3415</v>
      </c>
      <c r="S753" s="18" t="s">
        <v>140</v>
      </c>
      <c r="T753" s="18" t="s">
        <v>3416</v>
      </c>
      <c r="U753" s="18" t="s">
        <v>3417</v>
      </c>
      <c r="V753" s="19" t="s">
        <v>29</v>
      </c>
      <c r="W753" s="19"/>
      <c r="X753" s="19"/>
      <c r="Y753" s="20"/>
      <c r="Z753" s="19"/>
      <c r="AA753" s="18" t="str">
        <f aca="false">IF(OR(V753="Aprobada"),R753,IF(AND(OR(V753="Aprobada con ajuste",V753="Rechazada"),W753&lt;&gt;""),W753,""))</f>
        <v/>
      </c>
    </row>
    <row r="754" customFormat="false" ht="22.35" hidden="false" customHeight="false" outlineLevel="0" collapsed="false">
      <c r="A754" s="18" t="s">
        <v>3418</v>
      </c>
      <c r="B754" s="18" t="s">
        <v>60</v>
      </c>
      <c r="C754" s="18" t="s">
        <v>61</v>
      </c>
      <c r="D754" s="18" t="s">
        <v>3387</v>
      </c>
      <c r="E754" s="18" t="n">
        <v>0</v>
      </c>
      <c r="F754" s="18" t="s">
        <v>3419</v>
      </c>
      <c r="G754" s="18" t="s">
        <v>317</v>
      </c>
      <c r="H754" s="18" t="s">
        <v>162</v>
      </c>
      <c r="I754" s="18"/>
      <c r="J754" s="18"/>
      <c r="K754" s="18"/>
      <c r="L754" s="18" t="s">
        <v>129</v>
      </c>
      <c r="M754" s="18" t="s">
        <v>129</v>
      </c>
      <c r="N754" s="18"/>
      <c r="O754" s="18"/>
      <c r="P754" s="18"/>
      <c r="Q754" s="18" t="s">
        <v>149</v>
      </c>
      <c r="R754" s="18" t="s">
        <v>3420</v>
      </c>
      <c r="S754" s="18" t="s">
        <v>140</v>
      </c>
      <c r="T754" s="18" t="s">
        <v>3421</v>
      </c>
      <c r="U754" s="18" t="s">
        <v>3422</v>
      </c>
      <c r="V754" s="19" t="s">
        <v>29</v>
      </c>
      <c r="W754" s="19"/>
      <c r="X754" s="19"/>
      <c r="Y754" s="20"/>
      <c r="Z754" s="19"/>
      <c r="AA754" s="18" t="str">
        <f aca="false">IF(OR(V754="Aprobada"),R754,IF(AND(OR(V754="Aprobada con ajuste",V754="Rechazada"),W754&lt;&gt;""),W754,""))</f>
        <v/>
      </c>
    </row>
    <row r="755" customFormat="false" ht="22.35" hidden="false" customHeight="false" outlineLevel="0" collapsed="false">
      <c r="A755" s="18" t="s">
        <v>3423</v>
      </c>
      <c r="B755" s="18" t="s">
        <v>60</v>
      </c>
      <c r="C755" s="18" t="s">
        <v>61</v>
      </c>
      <c r="D755" s="18" t="s">
        <v>3387</v>
      </c>
      <c r="E755" s="18" t="n">
        <v>0</v>
      </c>
      <c r="F755" s="18" t="s">
        <v>3424</v>
      </c>
      <c r="G755" s="18" t="s">
        <v>317</v>
      </c>
      <c r="H755" s="18" t="s">
        <v>162</v>
      </c>
      <c r="I755" s="18"/>
      <c r="J755" s="18"/>
      <c r="K755" s="18"/>
      <c r="L755" s="18" t="s">
        <v>129</v>
      </c>
      <c r="M755" s="18" t="s">
        <v>129</v>
      </c>
      <c r="N755" s="18"/>
      <c r="O755" s="18"/>
      <c r="P755" s="18"/>
      <c r="Q755" s="18" t="s">
        <v>138</v>
      </c>
      <c r="R755" s="18" t="s">
        <v>3425</v>
      </c>
      <c r="S755" s="18" t="s">
        <v>140</v>
      </c>
      <c r="T755" s="18" t="s">
        <v>141</v>
      </c>
      <c r="U755" s="18"/>
      <c r="V755" s="19" t="s">
        <v>29</v>
      </c>
      <c r="W755" s="19"/>
      <c r="X755" s="19"/>
      <c r="Y755" s="20"/>
      <c r="Z755" s="19"/>
      <c r="AA755" s="18" t="str">
        <f aca="false">IF(OR(V755="Aprobada"),R755,IF(AND(OR(V755="Aprobada con ajuste",V755="Rechazada"),W755&lt;&gt;""),W755,""))</f>
        <v/>
      </c>
    </row>
    <row r="756" customFormat="false" ht="22.35" hidden="false" customHeight="false" outlineLevel="0" collapsed="false">
      <c r="A756" s="18" t="s">
        <v>3426</v>
      </c>
      <c r="B756" s="18" t="s">
        <v>60</v>
      </c>
      <c r="C756" s="18" t="s">
        <v>61</v>
      </c>
      <c r="D756" s="18" t="s">
        <v>3387</v>
      </c>
      <c r="E756" s="18" t="n">
        <v>0</v>
      </c>
      <c r="F756" s="18" t="s">
        <v>3427</v>
      </c>
      <c r="G756" s="18" t="s">
        <v>317</v>
      </c>
      <c r="H756" s="18" t="s">
        <v>162</v>
      </c>
      <c r="I756" s="18"/>
      <c r="J756" s="18"/>
      <c r="K756" s="18"/>
      <c r="L756" s="18" t="s">
        <v>129</v>
      </c>
      <c r="M756" s="18" t="s">
        <v>129</v>
      </c>
      <c r="N756" s="18"/>
      <c r="O756" s="18"/>
      <c r="P756" s="18"/>
      <c r="Q756" s="18" t="s">
        <v>138</v>
      </c>
      <c r="R756" s="18" t="s">
        <v>3428</v>
      </c>
      <c r="S756" s="18" t="s">
        <v>140</v>
      </c>
      <c r="T756" s="18" t="s">
        <v>141</v>
      </c>
      <c r="U756" s="18"/>
      <c r="V756" s="19" t="s">
        <v>29</v>
      </c>
      <c r="W756" s="19"/>
      <c r="X756" s="19"/>
      <c r="Y756" s="20"/>
      <c r="Z756" s="19"/>
      <c r="AA756" s="18" t="str">
        <f aca="false">IF(OR(V756="Aprobada"),R756,IF(AND(OR(V756="Aprobada con ajuste",V756="Rechazada"),W756&lt;&gt;""),W756,""))</f>
        <v/>
      </c>
    </row>
    <row r="757" customFormat="false" ht="32.8" hidden="false" customHeight="false" outlineLevel="0" collapsed="false">
      <c r="A757" s="18" t="s">
        <v>3429</v>
      </c>
      <c r="B757" s="18" t="s">
        <v>60</v>
      </c>
      <c r="C757" s="18" t="s">
        <v>61</v>
      </c>
      <c r="D757" s="18" t="s">
        <v>3387</v>
      </c>
      <c r="E757" s="18" t="n">
        <v>0</v>
      </c>
      <c r="F757" s="18" t="s">
        <v>3430</v>
      </c>
      <c r="G757" s="18" t="s">
        <v>317</v>
      </c>
      <c r="H757" s="18" t="s">
        <v>162</v>
      </c>
      <c r="I757" s="18"/>
      <c r="J757" s="18"/>
      <c r="K757" s="18"/>
      <c r="L757" s="18" t="s">
        <v>129</v>
      </c>
      <c r="M757" s="18" t="s">
        <v>129</v>
      </c>
      <c r="N757" s="18"/>
      <c r="O757" s="18"/>
      <c r="P757" s="18"/>
      <c r="Q757" s="18" t="s">
        <v>149</v>
      </c>
      <c r="R757" s="18" t="s">
        <v>3431</v>
      </c>
      <c r="S757" s="18" t="s">
        <v>140</v>
      </c>
      <c r="T757" s="18" t="s">
        <v>3432</v>
      </c>
      <c r="U757" s="18" t="s">
        <v>3433</v>
      </c>
      <c r="V757" s="19" t="s">
        <v>29</v>
      </c>
      <c r="W757" s="19"/>
      <c r="X757" s="19"/>
      <c r="Y757" s="20"/>
      <c r="Z757" s="19"/>
      <c r="AA757" s="18" t="str">
        <f aca="false">IF(OR(V757="Aprobada"),R757,IF(AND(OR(V757="Aprobada con ajuste",V757="Rechazada"),W757&lt;&gt;""),W757,""))</f>
        <v/>
      </c>
    </row>
    <row r="758" customFormat="false" ht="32.8" hidden="false" customHeight="false" outlineLevel="0" collapsed="false">
      <c r="A758" s="18" t="s">
        <v>3434</v>
      </c>
      <c r="B758" s="18" t="s">
        <v>60</v>
      </c>
      <c r="C758" s="18" t="s">
        <v>61</v>
      </c>
      <c r="D758" s="18" t="s">
        <v>3387</v>
      </c>
      <c r="E758" s="18" t="n">
        <v>0</v>
      </c>
      <c r="F758" s="18" t="s">
        <v>3031</v>
      </c>
      <c r="G758" s="18" t="s">
        <v>128</v>
      </c>
      <c r="H758" s="18" t="s">
        <v>162</v>
      </c>
      <c r="I758" s="18"/>
      <c r="J758" s="18"/>
      <c r="K758" s="18"/>
      <c r="L758" s="18" t="s">
        <v>129</v>
      </c>
      <c r="M758" s="18" t="s">
        <v>129</v>
      </c>
      <c r="N758" s="18"/>
      <c r="O758" s="18"/>
      <c r="P758" s="18"/>
      <c r="Q758" s="18" t="s">
        <v>149</v>
      </c>
      <c r="R758" s="18" t="s">
        <v>3435</v>
      </c>
      <c r="S758" s="18" t="s">
        <v>140</v>
      </c>
      <c r="T758" s="18" t="s">
        <v>3436</v>
      </c>
      <c r="U758" s="18" t="s">
        <v>3437</v>
      </c>
      <c r="V758" s="19" t="s">
        <v>29</v>
      </c>
      <c r="W758" s="19"/>
      <c r="X758" s="19"/>
      <c r="Y758" s="20"/>
      <c r="Z758" s="19"/>
      <c r="AA758" s="18" t="str">
        <f aca="false">IF(OR(V758="Aprobada"),R758,IF(AND(OR(V758="Aprobada con ajuste",V758="Rechazada"),W758&lt;&gt;""),W758,""))</f>
        <v/>
      </c>
    </row>
    <row r="759" customFormat="false" ht="32.8" hidden="false" customHeight="false" outlineLevel="0" collapsed="false">
      <c r="A759" s="18" t="s">
        <v>3438</v>
      </c>
      <c r="B759" s="18" t="s">
        <v>60</v>
      </c>
      <c r="C759" s="18" t="s">
        <v>61</v>
      </c>
      <c r="D759" s="18" t="s">
        <v>3387</v>
      </c>
      <c r="E759" s="18" t="n">
        <v>0</v>
      </c>
      <c r="F759" s="18" t="s">
        <v>3439</v>
      </c>
      <c r="G759" s="18" t="s">
        <v>180</v>
      </c>
      <c r="H759" s="18" t="s">
        <v>162</v>
      </c>
      <c r="I759" s="18"/>
      <c r="J759" s="18"/>
      <c r="K759" s="18"/>
      <c r="L759" s="18" t="s">
        <v>129</v>
      </c>
      <c r="M759" s="18" t="s">
        <v>129</v>
      </c>
      <c r="N759" s="18"/>
      <c r="O759" s="18"/>
      <c r="P759" s="18"/>
      <c r="Q759" s="18" t="s">
        <v>149</v>
      </c>
      <c r="R759" s="18" t="s">
        <v>3440</v>
      </c>
      <c r="S759" s="18" t="s">
        <v>140</v>
      </c>
      <c r="T759" s="18" t="s">
        <v>3441</v>
      </c>
      <c r="U759" s="18" t="s">
        <v>3442</v>
      </c>
      <c r="V759" s="19" t="s">
        <v>29</v>
      </c>
      <c r="W759" s="19"/>
      <c r="X759" s="19"/>
      <c r="Y759" s="20"/>
      <c r="Z759" s="19"/>
      <c r="AA759" s="18" t="str">
        <f aca="false">IF(OR(V759="Aprobada"),R759,IF(AND(OR(V759="Aprobada con ajuste",V759="Rechazada"),W759&lt;&gt;""),W759,""))</f>
        <v/>
      </c>
    </row>
    <row r="760" customFormat="false" ht="53.7" hidden="false" customHeight="false" outlineLevel="0" collapsed="false">
      <c r="A760" s="18" t="s">
        <v>3443</v>
      </c>
      <c r="B760" s="18" t="s">
        <v>60</v>
      </c>
      <c r="C760" s="18" t="s">
        <v>61</v>
      </c>
      <c r="D760" s="18" t="s">
        <v>3444</v>
      </c>
      <c r="E760" s="18" t="n">
        <v>0</v>
      </c>
      <c r="F760" s="18" t="s">
        <v>3445</v>
      </c>
      <c r="G760" s="18" t="s">
        <v>128</v>
      </c>
      <c r="H760" s="18" t="s">
        <v>129</v>
      </c>
      <c r="I760" s="18"/>
      <c r="J760" s="18"/>
      <c r="K760" s="18"/>
      <c r="L760" s="18" t="s">
        <v>129</v>
      </c>
      <c r="M760" s="18" t="s">
        <v>129</v>
      </c>
      <c r="N760" s="18"/>
      <c r="O760" s="18"/>
      <c r="P760" s="18" t="s">
        <v>3446</v>
      </c>
      <c r="Q760" s="18" t="s">
        <v>131</v>
      </c>
      <c r="R760" s="18" t="s">
        <v>3447</v>
      </c>
      <c r="S760" s="18" t="s">
        <v>133</v>
      </c>
      <c r="T760" s="18" t="s">
        <v>3448</v>
      </c>
      <c r="U760" s="18"/>
      <c r="V760" s="19" t="s">
        <v>29</v>
      </c>
      <c r="W760" s="19"/>
      <c r="X760" s="19"/>
      <c r="Y760" s="20"/>
      <c r="Z760" s="19"/>
      <c r="AA760" s="18" t="str">
        <f aca="false">IF(OR(V760="Aprobada"),R760,IF(AND(OR(V760="Aprobada con ajuste",V760="Rechazada"),W760&lt;&gt;""),W760,""))</f>
        <v/>
      </c>
    </row>
    <row r="761" customFormat="false" ht="32.8" hidden="false" customHeight="false" outlineLevel="0" collapsed="false">
      <c r="A761" s="18" t="s">
        <v>3449</v>
      </c>
      <c r="B761" s="18" t="s">
        <v>60</v>
      </c>
      <c r="C761" s="18" t="s">
        <v>61</v>
      </c>
      <c r="D761" s="18" t="s">
        <v>3444</v>
      </c>
      <c r="E761" s="18" t="n">
        <v>0</v>
      </c>
      <c r="F761" s="18" t="s">
        <v>2876</v>
      </c>
      <c r="G761" s="18" t="s">
        <v>128</v>
      </c>
      <c r="H761" s="18" t="s">
        <v>129</v>
      </c>
      <c r="I761" s="18"/>
      <c r="J761" s="18"/>
      <c r="K761" s="18"/>
      <c r="L761" s="18" t="s">
        <v>129</v>
      </c>
      <c r="M761" s="18" t="s">
        <v>129</v>
      </c>
      <c r="N761" s="18"/>
      <c r="O761" s="18"/>
      <c r="P761" s="18" t="s">
        <v>3450</v>
      </c>
      <c r="Q761" s="18" t="s">
        <v>149</v>
      </c>
      <c r="R761" s="18" t="s">
        <v>3451</v>
      </c>
      <c r="S761" s="18" t="s">
        <v>140</v>
      </c>
      <c r="T761" s="18" t="s">
        <v>3452</v>
      </c>
      <c r="U761" s="18" t="s">
        <v>3453</v>
      </c>
      <c r="V761" s="19" t="s">
        <v>29</v>
      </c>
      <c r="W761" s="19"/>
      <c r="X761" s="19"/>
      <c r="Y761" s="20"/>
      <c r="Z761" s="19"/>
      <c r="AA761" s="18" t="str">
        <f aca="false">IF(OR(V761="Aprobada"),R761,IF(AND(OR(V761="Aprobada con ajuste",V761="Rechazada"),W761&lt;&gt;""),W761,""))</f>
        <v/>
      </c>
    </row>
    <row r="762" customFormat="false" ht="32.8" hidden="false" customHeight="false" outlineLevel="0" collapsed="false">
      <c r="A762" s="18" t="s">
        <v>3454</v>
      </c>
      <c r="B762" s="18" t="s">
        <v>60</v>
      </c>
      <c r="C762" s="18" t="s">
        <v>61</v>
      </c>
      <c r="D762" s="18" t="s">
        <v>3444</v>
      </c>
      <c r="E762" s="18" t="n">
        <v>0</v>
      </c>
      <c r="F762" s="18" t="s">
        <v>2989</v>
      </c>
      <c r="G762" s="18" t="s">
        <v>651</v>
      </c>
      <c r="H762" s="18" t="s">
        <v>162</v>
      </c>
      <c r="I762" s="18"/>
      <c r="J762" s="18"/>
      <c r="K762" s="18"/>
      <c r="L762" s="18" t="s">
        <v>129</v>
      </c>
      <c r="M762" s="18" t="s">
        <v>129</v>
      </c>
      <c r="N762" s="18"/>
      <c r="O762" s="18"/>
      <c r="P762" s="18" t="s">
        <v>3455</v>
      </c>
      <c r="Q762" s="18" t="s">
        <v>149</v>
      </c>
      <c r="R762" s="18" t="s">
        <v>3456</v>
      </c>
      <c r="S762" s="18" t="s">
        <v>133</v>
      </c>
      <c r="T762" s="18" t="s">
        <v>3457</v>
      </c>
      <c r="U762" s="18"/>
      <c r="V762" s="19" t="s">
        <v>29</v>
      </c>
      <c r="W762" s="19"/>
      <c r="X762" s="19"/>
      <c r="Y762" s="20"/>
      <c r="Z762" s="19"/>
      <c r="AA762" s="18" t="str">
        <f aca="false">IF(OR(V762="Aprobada"),R762,IF(AND(OR(V762="Aprobada con ajuste",V762="Rechazada"),W762&lt;&gt;""),W762,""))</f>
        <v/>
      </c>
    </row>
    <row r="763" customFormat="false" ht="32.8" hidden="false" customHeight="false" outlineLevel="0" collapsed="false">
      <c r="A763" s="18" t="s">
        <v>3458</v>
      </c>
      <c r="B763" s="18" t="s">
        <v>60</v>
      </c>
      <c r="C763" s="18" t="s">
        <v>61</v>
      </c>
      <c r="D763" s="18" t="s">
        <v>3444</v>
      </c>
      <c r="E763" s="18" t="n">
        <v>0</v>
      </c>
      <c r="F763" s="18" t="s">
        <v>3031</v>
      </c>
      <c r="G763" s="18" t="s">
        <v>128</v>
      </c>
      <c r="H763" s="18" t="s">
        <v>162</v>
      </c>
      <c r="I763" s="18"/>
      <c r="J763" s="18"/>
      <c r="K763" s="18"/>
      <c r="L763" s="18" t="s">
        <v>129</v>
      </c>
      <c r="M763" s="18" t="s">
        <v>129</v>
      </c>
      <c r="N763" s="18"/>
      <c r="O763" s="18" t="s">
        <v>3459</v>
      </c>
      <c r="P763" s="18" t="s">
        <v>3460</v>
      </c>
      <c r="Q763" s="18" t="s">
        <v>149</v>
      </c>
      <c r="R763" s="18" t="s">
        <v>3461</v>
      </c>
      <c r="S763" s="18" t="s">
        <v>140</v>
      </c>
      <c r="T763" s="18" t="s">
        <v>3462</v>
      </c>
      <c r="U763" s="18" t="s">
        <v>3463</v>
      </c>
      <c r="V763" s="19" t="s">
        <v>29</v>
      </c>
      <c r="W763" s="19"/>
      <c r="X763" s="19"/>
      <c r="Y763" s="20"/>
      <c r="Z763" s="19"/>
      <c r="AA763" s="18" t="str">
        <f aca="false">IF(OR(V763="Aprobada"),R763,IF(AND(OR(V763="Aprobada con ajuste",V763="Rechazada"),W763&lt;&gt;""),W763,""))</f>
        <v/>
      </c>
    </row>
    <row r="764" customFormat="false" ht="32.8" hidden="false" customHeight="false" outlineLevel="0" collapsed="false">
      <c r="A764" s="18" t="s">
        <v>3464</v>
      </c>
      <c r="B764" s="18" t="s">
        <v>60</v>
      </c>
      <c r="C764" s="18" t="s">
        <v>61</v>
      </c>
      <c r="D764" s="18" t="s">
        <v>3444</v>
      </c>
      <c r="E764" s="18" t="n">
        <v>0</v>
      </c>
      <c r="F764" s="18" t="s">
        <v>1989</v>
      </c>
      <c r="G764" s="18" t="s">
        <v>128</v>
      </c>
      <c r="H764" s="18" t="s">
        <v>162</v>
      </c>
      <c r="I764" s="18"/>
      <c r="J764" s="18"/>
      <c r="K764" s="18"/>
      <c r="L764" s="18" t="s">
        <v>129</v>
      </c>
      <c r="M764" s="18" t="s">
        <v>129</v>
      </c>
      <c r="N764" s="18"/>
      <c r="O764" s="18"/>
      <c r="P764" s="18" t="s">
        <v>3465</v>
      </c>
      <c r="Q764" s="18" t="s">
        <v>149</v>
      </c>
      <c r="R764" s="18" t="s">
        <v>3466</v>
      </c>
      <c r="S764" s="18" t="s">
        <v>140</v>
      </c>
      <c r="T764" s="18" t="s">
        <v>3436</v>
      </c>
      <c r="U764" s="18" t="s">
        <v>3467</v>
      </c>
      <c r="V764" s="19" t="s">
        <v>29</v>
      </c>
      <c r="W764" s="19"/>
      <c r="X764" s="19"/>
      <c r="Y764" s="20"/>
      <c r="Z764" s="19"/>
      <c r="AA764" s="18" t="str">
        <f aca="false">IF(OR(V764="Aprobada"),R764,IF(AND(OR(V764="Aprobada con ajuste",V764="Rechazada"),W764&lt;&gt;""),W764,""))</f>
        <v/>
      </c>
    </row>
    <row r="765" customFormat="false" ht="32.8" hidden="false" customHeight="false" outlineLevel="0" collapsed="false">
      <c r="A765" s="18" t="s">
        <v>3468</v>
      </c>
      <c r="B765" s="18" t="s">
        <v>60</v>
      </c>
      <c r="C765" s="18" t="s">
        <v>61</v>
      </c>
      <c r="D765" s="18" t="s">
        <v>3444</v>
      </c>
      <c r="E765" s="18" t="n">
        <v>0</v>
      </c>
      <c r="F765" s="18" t="s">
        <v>3469</v>
      </c>
      <c r="G765" s="18" t="s">
        <v>192</v>
      </c>
      <c r="H765" s="18" t="s">
        <v>162</v>
      </c>
      <c r="I765" s="18"/>
      <c r="J765" s="18"/>
      <c r="K765" s="18"/>
      <c r="L765" s="18" t="s">
        <v>129</v>
      </c>
      <c r="M765" s="18" t="s">
        <v>129</v>
      </c>
      <c r="N765" s="18"/>
      <c r="O765" s="18"/>
      <c r="P765" s="18" t="s">
        <v>3470</v>
      </c>
      <c r="Q765" s="18" t="s">
        <v>149</v>
      </c>
      <c r="R765" s="18" t="s">
        <v>3471</v>
      </c>
      <c r="S765" s="18" t="s">
        <v>133</v>
      </c>
      <c r="T765" s="18" t="s">
        <v>3472</v>
      </c>
      <c r="U765" s="18"/>
      <c r="V765" s="19" t="s">
        <v>29</v>
      </c>
      <c r="W765" s="19"/>
      <c r="X765" s="19"/>
      <c r="Y765" s="20"/>
      <c r="Z765" s="19"/>
      <c r="AA765" s="18" t="str">
        <f aca="false">IF(OR(V765="Aprobada"),R765,IF(AND(OR(V765="Aprobada con ajuste",V765="Rechazada"),W765&lt;&gt;""),W765,""))</f>
        <v/>
      </c>
    </row>
    <row r="766" customFormat="false" ht="32.8" hidden="false" customHeight="false" outlineLevel="0" collapsed="false">
      <c r="A766" s="18" t="s">
        <v>3473</v>
      </c>
      <c r="B766" s="18" t="s">
        <v>60</v>
      </c>
      <c r="C766" s="18" t="s">
        <v>61</v>
      </c>
      <c r="D766" s="18" t="s">
        <v>3444</v>
      </c>
      <c r="E766" s="18" t="n">
        <v>0</v>
      </c>
      <c r="F766" s="18" t="s">
        <v>3474</v>
      </c>
      <c r="G766" s="18" t="s">
        <v>503</v>
      </c>
      <c r="H766" s="18" t="s">
        <v>162</v>
      </c>
      <c r="I766" s="18"/>
      <c r="J766" s="18"/>
      <c r="K766" s="18"/>
      <c r="L766" s="18" t="s">
        <v>129</v>
      </c>
      <c r="M766" s="18" t="s">
        <v>129</v>
      </c>
      <c r="N766" s="18"/>
      <c r="O766" s="18"/>
      <c r="P766" s="18" t="s">
        <v>3475</v>
      </c>
      <c r="Q766" s="18" t="s">
        <v>149</v>
      </c>
      <c r="R766" s="18" t="s">
        <v>3476</v>
      </c>
      <c r="S766" s="18" t="s">
        <v>133</v>
      </c>
      <c r="T766" s="18" t="s">
        <v>3477</v>
      </c>
      <c r="U766" s="18"/>
      <c r="V766" s="19" t="s">
        <v>29</v>
      </c>
      <c r="W766" s="19"/>
      <c r="X766" s="19"/>
      <c r="Y766" s="20"/>
      <c r="Z766" s="19"/>
      <c r="AA766" s="18" t="str">
        <f aca="false">IF(OR(V766="Aprobada"),R766,IF(AND(OR(V766="Aprobada con ajuste",V766="Rechazada"),W766&lt;&gt;""),W766,""))</f>
        <v/>
      </c>
    </row>
    <row r="767" customFormat="false" ht="32.8" hidden="false" customHeight="false" outlineLevel="0" collapsed="false">
      <c r="A767" s="18" t="s">
        <v>3478</v>
      </c>
      <c r="B767" s="18" t="s">
        <v>60</v>
      </c>
      <c r="C767" s="18" t="s">
        <v>61</v>
      </c>
      <c r="D767" s="18" t="s">
        <v>3444</v>
      </c>
      <c r="E767" s="18" t="n">
        <v>0</v>
      </c>
      <c r="F767" s="18" t="s">
        <v>3012</v>
      </c>
      <c r="G767" s="18" t="s">
        <v>128</v>
      </c>
      <c r="H767" s="18" t="s">
        <v>162</v>
      </c>
      <c r="I767" s="18"/>
      <c r="J767" s="18"/>
      <c r="K767" s="18"/>
      <c r="L767" s="18" t="s">
        <v>129</v>
      </c>
      <c r="M767" s="18" t="s">
        <v>129</v>
      </c>
      <c r="N767" s="18"/>
      <c r="O767" s="18"/>
      <c r="P767" s="18" t="s">
        <v>3479</v>
      </c>
      <c r="Q767" s="18" t="s">
        <v>138</v>
      </c>
      <c r="R767" s="18" t="s">
        <v>3013</v>
      </c>
      <c r="S767" s="18" t="s">
        <v>140</v>
      </c>
      <c r="T767" s="18" t="s">
        <v>141</v>
      </c>
      <c r="U767" s="18"/>
      <c r="V767" s="19" t="s">
        <v>29</v>
      </c>
      <c r="W767" s="19"/>
      <c r="X767" s="19"/>
      <c r="Y767" s="20"/>
      <c r="Z767" s="19"/>
      <c r="AA767" s="18" t="str">
        <f aca="false">IF(OR(V767="Aprobada"),R767,IF(AND(OR(V767="Aprobada con ajuste",V767="Rechazada"),W767&lt;&gt;""),W767,""))</f>
        <v/>
      </c>
    </row>
    <row r="768" customFormat="false" ht="43.25" hidden="false" customHeight="false" outlineLevel="0" collapsed="false">
      <c r="A768" s="18" t="s">
        <v>3480</v>
      </c>
      <c r="B768" s="18" t="s">
        <v>60</v>
      </c>
      <c r="C768" s="18" t="s">
        <v>61</v>
      </c>
      <c r="D768" s="18" t="s">
        <v>3481</v>
      </c>
      <c r="E768" s="18" t="n">
        <v>12</v>
      </c>
      <c r="F768" s="18" t="s">
        <v>3031</v>
      </c>
      <c r="G768" s="18" t="s">
        <v>312</v>
      </c>
      <c r="H768" s="18" t="s">
        <v>162</v>
      </c>
      <c r="I768" s="18"/>
      <c r="J768" s="18"/>
      <c r="K768" s="18"/>
      <c r="L768" s="18" t="s">
        <v>129</v>
      </c>
      <c r="M768" s="18" t="s">
        <v>129</v>
      </c>
      <c r="N768" s="18"/>
      <c r="O768" s="18" t="s">
        <v>3482</v>
      </c>
      <c r="P768" s="18" t="s">
        <v>3483</v>
      </c>
      <c r="Q768" s="18" t="s">
        <v>149</v>
      </c>
      <c r="R768" s="18" t="s">
        <v>3484</v>
      </c>
      <c r="S768" s="18" t="s">
        <v>133</v>
      </c>
      <c r="T768" s="18" t="s">
        <v>3485</v>
      </c>
      <c r="U768" s="18"/>
      <c r="V768" s="19" t="s">
        <v>29</v>
      </c>
      <c r="W768" s="19"/>
      <c r="X768" s="19"/>
      <c r="Y768" s="20"/>
      <c r="Z768" s="19"/>
      <c r="AA768" s="18" t="str">
        <f aca="false">IF(OR(V768="Aprobada"),R768,IF(AND(OR(V768="Aprobada con ajuste",V768="Rechazada"),W768&lt;&gt;""),W768,""))</f>
        <v/>
      </c>
    </row>
    <row r="769" customFormat="false" ht="32.8" hidden="false" customHeight="false" outlineLevel="0" collapsed="false">
      <c r="A769" s="18" t="s">
        <v>3486</v>
      </c>
      <c r="B769" s="18" t="s">
        <v>60</v>
      </c>
      <c r="C769" s="18" t="s">
        <v>61</v>
      </c>
      <c r="D769" s="18" t="s">
        <v>3481</v>
      </c>
      <c r="E769" s="18" t="n">
        <v>12</v>
      </c>
      <c r="F769" s="18" t="s">
        <v>3068</v>
      </c>
      <c r="G769" s="18" t="s">
        <v>128</v>
      </c>
      <c r="H769" s="18" t="s">
        <v>162</v>
      </c>
      <c r="I769" s="18"/>
      <c r="J769" s="18"/>
      <c r="K769" s="18"/>
      <c r="L769" s="18" t="s">
        <v>129</v>
      </c>
      <c r="M769" s="18" t="s">
        <v>129</v>
      </c>
      <c r="N769" s="18"/>
      <c r="O769" s="18" t="s">
        <v>3487</v>
      </c>
      <c r="P769" s="18" t="s">
        <v>3488</v>
      </c>
      <c r="Q769" s="18" t="s">
        <v>131</v>
      </c>
      <c r="R769" s="18" t="s">
        <v>3489</v>
      </c>
      <c r="S769" s="18" t="s">
        <v>133</v>
      </c>
      <c r="T769" s="18" t="s">
        <v>3490</v>
      </c>
      <c r="U769" s="18"/>
      <c r="V769" s="19" t="s">
        <v>29</v>
      </c>
      <c r="W769" s="19"/>
      <c r="X769" s="19"/>
      <c r="Y769" s="20"/>
      <c r="Z769" s="19"/>
      <c r="AA769" s="18" t="str">
        <f aca="false">IF(OR(V769="Aprobada"),R769,IF(AND(OR(V769="Aprobada con ajuste",V769="Rechazada"),W769&lt;&gt;""),W769,""))</f>
        <v/>
      </c>
    </row>
    <row r="770" customFormat="false" ht="74.6" hidden="false" customHeight="false" outlineLevel="0" collapsed="false">
      <c r="A770" s="18" t="s">
        <v>3491</v>
      </c>
      <c r="B770" s="18" t="s">
        <v>60</v>
      </c>
      <c r="C770" s="18" t="s">
        <v>61</v>
      </c>
      <c r="D770" s="18" t="s">
        <v>3481</v>
      </c>
      <c r="E770" s="18" t="n">
        <v>12</v>
      </c>
      <c r="F770" s="18" t="s">
        <v>3226</v>
      </c>
      <c r="G770" s="18" t="s">
        <v>128</v>
      </c>
      <c r="H770" s="18" t="s">
        <v>162</v>
      </c>
      <c r="I770" s="18"/>
      <c r="J770" s="18"/>
      <c r="K770" s="18"/>
      <c r="L770" s="18" t="s">
        <v>129</v>
      </c>
      <c r="M770" s="18" t="s">
        <v>129</v>
      </c>
      <c r="N770" s="18"/>
      <c r="O770" s="18"/>
      <c r="P770" s="18" t="s">
        <v>3492</v>
      </c>
      <c r="Q770" s="18" t="s">
        <v>131</v>
      </c>
      <c r="R770" s="18" t="s">
        <v>3493</v>
      </c>
      <c r="S770" s="18" t="s">
        <v>133</v>
      </c>
      <c r="T770" s="18" t="s">
        <v>3494</v>
      </c>
      <c r="U770" s="18"/>
      <c r="V770" s="19" t="s">
        <v>29</v>
      </c>
      <c r="W770" s="19"/>
      <c r="X770" s="19"/>
      <c r="Y770" s="20"/>
      <c r="Z770" s="19"/>
      <c r="AA770" s="18" t="str">
        <f aca="false">IF(OR(V770="Aprobada"),R770,IF(AND(OR(V770="Aprobada con ajuste",V770="Rechazada"),W770&lt;&gt;""),W770,""))</f>
        <v/>
      </c>
    </row>
    <row r="771" customFormat="false" ht="43.25" hidden="false" customHeight="false" outlineLevel="0" collapsed="false">
      <c r="A771" s="18" t="s">
        <v>3495</v>
      </c>
      <c r="B771" s="18" t="s">
        <v>60</v>
      </c>
      <c r="C771" s="18" t="s">
        <v>61</v>
      </c>
      <c r="D771" s="18" t="s">
        <v>3481</v>
      </c>
      <c r="E771" s="18" t="n">
        <v>12</v>
      </c>
      <c r="F771" s="18" t="s">
        <v>3496</v>
      </c>
      <c r="G771" s="18" t="s">
        <v>128</v>
      </c>
      <c r="H771" s="18" t="s">
        <v>162</v>
      </c>
      <c r="I771" s="18"/>
      <c r="J771" s="18"/>
      <c r="K771" s="18"/>
      <c r="L771" s="18" t="s">
        <v>129</v>
      </c>
      <c r="M771" s="18" t="s">
        <v>129</v>
      </c>
      <c r="N771" s="18"/>
      <c r="O771" s="18"/>
      <c r="P771" s="18" t="s">
        <v>3497</v>
      </c>
      <c r="Q771" s="18" t="s">
        <v>131</v>
      </c>
      <c r="R771" s="18" t="s">
        <v>3498</v>
      </c>
      <c r="S771" s="18" t="s">
        <v>133</v>
      </c>
      <c r="T771" s="18" t="s">
        <v>3499</v>
      </c>
      <c r="U771" s="18"/>
      <c r="V771" s="19" t="s">
        <v>29</v>
      </c>
      <c r="W771" s="19"/>
      <c r="X771" s="19"/>
      <c r="Y771" s="20"/>
      <c r="Z771" s="19"/>
      <c r="AA771" s="18" t="str">
        <f aca="false">IF(OR(V771="Aprobada"),R771,IF(AND(OR(V771="Aprobada con ajuste",V771="Rechazada"),W771&lt;&gt;""),W771,""))</f>
        <v/>
      </c>
    </row>
    <row r="772" customFormat="false" ht="32.8" hidden="false" customHeight="false" outlineLevel="0" collapsed="false">
      <c r="A772" s="18" t="s">
        <v>3500</v>
      </c>
      <c r="B772" s="18" t="s">
        <v>60</v>
      </c>
      <c r="C772" s="18" t="s">
        <v>61</v>
      </c>
      <c r="D772" s="18" t="s">
        <v>3481</v>
      </c>
      <c r="E772" s="18" t="n">
        <v>12</v>
      </c>
      <c r="F772" s="18" t="s">
        <v>3163</v>
      </c>
      <c r="G772" s="18" t="s">
        <v>128</v>
      </c>
      <c r="H772" s="18" t="s">
        <v>162</v>
      </c>
      <c r="I772" s="18"/>
      <c r="J772" s="18"/>
      <c r="K772" s="18"/>
      <c r="L772" s="18" t="s">
        <v>129</v>
      </c>
      <c r="M772" s="18" t="s">
        <v>129</v>
      </c>
      <c r="N772" s="18"/>
      <c r="O772" s="18"/>
      <c r="P772" s="18" t="s">
        <v>3501</v>
      </c>
      <c r="Q772" s="18" t="s">
        <v>131</v>
      </c>
      <c r="R772" s="18" t="s">
        <v>3502</v>
      </c>
      <c r="S772" s="18" t="s">
        <v>133</v>
      </c>
      <c r="T772" s="18" t="s">
        <v>3503</v>
      </c>
      <c r="U772" s="18"/>
      <c r="V772" s="19" t="s">
        <v>29</v>
      </c>
      <c r="W772" s="19"/>
      <c r="X772" s="19"/>
      <c r="Y772" s="20"/>
      <c r="Z772" s="19"/>
      <c r="AA772" s="18" t="str">
        <f aca="false">IF(OR(V772="Aprobada"),R772,IF(AND(OR(V772="Aprobada con ajuste",V772="Rechazada"),W772&lt;&gt;""),W772,""))</f>
        <v/>
      </c>
    </row>
    <row r="773" customFormat="false" ht="32.8" hidden="false" customHeight="false" outlineLevel="0" collapsed="false">
      <c r="A773" s="18" t="s">
        <v>3504</v>
      </c>
      <c r="B773" s="18" t="s">
        <v>60</v>
      </c>
      <c r="C773" s="18" t="s">
        <v>61</v>
      </c>
      <c r="D773" s="18" t="s">
        <v>3481</v>
      </c>
      <c r="E773" s="18" t="n">
        <v>12</v>
      </c>
      <c r="F773" s="18" t="s">
        <v>185</v>
      </c>
      <c r="G773" s="18" t="s">
        <v>145</v>
      </c>
      <c r="H773" s="18" t="s">
        <v>129</v>
      </c>
      <c r="I773" s="18"/>
      <c r="J773" s="18"/>
      <c r="K773" s="18"/>
      <c r="L773" s="18" t="s">
        <v>129</v>
      </c>
      <c r="M773" s="18" t="s">
        <v>129</v>
      </c>
      <c r="N773" s="18"/>
      <c r="O773" s="18"/>
      <c r="P773" s="18" t="s">
        <v>3505</v>
      </c>
      <c r="Q773" s="18" t="s">
        <v>131</v>
      </c>
      <c r="R773" s="18" t="s">
        <v>3506</v>
      </c>
      <c r="S773" s="18" t="s">
        <v>133</v>
      </c>
      <c r="T773" s="18" t="s">
        <v>3507</v>
      </c>
      <c r="U773" s="18"/>
      <c r="V773" s="19" t="s">
        <v>29</v>
      </c>
      <c r="W773" s="19"/>
      <c r="X773" s="19"/>
      <c r="Y773" s="20"/>
      <c r="Z773" s="19"/>
      <c r="AA773" s="18" t="str">
        <f aca="false">IF(OR(V773="Aprobada"),R773,IF(AND(OR(V773="Aprobada con ajuste",V773="Rechazada"),W773&lt;&gt;""),W773,""))</f>
        <v/>
      </c>
    </row>
    <row r="774" customFormat="false" ht="32.8" hidden="false" customHeight="false" outlineLevel="0" collapsed="false">
      <c r="A774" s="18" t="s">
        <v>3508</v>
      </c>
      <c r="B774" s="18" t="s">
        <v>60</v>
      </c>
      <c r="C774" s="18" t="s">
        <v>61</v>
      </c>
      <c r="D774" s="18" t="s">
        <v>3481</v>
      </c>
      <c r="E774" s="18" t="n">
        <v>12</v>
      </c>
      <c r="F774" s="18" t="s">
        <v>3131</v>
      </c>
      <c r="G774" s="18" t="s">
        <v>180</v>
      </c>
      <c r="H774" s="18" t="s">
        <v>162</v>
      </c>
      <c r="I774" s="18"/>
      <c r="J774" s="18"/>
      <c r="K774" s="18"/>
      <c r="L774" s="18" t="s">
        <v>129</v>
      </c>
      <c r="M774" s="18" t="s">
        <v>129</v>
      </c>
      <c r="N774" s="18"/>
      <c r="O774" s="18"/>
      <c r="P774" s="18" t="s">
        <v>3509</v>
      </c>
      <c r="Q774" s="18" t="s">
        <v>131</v>
      </c>
      <c r="R774" s="18" t="s">
        <v>3510</v>
      </c>
      <c r="S774" s="18" t="s">
        <v>133</v>
      </c>
      <c r="T774" s="18" t="s">
        <v>3511</v>
      </c>
      <c r="U774" s="18"/>
      <c r="V774" s="19" t="s">
        <v>29</v>
      </c>
      <c r="W774" s="19"/>
      <c r="X774" s="19"/>
      <c r="Y774" s="20"/>
      <c r="Z774" s="19"/>
      <c r="AA774" s="18" t="str">
        <f aca="false">IF(OR(V774="Aprobada"),R774,IF(AND(OR(V774="Aprobada con ajuste",V774="Rechazada"),W774&lt;&gt;""),W774,""))</f>
        <v/>
      </c>
    </row>
    <row r="775" customFormat="false" ht="32.8" hidden="false" customHeight="false" outlineLevel="0" collapsed="false">
      <c r="A775" s="18" t="s">
        <v>3512</v>
      </c>
      <c r="B775" s="18" t="s">
        <v>60</v>
      </c>
      <c r="C775" s="18" t="s">
        <v>61</v>
      </c>
      <c r="D775" s="18" t="s">
        <v>3481</v>
      </c>
      <c r="E775" s="18" t="n">
        <v>12</v>
      </c>
      <c r="F775" s="18" t="s">
        <v>3100</v>
      </c>
      <c r="G775" s="18" t="s">
        <v>128</v>
      </c>
      <c r="H775" s="18" t="s">
        <v>162</v>
      </c>
      <c r="I775" s="18"/>
      <c r="J775" s="18"/>
      <c r="K775" s="18"/>
      <c r="L775" s="18" t="s">
        <v>129</v>
      </c>
      <c r="M775" s="18" t="s">
        <v>129</v>
      </c>
      <c r="N775" s="18"/>
      <c r="O775" s="18"/>
      <c r="P775" s="18" t="s">
        <v>3513</v>
      </c>
      <c r="Q775" s="18" t="s">
        <v>131</v>
      </c>
      <c r="R775" s="18" t="s">
        <v>3514</v>
      </c>
      <c r="S775" s="18" t="s">
        <v>133</v>
      </c>
      <c r="T775" s="18" t="s">
        <v>3515</v>
      </c>
      <c r="U775" s="18"/>
      <c r="V775" s="19" t="s">
        <v>29</v>
      </c>
      <c r="W775" s="19"/>
      <c r="X775" s="19"/>
      <c r="Y775" s="20"/>
      <c r="Z775" s="19"/>
      <c r="AA775" s="18" t="str">
        <f aca="false">IF(OR(V775="Aprobada"),R775,IF(AND(OR(V775="Aprobada con ajuste",V775="Rechazada"),W775&lt;&gt;""),W775,""))</f>
        <v/>
      </c>
    </row>
    <row r="776" customFormat="false" ht="43.25" hidden="false" customHeight="false" outlineLevel="0" collapsed="false">
      <c r="A776" s="18" t="s">
        <v>3516</v>
      </c>
      <c r="B776" s="18" t="s">
        <v>60</v>
      </c>
      <c r="C776" s="18" t="s">
        <v>61</v>
      </c>
      <c r="D776" s="18" t="s">
        <v>3481</v>
      </c>
      <c r="E776" s="18" t="n">
        <v>12</v>
      </c>
      <c r="F776" s="18" t="s">
        <v>326</v>
      </c>
      <c r="G776" s="18" t="s">
        <v>317</v>
      </c>
      <c r="H776" s="18" t="s">
        <v>162</v>
      </c>
      <c r="I776" s="18"/>
      <c r="J776" s="18"/>
      <c r="K776" s="18"/>
      <c r="L776" s="18" t="s">
        <v>129</v>
      </c>
      <c r="M776" s="18" t="s">
        <v>129</v>
      </c>
      <c r="N776" s="18"/>
      <c r="O776" s="18"/>
      <c r="P776" s="18" t="s">
        <v>3517</v>
      </c>
      <c r="Q776" s="18" t="s">
        <v>131</v>
      </c>
      <c r="R776" s="18" t="s">
        <v>3518</v>
      </c>
      <c r="S776" s="18" t="s">
        <v>133</v>
      </c>
      <c r="T776" s="18" t="s">
        <v>3519</v>
      </c>
      <c r="U776" s="18"/>
      <c r="V776" s="19" t="s">
        <v>29</v>
      </c>
      <c r="W776" s="19"/>
      <c r="X776" s="19"/>
      <c r="Y776" s="20"/>
      <c r="Z776" s="19"/>
      <c r="AA776" s="18" t="str">
        <f aca="false">IF(OR(V776="Aprobada"),R776,IF(AND(OR(V776="Aprobada con ajuste",V776="Rechazada"),W776&lt;&gt;""),W776,""))</f>
        <v/>
      </c>
    </row>
    <row r="777" customFormat="false" ht="32.8" hidden="false" customHeight="false" outlineLevel="0" collapsed="false">
      <c r="A777" s="18" t="s">
        <v>3520</v>
      </c>
      <c r="B777" s="18" t="s">
        <v>60</v>
      </c>
      <c r="C777" s="18" t="s">
        <v>61</v>
      </c>
      <c r="D777" s="18" t="s">
        <v>3481</v>
      </c>
      <c r="E777" s="18" t="n">
        <v>12</v>
      </c>
      <c r="F777" s="18" t="s">
        <v>3521</v>
      </c>
      <c r="G777" s="18" t="s">
        <v>312</v>
      </c>
      <c r="H777" s="18" t="s">
        <v>162</v>
      </c>
      <c r="I777" s="18"/>
      <c r="J777" s="18"/>
      <c r="K777" s="18"/>
      <c r="L777" s="18" t="s">
        <v>129</v>
      </c>
      <c r="M777" s="18" t="s">
        <v>129</v>
      </c>
      <c r="N777" s="18"/>
      <c r="O777" s="18"/>
      <c r="P777" s="18"/>
      <c r="Q777" s="18" t="s">
        <v>149</v>
      </c>
      <c r="R777" s="18" t="s">
        <v>3522</v>
      </c>
      <c r="S777" s="18" t="s">
        <v>242</v>
      </c>
      <c r="T777" s="18" t="s">
        <v>3523</v>
      </c>
      <c r="U777" s="18" t="s">
        <v>3524</v>
      </c>
      <c r="V777" s="19" t="s">
        <v>29</v>
      </c>
      <c r="W777" s="19"/>
      <c r="X777" s="19"/>
      <c r="Y777" s="20"/>
      <c r="Z777" s="19"/>
      <c r="AA777" s="18" t="str">
        <f aca="false">IF(OR(V777="Aprobada"),R777,IF(AND(OR(V777="Aprobada con ajuste",V777="Rechazada"),W777&lt;&gt;""),W777,""))</f>
        <v/>
      </c>
    </row>
    <row r="778" customFormat="false" ht="32.8" hidden="false" customHeight="false" outlineLevel="0" collapsed="false">
      <c r="A778" s="18" t="s">
        <v>3525</v>
      </c>
      <c r="B778" s="18" t="s">
        <v>60</v>
      </c>
      <c r="C778" s="18" t="s">
        <v>61</v>
      </c>
      <c r="D778" s="18" t="s">
        <v>3481</v>
      </c>
      <c r="E778" s="18" t="n">
        <v>12</v>
      </c>
      <c r="F778" s="18" t="s">
        <v>3526</v>
      </c>
      <c r="G778" s="18" t="s">
        <v>192</v>
      </c>
      <c r="H778" s="18" t="s">
        <v>129</v>
      </c>
      <c r="I778" s="18"/>
      <c r="J778" s="18"/>
      <c r="K778" s="18"/>
      <c r="L778" s="18" t="s">
        <v>129</v>
      </c>
      <c r="M778" s="18" t="s">
        <v>129</v>
      </c>
      <c r="N778" s="18"/>
      <c r="O778" s="18"/>
      <c r="P778" s="18" t="s">
        <v>3527</v>
      </c>
      <c r="Q778" s="18" t="s">
        <v>149</v>
      </c>
      <c r="R778" s="18" t="s">
        <v>3528</v>
      </c>
      <c r="S778" s="18" t="s">
        <v>242</v>
      </c>
      <c r="T778" s="18" t="s">
        <v>3348</v>
      </c>
      <c r="U778" s="18" t="s">
        <v>3529</v>
      </c>
      <c r="V778" s="19" t="s">
        <v>29</v>
      </c>
      <c r="W778" s="19"/>
      <c r="X778" s="19"/>
      <c r="Y778" s="20"/>
      <c r="Z778" s="19"/>
      <c r="AA778" s="18" t="str">
        <f aca="false">IF(OR(V778="Aprobada"),R778,IF(AND(OR(V778="Aprobada con ajuste",V778="Rechazada"),W778&lt;&gt;""),W778,""))</f>
        <v/>
      </c>
    </row>
    <row r="779" customFormat="false" ht="32.8" hidden="false" customHeight="false" outlineLevel="0" collapsed="false">
      <c r="A779" s="18" t="s">
        <v>3530</v>
      </c>
      <c r="B779" s="18" t="s">
        <v>60</v>
      </c>
      <c r="C779" s="18" t="s">
        <v>61</v>
      </c>
      <c r="D779" s="18" t="s">
        <v>3531</v>
      </c>
      <c r="E779" s="18" t="n">
        <v>280</v>
      </c>
      <c r="F779" s="18" t="s">
        <v>275</v>
      </c>
      <c r="G779" s="18" t="s">
        <v>128</v>
      </c>
      <c r="H779" s="18" t="s">
        <v>129</v>
      </c>
      <c r="I779" s="18"/>
      <c r="J779" s="18"/>
      <c r="K779" s="18"/>
      <c r="L779" s="18" t="s">
        <v>129</v>
      </c>
      <c r="M779" s="18" t="s">
        <v>129</v>
      </c>
      <c r="N779" s="18"/>
      <c r="O779" s="18"/>
      <c r="P779" s="18" t="s">
        <v>3532</v>
      </c>
      <c r="Q779" s="18" t="s">
        <v>138</v>
      </c>
      <c r="R779" s="18" t="s">
        <v>3533</v>
      </c>
      <c r="S779" s="18" t="s">
        <v>140</v>
      </c>
      <c r="T779" s="18" t="s">
        <v>141</v>
      </c>
      <c r="U779" s="18"/>
      <c r="V779" s="19" t="s">
        <v>29</v>
      </c>
      <c r="W779" s="19"/>
      <c r="X779" s="19"/>
      <c r="Y779" s="20"/>
      <c r="Z779" s="19"/>
      <c r="AA779" s="18" t="str">
        <f aca="false">IF(OR(V779="Aprobada"),R779,IF(AND(OR(V779="Aprobada con ajuste",V779="Rechazada"),W779&lt;&gt;""),W779,""))</f>
        <v/>
      </c>
    </row>
    <row r="780" customFormat="false" ht="32.8" hidden="false" customHeight="false" outlineLevel="0" collapsed="false">
      <c r="A780" s="18" t="s">
        <v>3534</v>
      </c>
      <c r="B780" s="18" t="s">
        <v>60</v>
      </c>
      <c r="C780" s="18" t="s">
        <v>61</v>
      </c>
      <c r="D780" s="18" t="s">
        <v>3531</v>
      </c>
      <c r="E780" s="18" t="n">
        <v>280</v>
      </c>
      <c r="F780" s="18" t="s">
        <v>3535</v>
      </c>
      <c r="G780" s="18" t="s">
        <v>128</v>
      </c>
      <c r="H780" s="18" t="s">
        <v>162</v>
      </c>
      <c r="I780" s="18"/>
      <c r="J780" s="18"/>
      <c r="K780" s="18"/>
      <c r="L780" s="18" t="s">
        <v>129</v>
      </c>
      <c r="M780" s="18" t="s">
        <v>129</v>
      </c>
      <c r="N780" s="18"/>
      <c r="O780" s="18"/>
      <c r="P780" s="18" t="s">
        <v>3536</v>
      </c>
      <c r="Q780" s="18" t="s">
        <v>149</v>
      </c>
      <c r="R780" s="18" t="s">
        <v>3537</v>
      </c>
      <c r="S780" s="18" t="s">
        <v>133</v>
      </c>
      <c r="T780" s="18" t="s">
        <v>183</v>
      </c>
      <c r="U780" s="18"/>
      <c r="V780" s="19" t="s">
        <v>29</v>
      </c>
      <c r="W780" s="19"/>
      <c r="X780" s="19"/>
      <c r="Y780" s="20"/>
      <c r="Z780" s="19"/>
      <c r="AA780" s="18" t="str">
        <f aca="false">IF(OR(V780="Aprobada"),R780,IF(AND(OR(V780="Aprobada con ajuste",V780="Rechazada"),W780&lt;&gt;""),W780,""))</f>
        <v/>
      </c>
    </row>
    <row r="781" customFormat="false" ht="32.8" hidden="false" customHeight="false" outlineLevel="0" collapsed="false">
      <c r="A781" s="18" t="s">
        <v>3538</v>
      </c>
      <c r="B781" s="18" t="s">
        <v>60</v>
      </c>
      <c r="C781" s="18" t="s">
        <v>61</v>
      </c>
      <c r="D781" s="18" t="s">
        <v>3531</v>
      </c>
      <c r="E781" s="18" t="n">
        <v>280</v>
      </c>
      <c r="F781" s="18" t="s">
        <v>611</v>
      </c>
      <c r="G781" s="18" t="s">
        <v>128</v>
      </c>
      <c r="H781" s="18" t="s">
        <v>162</v>
      </c>
      <c r="I781" s="18" t="s">
        <v>146</v>
      </c>
      <c r="J781" s="18"/>
      <c r="K781" s="18"/>
      <c r="L781" s="18" t="s">
        <v>129</v>
      </c>
      <c r="M781" s="18" t="s">
        <v>129</v>
      </c>
      <c r="N781" s="18"/>
      <c r="O781" s="18" t="s">
        <v>3539</v>
      </c>
      <c r="P781" s="18" t="s">
        <v>3540</v>
      </c>
      <c r="Q781" s="18" t="s">
        <v>138</v>
      </c>
      <c r="R781" s="18" t="s">
        <v>3541</v>
      </c>
      <c r="S781" s="18" t="s">
        <v>140</v>
      </c>
      <c r="T781" s="18" t="s">
        <v>141</v>
      </c>
      <c r="U781" s="18"/>
      <c r="V781" s="19" t="s">
        <v>29</v>
      </c>
      <c r="W781" s="19"/>
      <c r="X781" s="19"/>
      <c r="Y781" s="20"/>
      <c r="Z781" s="19"/>
      <c r="AA781" s="18" t="str">
        <f aca="false">IF(OR(V781="Aprobada"),R781,IF(AND(OR(V781="Aprobada con ajuste",V781="Rechazada"),W781&lt;&gt;""),W781,""))</f>
        <v/>
      </c>
    </row>
    <row r="782" customFormat="false" ht="22.35" hidden="false" customHeight="false" outlineLevel="0" collapsed="false">
      <c r="A782" s="18" t="s">
        <v>3542</v>
      </c>
      <c r="B782" s="18" t="s">
        <v>60</v>
      </c>
      <c r="C782" s="18" t="s">
        <v>61</v>
      </c>
      <c r="D782" s="18" t="s">
        <v>3543</v>
      </c>
      <c r="E782" s="18" t="n">
        <v>1</v>
      </c>
      <c r="F782" s="18" t="s">
        <v>127</v>
      </c>
      <c r="G782" s="18" t="s">
        <v>128</v>
      </c>
      <c r="H782" s="18" t="s">
        <v>129</v>
      </c>
      <c r="I782" s="18"/>
      <c r="J782" s="18"/>
      <c r="K782" s="18"/>
      <c r="L782" s="18" t="s">
        <v>129</v>
      </c>
      <c r="M782" s="18" t="s">
        <v>129</v>
      </c>
      <c r="N782" s="18"/>
      <c r="O782" s="18"/>
      <c r="P782" s="18"/>
      <c r="Q782" s="18" t="s">
        <v>138</v>
      </c>
      <c r="R782" s="18" t="s">
        <v>3544</v>
      </c>
      <c r="S782" s="18" t="s">
        <v>140</v>
      </c>
      <c r="T782" s="18" t="s">
        <v>141</v>
      </c>
      <c r="U782" s="18"/>
      <c r="V782" s="19" t="s">
        <v>29</v>
      </c>
      <c r="W782" s="19"/>
      <c r="X782" s="19"/>
      <c r="Y782" s="20"/>
      <c r="Z782" s="19"/>
      <c r="AA782" s="18" t="str">
        <f aca="false">IF(OR(V782="Aprobada"),R782,IF(AND(OR(V782="Aprobada con ajuste",V782="Rechazada"),W782&lt;&gt;""),W782,""))</f>
        <v/>
      </c>
    </row>
    <row r="783" customFormat="false" ht="22.35" hidden="false" customHeight="false" outlineLevel="0" collapsed="false">
      <c r="A783" s="18" t="s">
        <v>3545</v>
      </c>
      <c r="B783" s="18" t="s">
        <v>60</v>
      </c>
      <c r="C783" s="18" t="s">
        <v>61</v>
      </c>
      <c r="D783" s="18" t="s">
        <v>3543</v>
      </c>
      <c r="E783" s="18" t="n">
        <v>1</v>
      </c>
      <c r="F783" s="18" t="s">
        <v>3546</v>
      </c>
      <c r="G783" s="18" t="s">
        <v>128</v>
      </c>
      <c r="H783" s="18" t="s">
        <v>129</v>
      </c>
      <c r="I783" s="18"/>
      <c r="J783" s="18"/>
      <c r="K783" s="18"/>
      <c r="L783" s="18" t="s">
        <v>129</v>
      </c>
      <c r="M783" s="18" t="s">
        <v>129</v>
      </c>
      <c r="N783" s="18"/>
      <c r="O783" s="18"/>
      <c r="P783" s="18"/>
      <c r="Q783" s="18" t="s">
        <v>149</v>
      </c>
      <c r="R783" s="18" t="s">
        <v>3547</v>
      </c>
      <c r="S783" s="18" t="s">
        <v>140</v>
      </c>
      <c r="T783" s="18" t="s">
        <v>169</v>
      </c>
      <c r="U783" s="18" t="s">
        <v>3548</v>
      </c>
      <c r="V783" s="19" t="s">
        <v>29</v>
      </c>
      <c r="W783" s="19"/>
      <c r="X783" s="19"/>
      <c r="Y783" s="20"/>
      <c r="Z783" s="19"/>
      <c r="AA783" s="18" t="str">
        <f aca="false">IF(OR(V783="Aprobada"),R783,IF(AND(OR(V783="Aprobada con ajuste",V783="Rechazada"),W783&lt;&gt;""),W783,""))</f>
        <v/>
      </c>
    </row>
    <row r="784" customFormat="false" ht="22.35" hidden="false" customHeight="false" outlineLevel="0" collapsed="false">
      <c r="A784" s="18" t="s">
        <v>3549</v>
      </c>
      <c r="B784" s="18" t="s">
        <v>60</v>
      </c>
      <c r="C784" s="18" t="s">
        <v>61</v>
      </c>
      <c r="D784" s="18" t="s">
        <v>3543</v>
      </c>
      <c r="E784" s="18" t="n">
        <v>1</v>
      </c>
      <c r="F784" s="18" t="s">
        <v>1918</v>
      </c>
      <c r="G784" s="18" t="s">
        <v>128</v>
      </c>
      <c r="H784" s="18" t="s">
        <v>129</v>
      </c>
      <c r="I784" s="18"/>
      <c r="J784" s="18"/>
      <c r="K784" s="18"/>
      <c r="L784" s="18" t="s">
        <v>129</v>
      </c>
      <c r="M784" s="18" t="s">
        <v>129</v>
      </c>
      <c r="N784" s="18"/>
      <c r="O784" s="18"/>
      <c r="P784" s="18"/>
      <c r="Q784" s="18" t="s">
        <v>149</v>
      </c>
      <c r="R784" s="18" t="s">
        <v>3550</v>
      </c>
      <c r="S784" s="18" t="s">
        <v>133</v>
      </c>
      <c r="T784" s="18" t="s">
        <v>183</v>
      </c>
      <c r="U784" s="18"/>
      <c r="V784" s="19" t="s">
        <v>29</v>
      </c>
      <c r="W784" s="19"/>
      <c r="X784" s="19"/>
      <c r="Y784" s="20"/>
      <c r="Z784" s="19"/>
      <c r="AA784" s="18" t="str">
        <f aca="false">IF(OR(V784="Aprobada"),R784,IF(AND(OR(V784="Aprobada con ajuste",V784="Rechazada"),W784&lt;&gt;""),W784,""))</f>
        <v/>
      </c>
    </row>
    <row r="785" customFormat="false" ht="22.35" hidden="false" customHeight="false" outlineLevel="0" collapsed="false">
      <c r="A785" s="18" t="s">
        <v>3551</v>
      </c>
      <c r="B785" s="18" t="s">
        <v>60</v>
      </c>
      <c r="C785" s="18" t="s">
        <v>61</v>
      </c>
      <c r="D785" s="18" t="s">
        <v>3543</v>
      </c>
      <c r="E785" s="18" t="n">
        <v>1</v>
      </c>
      <c r="F785" s="18" t="s">
        <v>3552</v>
      </c>
      <c r="G785" s="18" t="s">
        <v>128</v>
      </c>
      <c r="H785" s="18" t="s">
        <v>162</v>
      </c>
      <c r="I785" s="18"/>
      <c r="J785" s="18"/>
      <c r="K785" s="18"/>
      <c r="L785" s="18" t="s">
        <v>129</v>
      </c>
      <c r="M785" s="18" t="s">
        <v>129</v>
      </c>
      <c r="N785" s="18"/>
      <c r="O785" s="18"/>
      <c r="P785" s="18"/>
      <c r="Q785" s="18" t="s">
        <v>149</v>
      </c>
      <c r="R785" s="18" t="s">
        <v>3553</v>
      </c>
      <c r="S785" s="18" t="s">
        <v>140</v>
      </c>
      <c r="T785" s="18" t="s">
        <v>3554</v>
      </c>
      <c r="U785" s="18" t="s">
        <v>3555</v>
      </c>
      <c r="V785" s="19" t="s">
        <v>29</v>
      </c>
      <c r="W785" s="19"/>
      <c r="X785" s="19"/>
      <c r="Y785" s="20"/>
      <c r="Z785" s="19"/>
      <c r="AA785" s="18" t="str">
        <f aca="false">IF(OR(V785="Aprobada"),R785,IF(AND(OR(V785="Aprobada con ajuste",V785="Rechazada"),W785&lt;&gt;""),W785,""))</f>
        <v/>
      </c>
    </row>
    <row r="786" customFormat="false" ht="22.35" hidden="false" customHeight="false" outlineLevel="0" collapsed="false">
      <c r="A786" s="18" t="s">
        <v>3556</v>
      </c>
      <c r="B786" s="18" t="s">
        <v>60</v>
      </c>
      <c r="C786" s="18" t="s">
        <v>61</v>
      </c>
      <c r="D786" s="18" t="s">
        <v>3543</v>
      </c>
      <c r="E786" s="18" t="n">
        <v>1</v>
      </c>
      <c r="F786" s="18" t="s">
        <v>3557</v>
      </c>
      <c r="G786" s="18" t="s">
        <v>128</v>
      </c>
      <c r="H786" s="18" t="s">
        <v>162</v>
      </c>
      <c r="I786" s="18"/>
      <c r="J786" s="18"/>
      <c r="K786" s="18"/>
      <c r="L786" s="18" t="s">
        <v>129</v>
      </c>
      <c r="M786" s="18" t="s">
        <v>129</v>
      </c>
      <c r="N786" s="18"/>
      <c r="O786" s="18"/>
      <c r="P786" s="18"/>
      <c r="Q786" s="18" t="s">
        <v>149</v>
      </c>
      <c r="R786" s="18" t="s">
        <v>3558</v>
      </c>
      <c r="S786" s="18" t="s">
        <v>242</v>
      </c>
      <c r="T786" s="18" t="s">
        <v>3559</v>
      </c>
      <c r="U786" s="18" t="s">
        <v>3560</v>
      </c>
      <c r="V786" s="19" t="s">
        <v>29</v>
      </c>
      <c r="W786" s="19"/>
      <c r="X786" s="19"/>
      <c r="Y786" s="20"/>
      <c r="Z786" s="19"/>
      <c r="AA786" s="18" t="str">
        <f aca="false">IF(OR(V786="Aprobada"),R786,IF(AND(OR(V786="Aprobada con ajuste",V786="Rechazada"),W786&lt;&gt;""),W786,""))</f>
        <v/>
      </c>
    </row>
    <row r="787" customFormat="false" ht="22.35" hidden="false" customHeight="false" outlineLevel="0" collapsed="false">
      <c r="A787" s="18" t="s">
        <v>3561</v>
      </c>
      <c r="B787" s="18" t="s">
        <v>60</v>
      </c>
      <c r="C787" s="18" t="s">
        <v>61</v>
      </c>
      <c r="D787" s="18" t="s">
        <v>3543</v>
      </c>
      <c r="E787" s="18" t="n">
        <v>1</v>
      </c>
      <c r="F787" s="18" t="s">
        <v>3562</v>
      </c>
      <c r="G787" s="18" t="s">
        <v>173</v>
      </c>
      <c r="H787" s="18" t="s">
        <v>129</v>
      </c>
      <c r="I787" s="18"/>
      <c r="J787" s="18"/>
      <c r="K787" s="18"/>
      <c r="L787" s="18" t="s">
        <v>129</v>
      </c>
      <c r="M787" s="18" t="s">
        <v>129</v>
      </c>
      <c r="N787" s="18"/>
      <c r="O787" s="18"/>
      <c r="P787" s="18"/>
      <c r="Q787" s="18" t="s">
        <v>138</v>
      </c>
      <c r="R787" s="18" t="s">
        <v>3563</v>
      </c>
      <c r="S787" s="18" t="s">
        <v>140</v>
      </c>
      <c r="T787" s="18" t="s">
        <v>141</v>
      </c>
      <c r="U787" s="18"/>
      <c r="V787" s="19" t="s">
        <v>29</v>
      </c>
      <c r="W787" s="19"/>
      <c r="X787" s="19"/>
      <c r="Y787" s="20"/>
      <c r="Z787" s="19"/>
      <c r="AA787" s="18" t="str">
        <f aca="false">IF(OR(V787="Aprobada"),R787,IF(AND(OR(V787="Aprobada con ajuste",V787="Rechazada"),W787&lt;&gt;""),W787,""))</f>
        <v/>
      </c>
    </row>
    <row r="788" customFormat="false" ht="22.35" hidden="false" customHeight="false" outlineLevel="0" collapsed="false">
      <c r="A788" s="18" t="s">
        <v>3564</v>
      </c>
      <c r="B788" s="18" t="s">
        <v>60</v>
      </c>
      <c r="C788" s="18" t="s">
        <v>61</v>
      </c>
      <c r="D788" s="18" t="s">
        <v>3565</v>
      </c>
      <c r="E788" s="18" t="n">
        <v>13</v>
      </c>
      <c r="F788" s="18" t="s">
        <v>2750</v>
      </c>
      <c r="G788" s="18" t="s">
        <v>128</v>
      </c>
      <c r="H788" s="18" t="s">
        <v>129</v>
      </c>
      <c r="I788" s="18"/>
      <c r="J788" s="18"/>
      <c r="K788" s="18"/>
      <c r="L788" s="18" t="s">
        <v>129</v>
      </c>
      <c r="M788" s="18" t="s">
        <v>129</v>
      </c>
      <c r="N788" s="18"/>
      <c r="O788" s="18"/>
      <c r="P788" s="18" t="s">
        <v>3566</v>
      </c>
      <c r="Q788" s="18" t="s">
        <v>149</v>
      </c>
      <c r="R788" s="18" t="s">
        <v>3567</v>
      </c>
      <c r="S788" s="18" t="s">
        <v>133</v>
      </c>
      <c r="T788" s="18" t="s">
        <v>183</v>
      </c>
      <c r="U788" s="18"/>
      <c r="V788" s="19" t="s">
        <v>29</v>
      </c>
      <c r="W788" s="19"/>
      <c r="X788" s="19"/>
      <c r="Y788" s="20"/>
      <c r="Z788" s="19"/>
      <c r="AA788" s="18" t="str">
        <f aca="false">IF(OR(V788="Aprobada"),R788,IF(AND(OR(V788="Aprobada con ajuste",V788="Rechazada"),W788&lt;&gt;""),W788,""))</f>
        <v/>
      </c>
    </row>
    <row r="789" customFormat="false" ht="22.35" hidden="false" customHeight="false" outlineLevel="0" collapsed="false">
      <c r="A789" s="18" t="s">
        <v>3568</v>
      </c>
      <c r="B789" s="18" t="s">
        <v>60</v>
      </c>
      <c r="C789" s="18" t="s">
        <v>61</v>
      </c>
      <c r="D789" s="18" t="s">
        <v>3565</v>
      </c>
      <c r="E789" s="18" t="n">
        <v>13</v>
      </c>
      <c r="F789" s="18" t="s">
        <v>3569</v>
      </c>
      <c r="G789" s="18" t="s">
        <v>128</v>
      </c>
      <c r="H789" s="18" t="s">
        <v>162</v>
      </c>
      <c r="I789" s="18"/>
      <c r="J789" s="18"/>
      <c r="K789" s="18"/>
      <c r="L789" s="18" t="s">
        <v>129</v>
      </c>
      <c r="M789" s="18" t="s">
        <v>129</v>
      </c>
      <c r="N789" s="18"/>
      <c r="O789" s="18"/>
      <c r="P789" s="18" t="s">
        <v>3570</v>
      </c>
      <c r="Q789" s="18" t="s">
        <v>149</v>
      </c>
      <c r="R789" s="18" t="s">
        <v>3571</v>
      </c>
      <c r="S789" s="18" t="s">
        <v>133</v>
      </c>
      <c r="T789" s="18" t="s">
        <v>183</v>
      </c>
      <c r="U789" s="18"/>
      <c r="V789" s="19" t="s">
        <v>29</v>
      </c>
      <c r="W789" s="19"/>
      <c r="X789" s="19"/>
      <c r="Y789" s="20"/>
      <c r="Z789" s="19"/>
      <c r="AA789" s="18" t="str">
        <f aca="false">IF(OR(V789="Aprobada"),R789,IF(AND(OR(V789="Aprobada con ajuste",V789="Rechazada"),W789&lt;&gt;""),W789,""))</f>
        <v/>
      </c>
    </row>
    <row r="790" customFormat="false" ht="22.35" hidden="false" customHeight="false" outlineLevel="0" collapsed="false">
      <c r="A790" s="18" t="s">
        <v>3572</v>
      </c>
      <c r="B790" s="18" t="s">
        <v>60</v>
      </c>
      <c r="C790" s="18" t="s">
        <v>61</v>
      </c>
      <c r="D790" s="18" t="s">
        <v>3565</v>
      </c>
      <c r="E790" s="18" t="n">
        <v>13</v>
      </c>
      <c r="F790" s="18" t="s">
        <v>3573</v>
      </c>
      <c r="G790" s="18" t="s">
        <v>128</v>
      </c>
      <c r="H790" s="18" t="s">
        <v>129</v>
      </c>
      <c r="I790" s="18"/>
      <c r="J790" s="18"/>
      <c r="K790" s="18"/>
      <c r="L790" s="18" t="s">
        <v>129</v>
      </c>
      <c r="M790" s="18" t="s">
        <v>129</v>
      </c>
      <c r="N790" s="18"/>
      <c r="O790" s="18"/>
      <c r="P790" s="18" t="s">
        <v>3574</v>
      </c>
      <c r="Q790" s="18" t="s">
        <v>149</v>
      </c>
      <c r="R790" s="18" t="s">
        <v>3575</v>
      </c>
      <c r="S790" s="18" t="s">
        <v>140</v>
      </c>
      <c r="T790" s="18" t="s">
        <v>3576</v>
      </c>
      <c r="U790" s="18" t="s">
        <v>3577</v>
      </c>
      <c r="V790" s="19" t="s">
        <v>29</v>
      </c>
      <c r="W790" s="19"/>
      <c r="X790" s="19"/>
      <c r="Y790" s="20"/>
      <c r="Z790" s="19"/>
      <c r="AA790" s="18" t="str">
        <f aca="false">IF(OR(V790="Aprobada"),R790,IF(AND(OR(V790="Aprobada con ajuste",V790="Rechazada"),W790&lt;&gt;""),W790,""))</f>
        <v/>
      </c>
    </row>
    <row r="791" customFormat="false" ht="22.35" hidden="false" customHeight="false" outlineLevel="0" collapsed="false">
      <c r="A791" s="18" t="s">
        <v>3578</v>
      </c>
      <c r="B791" s="18" t="s">
        <v>60</v>
      </c>
      <c r="C791" s="18" t="s">
        <v>61</v>
      </c>
      <c r="D791" s="18" t="s">
        <v>3565</v>
      </c>
      <c r="E791" s="18" t="n">
        <v>13</v>
      </c>
      <c r="F791" s="18" t="s">
        <v>3579</v>
      </c>
      <c r="G791" s="18" t="s">
        <v>128</v>
      </c>
      <c r="H791" s="18" t="s">
        <v>129</v>
      </c>
      <c r="I791" s="18"/>
      <c r="J791" s="18"/>
      <c r="K791" s="18"/>
      <c r="L791" s="18" t="s">
        <v>129</v>
      </c>
      <c r="M791" s="18" t="s">
        <v>129</v>
      </c>
      <c r="N791" s="18"/>
      <c r="O791" s="18"/>
      <c r="P791" s="18" t="s">
        <v>3580</v>
      </c>
      <c r="Q791" s="18" t="s">
        <v>149</v>
      </c>
      <c r="R791" s="18" t="s">
        <v>3581</v>
      </c>
      <c r="S791" s="18" t="s">
        <v>140</v>
      </c>
      <c r="T791" s="18" t="s">
        <v>3582</v>
      </c>
      <c r="U791" s="18" t="s">
        <v>3583</v>
      </c>
      <c r="V791" s="19" t="s">
        <v>29</v>
      </c>
      <c r="W791" s="19"/>
      <c r="X791" s="19"/>
      <c r="Y791" s="20"/>
      <c r="Z791" s="19"/>
      <c r="AA791" s="18" t="str">
        <f aca="false">IF(OR(V791="Aprobada"),R791,IF(AND(OR(V791="Aprobada con ajuste",V791="Rechazada"),W791&lt;&gt;""),W791,""))</f>
        <v/>
      </c>
    </row>
    <row r="792" customFormat="false" ht="22.35" hidden="false" customHeight="false" outlineLevel="0" collapsed="false">
      <c r="A792" s="18" t="s">
        <v>3584</v>
      </c>
      <c r="B792" s="18" t="s">
        <v>60</v>
      </c>
      <c r="C792" s="18" t="s">
        <v>61</v>
      </c>
      <c r="D792" s="18" t="s">
        <v>3565</v>
      </c>
      <c r="E792" s="18" t="n">
        <v>13</v>
      </c>
      <c r="F792" s="18" t="s">
        <v>3183</v>
      </c>
      <c r="G792" s="18" t="s">
        <v>128</v>
      </c>
      <c r="H792" s="18" t="s">
        <v>129</v>
      </c>
      <c r="I792" s="18"/>
      <c r="J792" s="18"/>
      <c r="K792" s="18"/>
      <c r="L792" s="18" t="s">
        <v>129</v>
      </c>
      <c r="M792" s="18" t="s">
        <v>129</v>
      </c>
      <c r="N792" s="18"/>
      <c r="O792" s="18"/>
      <c r="P792" s="18" t="s">
        <v>3585</v>
      </c>
      <c r="Q792" s="18" t="s">
        <v>149</v>
      </c>
      <c r="R792" s="18" t="s">
        <v>3586</v>
      </c>
      <c r="S792" s="18" t="s">
        <v>133</v>
      </c>
      <c r="T792" s="18" t="s">
        <v>183</v>
      </c>
      <c r="U792" s="18"/>
      <c r="V792" s="19" t="s">
        <v>29</v>
      </c>
      <c r="W792" s="19"/>
      <c r="X792" s="19"/>
      <c r="Y792" s="20"/>
      <c r="Z792" s="19"/>
      <c r="AA792" s="18" t="str">
        <f aca="false">IF(OR(V792="Aprobada"),R792,IF(AND(OR(V792="Aprobada con ajuste",V792="Rechazada"),W792&lt;&gt;""),W792,""))</f>
        <v/>
      </c>
    </row>
    <row r="793" customFormat="false" ht="22.35" hidden="false" customHeight="false" outlineLevel="0" collapsed="false">
      <c r="A793" s="18" t="s">
        <v>3587</v>
      </c>
      <c r="B793" s="18" t="s">
        <v>60</v>
      </c>
      <c r="C793" s="18" t="s">
        <v>61</v>
      </c>
      <c r="D793" s="18" t="s">
        <v>3565</v>
      </c>
      <c r="E793" s="18" t="n">
        <v>13</v>
      </c>
      <c r="F793" s="18" t="s">
        <v>3588</v>
      </c>
      <c r="G793" s="18" t="s">
        <v>128</v>
      </c>
      <c r="H793" s="18" t="s">
        <v>162</v>
      </c>
      <c r="I793" s="18"/>
      <c r="J793" s="18"/>
      <c r="K793" s="18"/>
      <c r="L793" s="18" t="s">
        <v>129</v>
      </c>
      <c r="M793" s="18" t="s">
        <v>129</v>
      </c>
      <c r="N793" s="18"/>
      <c r="O793" s="18"/>
      <c r="P793" s="18" t="s">
        <v>3589</v>
      </c>
      <c r="Q793" s="18" t="s">
        <v>149</v>
      </c>
      <c r="R793" s="18" t="s">
        <v>3590</v>
      </c>
      <c r="S793" s="18" t="s">
        <v>140</v>
      </c>
      <c r="T793" s="18" t="s">
        <v>3591</v>
      </c>
      <c r="U793" s="18" t="s">
        <v>3592</v>
      </c>
      <c r="V793" s="19" t="s">
        <v>29</v>
      </c>
      <c r="W793" s="19"/>
      <c r="X793" s="19"/>
      <c r="Y793" s="20"/>
      <c r="Z793" s="19"/>
      <c r="AA793" s="18" t="str">
        <f aca="false">IF(OR(V793="Aprobada"),R793,IF(AND(OR(V793="Aprobada con ajuste",V793="Rechazada"),W793&lt;&gt;""),W793,""))</f>
        <v/>
      </c>
    </row>
    <row r="794" customFormat="false" ht="22.35" hidden="false" customHeight="false" outlineLevel="0" collapsed="false">
      <c r="A794" s="18" t="s">
        <v>3593</v>
      </c>
      <c r="B794" s="18" t="s">
        <v>60</v>
      </c>
      <c r="C794" s="18" t="s">
        <v>61</v>
      </c>
      <c r="D794" s="18" t="s">
        <v>3565</v>
      </c>
      <c r="E794" s="18" t="n">
        <v>13</v>
      </c>
      <c r="F794" s="18" t="s">
        <v>3594</v>
      </c>
      <c r="G794" s="18" t="s">
        <v>192</v>
      </c>
      <c r="H794" s="18" t="s">
        <v>162</v>
      </c>
      <c r="I794" s="18"/>
      <c r="J794" s="18"/>
      <c r="K794" s="18"/>
      <c r="L794" s="18" t="s">
        <v>129</v>
      </c>
      <c r="M794" s="18" t="s">
        <v>129</v>
      </c>
      <c r="N794" s="18"/>
      <c r="O794" s="18"/>
      <c r="P794" s="18" t="s">
        <v>3595</v>
      </c>
      <c r="Q794" s="18" t="s">
        <v>149</v>
      </c>
      <c r="R794" s="18" t="s">
        <v>3596</v>
      </c>
      <c r="S794" s="18" t="s">
        <v>140</v>
      </c>
      <c r="T794" s="18" t="s">
        <v>183</v>
      </c>
      <c r="U794" s="18" t="s">
        <v>3597</v>
      </c>
      <c r="V794" s="19" t="s">
        <v>29</v>
      </c>
      <c r="W794" s="19"/>
      <c r="X794" s="19"/>
      <c r="Y794" s="20"/>
      <c r="Z794" s="19"/>
      <c r="AA794" s="18" t="str">
        <f aca="false">IF(OR(V794="Aprobada"),R794,IF(AND(OR(V794="Aprobada con ajuste",V794="Rechazada"),W794&lt;&gt;""),W794,""))</f>
        <v/>
      </c>
    </row>
    <row r="795" customFormat="false" ht="32.8" hidden="false" customHeight="false" outlineLevel="0" collapsed="false">
      <c r="A795" s="18" t="s">
        <v>3598</v>
      </c>
      <c r="B795" s="18" t="s">
        <v>60</v>
      </c>
      <c r="C795" s="18" t="s">
        <v>61</v>
      </c>
      <c r="D795" s="18" t="s">
        <v>3565</v>
      </c>
      <c r="E795" s="18" t="n">
        <v>13</v>
      </c>
      <c r="F795" s="18" t="s">
        <v>185</v>
      </c>
      <c r="G795" s="18" t="s">
        <v>128</v>
      </c>
      <c r="H795" s="18" t="s">
        <v>129</v>
      </c>
      <c r="I795" s="18"/>
      <c r="J795" s="18"/>
      <c r="K795" s="18"/>
      <c r="L795" s="18" t="s">
        <v>129</v>
      </c>
      <c r="M795" s="18" t="s">
        <v>129</v>
      </c>
      <c r="N795" s="18"/>
      <c r="O795" s="18" t="s">
        <v>3599</v>
      </c>
      <c r="P795" s="18" t="s">
        <v>3600</v>
      </c>
      <c r="Q795" s="18" t="s">
        <v>138</v>
      </c>
      <c r="R795" s="18" t="s">
        <v>3601</v>
      </c>
      <c r="S795" s="18" t="s">
        <v>140</v>
      </c>
      <c r="T795" s="18" t="s">
        <v>141</v>
      </c>
      <c r="U795" s="18"/>
      <c r="V795" s="19" t="s">
        <v>29</v>
      </c>
      <c r="W795" s="19"/>
      <c r="X795" s="19"/>
      <c r="Y795" s="20"/>
      <c r="Z795" s="19"/>
      <c r="AA795" s="18" t="str">
        <f aca="false">IF(OR(V795="Aprobada"),R795,IF(AND(OR(V795="Aprobada con ajuste",V795="Rechazada"),W795&lt;&gt;""),W795,""))</f>
        <v/>
      </c>
    </row>
    <row r="796" customFormat="false" ht="22.35" hidden="false" customHeight="false" outlineLevel="0" collapsed="false">
      <c r="A796" s="18" t="s">
        <v>3602</v>
      </c>
      <c r="B796" s="18" t="s">
        <v>60</v>
      </c>
      <c r="C796" s="18" t="s">
        <v>61</v>
      </c>
      <c r="D796" s="18" t="s">
        <v>3565</v>
      </c>
      <c r="E796" s="18" t="n">
        <v>13</v>
      </c>
      <c r="F796" s="18" t="s">
        <v>3603</v>
      </c>
      <c r="G796" s="18" t="s">
        <v>128</v>
      </c>
      <c r="H796" s="18" t="s">
        <v>162</v>
      </c>
      <c r="I796" s="18"/>
      <c r="J796" s="18"/>
      <c r="K796" s="18"/>
      <c r="L796" s="18" t="s">
        <v>129</v>
      </c>
      <c r="M796" s="18" t="s">
        <v>129</v>
      </c>
      <c r="N796" s="18"/>
      <c r="O796" s="18"/>
      <c r="P796" s="18" t="s">
        <v>3604</v>
      </c>
      <c r="Q796" s="18" t="s">
        <v>149</v>
      </c>
      <c r="R796" s="18" t="s">
        <v>3605</v>
      </c>
      <c r="S796" s="18" t="s">
        <v>140</v>
      </c>
      <c r="T796" s="18" t="s">
        <v>183</v>
      </c>
      <c r="U796" s="18" t="s">
        <v>3606</v>
      </c>
      <c r="V796" s="19" t="s">
        <v>29</v>
      </c>
      <c r="W796" s="19"/>
      <c r="X796" s="19"/>
      <c r="Y796" s="20"/>
      <c r="Z796" s="19"/>
      <c r="AA796" s="18" t="str">
        <f aca="false">IF(OR(V796="Aprobada"),R796,IF(AND(OR(V796="Aprobada con ajuste",V796="Rechazada"),W796&lt;&gt;""),W796,""))</f>
        <v/>
      </c>
    </row>
    <row r="797" customFormat="false" ht="22.35" hidden="false" customHeight="false" outlineLevel="0" collapsed="false">
      <c r="A797" s="18" t="s">
        <v>3607</v>
      </c>
      <c r="B797" s="18" t="s">
        <v>60</v>
      </c>
      <c r="C797" s="18" t="s">
        <v>61</v>
      </c>
      <c r="D797" s="18" t="s">
        <v>3565</v>
      </c>
      <c r="E797" s="18" t="n">
        <v>13</v>
      </c>
      <c r="F797" s="18" t="s">
        <v>3608</v>
      </c>
      <c r="G797" s="18" t="s">
        <v>584</v>
      </c>
      <c r="H797" s="18" t="s">
        <v>162</v>
      </c>
      <c r="I797" s="18"/>
      <c r="J797" s="18"/>
      <c r="K797" s="18"/>
      <c r="L797" s="18" t="s">
        <v>129</v>
      </c>
      <c r="M797" s="18" t="s">
        <v>129</v>
      </c>
      <c r="N797" s="18"/>
      <c r="O797" s="18"/>
      <c r="P797" s="18" t="s">
        <v>3609</v>
      </c>
      <c r="Q797" s="18" t="s">
        <v>149</v>
      </c>
      <c r="R797" s="18" t="s">
        <v>3610</v>
      </c>
      <c r="S797" s="18" t="s">
        <v>133</v>
      </c>
      <c r="T797" s="18" t="s">
        <v>183</v>
      </c>
      <c r="U797" s="18"/>
      <c r="V797" s="19" t="s">
        <v>29</v>
      </c>
      <c r="W797" s="19"/>
      <c r="X797" s="19"/>
      <c r="Y797" s="20"/>
      <c r="Z797" s="19"/>
      <c r="AA797" s="18" t="str">
        <f aca="false">IF(OR(V797="Aprobada"),R797,IF(AND(OR(V797="Aprobada con ajuste",V797="Rechazada"),W797&lt;&gt;""),W797,""))</f>
        <v/>
      </c>
    </row>
    <row r="798" customFormat="false" ht="22.35" hidden="false" customHeight="false" outlineLevel="0" collapsed="false">
      <c r="A798" s="18" t="s">
        <v>3611</v>
      </c>
      <c r="B798" s="18" t="s">
        <v>60</v>
      </c>
      <c r="C798" s="18" t="s">
        <v>61</v>
      </c>
      <c r="D798" s="18" t="s">
        <v>3565</v>
      </c>
      <c r="E798" s="18" t="n">
        <v>13</v>
      </c>
      <c r="F798" s="18" t="s">
        <v>3612</v>
      </c>
      <c r="G798" s="18" t="s">
        <v>128</v>
      </c>
      <c r="H798" s="18" t="s">
        <v>162</v>
      </c>
      <c r="I798" s="18"/>
      <c r="J798" s="18"/>
      <c r="K798" s="18"/>
      <c r="L798" s="18" t="s">
        <v>129</v>
      </c>
      <c r="M798" s="18" t="s">
        <v>129</v>
      </c>
      <c r="N798" s="18"/>
      <c r="O798" s="18"/>
      <c r="P798" s="18" t="s">
        <v>3613</v>
      </c>
      <c r="Q798" s="18" t="s">
        <v>149</v>
      </c>
      <c r="R798" s="18" t="s">
        <v>3614</v>
      </c>
      <c r="S798" s="18" t="s">
        <v>133</v>
      </c>
      <c r="T798" s="18" t="s">
        <v>183</v>
      </c>
      <c r="U798" s="18"/>
      <c r="V798" s="19" t="s">
        <v>29</v>
      </c>
      <c r="W798" s="19"/>
      <c r="X798" s="19"/>
      <c r="Y798" s="20"/>
      <c r="Z798" s="19"/>
      <c r="AA798" s="18" t="str">
        <f aca="false">IF(OR(V798="Aprobada"),R798,IF(AND(OR(V798="Aprobada con ajuste",V798="Rechazada"),W798&lt;&gt;""),W798,""))</f>
        <v/>
      </c>
    </row>
    <row r="799" customFormat="false" ht="22.35" hidden="false" customHeight="false" outlineLevel="0" collapsed="false">
      <c r="A799" s="18" t="s">
        <v>3615</v>
      </c>
      <c r="B799" s="18" t="s">
        <v>60</v>
      </c>
      <c r="C799" s="18" t="s">
        <v>61</v>
      </c>
      <c r="D799" s="18" t="s">
        <v>3565</v>
      </c>
      <c r="E799" s="18" t="n">
        <v>13</v>
      </c>
      <c r="F799" s="18" t="s">
        <v>3616</v>
      </c>
      <c r="G799" s="18" t="s">
        <v>128</v>
      </c>
      <c r="H799" s="18" t="s">
        <v>162</v>
      </c>
      <c r="I799" s="18"/>
      <c r="J799" s="18"/>
      <c r="K799" s="18"/>
      <c r="L799" s="18" t="s">
        <v>129</v>
      </c>
      <c r="M799" s="18" t="s">
        <v>129</v>
      </c>
      <c r="N799" s="18"/>
      <c r="O799" s="18"/>
      <c r="P799" s="18" t="s">
        <v>3617</v>
      </c>
      <c r="Q799" s="18" t="s">
        <v>149</v>
      </c>
      <c r="R799" s="18" t="s">
        <v>3618</v>
      </c>
      <c r="S799" s="18" t="s">
        <v>140</v>
      </c>
      <c r="T799" s="18" t="s">
        <v>183</v>
      </c>
      <c r="U799" s="18" t="s">
        <v>3619</v>
      </c>
      <c r="V799" s="19" t="s">
        <v>29</v>
      </c>
      <c r="W799" s="19"/>
      <c r="X799" s="19"/>
      <c r="Y799" s="20"/>
      <c r="Z799" s="19"/>
      <c r="AA799" s="18" t="str">
        <f aca="false">IF(OR(V799="Aprobada"),R799,IF(AND(OR(V799="Aprobada con ajuste",V799="Rechazada"),W799&lt;&gt;""),W799,""))</f>
        <v/>
      </c>
    </row>
    <row r="800" customFormat="false" ht="22.35" hidden="false" customHeight="false" outlineLevel="0" collapsed="false">
      <c r="A800" s="18" t="s">
        <v>3620</v>
      </c>
      <c r="B800" s="18" t="s">
        <v>60</v>
      </c>
      <c r="C800" s="18" t="s">
        <v>61</v>
      </c>
      <c r="D800" s="18" t="s">
        <v>3565</v>
      </c>
      <c r="E800" s="18" t="n">
        <v>13</v>
      </c>
      <c r="F800" s="18" t="s">
        <v>3621</v>
      </c>
      <c r="G800" s="18" t="s">
        <v>128</v>
      </c>
      <c r="H800" s="18" t="s">
        <v>162</v>
      </c>
      <c r="I800" s="18"/>
      <c r="J800" s="18"/>
      <c r="K800" s="18"/>
      <c r="L800" s="18" t="s">
        <v>129</v>
      </c>
      <c r="M800" s="18" t="s">
        <v>129</v>
      </c>
      <c r="N800" s="18"/>
      <c r="O800" s="18"/>
      <c r="P800" s="18" t="s">
        <v>3622</v>
      </c>
      <c r="Q800" s="18" t="s">
        <v>149</v>
      </c>
      <c r="R800" s="18" t="s">
        <v>3623</v>
      </c>
      <c r="S800" s="18" t="s">
        <v>140</v>
      </c>
      <c r="T800" s="18" t="s">
        <v>183</v>
      </c>
      <c r="U800" s="18" t="s">
        <v>3624</v>
      </c>
      <c r="V800" s="19" t="s">
        <v>29</v>
      </c>
      <c r="W800" s="19"/>
      <c r="X800" s="19"/>
      <c r="Y800" s="20"/>
      <c r="Z800" s="19"/>
      <c r="AA800" s="18" t="str">
        <f aca="false">IF(OR(V800="Aprobada"),R800,IF(AND(OR(V800="Aprobada con ajuste",V800="Rechazada"),W800&lt;&gt;""),W800,""))</f>
        <v/>
      </c>
    </row>
    <row r="801" customFormat="false" ht="22.35" hidden="false" customHeight="false" outlineLevel="0" collapsed="false">
      <c r="A801" s="18" t="s">
        <v>3625</v>
      </c>
      <c r="B801" s="18" t="s">
        <v>60</v>
      </c>
      <c r="C801" s="18" t="s">
        <v>61</v>
      </c>
      <c r="D801" s="18" t="s">
        <v>3565</v>
      </c>
      <c r="E801" s="18" t="n">
        <v>13</v>
      </c>
      <c r="F801" s="18" t="s">
        <v>3626</v>
      </c>
      <c r="G801" s="18" t="s">
        <v>503</v>
      </c>
      <c r="H801" s="18" t="s">
        <v>162</v>
      </c>
      <c r="I801" s="18"/>
      <c r="J801" s="18"/>
      <c r="K801" s="18"/>
      <c r="L801" s="18" t="s">
        <v>129</v>
      </c>
      <c r="M801" s="18" t="s">
        <v>129</v>
      </c>
      <c r="N801" s="18"/>
      <c r="O801" s="18"/>
      <c r="P801" s="18" t="s">
        <v>3627</v>
      </c>
      <c r="Q801" s="18" t="s">
        <v>149</v>
      </c>
      <c r="R801" s="18" t="s">
        <v>3628</v>
      </c>
      <c r="S801" s="18" t="s">
        <v>133</v>
      </c>
      <c r="T801" s="18" t="s">
        <v>3629</v>
      </c>
      <c r="U801" s="18"/>
      <c r="V801" s="19" t="s">
        <v>29</v>
      </c>
      <c r="W801" s="19"/>
      <c r="X801" s="19"/>
      <c r="Y801" s="20"/>
      <c r="Z801" s="19"/>
      <c r="AA801" s="18" t="str">
        <f aca="false">IF(OR(V801="Aprobada"),R801,IF(AND(OR(V801="Aprobada con ajuste",V801="Rechazada"),W801&lt;&gt;""),W801,""))</f>
        <v/>
      </c>
    </row>
    <row r="802" customFormat="false" ht="22.35" hidden="false" customHeight="false" outlineLevel="0" collapsed="false">
      <c r="A802" s="18" t="s">
        <v>3630</v>
      </c>
      <c r="B802" s="18" t="s">
        <v>60</v>
      </c>
      <c r="C802" s="18" t="s">
        <v>61</v>
      </c>
      <c r="D802" s="18" t="s">
        <v>3565</v>
      </c>
      <c r="E802" s="18" t="n">
        <v>13</v>
      </c>
      <c r="F802" s="18" t="s">
        <v>3631</v>
      </c>
      <c r="G802" s="18" t="s">
        <v>503</v>
      </c>
      <c r="H802" s="18" t="s">
        <v>162</v>
      </c>
      <c r="I802" s="18"/>
      <c r="J802" s="18"/>
      <c r="K802" s="18"/>
      <c r="L802" s="18" t="s">
        <v>129</v>
      </c>
      <c r="M802" s="18" t="s">
        <v>129</v>
      </c>
      <c r="N802" s="18"/>
      <c r="O802" s="18"/>
      <c r="P802" s="18" t="s">
        <v>3632</v>
      </c>
      <c r="Q802" s="18" t="s">
        <v>149</v>
      </c>
      <c r="R802" s="18" t="s">
        <v>3633</v>
      </c>
      <c r="S802" s="18" t="s">
        <v>133</v>
      </c>
      <c r="T802" s="18" t="s">
        <v>3634</v>
      </c>
      <c r="U802" s="18"/>
      <c r="V802" s="19" t="s">
        <v>29</v>
      </c>
      <c r="W802" s="19"/>
      <c r="X802" s="19"/>
      <c r="Y802" s="20"/>
      <c r="Z802" s="19"/>
      <c r="AA802" s="18" t="str">
        <f aca="false">IF(OR(V802="Aprobada"),R802,IF(AND(OR(V802="Aprobada con ajuste",V802="Rechazada"),W802&lt;&gt;""),W802,""))</f>
        <v/>
      </c>
    </row>
    <row r="803" customFormat="false" ht="22.35" hidden="false" customHeight="false" outlineLevel="0" collapsed="false">
      <c r="A803" s="18" t="s">
        <v>3635</v>
      </c>
      <c r="B803" s="18" t="s">
        <v>60</v>
      </c>
      <c r="C803" s="18" t="s">
        <v>61</v>
      </c>
      <c r="D803" s="18" t="s">
        <v>3565</v>
      </c>
      <c r="E803" s="18" t="n">
        <v>13</v>
      </c>
      <c r="F803" s="18" t="s">
        <v>3636</v>
      </c>
      <c r="G803" s="18" t="s">
        <v>173</v>
      </c>
      <c r="H803" s="18" t="s">
        <v>129</v>
      </c>
      <c r="I803" s="18"/>
      <c r="J803" s="18"/>
      <c r="K803" s="18"/>
      <c r="L803" s="18" t="s">
        <v>129</v>
      </c>
      <c r="M803" s="18" t="s">
        <v>129</v>
      </c>
      <c r="N803" s="18"/>
      <c r="O803" s="18"/>
      <c r="P803" s="18" t="s">
        <v>3637</v>
      </c>
      <c r="Q803" s="18" t="s">
        <v>138</v>
      </c>
      <c r="R803" s="18" t="s">
        <v>3638</v>
      </c>
      <c r="S803" s="18" t="s">
        <v>140</v>
      </c>
      <c r="T803" s="18" t="s">
        <v>141</v>
      </c>
      <c r="U803" s="18"/>
      <c r="V803" s="19" t="s">
        <v>29</v>
      </c>
      <c r="W803" s="19"/>
      <c r="X803" s="19"/>
      <c r="Y803" s="20"/>
      <c r="Z803" s="19"/>
      <c r="AA803" s="18" t="str">
        <f aca="false">IF(OR(V803="Aprobada"),R803,IF(AND(OR(V803="Aprobada con ajuste",V803="Rechazada"),W803&lt;&gt;""),W803,""))</f>
        <v/>
      </c>
    </row>
    <row r="804" customFormat="false" ht="43.25" hidden="false" customHeight="false" outlineLevel="0" collapsed="false">
      <c r="A804" s="18" t="s">
        <v>3639</v>
      </c>
      <c r="B804" s="18" t="s">
        <v>60</v>
      </c>
      <c r="C804" s="18" t="s">
        <v>61</v>
      </c>
      <c r="D804" s="18" t="s">
        <v>3565</v>
      </c>
      <c r="E804" s="18" t="n">
        <v>13</v>
      </c>
      <c r="F804" s="18" t="s">
        <v>3640</v>
      </c>
      <c r="G804" s="18" t="s">
        <v>128</v>
      </c>
      <c r="H804" s="18" t="s">
        <v>129</v>
      </c>
      <c r="I804" s="18"/>
      <c r="J804" s="18"/>
      <c r="K804" s="18"/>
      <c r="L804" s="18" t="s">
        <v>129</v>
      </c>
      <c r="M804" s="18" t="s">
        <v>129</v>
      </c>
      <c r="N804" s="18"/>
      <c r="O804" s="18" t="s">
        <v>3641</v>
      </c>
      <c r="P804" s="18" t="s">
        <v>3642</v>
      </c>
      <c r="Q804" s="18" t="s">
        <v>131</v>
      </c>
      <c r="R804" s="18" t="s">
        <v>3643</v>
      </c>
      <c r="S804" s="18" t="s">
        <v>133</v>
      </c>
      <c r="T804" s="18" t="s">
        <v>3644</v>
      </c>
      <c r="U804" s="18"/>
      <c r="V804" s="19" t="s">
        <v>29</v>
      </c>
      <c r="W804" s="19"/>
      <c r="X804" s="19"/>
      <c r="Y804" s="20"/>
      <c r="Z804" s="19"/>
      <c r="AA804" s="18" t="str">
        <f aca="false">IF(OR(V804="Aprobada"),R804,IF(AND(OR(V804="Aprobada con ajuste",V804="Rechazada"),W804&lt;&gt;""),W804,""))</f>
        <v/>
      </c>
    </row>
    <row r="805" customFormat="false" ht="32.8" hidden="false" customHeight="false" outlineLevel="0" collapsed="false">
      <c r="A805" s="18" t="s">
        <v>3645</v>
      </c>
      <c r="B805" s="18" t="s">
        <v>60</v>
      </c>
      <c r="C805" s="18" t="s">
        <v>61</v>
      </c>
      <c r="D805" s="18" t="s">
        <v>3565</v>
      </c>
      <c r="E805" s="18" t="n">
        <v>13</v>
      </c>
      <c r="F805" s="18" t="s">
        <v>3646</v>
      </c>
      <c r="G805" s="18" t="s">
        <v>312</v>
      </c>
      <c r="H805" s="18" t="s">
        <v>162</v>
      </c>
      <c r="I805" s="18"/>
      <c r="J805" s="18"/>
      <c r="K805" s="18"/>
      <c r="L805" s="18" t="s">
        <v>129</v>
      </c>
      <c r="M805" s="18" t="s">
        <v>129</v>
      </c>
      <c r="N805" s="18"/>
      <c r="O805" s="18" t="s">
        <v>3647</v>
      </c>
      <c r="P805" s="18" t="s">
        <v>3648</v>
      </c>
      <c r="Q805" s="18" t="s">
        <v>149</v>
      </c>
      <c r="R805" s="18" t="s">
        <v>3649</v>
      </c>
      <c r="S805" s="18" t="s">
        <v>133</v>
      </c>
      <c r="T805" s="18" t="s">
        <v>1597</v>
      </c>
      <c r="U805" s="18"/>
      <c r="V805" s="19" t="s">
        <v>29</v>
      </c>
      <c r="W805" s="19"/>
      <c r="X805" s="19"/>
      <c r="Y805" s="20"/>
      <c r="Z805" s="19"/>
      <c r="AA805" s="18" t="str">
        <f aca="false">IF(OR(V805="Aprobada"),R805,IF(AND(OR(V805="Aprobada con ajuste",V805="Rechazada"),W805&lt;&gt;""),W805,""))</f>
        <v/>
      </c>
    </row>
    <row r="806" customFormat="false" ht="32.8" hidden="false" customHeight="false" outlineLevel="0" collapsed="false">
      <c r="A806" s="18" t="s">
        <v>3650</v>
      </c>
      <c r="B806" s="18" t="s">
        <v>60</v>
      </c>
      <c r="C806" s="18" t="s">
        <v>61</v>
      </c>
      <c r="D806" s="18" t="s">
        <v>3565</v>
      </c>
      <c r="E806" s="18" t="n">
        <v>13</v>
      </c>
      <c r="F806" s="18" t="s">
        <v>3651</v>
      </c>
      <c r="G806" s="18" t="s">
        <v>192</v>
      </c>
      <c r="H806" s="18" t="s">
        <v>162</v>
      </c>
      <c r="I806" s="18"/>
      <c r="J806" s="18"/>
      <c r="K806" s="18"/>
      <c r="L806" s="18" t="s">
        <v>129</v>
      </c>
      <c r="M806" s="18" t="s">
        <v>129</v>
      </c>
      <c r="N806" s="18"/>
      <c r="O806" s="18" t="s">
        <v>3652</v>
      </c>
      <c r="P806" s="18" t="s">
        <v>3653</v>
      </c>
      <c r="Q806" s="18" t="s">
        <v>131</v>
      </c>
      <c r="R806" s="18" t="s">
        <v>3654</v>
      </c>
      <c r="S806" s="18" t="s">
        <v>133</v>
      </c>
      <c r="T806" s="18" t="s">
        <v>3655</v>
      </c>
      <c r="U806" s="18"/>
      <c r="V806" s="19" t="s">
        <v>29</v>
      </c>
      <c r="W806" s="19"/>
      <c r="X806" s="19"/>
      <c r="Y806" s="20"/>
      <c r="Z806" s="19"/>
      <c r="AA806" s="18" t="str">
        <f aca="false">IF(OR(V806="Aprobada"),R806,IF(AND(OR(V806="Aprobada con ajuste",V806="Rechazada"),W806&lt;&gt;""),W806,""))</f>
        <v/>
      </c>
    </row>
    <row r="807" customFormat="false" ht="32.8" hidden="false" customHeight="false" outlineLevel="0" collapsed="false">
      <c r="A807" s="18" t="s">
        <v>3656</v>
      </c>
      <c r="B807" s="18" t="s">
        <v>60</v>
      </c>
      <c r="C807" s="18" t="s">
        <v>61</v>
      </c>
      <c r="D807" s="18" t="s">
        <v>3565</v>
      </c>
      <c r="E807" s="18" t="n">
        <v>13</v>
      </c>
      <c r="F807" s="18" t="s">
        <v>3657</v>
      </c>
      <c r="G807" s="18" t="s">
        <v>128</v>
      </c>
      <c r="H807" s="18" t="s">
        <v>162</v>
      </c>
      <c r="I807" s="18"/>
      <c r="J807" s="18"/>
      <c r="K807" s="18"/>
      <c r="L807" s="18" t="s">
        <v>129</v>
      </c>
      <c r="M807" s="18" t="s">
        <v>129</v>
      </c>
      <c r="N807" s="18"/>
      <c r="O807" s="18"/>
      <c r="P807" s="18" t="s">
        <v>3658</v>
      </c>
      <c r="Q807" s="18" t="s">
        <v>131</v>
      </c>
      <c r="R807" s="18" t="s">
        <v>3659</v>
      </c>
      <c r="S807" s="18" t="s">
        <v>133</v>
      </c>
      <c r="T807" s="18" t="s">
        <v>3660</v>
      </c>
      <c r="U807" s="18"/>
      <c r="V807" s="19" t="s">
        <v>29</v>
      </c>
      <c r="W807" s="19"/>
      <c r="X807" s="19"/>
      <c r="Y807" s="20"/>
      <c r="Z807" s="19"/>
      <c r="AA807" s="18" t="str">
        <f aca="false">IF(OR(V807="Aprobada"),R807,IF(AND(OR(V807="Aprobada con ajuste",V807="Rechazada"),W807&lt;&gt;""),W807,""))</f>
        <v/>
      </c>
    </row>
    <row r="808" customFormat="false" ht="32.8" hidden="false" customHeight="false" outlineLevel="0" collapsed="false">
      <c r="A808" s="18" t="s">
        <v>3661</v>
      </c>
      <c r="B808" s="18" t="s">
        <v>60</v>
      </c>
      <c r="C808" s="18" t="s">
        <v>61</v>
      </c>
      <c r="D808" s="18" t="s">
        <v>3662</v>
      </c>
      <c r="E808" s="18" t="n">
        <v>21</v>
      </c>
      <c r="F808" s="18" t="s">
        <v>275</v>
      </c>
      <c r="G808" s="18" t="s">
        <v>128</v>
      </c>
      <c r="H808" s="18" t="s">
        <v>129</v>
      </c>
      <c r="I808" s="18"/>
      <c r="J808" s="18"/>
      <c r="K808" s="18"/>
      <c r="L808" s="18" t="s">
        <v>162</v>
      </c>
      <c r="M808" s="18" t="s">
        <v>162</v>
      </c>
      <c r="N808" s="18" t="s">
        <v>3663</v>
      </c>
      <c r="O808" s="18" t="s">
        <v>3664</v>
      </c>
      <c r="P808" s="18" t="s">
        <v>3665</v>
      </c>
      <c r="Q808" s="18" t="s">
        <v>138</v>
      </c>
      <c r="R808" s="18" t="s">
        <v>3666</v>
      </c>
      <c r="S808" s="18" t="s">
        <v>140</v>
      </c>
      <c r="T808" s="18" t="s">
        <v>141</v>
      </c>
      <c r="U808" s="18"/>
      <c r="V808" s="19" t="s">
        <v>29</v>
      </c>
      <c r="W808" s="19"/>
      <c r="X808" s="19"/>
      <c r="Y808" s="20"/>
      <c r="Z808" s="19"/>
      <c r="AA808" s="18" t="str">
        <f aca="false">IF(OR(V808="Aprobada"),R808,IF(AND(OR(V808="Aprobada con ajuste",V808="Rechazada"),W808&lt;&gt;""),W808,""))</f>
        <v/>
      </c>
    </row>
    <row r="809" customFormat="false" ht="32.8" hidden="false" customHeight="false" outlineLevel="0" collapsed="false">
      <c r="A809" s="18" t="s">
        <v>3667</v>
      </c>
      <c r="B809" s="18" t="s">
        <v>60</v>
      </c>
      <c r="C809" s="18" t="s">
        <v>61</v>
      </c>
      <c r="D809" s="18" t="s">
        <v>3662</v>
      </c>
      <c r="E809" s="18" t="n">
        <v>21</v>
      </c>
      <c r="F809" s="18" t="s">
        <v>611</v>
      </c>
      <c r="G809" s="18" t="s">
        <v>128</v>
      </c>
      <c r="H809" s="18" t="s">
        <v>162</v>
      </c>
      <c r="I809" s="18"/>
      <c r="J809" s="18"/>
      <c r="K809" s="18"/>
      <c r="L809" s="18" t="s">
        <v>162</v>
      </c>
      <c r="M809" s="18" t="s">
        <v>162</v>
      </c>
      <c r="N809" s="18" t="s">
        <v>3663</v>
      </c>
      <c r="O809" s="18" t="s">
        <v>3668</v>
      </c>
      <c r="P809" s="18" t="s">
        <v>3669</v>
      </c>
      <c r="Q809" s="18" t="s">
        <v>138</v>
      </c>
      <c r="R809" s="18" t="s">
        <v>3670</v>
      </c>
      <c r="S809" s="18" t="s">
        <v>140</v>
      </c>
      <c r="T809" s="18" t="s">
        <v>141</v>
      </c>
      <c r="U809" s="18"/>
      <c r="V809" s="19" t="s">
        <v>29</v>
      </c>
      <c r="W809" s="19"/>
      <c r="X809" s="19"/>
      <c r="Y809" s="20"/>
      <c r="Z809" s="19"/>
      <c r="AA809" s="18" t="str">
        <f aca="false">IF(OR(V809="Aprobada"),R809,IF(AND(OR(V809="Aprobada con ajuste",V809="Rechazada"),W809&lt;&gt;""),W809,""))</f>
        <v/>
      </c>
    </row>
    <row r="810" customFormat="false" ht="32.8" hidden="false" customHeight="false" outlineLevel="0" collapsed="false">
      <c r="A810" s="18" t="s">
        <v>3671</v>
      </c>
      <c r="B810" s="18" t="s">
        <v>60</v>
      </c>
      <c r="C810" s="18" t="s">
        <v>61</v>
      </c>
      <c r="D810" s="18" t="s">
        <v>3672</v>
      </c>
      <c r="E810" s="18" t="n">
        <v>16</v>
      </c>
      <c r="F810" s="18" t="s">
        <v>611</v>
      </c>
      <c r="G810" s="18" t="s">
        <v>828</v>
      </c>
      <c r="H810" s="18" t="s">
        <v>129</v>
      </c>
      <c r="I810" s="18" t="s">
        <v>146</v>
      </c>
      <c r="J810" s="18"/>
      <c r="K810" s="18"/>
      <c r="L810" s="18" t="s">
        <v>162</v>
      </c>
      <c r="M810" s="18" t="s">
        <v>129</v>
      </c>
      <c r="N810" s="18"/>
      <c r="O810" s="18" t="s">
        <v>3673</v>
      </c>
      <c r="P810" s="18" t="s">
        <v>3674</v>
      </c>
      <c r="Q810" s="18" t="s">
        <v>138</v>
      </c>
      <c r="R810" s="18" t="s">
        <v>3675</v>
      </c>
      <c r="S810" s="18" t="s">
        <v>140</v>
      </c>
      <c r="T810" s="18" t="s">
        <v>141</v>
      </c>
      <c r="U810" s="18"/>
      <c r="V810" s="19" t="s">
        <v>29</v>
      </c>
      <c r="W810" s="19"/>
      <c r="X810" s="19"/>
      <c r="Y810" s="20"/>
      <c r="Z810" s="19"/>
      <c r="AA810" s="18" t="str">
        <f aca="false">IF(OR(V810="Aprobada"),R810,IF(AND(OR(V810="Aprobada con ajuste",V810="Rechazada"),W810&lt;&gt;""),W810,""))</f>
        <v/>
      </c>
    </row>
    <row r="811" customFormat="false" ht="32.8" hidden="false" customHeight="false" outlineLevel="0" collapsed="false">
      <c r="A811" s="18" t="s">
        <v>3676</v>
      </c>
      <c r="B811" s="18" t="s">
        <v>60</v>
      </c>
      <c r="C811" s="18" t="s">
        <v>61</v>
      </c>
      <c r="D811" s="18" t="s">
        <v>3672</v>
      </c>
      <c r="E811" s="18" t="n">
        <v>16</v>
      </c>
      <c r="F811" s="18" t="s">
        <v>3677</v>
      </c>
      <c r="G811" s="18" t="s">
        <v>186</v>
      </c>
      <c r="H811" s="18" t="s">
        <v>129</v>
      </c>
      <c r="I811" s="18" t="s">
        <v>146</v>
      </c>
      <c r="J811" s="18"/>
      <c r="K811" s="18"/>
      <c r="L811" s="18" t="s">
        <v>162</v>
      </c>
      <c r="M811" s="18" t="s">
        <v>129</v>
      </c>
      <c r="N811" s="18"/>
      <c r="O811" s="18" t="s">
        <v>3678</v>
      </c>
      <c r="P811" s="18" t="s">
        <v>3679</v>
      </c>
      <c r="Q811" s="18" t="s">
        <v>149</v>
      </c>
      <c r="R811" s="18" t="s">
        <v>3680</v>
      </c>
      <c r="S811" s="18" t="s">
        <v>133</v>
      </c>
      <c r="T811" s="18" t="s">
        <v>335</v>
      </c>
      <c r="U811" s="18"/>
      <c r="V811" s="19" t="s">
        <v>29</v>
      </c>
      <c r="W811" s="19"/>
      <c r="X811" s="19"/>
      <c r="Y811" s="20"/>
      <c r="Z811" s="19"/>
      <c r="AA811" s="18" t="str">
        <f aca="false">IF(OR(V811="Aprobada"),R811,IF(AND(OR(V811="Aprobada con ajuste",V811="Rechazada"),W811&lt;&gt;""),W811,""))</f>
        <v/>
      </c>
    </row>
    <row r="812" customFormat="false" ht="43.25" hidden="false" customHeight="false" outlineLevel="0" collapsed="false">
      <c r="A812" s="18" t="s">
        <v>3681</v>
      </c>
      <c r="B812" s="18" t="s">
        <v>60</v>
      </c>
      <c r="C812" s="18" t="s">
        <v>61</v>
      </c>
      <c r="D812" s="18" t="s">
        <v>3672</v>
      </c>
      <c r="E812" s="18" t="n">
        <v>16</v>
      </c>
      <c r="F812" s="18" t="s">
        <v>3682</v>
      </c>
      <c r="G812" s="18" t="s">
        <v>205</v>
      </c>
      <c r="H812" s="18" t="s">
        <v>129</v>
      </c>
      <c r="I812" s="18" t="s">
        <v>298</v>
      </c>
      <c r="J812" s="18" t="s">
        <v>1995</v>
      </c>
      <c r="K812" s="18"/>
      <c r="L812" s="18" t="s">
        <v>162</v>
      </c>
      <c r="M812" s="18" t="s">
        <v>129</v>
      </c>
      <c r="N812" s="18"/>
      <c r="O812" s="18"/>
      <c r="P812" s="18" t="s">
        <v>3683</v>
      </c>
      <c r="Q812" s="18" t="s">
        <v>131</v>
      </c>
      <c r="R812" s="18" t="s">
        <v>3684</v>
      </c>
      <c r="S812" s="18" t="s">
        <v>133</v>
      </c>
      <c r="T812" s="18" t="s">
        <v>3685</v>
      </c>
      <c r="U812" s="18"/>
      <c r="V812" s="19" t="s">
        <v>29</v>
      </c>
      <c r="W812" s="19"/>
      <c r="X812" s="19"/>
      <c r="Y812" s="20"/>
      <c r="Z812" s="19"/>
      <c r="AA812" s="18" t="str">
        <f aca="false">IF(OR(V812="Aprobada"),R812,IF(AND(OR(V812="Aprobada con ajuste",V812="Rechazada"),W812&lt;&gt;""),W812,""))</f>
        <v/>
      </c>
    </row>
    <row r="813" customFormat="false" ht="32.8" hidden="false" customHeight="false" outlineLevel="0" collapsed="false">
      <c r="A813" s="18" t="s">
        <v>3686</v>
      </c>
      <c r="B813" s="18" t="s">
        <v>60</v>
      </c>
      <c r="C813" s="18" t="s">
        <v>61</v>
      </c>
      <c r="D813" s="18" t="s">
        <v>3672</v>
      </c>
      <c r="E813" s="18" t="n">
        <v>16</v>
      </c>
      <c r="F813" s="18" t="s">
        <v>937</v>
      </c>
      <c r="G813" s="18" t="s">
        <v>358</v>
      </c>
      <c r="H813" s="18" t="s">
        <v>129</v>
      </c>
      <c r="I813" s="18"/>
      <c r="J813" s="18"/>
      <c r="K813" s="18"/>
      <c r="L813" s="18" t="s">
        <v>162</v>
      </c>
      <c r="M813" s="18" t="s">
        <v>129</v>
      </c>
      <c r="N813" s="18"/>
      <c r="O813" s="18"/>
      <c r="P813" s="18" t="s">
        <v>3687</v>
      </c>
      <c r="Q813" s="18" t="s">
        <v>138</v>
      </c>
      <c r="R813" s="18" t="s">
        <v>939</v>
      </c>
      <c r="S813" s="18" t="s">
        <v>140</v>
      </c>
      <c r="T813" s="18" t="s">
        <v>141</v>
      </c>
      <c r="U813" s="18"/>
      <c r="V813" s="19" t="s">
        <v>29</v>
      </c>
      <c r="W813" s="19"/>
      <c r="X813" s="19"/>
      <c r="Y813" s="20"/>
      <c r="Z813" s="19"/>
      <c r="AA813" s="18" t="str">
        <f aca="false">IF(OR(V813="Aprobada"),R813,IF(AND(OR(V813="Aprobada con ajuste",V813="Rechazada"),W813&lt;&gt;""),W813,""))</f>
        <v/>
      </c>
    </row>
    <row r="814" customFormat="false" ht="32.8" hidden="false" customHeight="false" outlineLevel="0" collapsed="false">
      <c r="A814" s="18" t="s">
        <v>3688</v>
      </c>
      <c r="B814" s="18" t="s">
        <v>60</v>
      </c>
      <c r="C814" s="18" t="s">
        <v>61</v>
      </c>
      <c r="D814" s="18" t="s">
        <v>3689</v>
      </c>
      <c r="E814" s="18" t="n">
        <v>283</v>
      </c>
      <c r="F814" s="18" t="s">
        <v>1127</v>
      </c>
      <c r="G814" s="18" t="s">
        <v>128</v>
      </c>
      <c r="H814" s="18" t="s">
        <v>129</v>
      </c>
      <c r="I814" s="18"/>
      <c r="J814" s="18"/>
      <c r="K814" s="18"/>
      <c r="L814" s="18" t="s">
        <v>129</v>
      </c>
      <c r="M814" s="18" t="s">
        <v>129</v>
      </c>
      <c r="N814" s="18"/>
      <c r="O814" s="18" t="s">
        <v>3690</v>
      </c>
      <c r="P814" s="18" t="s">
        <v>3691</v>
      </c>
      <c r="Q814" s="18" t="s">
        <v>138</v>
      </c>
      <c r="R814" s="18" t="s">
        <v>1129</v>
      </c>
      <c r="S814" s="18" t="s">
        <v>140</v>
      </c>
      <c r="T814" s="18" t="s">
        <v>141</v>
      </c>
      <c r="U814" s="18"/>
      <c r="V814" s="19" t="s">
        <v>29</v>
      </c>
      <c r="W814" s="19"/>
      <c r="X814" s="19"/>
      <c r="Y814" s="20"/>
      <c r="Z814" s="19"/>
      <c r="AA814" s="18" t="str">
        <f aca="false">IF(OR(V814="Aprobada"),R814,IF(AND(OR(V814="Aprobada con ajuste",V814="Rechazada"),W814&lt;&gt;""),W814,""))</f>
        <v/>
      </c>
    </row>
    <row r="815" customFormat="false" ht="32.8" hidden="false" customHeight="false" outlineLevel="0" collapsed="false">
      <c r="A815" s="18" t="s">
        <v>3692</v>
      </c>
      <c r="B815" s="18" t="s">
        <v>60</v>
      </c>
      <c r="C815" s="18" t="s">
        <v>61</v>
      </c>
      <c r="D815" s="18" t="s">
        <v>3689</v>
      </c>
      <c r="E815" s="18" t="n">
        <v>283</v>
      </c>
      <c r="F815" s="18" t="s">
        <v>3693</v>
      </c>
      <c r="G815" s="18" t="s">
        <v>128</v>
      </c>
      <c r="H815" s="18" t="s">
        <v>129</v>
      </c>
      <c r="I815" s="18"/>
      <c r="J815" s="18"/>
      <c r="K815" s="18"/>
      <c r="L815" s="18" t="s">
        <v>129</v>
      </c>
      <c r="M815" s="18" t="s">
        <v>129</v>
      </c>
      <c r="N815" s="18"/>
      <c r="O815" s="18"/>
      <c r="P815" s="18" t="s">
        <v>3694</v>
      </c>
      <c r="Q815" s="18" t="s">
        <v>149</v>
      </c>
      <c r="R815" s="18" t="s">
        <v>3695</v>
      </c>
      <c r="S815" s="18" t="s">
        <v>140</v>
      </c>
      <c r="T815" s="18" t="s">
        <v>3696</v>
      </c>
      <c r="U815" s="18" t="s">
        <v>3697</v>
      </c>
      <c r="V815" s="19" t="s">
        <v>29</v>
      </c>
      <c r="W815" s="19"/>
      <c r="X815" s="19"/>
      <c r="Y815" s="20"/>
      <c r="Z815" s="19"/>
      <c r="AA815" s="18" t="str">
        <f aca="false">IF(OR(V815="Aprobada"),R815,IF(AND(OR(V815="Aprobada con ajuste",V815="Rechazada"),W815&lt;&gt;""),W815,""))</f>
        <v/>
      </c>
    </row>
    <row r="816" customFormat="false" ht="32.8" hidden="false" customHeight="false" outlineLevel="0" collapsed="false">
      <c r="A816" s="18" t="s">
        <v>3698</v>
      </c>
      <c r="B816" s="18" t="s">
        <v>60</v>
      </c>
      <c r="C816" s="18" t="s">
        <v>61</v>
      </c>
      <c r="D816" s="18" t="s">
        <v>3689</v>
      </c>
      <c r="E816" s="18" t="n">
        <v>283</v>
      </c>
      <c r="F816" s="18" t="s">
        <v>275</v>
      </c>
      <c r="G816" s="18" t="s">
        <v>128</v>
      </c>
      <c r="H816" s="18" t="s">
        <v>162</v>
      </c>
      <c r="I816" s="18"/>
      <c r="J816" s="18"/>
      <c r="K816" s="18"/>
      <c r="L816" s="18" t="s">
        <v>129</v>
      </c>
      <c r="M816" s="18" t="s">
        <v>129</v>
      </c>
      <c r="N816" s="18"/>
      <c r="O816" s="18"/>
      <c r="P816" s="18" t="s">
        <v>3699</v>
      </c>
      <c r="Q816" s="18" t="s">
        <v>138</v>
      </c>
      <c r="R816" s="18" t="s">
        <v>3700</v>
      </c>
      <c r="S816" s="18" t="s">
        <v>140</v>
      </c>
      <c r="T816" s="18" t="s">
        <v>141</v>
      </c>
      <c r="U816" s="18"/>
      <c r="V816" s="19" t="s">
        <v>29</v>
      </c>
      <c r="W816" s="19"/>
      <c r="X816" s="19"/>
      <c r="Y816" s="20"/>
      <c r="Z816" s="19"/>
      <c r="AA816" s="18" t="str">
        <f aca="false">IF(OR(V816="Aprobada"),R816,IF(AND(OR(V816="Aprobada con ajuste",V816="Rechazada"),W816&lt;&gt;""),W816,""))</f>
        <v/>
      </c>
    </row>
    <row r="817" customFormat="false" ht="32.8" hidden="false" customHeight="false" outlineLevel="0" collapsed="false">
      <c r="A817" s="18" t="s">
        <v>3701</v>
      </c>
      <c r="B817" s="18" t="s">
        <v>60</v>
      </c>
      <c r="C817" s="18" t="s">
        <v>61</v>
      </c>
      <c r="D817" s="18" t="s">
        <v>3689</v>
      </c>
      <c r="E817" s="18" t="n">
        <v>283</v>
      </c>
      <c r="F817" s="18" t="s">
        <v>172</v>
      </c>
      <c r="G817" s="18" t="s">
        <v>173</v>
      </c>
      <c r="H817" s="18" t="s">
        <v>129</v>
      </c>
      <c r="I817" s="18"/>
      <c r="J817" s="18"/>
      <c r="K817" s="18"/>
      <c r="L817" s="18" t="s">
        <v>129</v>
      </c>
      <c r="M817" s="18" t="s">
        <v>129</v>
      </c>
      <c r="N817" s="18"/>
      <c r="O817" s="18"/>
      <c r="P817" s="18" t="s">
        <v>3702</v>
      </c>
      <c r="Q817" s="18" t="s">
        <v>138</v>
      </c>
      <c r="R817" s="18" t="s">
        <v>176</v>
      </c>
      <c r="S817" s="18" t="s">
        <v>140</v>
      </c>
      <c r="T817" s="18" t="s">
        <v>141</v>
      </c>
      <c r="U817" s="18"/>
      <c r="V817" s="19" t="s">
        <v>29</v>
      </c>
      <c r="W817" s="19"/>
      <c r="X817" s="19"/>
      <c r="Y817" s="20"/>
      <c r="Z817" s="19"/>
      <c r="AA817" s="18" t="str">
        <f aca="false">IF(OR(V817="Aprobada"),R817,IF(AND(OR(V817="Aprobada con ajuste",V817="Rechazada"),W817&lt;&gt;""),W817,""))</f>
        <v/>
      </c>
    </row>
    <row r="818" customFormat="false" ht="22.35" hidden="false" customHeight="false" outlineLevel="0" collapsed="false">
      <c r="A818" s="18" t="s">
        <v>3703</v>
      </c>
      <c r="B818" s="18" t="s">
        <v>60</v>
      </c>
      <c r="C818" s="18" t="s">
        <v>61</v>
      </c>
      <c r="D818" s="18" t="s">
        <v>3704</v>
      </c>
      <c r="E818" s="18" t="n">
        <v>12000</v>
      </c>
      <c r="F818" s="18" t="s">
        <v>3705</v>
      </c>
      <c r="G818" s="18" t="s">
        <v>486</v>
      </c>
      <c r="H818" s="18" t="s">
        <v>129</v>
      </c>
      <c r="I818" s="18"/>
      <c r="J818" s="18"/>
      <c r="K818" s="18"/>
      <c r="L818" s="18" t="s">
        <v>129</v>
      </c>
      <c r="M818" s="18" t="s">
        <v>129</v>
      </c>
      <c r="N818" s="18"/>
      <c r="O818" s="18" t="s">
        <v>3706</v>
      </c>
      <c r="P818" s="18"/>
      <c r="Q818" s="18" t="s">
        <v>149</v>
      </c>
      <c r="R818" s="18" t="s">
        <v>3707</v>
      </c>
      <c r="S818" s="18" t="s">
        <v>140</v>
      </c>
      <c r="T818" s="18" t="s">
        <v>3708</v>
      </c>
      <c r="U818" s="18" t="s">
        <v>3709</v>
      </c>
      <c r="V818" s="19" t="s">
        <v>29</v>
      </c>
      <c r="W818" s="19"/>
      <c r="X818" s="19"/>
      <c r="Y818" s="20"/>
      <c r="Z818" s="19"/>
      <c r="AA818" s="18" t="str">
        <f aca="false">IF(OR(V818="Aprobada"),R818,IF(AND(OR(V818="Aprobada con ajuste",V818="Rechazada"),W818&lt;&gt;""),W818,""))</f>
        <v/>
      </c>
    </row>
    <row r="819" customFormat="false" ht="22.35" hidden="false" customHeight="false" outlineLevel="0" collapsed="false">
      <c r="A819" s="18" t="s">
        <v>3710</v>
      </c>
      <c r="B819" s="18" t="s">
        <v>60</v>
      </c>
      <c r="C819" s="18" t="s">
        <v>61</v>
      </c>
      <c r="D819" s="18" t="s">
        <v>3704</v>
      </c>
      <c r="E819" s="18" t="n">
        <v>12000</v>
      </c>
      <c r="F819" s="18" t="s">
        <v>3711</v>
      </c>
      <c r="G819" s="18" t="s">
        <v>486</v>
      </c>
      <c r="H819" s="18" t="s">
        <v>129</v>
      </c>
      <c r="I819" s="18"/>
      <c r="J819" s="18"/>
      <c r="K819" s="18"/>
      <c r="L819" s="18" t="s">
        <v>129</v>
      </c>
      <c r="M819" s="18" t="s">
        <v>129</v>
      </c>
      <c r="N819" s="18"/>
      <c r="O819" s="18"/>
      <c r="P819" s="18"/>
      <c r="Q819" s="18" t="s">
        <v>149</v>
      </c>
      <c r="R819" s="18" t="s">
        <v>3712</v>
      </c>
      <c r="S819" s="18" t="s">
        <v>140</v>
      </c>
      <c r="T819" s="18" t="s">
        <v>183</v>
      </c>
      <c r="U819" s="18" t="s">
        <v>3713</v>
      </c>
      <c r="V819" s="19" t="s">
        <v>29</v>
      </c>
      <c r="W819" s="19"/>
      <c r="X819" s="19"/>
      <c r="Y819" s="20"/>
      <c r="Z819" s="19"/>
      <c r="AA819" s="18" t="str">
        <f aca="false">IF(OR(V819="Aprobada"),R819,IF(AND(OR(V819="Aprobada con ajuste",V819="Rechazada"),W819&lt;&gt;""),W819,""))</f>
        <v/>
      </c>
    </row>
    <row r="820" customFormat="false" ht="32.8" hidden="false" customHeight="false" outlineLevel="0" collapsed="false">
      <c r="A820" s="18" t="s">
        <v>3714</v>
      </c>
      <c r="B820" s="18" t="s">
        <v>60</v>
      </c>
      <c r="C820" s="18" t="s">
        <v>61</v>
      </c>
      <c r="D820" s="18" t="s">
        <v>3704</v>
      </c>
      <c r="E820" s="18" t="n">
        <v>12000</v>
      </c>
      <c r="F820" s="18" t="s">
        <v>3715</v>
      </c>
      <c r="G820" s="18" t="s">
        <v>128</v>
      </c>
      <c r="H820" s="18" t="s">
        <v>162</v>
      </c>
      <c r="I820" s="18"/>
      <c r="J820" s="18"/>
      <c r="K820" s="18"/>
      <c r="L820" s="18" t="s">
        <v>129</v>
      </c>
      <c r="M820" s="18" t="s">
        <v>129</v>
      </c>
      <c r="N820" s="18"/>
      <c r="O820" s="18"/>
      <c r="P820" s="18"/>
      <c r="Q820" s="18" t="s">
        <v>149</v>
      </c>
      <c r="R820" s="18" t="s">
        <v>3716</v>
      </c>
      <c r="S820" s="18" t="s">
        <v>140</v>
      </c>
      <c r="T820" s="18" t="s">
        <v>183</v>
      </c>
      <c r="U820" s="18" t="s">
        <v>3717</v>
      </c>
      <c r="V820" s="19" t="s">
        <v>29</v>
      </c>
      <c r="W820" s="19"/>
      <c r="X820" s="19"/>
      <c r="Y820" s="20"/>
      <c r="Z820" s="19"/>
      <c r="AA820" s="18" t="str">
        <f aca="false">IF(OR(V820="Aprobada"),R820,IF(AND(OR(V820="Aprobada con ajuste",V820="Rechazada"),W820&lt;&gt;""),W820,""))</f>
        <v/>
      </c>
    </row>
    <row r="821" customFormat="false" ht="32.8" hidden="false" customHeight="false" outlineLevel="0" collapsed="false">
      <c r="A821" s="18" t="s">
        <v>3718</v>
      </c>
      <c r="B821" s="18" t="s">
        <v>60</v>
      </c>
      <c r="C821" s="18" t="s">
        <v>61</v>
      </c>
      <c r="D821" s="18" t="s">
        <v>3704</v>
      </c>
      <c r="E821" s="18" t="n">
        <v>12000</v>
      </c>
      <c r="F821" s="18" t="s">
        <v>3719</v>
      </c>
      <c r="G821" s="18" t="s">
        <v>186</v>
      </c>
      <c r="H821" s="18" t="s">
        <v>129</v>
      </c>
      <c r="I821" s="18" t="s">
        <v>298</v>
      </c>
      <c r="J821" s="18" t="s">
        <v>3720</v>
      </c>
      <c r="K821" s="18"/>
      <c r="L821" s="18" t="s">
        <v>162</v>
      </c>
      <c r="M821" s="18" t="s">
        <v>129</v>
      </c>
      <c r="N821" s="18"/>
      <c r="O821" s="18"/>
      <c r="P821" s="18"/>
      <c r="Q821" s="18" t="s">
        <v>149</v>
      </c>
      <c r="R821" s="18" t="s">
        <v>3721</v>
      </c>
      <c r="S821" s="18" t="s">
        <v>133</v>
      </c>
      <c r="T821" s="18" t="s">
        <v>801</v>
      </c>
      <c r="U821" s="18"/>
      <c r="V821" s="19" t="s">
        <v>29</v>
      </c>
      <c r="W821" s="19"/>
      <c r="X821" s="19"/>
      <c r="Y821" s="20"/>
      <c r="Z821" s="19"/>
      <c r="AA821" s="18" t="str">
        <f aca="false">IF(OR(V821="Aprobada"),R821,IF(AND(OR(V821="Aprobada con ajuste",V821="Rechazada"),W821&lt;&gt;""),W821,""))</f>
        <v/>
      </c>
    </row>
    <row r="822" customFormat="false" ht="22.35" hidden="false" customHeight="false" outlineLevel="0" collapsed="false">
      <c r="A822" s="18" t="s">
        <v>3722</v>
      </c>
      <c r="B822" s="18" t="s">
        <v>60</v>
      </c>
      <c r="C822" s="18" t="s">
        <v>61</v>
      </c>
      <c r="D822" s="18" t="s">
        <v>3704</v>
      </c>
      <c r="E822" s="18" t="n">
        <v>12000</v>
      </c>
      <c r="F822" s="18" t="s">
        <v>3723</v>
      </c>
      <c r="G822" s="18" t="s">
        <v>317</v>
      </c>
      <c r="H822" s="18" t="s">
        <v>162</v>
      </c>
      <c r="I822" s="18"/>
      <c r="J822" s="18"/>
      <c r="K822" s="18"/>
      <c r="L822" s="18" t="s">
        <v>129</v>
      </c>
      <c r="M822" s="18" t="s">
        <v>129</v>
      </c>
      <c r="N822" s="18"/>
      <c r="O822" s="18"/>
      <c r="P822" s="18"/>
      <c r="Q822" s="18" t="s">
        <v>138</v>
      </c>
      <c r="R822" s="18" t="s">
        <v>3724</v>
      </c>
      <c r="S822" s="18" t="s">
        <v>140</v>
      </c>
      <c r="T822" s="18" t="s">
        <v>141</v>
      </c>
      <c r="U822" s="18"/>
      <c r="V822" s="19" t="s">
        <v>29</v>
      </c>
      <c r="W822" s="19"/>
      <c r="X822" s="19"/>
      <c r="Y822" s="20"/>
      <c r="Z822" s="19"/>
      <c r="AA822" s="18" t="str">
        <f aca="false">IF(OR(V822="Aprobada"),R822,IF(AND(OR(V822="Aprobada con ajuste",V822="Rechazada"),W822&lt;&gt;""),W822,""))</f>
        <v/>
      </c>
    </row>
    <row r="823" customFormat="false" ht="22.35" hidden="false" customHeight="false" outlineLevel="0" collapsed="false">
      <c r="A823" s="18" t="s">
        <v>3725</v>
      </c>
      <c r="B823" s="18" t="s">
        <v>60</v>
      </c>
      <c r="C823" s="18" t="s">
        <v>61</v>
      </c>
      <c r="D823" s="18" t="s">
        <v>3704</v>
      </c>
      <c r="E823" s="18" t="n">
        <v>12000</v>
      </c>
      <c r="F823" s="18" t="s">
        <v>316</v>
      </c>
      <c r="G823" s="18" t="s">
        <v>317</v>
      </c>
      <c r="H823" s="18" t="s">
        <v>162</v>
      </c>
      <c r="I823" s="18"/>
      <c r="J823" s="18"/>
      <c r="K823" s="18"/>
      <c r="L823" s="18" t="s">
        <v>129</v>
      </c>
      <c r="M823" s="18" t="s">
        <v>129</v>
      </c>
      <c r="N823" s="18"/>
      <c r="O823" s="18"/>
      <c r="P823" s="18"/>
      <c r="Q823" s="18" t="s">
        <v>138</v>
      </c>
      <c r="R823" s="18" t="s">
        <v>319</v>
      </c>
      <c r="S823" s="18" t="s">
        <v>140</v>
      </c>
      <c r="T823" s="18" t="s">
        <v>141</v>
      </c>
      <c r="U823" s="18"/>
      <c r="V823" s="19" t="s">
        <v>29</v>
      </c>
      <c r="W823" s="19"/>
      <c r="X823" s="19"/>
      <c r="Y823" s="20"/>
      <c r="Z823" s="19"/>
      <c r="AA823" s="18" t="str">
        <f aca="false">IF(OR(V823="Aprobada"),R823,IF(AND(OR(V823="Aprobada con ajuste",V823="Rechazada"),W823&lt;&gt;""),W823,""))</f>
        <v/>
      </c>
    </row>
    <row r="824" customFormat="false" ht="22.35" hidden="false" customHeight="false" outlineLevel="0" collapsed="false">
      <c r="A824" s="18" t="s">
        <v>3726</v>
      </c>
      <c r="B824" s="18" t="s">
        <v>60</v>
      </c>
      <c r="C824" s="18" t="s">
        <v>61</v>
      </c>
      <c r="D824" s="18" t="s">
        <v>3704</v>
      </c>
      <c r="E824" s="18" t="n">
        <v>12000</v>
      </c>
      <c r="F824" s="18" t="s">
        <v>311</v>
      </c>
      <c r="G824" s="18" t="s">
        <v>337</v>
      </c>
      <c r="H824" s="18" t="s">
        <v>162</v>
      </c>
      <c r="I824" s="18"/>
      <c r="J824" s="18"/>
      <c r="K824" s="18"/>
      <c r="L824" s="18" t="s">
        <v>129</v>
      </c>
      <c r="M824" s="18" t="s">
        <v>129</v>
      </c>
      <c r="N824" s="18"/>
      <c r="O824" s="18"/>
      <c r="P824" s="18"/>
      <c r="Q824" s="18" t="s">
        <v>138</v>
      </c>
      <c r="R824" s="18" t="s">
        <v>314</v>
      </c>
      <c r="S824" s="18" t="s">
        <v>140</v>
      </c>
      <c r="T824" s="18" t="s">
        <v>141</v>
      </c>
      <c r="U824" s="18"/>
      <c r="V824" s="19" t="s">
        <v>29</v>
      </c>
      <c r="W824" s="19"/>
      <c r="X824" s="19"/>
      <c r="Y824" s="20"/>
      <c r="Z824" s="19"/>
      <c r="AA824" s="18" t="str">
        <f aca="false">IF(OR(V824="Aprobada"),R824,IF(AND(OR(V824="Aprobada con ajuste",V824="Rechazada"),W824&lt;&gt;""),W824,""))</f>
        <v/>
      </c>
    </row>
    <row r="825" customFormat="false" ht="22.35" hidden="false" customHeight="false" outlineLevel="0" collapsed="false">
      <c r="A825" s="18" t="s">
        <v>3727</v>
      </c>
      <c r="B825" s="18" t="s">
        <v>60</v>
      </c>
      <c r="C825" s="18" t="s">
        <v>61</v>
      </c>
      <c r="D825" s="18" t="s">
        <v>3704</v>
      </c>
      <c r="E825" s="18" t="n">
        <v>12000</v>
      </c>
      <c r="F825" s="18" t="s">
        <v>3100</v>
      </c>
      <c r="G825" s="18" t="s">
        <v>128</v>
      </c>
      <c r="H825" s="18" t="s">
        <v>162</v>
      </c>
      <c r="I825" s="18"/>
      <c r="J825" s="18"/>
      <c r="K825" s="18"/>
      <c r="L825" s="18" t="s">
        <v>129</v>
      </c>
      <c r="M825" s="18" t="s">
        <v>129</v>
      </c>
      <c r="N825" s="18"/>
      <c r="O825" s="18"/>
      <c r="P825" s="18"/>
      <c r="Q825" s="18" t="s">
        <v>138</v>
      </c>
      <c r="R825" s="18" t="s">
        <v>3728</v>
      </c>
      <c r="S825" s="18" t="s">
        <v>140</v>
      </c>
      <c r="T825" s="18" t="s">
        <v>141</v>
      </c>
      <c r="U825" s="18"/>
      <c r="V825" s="19" t="s">
        <v>29</v>
      </c>
      <c r="W825" s="19"/>
      <c r="X825" s="19"/>
      <c r="Y825" s="20"/>
      <c r="Z825" s="19"/>
      <c r="AA825" s="18" t="str">
        <f aca="false">IF(OR(V825="Aprobada"),R825,IF(AND(OR(V825="Aprobada con ajuste",V825="Rechazada"),W825&lt;&gt;""),W825,""))</f>
        <v/>
      </c>
    </row>
    <row r="826" customFormat="false" ht="32.8" hidden="false" customHeight="false" outlineLevel="0" collapsed="false">
      <c r="A826" s="18" t="s">
        <v>3729</v>
      </c>
      <c r="B826" s="18" t="s">
        <v>62</v>
      </c>
      <c r="C826" s="18" t="s">
        <v>63</v>
      </c>
      <c r="D826" s="18" t="s">
        <v>3730</v>
      </c>
      <c r="E826" s="18" t="n">
        <v>9</v>
      </c>
      <c r="F826" s="18" t="s">
        <v>1207</v>
      </c>
      <c r="G826" s="18" t="s">
        <v>145</v>
      </c>
      <c r="H826" s="18" t="s">
        <v>129</v>
      </c>
      <c r="I826" s="18" t="s">
        <v>146</v>
      </c>
      <c r="J826" s="18"/>
      <c r="K826" s="18"/>
      <c r="L826" s="18" t="s">
        <v>129</v>
      </c>
      <c r="M826" s="18" t="s">
        <v>129</v>
      </c>
      <c r="N826" s="18"/>
      <c r="O826" s="18" t="s">
        <v>3731</v>
      </c>
      <c r="P826" s="18" t="s">
        <v>3732</v>
      </c>
      <c r="Q826" s="18" t="s">
        <v>149</v>
      </c>
      <c r="R826" s="18" t="s">
        <v>3733</v>
      </c>
      <c r="S826" s="18" t="s">
        <v>133</v>
      </c>
      <c r="T826" s="18" t="s">
        <v>1105</v>
      </c>
      <c r="U826" s="18"/>
      <c r="V826" s="19" t="s">
        <v>29</v>
      </c>
      <c r="W826" s="19"/>
      <c r="X826" s="19"/>
      <c r="Y826" s="20"/>
      <c r="Z826" s="19"/>
      <c r="AA826" s="18" t="str">
        <f aca="false">IF(OR(V826="Aprobada"),R826,IF(AND(OR(V826="Aprobada con ajuste",V826="Rechazada"),W826&lt;&gt;""),W826,""))</f>
        <v/>
      </c>
    </row>
    <row r="827" customFormat="false" ht="32.8" hidden="false" customHeight="false" outlineLevel="0" collapsed="false">
      <c r="A827" s="18" t="s">
        <v>3734</v>
      </c>
      <c r="B827" s="18" t="s">
        <v>62</v>
      </c>
      <c r="C827" s="18" t="s">
        <v>63</v>
      </c>
      <c r="D827" s="18" t="s">
        <v>3730</v>
      </c>
      <c r="E827" s="18" t="n">
        <v>9</v>
      </c>
      <c r="F827" s="18" t="s">
        <v>1023</v>
      </c>
      <c r="G827" s="18" t="s">
        <v>205</v>
      </c>
      <c r="H827" s="18" t="s">
        <v>129</v>
      </c>
      <c r="I827" s="18" t="s">
        <v>298</v>
      </c>
      <c r="J827" s="18" t="s">
        <v>3735</v>
      </c>
      <c r="K827" s="18"/>
      <c r="L827" s="18" t="s">
        <v>162</v>
      </c>
      <c r="M827" s="18" t="s">
        <v>129</v>
      </c>
      <c r="N827" s="18"/>
      <c r="O827" s="18" t="s">
        <v>3736</v>
      </c>
      <c r="P827" s="18" t="s">
        <v>3737</v>
      </c>
      <c r="Q827" s="18" t="s">
        <v>138</v>
      </c>
      <c r="R827" s="18" t="s">
        <v>3738</v>
      </c>
      <c r="S827" s="18" t="s">
        <v>140</v>
      </c>
      <c r="T827" s="18" t="s">
        <v>141</v>
      </c>
      <c r="U827" s="18"/>
      <c r="V827" s="19" t="s">
        <v>29</v>
      </c>
      <c r="W827" s="19"/>
      <c r="X827" s="19"/>
      <c r="Y827" s="20"/>
      <c r="Z827" s="19"/>
      <c r="AA827" s="18" t="str">
        <f aca="false">IF(OR(V827="Aprobada"),R827,IF(AND(OR(V827="Aprobada con ajuste",V827="Rechazada"),W827&lt;&gt;""),W827,""))</f>
        <v/>
      </c>
    </row>
    <row r="828" customFormat="false" ht="32.8" hidden="false" customHeight="false" outlineLevel="0" collapsed="false">
      <c r="A828" s="18" t="s">
        <v>3739</v>
      </c>
      <c r="B828" s="18" t="s">
        <v>62</v>
      </c>
      <c r="C828" s="18" t="s">
        <v>63</v>
      </c>
      <c r="D828" s="18" t="s">
        <v>3730</v>
      </c>
      <c r="E828" s="18" t="n">
        <v>9</v>
      </c>
      <c r="F828" s="18" t="s">
        <v>490</v>
      </c>
      <c r="G828" s="18" t="s">
        <v>128</v>
      </c>
      <c r="H828" s="18" t="s">
        <v>129</v>
      </c>
      <c r="I828" s="18" t="s">
        <v>298</v>
      </c>
      <c r="J828" s="18"/>
      <c r="K828" s="18"/>
      <c r="L828" s="18" t="s">
        <v>129</v>
      </c>
      <c r="M828" s="18" t="s">
        <v>129</v>
      </c>
      <c r="N828" s="18"/>
      <c r="O828" s="18"/>
      <c r="P828" s="18" t="s">
        <v>3740</v>
      </c>
      <c r="Q828" s="18" t="s">
        <v>138</v>
      </c>
      <c r="R828" s="18" t="s">
        <v>3741</v>
      </c>
      <c r="S828" s="18" t="s">
        <v>140</v>
      </c>
      <c r="T828" s="18" t="s">
        <v>141</v>
      </c>
      <c r="U828" s="18"/>
      <c r="V828" s="19" t="s">
        <v>29</v>
      </c>
      <c r="W828" s="19"/>
      <c r="X828" s="19"/>
      <c r="Y828" s="20"/>
      <c r="Z828" s="19"/>
      <c r="AA828" s="18" t="str">
        <f aca="false">IF(OR(V828="Aprobada"),R828,IF(AND(OR(V828="Aprobada con ajuste",V828="Rechazada"),W828&lt;&gt;""),W828,""))</f>
        <v/>
      </c>
    </row>
    <row r="829" customFormat="false" ht="32.8" hidden="false" customHeight="false" outlineLevel="0" collapsed="false">
      <c r="A829" s="18" t="s">
        <v>3742</v>
      </c>
      <c r="B829" s="18" t="s">
        <v>62</v>
      </c>
      <c r="C829" s="18" t="s">
        <v>63</v>
      </c>
      <c r="D829" s="18" t="s">
        <v>3730</v>
      </c>
      <c r="E829" s="18" t="n">
        <v>9</v>
      </c>
      <c r="F829" s="18" t="s">
        <v>1240</v>
      </c>
      <c r="G829" s="18" t="s">
        <v>180</v>
      </c>
      <c r="H829" s="18" t="s">
        <v>129</v>
      </c>
      <c r="I829" s="18"/>
      <c r="J829" s="18"/>
      <c r="K829" s="18"/>
      <c r="L829" s="18" t="s">
        <v>129</v>
      </c>
      <c r="M829" s="18" t="s">
        <v>129</v>
      </c>
      <c r="N829" s="18"/>
      <c r="O829" s="18"/>
      <c r="P829" s="18" t="s">
        <v>3743</v>
      </c>
      <c r="Q829" s="18" t="s">
        <v>149</v>
      </c>
      <c r="R829" s="18" t="s">
        <v>3744</v>
      </c>
      <c r="S829" s="18" t="s">
        <v>133</v>
      </c>
      <c r="T829" s="18" t="s">
        <v>1777</v>
      </c>
      <c r="U829" s="18"/>
      <c r="V829" s="19" t="s">
        <v>29</v>
      </c>
      <c r="W829" s="19"/>
      <c r="X829" s="19"/>
      <c r="Y829" s="20"/>
      <c r="Z829" s="19"/>
      <c r="AA829" s="18" t="str">
        <f aca="false">IF(OR(V829="Aprobada"),R829,IF(AND(OR(V829="Aprobada con ajuste",V829="Rechazada"),W829&lt;&gt;""),W829,""))</f>
        <v/>
      </c>
    </row>
    <row r="830" customFormat="false" ht="32.8" hidden="false" customHeight="false" outlineLevel="0" collapsed="false">
      <c r="A830" s="18" t="s">
        <v>3745</v>
      </c>
      <c r="B830" s="18" t="s">
        <v>62</v>
      </c>
      <c r="C830" s="18" t="s">
        <v>63</v>
      </c>
      <c r="D830" s="18" t="s">
        <v>3730</v>
      </c>
      <c r="E830" s="18" t="n">
        <v>9</v>
      </c>
      <c r="F830" s="18" t="s">
        <v>1245</v>
      </c>
      <c r="G830" s="18" t="s">
        <v>180</v>
      </c>
      <c r="H830" s="18" t="s">
        <v>129</v>
      </c>
      <c r="I830" s="18"/>
      <c r="J830" s="18"/>
      <c r="K830" s="18"/>
      <c r="L830" s="18" t="s">
        <v>129</v>
      </c>
      <c r="M830" s="18" t="s">
        <v>129</v>
      </c>
      <c r="N830" s="18"/>
      <c r="O830" s="18"/>
      <c r="P830" s="18" t="s">
        <v>3746</v>
      </c>
      <c r="Q830" s="18" t="s">
        <v>149</v>
      </c>
      <c r="R830" s="18" t="s">
        <v>3747</v>
      </c>
      <c r="S830" s="18" t="s">
        <v>133</v>
      </c>
      <c r="T830" s="18" t="s">
        <v>1777</v>
      </c>
      <c r="U830" s="18"/>
      <c r="V830" s="19" t="s">
        <v>29</v>
      </c>
      <c r="W830" s="19"/>
      <c r="X830" s="19"/>
      <c r="Y830" s="20"/>
      <c r="Z830" s="19"/>
      <c r="AA830" s="18" t="str">
        <f aca="false">IF(OR(V830="Aprobada"),R830,IF(AND(OR(V830="Aprobada con ajuste",V830="Rechazada"),W830&lt;&gt;""),W830,""))</f>
        <v/>
      </c>
    </row>
    <row r="831" customFormat="false" ht="32.8" hidden="false" customHeight="false" outlineLevel="0" collapsed="false">
      <c r="A831" s="18" t="s">
        <v>3748</v>
      </c>
      <c r="B831" s="18" t="s">
        <v>62</v>
      </c>
      <c r="C831" s="18" t="s">
        <v>63</v>
      </c>
      <c r="D831" s="18" t="s">
        <v>3730</v>
      </c>
      <c r="E831" s="18" t="n">
        <v>9</v>
      </c>
      <c r="F831" s="18" t="s">
        <v>3749</v>
      </c>
      <c r="G831" s="18" t="s">
        <v>192</v>
      </c>
      <c r="H831" s="18" t="s">
        <v>129</v>
      </c>
      <c r="I831" s="18"/>
      <c r="J831" s="18"/>
      <c r="K831" s="18"/>
      <c r="L831" s="18" t="s">
        <v>129</v>
      </c>
      <c r="M831" s="18" t="s">
        <v>129</v>
      </c>
      <c r="N831" s="18"/>
      <c r="O831" s="18"/>
      <c r="P831" s="18" t="s">
        <v>3750</v>
      </c>
      <c r="Q831" s="18" t="s">
        <v>149</v>
      </c>
      <c r="R831" s="18" t="s">
        <v>3751</v>
      </c>
      <c r="S831" s="18" t="s">
        <v>140</v>
      </c>
      <c r="T831" s="18" t="s">
        <v>169</v>
      </c>
      <c r="U831" s="18" t="s">
        <v>3752</v>
      </c>
      <c r="V831" s="19" t="s">
        <v>29</v>
      </c>
      <c r="W831" s="19"/>
      <c r="X831" s="19"/>
      <c r="Y831" s="20"/>
      <c r="Z831" s="19"/>
      <c r="AA831" s="18" t="str">
        <f aca="false">IF(OR(V831="Aprobada"),R831,IF(AND(OR(V831="Aprobada con ajuste",V831="Rechazada"),W831&lt;&gt;""),W831,""))</f>
        <v/>
      </c>
    </row>
    <row r="832" customFormat="false" ht="32.8" hidden="false" customHeight="false" outlineLevel="0" collapsed="false">
      <c r="A832" s="18" t="s">
        <v>3753</v>
      </c>
      <c r="B832" s="18" t="s">
        <v>62</v>
      </c>
      <c r="C832" s="18" t="s">
        <v>63</v>
      </c>
      <c r="D832" s="18" t="s">
        <v>3730</v>
      </c>
      <c r="E832" s="18" t="n">
        <v>9</v>
      </c>
      <c r="F832" s="18" t="s">
        <v>3754</v>
      </c>
      <c r="G832" s="18" t="s">
        <v>312</v>
      </c>
      <c r="H832" s="18" t="s">
        <v>162</v>
      </c>
      <c r="I832" s="18"/>
      <c r="J832" s="18"/>
      <c r="K832" s="18"/>
      <c r="L832" s="18" t="s">
        <v>129</v>
      </c>
      <c r="M832" s="18" t="s">
        <v>129</v>
      </c>
      <c r="N832" s="18"/>
      <c r="O832" s="18"/>
      <c r="P832" s="18" t="s">
        <v>3755</v>
      </c>
      <c r="Q832" s="18" t="s">
        <v>149</v>
      </c>
      <c r="R832" s="18" t="s">
        <v>3756</v>
      </c>
      <c r="S832" s="18" t="s">
        <v>140</v>
      </c>
      <c r="T832" s="18" t="s">
        <v>1777</v>
      </c>
      <c r="U832" s="18" t="s">
        <v>3757</v>
      </c>
      <c r="V832" s="19" t="s">
        <v>29</v>
      </c>
      <c r="W832" s="19"/>
      <c r="X832" s="19"/>
      <c r="Y832" s="20"/>
      <c r="Z832" s="19"/>
      <c r="AA832" s="18" t="str">
        <f aca="false">IF(OR(V832="Aprobada"),R832,IF(AND(OR(V832="Aprobada con ajuste",V832="Rechazada"),W832&lt;&gt;""),W832,""))</f>
        <v/>
      </c>
    </row>
    <row r="833" customFormat="false" ht="32.8" hidden="false" customHeight="false" outlineLevel="0" collapsed="false">
      <c r="A833" s="18" t="s">
        <v>3758</v>
      </c>
      <c r="B833" s="18" t="s">
        <v>62</v>
      </c>
      <c r="C833" s="18" t="s">
        <v>63</v>
      </c>
      <c r="D833" s="18" t="s">
        <v>3730</v>
      </c>
      <c r="E833" s="18" t="n">
        <v>9</v>
      </c>
      <c r="F833" s="18" t="s">
        <v>3759</v>
      </c>
      <c r="G833" s="18" t="s">
        <v>180</v>
      </c>
      <c r="H833" s="18" t="s">
        <v>162</v>
      </c>
      <c r="I833" s="18"/>
      <c r="J833" s="18"/>
      <c r="K833" s="18"/>
      <c r="L833" s="18" t="s">
        <v>129</v>
      </c>
      <c r="M833" s="18" t="s">
        <v>129</v>
      </c>
      <c r="N833" s="18"/>
      <c r="O833" s="18"/>
      <c r="P833" s="18" t="s">
        <v>3760</v>
      </c>
      <c r="Q833" s="18" t="s">
        <v>149</v>
      </c>
      <c r="R833" s="18" t="s">
        <v>3761</v>
      </c>
      <c r="S833" s="18" t="s">
        <v>133</v>
      </c>
      <c r="T833" s="18" t="s">
        <v>1777</v>
      </c>
      <c r="U833" s="18"/>
      <c r="V833" s="19" t="s">
        <v>29</v>
      </c>
      <c r="W833" s="19"/>
      <c r="X833" s="19"/>
      <c r="Y833" s="20"/>
      <c r="Z833" s="19"/>
      <c r="AA833" s="18" t="str">
        <f aca="false">IF(OR(V833="Aprobada"),R833,IF(AND(OR(V833="Aprobada con ajuste",V833="Rechazada"),W833&lt;&gt;""),W833,""))</f>
        <v/>
      </c>
    </row>
    <row r="834" customFormat="false" ht="32.8" hidden="false" customHeight="false" outlineLevel="0" collapsed="false">
      <c r="A834" s="18" t="s">
        <v>3762</v>
      </c>
      <c r="B834" s="18" t="s">
        <v>62</v>
      </c>
      <c r="C834" s="18" t="s">
        <v>63</v>
      </c>
      <c r="D834" s="18" t="s">
        <v>3730</v>
      </c>
      <c r="E834" s="18" t="n">
        <v>9</v>
      </c>
      <c r="F834" s="18" t="s">
        <v>3763</v>
      </c>
      <c r="G834" s="18" t="s">
        <v>180</v>
      </c>
      <c r="H834" s="18" t="s">
        <v>162</v>
      </c>
      <c r="I834" s="18"/>
      <c r="J834" s="18"/>
      <c r="K834" s="18"/>
      <c r="L834" s="18" t="s">
        <v>129</v>
      </c>
      <c r="M834" s="18" t="s">
        <v>129</v>
      </c>
      <c r="N834" s="18"/>
      <c r="O834" s="18"/>
      <c r="P834" s="18" t="s">
        <v>3764</v>
      </c>
      <c r="Q834" s="18" t="s">
        <v>149</v>
      </c>
      <c r="R834" s="18" t="s">
        <v>3765</v>
      </c>
      <c r="S834" s="18" t="s">
        <v>133</v>
      </c>
      <c r="T834" s="18" t="s">
        <v>1777</v>
      </c>
      <c r="U834" s="18"/>
      <c r="V834" s="19" t="s">
        <v>29</v>
      </c>
      <c r="W834" s="19"/>
      <c r="X834" s="19"/>
      <c r="Y834" s="20"/>
      <c r="Z834" s="19"/>
      <c r="AA834" s="18" t="str">
        <f aca="false">IF(OR(V834="Aprobada"),R834,IF(AND(OR(V834="Aprobada con ajuste",V834="Rechazada"),W834&lt;&gt;""),W834,""))</f>
        <v/>
      </c>
    </row>
    <row r="835" customFormat="false" ht="32.8" hidden="false" customHeight="false" outlineLevel="0" collapsed="false">
      <c r="A835" s="18" t="s">
        <v>3766</v>
      </c>
      <c r="B835" s="18" t="s">
        <v>62</v>
      </c>
      <c r="C835" s="18" t="s">
        <v>63</v>
      </c>
      <c r="D835" s="18" t="s">
        <v>3730</v>
      </c>
      <c r="E835" s="18" t="n">
        <v>9</v>
      </c>
      <c r="F835" s="18" t="s">
        <v>3767</v>
      </c>
      <c r="G835" s="18" t="s">
        <v>317</v>
      </c>
      <c r="H835" s="18" t="s">
        <v>162</v>
      </c>
      <c r="I835" s="18"/>
      <c r="J835" s="18"/>
      <c r="K835" s="18"/>
      <c r="L835" s="18" t="s">
        <v>129</v>
      </c>
      <c r="M835" s="18" t="s">
        <v>129</v>
      </c>
      <c r="N835" s="18"/>
      <c r="O835" s="18"/>
      <c r="P835" s="18" t="s">
        <v>3768</v>
      </c>
      <c r="Q835" s="18" t="s">
        <v>149</v>
      </c>
      <c r="R835" s="18" t="s">
        <v>3769</v>
      </c>
      <c r="S835" s="18" t="s">
        <v>133</v>
      </c>
      <c r="T835" s="18" t="s">
        <v>183</v>
      </c>
      <c r="U835" s="18"/>
      <c r="V835" s="19" t="s">
        <v>29</v>
      </c>
      <c r="W835" s="19"/>
      <c r="X835" s="19"/>
      <c r="Y835" s="20"/>
      <c r="Z835" s="19"/>
      <c r="AA835" s="18" t="str">
        <f aca="false">IF(OR(V835="Aprobada"),R835,IF(AND(OR(V835="Aprobada con ajuste",V835="Rechazada"),W835&lt;&gt;""),W835,""))</f>
        <v/>
      </c>
    </row>
    <row r="836" customFormat="false" ht="32.8" hidden="false" customHeight="false" outlineLevel="0" collapsed="false">
      <c r="A836" s="18" t="s">
        <v>3770</v>
      </c>
      <c r="B836" s="18" t="s">
        <v>62</v>
      </c>
      <c r="C836" s="18" t="s">
        <v>63</v>
      </c>
      <c r="D836" s="18" t="s">
        <v>3730</v>
      </c>
      <c r="E836" s="18" t="n">
        <v>9</v>
      </c>
      <c r="F836" s="18" t="s">
        <v>3771</v>
      </c>
      <c r="G836" s="18" t="s">
        <v>128</v>
      </c>
      <c r="H836" s="18" t="s">
        <v>162</v>
      </c>
      <c r="I836" s="18"/>
      <c r="J836" s="18"/>
      <c r="K836" s="18"/>
      <c r="L836" s="18" t="s">
        <v>129</v>
      </c>
      <c r="M836" s="18" t="s">
        <v>129</v>
      </c>
      <c r="N836" s="18"/>
      <c r="O836" s="18"/>
      <c r="P836" s="18" t="s">
        <v>3772</v>
      </c>
      <c r="Q836" s="18" t="s">
        <v>149</v>
      </c>
      <c r="R836" s="18" t="s">
        <v>3773</v>
      </c>
      <c r="S836" s="18" t="s">
        <v>133</v>
      </c>
      <c r="T836" s="18" t="s">
        <v>1777</v>
      </c>
      <c r="U836" s="18"/>
      <c r="V836" s="19" t="s">
        <v>29</v>
      </c>
      <c r="W836" s="19"/>
      <c r="X836" s="19"/>
      <c r="Y836" s="20"/>
      <c r="Z836" s="19"/>
      <c r="AA836" s="18" t="str">
        <f aca="false">IF(OR(V836="Aprobada"),R836,IF(AND(OR(V836="Aprobada con ajuste",V836="Rechazada"),W836&lt;&gt;""),W836,""))</f>
        <v/>
      </c>
    </row>
    <row r="837" customFormat="false" ht="32.8" hidden="false" customHeight="false" outlineLevel="0" collapsed="false">
      <c r="A837" s="18" t="s">
        <v>3774</v>
      </c>
      <c r="B837" s="18" t="s">
        <v>62</v>
      </c>
      <c r="C837" s="18" t="s">
        <v>63</v>
      </c>
      <c r="D837" s="18" t="s">
        <v>3730</v>
      </c>
      <c r="E837" s="18" t="n">
        <v>9</v>
      </c>
      <c r="F837" s="18" t="s">
        <v>3775</v>
      </c>
      <c r="G837" s="18" t="s">
        <v>192</v>
      </c>
      <c r="H837" s="18" t="s">
        <v>129</v>
      </c>
      <c r="I837" s="18"/>
      <c r="J837" s="18"/>
      <c r="K837" s="18"/>
      <c r="L837" s="18" t="s">
        <v>129</v>
      </c>
      <c r="M837" s="18" t="s">
        <v>129</v>
      </c>
      <c r="N837" s="18"/>
      <c r="O837" s="18"/>
      <c r="P837" s="18" t="s">
        <v>3776</v>
      </c>
      <c r="Q837" s="18" t="s">
        <v>149</v>
      </c>
      <c r="R837" s="18" t="s">
        <v>3777</v>
      </c>
      <c r="S837" s="18" t="s">
        <v>140</v>
      </c>
      <c r="T837" s="18" t="s">
        <v>169</v>
      </c>
      <c r="U837" s="18" t="s">
        <v>3752</v>
      </c>
      <c r="V837" s="19" t="s">
        <v>29</v>
      </c>
      <c r="W837" s="19"/>
      <c r="X837" s="19"/>
      <c r="Y837" s="20"/>
      <c r="Z837" s="19"/>
      <c r="AA837" s="18" t="str">
        <f aca="false">IF(OR(V837="Aprobada"),R837,IF(AND(OR(V837="Aprobada con ajuste",V837="Rechazada"),W837&lt;&gt;""),W837,""))</f>
        <v/>
      </c>
    </row>
    <row r="838" customFormat="false" ht="32.8" hidden="false" customHeight="false" outlineLevel="0" collapsed="false">
      <c r="A838" s="18" t="s">
        <v>3778</v>
      </c>
      <c r="B838" s="18" t="s">
        <v>62</v>
      </c>
      <c r="C838" s="18" t="s">
        <v>63</v>
      </c>
      <c r="D838" s="18" t="s">
        <v>3730</v>
      </c>
      <c r="E838" s="18" t="n">
        <v>9</v>
      </c>
      <c r="F838" s="18" t="s">
        <v>3779</v>
      </c>
      <c r="G838" s="18" t="s">
        <v>192</v>
      </c>
      <c r="H838" s="18" t="s">
        <v>162</v>
      </c>
      <c r="I838" s="18"/>
      <c r="J838" s="18"/>
      <c r="K838" s="18"/>
      <c r="L838" s="18" t="s">
        <v>129</v>
      </c>
      <c r="M838" s="18" t="s">
        <v>129</v>
      </c>
      <c r="N838" s="18"/>
      <c r="O838" s="18"/>
      <c r="P838" s="18" t="s">
        <v>3780</v>
      </c>
      <c r="Q838" s="18" t="s">
        <v>149</v>
      </c>
      <c r="R838" s="18" t="s">
        <v>3781</v>
      </c>
      <c r="S838" s="18" t="s">
        <v>140</v>
      </c>
      <c r="T838" s="18" t="s">
        <v>3782</v>
      </c>
      <c r="U838" s="18" t="s">
        <v>3783</v>
      </c>
      <c r="V838" s="19" t="s">
        <v>29</v>
      </c>
      <c r="W838" s="19"/>
      <c r="X838" s="19"/>
      <c r="Y838" s="20"/>
      <c r="Z838" s="19"/>
      <c r="AA838" s="18" t="str">
        <f aca="false">IF(OR(V838="Aprobada"),R838,IF(AND(OR(V838="Aprobada con ajuste",V838="Rechazada"),W838&lt;&gt;""),W838,""))</f>
        <v/>
      </c>
    </row>
    <row r="839" customFormat="false" ht="32.8" hidden="false" customHeight="false" outlineLevel="0" collapsed="false">
      <c r="A839" s="18" t="s">
        <v>3784</v>
      </c>
      <c r="B839" s="18" t="s">
        <v>62</v>
      </c>
      <c r="C839" s="18" t="s">
        <v>63</v>
      </c>
      <c r="D839" s="18" t="s">
        <v>3730</v>
      </c>
      <c r="E839" s="18" t="n">
        <v>9</v>
      </c>
      <c r="F839" s="18" t="s">
        <v>3785</v>
      </c>
      <c r="G839" s="18" t="s">
        <v>317</v>
      </c>
      <c r="H839" s="18" t="s">
        <v>162</v>
      </c>
      <c r="I839" s="18"/>
      <c r="J839" s="18"/>
      <c r="K839" s="18"/>
      <c r="L839" s="18" t="s">
        <v>129</v>
      </c>
      <c r="M839" s="18" t="s">
        <v>129</v>
      </c>
      <c r="N839" s="18"/>
      <c r="O839" s="18"/>
      <c r="P839" s="18" t="s">
        <v>3786</v>
      </c>
      <c r="Q839" s="18" t="s">
        <v>149</v>
      </c>
      <c r="R839" s="18" t="s">
        <v>3787</v>
      </c>
      <c r="S839" s="18" t="s">
        <v>133</v>
      </c>
      <c r="T839" s="18" t="s">
        <v>183</v>
      </c>
      <c r="U839" s="18"/>
      <c r="V839" s="19" t="s">
        <v>29</v>
      </c>
      <c r="W839" s="19"/>
      <c r="X839" s="19"/>
      <c r="Y839" s="20"/>
      <c r="Z839" s="19"/>
      <c r="AA839" s="18" t="str">
        <f aca="false">IF(OR(V839="Aprobada"),R839,IF(AND(OR(V839="Aprobada con ajuste",V839="Rechazada"),W839&lt;&gt;""),W839,""))</f>
        <v/>
      </c>
    </row>
    <row r="840" customFormat="false" ht="32.8" hidden="false" customHeight="false" outlineLevel="0" collapsed="false">
      <c r="A840" s="18" t="s">
        <v>3788</v>
      </c>
      <c r="B840" s="18" t="s">
        <v>62</v>
      </c>
      <c r="C840" s="18" t="s">
        <v>63</v>
      </c>
      <c r="D840" s="18" t="s">
        <v>3789</v>
      </c>
      <c r="E840" s="18" t="n">
        <v>15250</v>
      </c>
      <c r="F840" s="18" t="s">
        <v>1109</v>
      </c>
      <c r="G840" s="18" t="s">
        <v>312</v>
      </c>
      <c r="H840" s="18" t="s">
        <v>162</v>
      </c>
      <c r="I840" s="18"/>
      <c r="J840" s="18"/>
      <c r="K840" s="18"/>
      <c r="L840" s="18" t="s">
        <v>129</v>
      </c>
      <c r="M840" s="18" t="s">
        <v>129</v>
      </c>
      <c r="N840" s="18"/>
      <c r="O840" s="18" t="s">
        <v>3790</v>
      </c>
      <c r="P840" s="18" t="s">
        <v>3791</v>
      </c>
      <c r="Q840" s="18" t="s">
        <v>131</v>
      </c>
      <c r="R840" s="18" t="s">
        <v>3792</v>
      </c>
      <c r="S840" s="18" t="s">
        <v>140</v>
      </c>
      <c r="T840" s="18" t="s">
        <v>3793</v>
      </c>
      <c r="U840" s="18" t="s">
        <v>3794</v>
      </c>
      <c r="V840" s="19" t="s">
        <v>29</v>
      </c>
      <c r="W840" s="19"/>
      <c r="X840" s="19"/>
      <c r="Y840" s="20"/>
      <c r="Z840" s="19"/>
      <c r="AA840" s="18" t="str">
        <f aca="false">IF(OR(V840="Aprobada"),R840,IF(AND(OR(V840="Aprobada con ajuste",V840="Rechazada"),W840&lt;&gt;""),W840,""))</f>
        <v/>
      </c>
    </row>
    <row r="841" customFormat="false" ht="22.35" hidden="false" customHeight="false" outlineLevel="0" collapsed="false">
      <c r="A841" s="18" t="s">
        <v>3795</v>
      </c>
      <c r="B841" s="18" t="s">
        <v>62</v>
      </c>
      <c r="C841" s="18" t="s">
        <v>63</v>
      </c>
      <c r="D841" s="18" t="s">
        <v>3789</v>
      </c>
      <c r="E841" s="18" t="n">
        <v>15250</v>
      </c>
      <c r="F841" s="18" t="s">
        <v>1116</v>
      </c>
      <c r="G841" s="18" t="s">
        <v>180</v>
      </c>
      <c r="H841" s="18" t="s">
        <v>129</v>
      </c>
      <c r="I841" s="18"/>
      <c r="J841" s="18"/>
      <c r="K841" s="18"/>
      <c r="L841" s="18" t="s">
        <v>129</v>
      </c>
      <c r="M841" s="18" t="s">
        <v>129</v>
      </c>
      <c r="N841" s="18"/>
      <c r="O841" s="18"/>
      <c r="P841" s="18" t="s">
        <v>3796</v>
      </c>
      <c r="Q841" s="18" t="s">
        <v>131</v>
      </c>
      <c r="R841" s="18" t="s">
        <v>3797</v>
      </c>
      <c r="S841" s="18" t="s">
        <v>133</v>
      </c>
      <c r="T841" s="18" t="s">
        <v>3798</v>
      </c>
      <c r="U841" s="18"/>
      <c r="V841" s="19" t="s">
        <v>29</v>
      </c>
      <c r="W841" s="19"/>
      <c r="X841" s="19"/>
      <c r="Y841" s="20"/>
      <c r="Z841" s="19"/>
      <c r="AA841" s="18" t="str">
        <f aca="false">IF(OR(V841="Aprobada"),R841,IF(AND(OR(V841="Aprobada con ajuste",V841="Rechazada"),W841&lt;&gt;""),W841,""))</f>
        <v/>
      </c>
    </row>
    <row r="842" customFormat="false" ht="22.35" hidden="false" customHeight="false" outlineLevel="0" collapsed="false">
      <c r="A842" s="18" t="s">
        <v>3799</v>
      </c>
      <c r="B842" s="18" t="s">
        <v>62</v>
      </c>
      <c r="C842" s="18" t="s">
        <v>63</v>
      </c>
      <c r="D842" s="18" t="s">
        <v>3789</v>
      </c>
      <c r="E842" s="18" t="n">
        <v>15250</v>
      </c>
      <c r="F842" s="18" t="s">
        <v>1121</v>
      </c>
      <c r="G842" s="18" t="s">
        <v>145</v>
      </c>
      <c r="H842" s="18" t="s">
        <v>129</v>
      </c>
      <c r="I842" s="18"/>
      <c r="J842" s="18"/>
      <c r="K842" s="18"/>
      <c r="L842" s="18" t="s">
        <v>129</v>
      </c>
      <c r="M842" s="18" t="s">
        <v>129</v>
      </c>
      <c r="N842" s="18"/>
      <c r="O842" s="18" t="s">
        <v>3800</v>
      </c>
      <c r="P842" s="18" t="s">
        <v>3801</v>
      </c>
      <c r="Q842" s="18" t="s">
        <v>131</v>
      </c>
      <c r="R842" s="18" t="s">
        <v>3802</v>
      </c>
      <c r="S842" s="18" t="s">
        <v>133</v>
      </c>
      <c r="T842" s="18" t="s">
        <v>3803</v>
      </c>
      <c r="U842" s="18"/>
      <c r="V842" s="19" t="s">
        <v>29</v>
      </c>
      <c r="W842" s="19"/>
      <c r="X842" s="19"/>
      <c r="Y842" s="20"/>
      <c r="Z842" s="19"/>
      <c r="AA842" s="18" t="str">
        <f aca="false">IF(OR(V842="Aprobada"),R842,IF(AND(OR(V842="Aprobada con ajuste",V842="Rechazada"),W842&lt;&gt;""),W842,""))</f>
        <v/>
      </c>
    </row>
    <row r="843" customFormat="false" ht="22.35" hidden="false" customHeight="false" outlineLevel="0" collapsed="false">
      <c r="A843" s="18" t="s">
        <v>3804</v>
      </c>
      <c r="B843" s="18" t="s">
        <v>62</v>
      </c>
      <c r="C843" s="18" t="s">
        <v>63</v>
      </c>
      <c r="D843" s="18" t="s">
        <v>3789</v>
      </c>
      <c r="E843" s="18" t="n">
        <v>15250</v>
      </c>
      <c r="F843" s="18" t="s">
        <v>3805</v>
      </c>
      <c r="G843" s="18" t="s">
        <v>137</v>
      </c>
      <c r="H843" s="18" t="s">
        <v>129</v>
      </c>
      <c r="I843" s="18"/>
      <c r="J843" s="18"/>
      <c r="K843" s="18"/>
      <c r="L843" s="18" t="s">
        <v>129</v>
      </c>
      <c r="M843" s="18" t="s">
        <v>129</v>
      </c>
      <c r="N843" s="18"/>
      <c r="O843" s="18"/>
      <c r="P843" s="18" t="s">
        <v>3806</v>
      </c>
      <c r="Q843" s="18" t="s">
        <v>131</v>
      </c>
      <c r="R843" s="18" t="s">
        <v>3807</v>
      </c>
      <c r="S843" s="18" t="s">
        <v>133</v>
      </c>
      <c r="T843" s="18" t="s">
        <v>3808</v>
      </c>
      <c r="U843" s="18"/>
      <c r="V843" s="19" t="s">
        <v>29</v>
      </c>
      <c r="W843" s="19"/>
      <c r="X843" s="19"/>
      <c r="Y843" s="20"/>
      <c r="Z843" s="19"/>
      <c r="AA843" s="18" t="str">
        <f aca="false">IF(OR(V843="Aprobada"),R843,IF(AND(OR(V843="Aprobada con ajuste",V843="Rechazada"),W843&lt;&gt;""),W843,""))</f>
        <v/>
      </c>
    </row>
    <row r="844" customFormat="false" ht="22.35" hidden="false" customHeight="false" outlineLevel="0" collapsed="false">
      <c r="A844" s="18" t="s">
        <v>3809</v>
      </c>
      <c r="B844" s="18" t="s">
        <v>62</v>
      </c>
      <c r="C844" s="18" t="s">
        <v>63</v>
      </c>
      <c r="D844" s="18" t="s">
        <v>3789</v>
      </c>
      <c r="E844" s="18" t="n">
        <v>15250</v>
      </c>
      <c r="F844" s="18" t="s">
        <v>3810</v>
      </c>
      <c r="G844" s="18" t="s">
        <v>337</v>
      </c>
      <c r="H844" s="18" t="s">
        <v>162</v>
      </c>
      <c r="I844" s="18"/>
      <c r="J844" s="18"/>
      <c r="K844" s="18"/>
      <c r="L844" s="18" t="s">
        <v>129</v>
      </c>
      <c r="M844" s="18" t="s">
        <v>129</v>
      </c>
      <c r="N844" s="18"/>
      <c r="O844" s="18"/>
      <c r="P844" s="18" t="s">
        <v>3811</v>
      </c>
      <c r="Q844" s="18" t="s">
        <v>131</v>
      </c>
      <c r="R844" s="18" t="s">
        <v>3812</v>
      </c>
      <c r="S844" s="18" t="s">
        <v>133</v>
      </c>
      <c r="T844" s="18" t="s">
        <v>3813</v>
      </c>
      <c r="U844" s="18"/>
      <c r="V844" s="19" t="s">
        <v>29</v>
      </c>
      <c r="W844" s="19"/>
      <c r="X844" s="19"/>
      <c r="Y844" s="20"/>
      <c r="Z844" s="19"/>
      <c r="AA844" s="18" t="str">
        <f aca="false">IF(OR(V844="Aprobada"),R844,IF(AND(OR(V844="Aprobada con ajuste",V844="Rechazada"),W844&lt;&gt;""),W844,""))</f>
        <v/>
      </c>
    </row>
    <row r="845" customFormat="false" ht="22.35" hidden="false" customHeight="false" outlineLevel="0" collapsed="false">
      <c r="A845" s="18" t="s">
        <v>3814</v>
      </c>
      <c r="B845" s="18" t="s">
        <v>62</v>
      </c>
      <c r="C845" s="18" t="s">
        <v>63</v>
      </c>
      <c r="D845" s="18" t="s">
        <v>3789</v>
      </c>
      <c r="E845" s="18" t="n">
        <v>15250</v>
      </c>
      <c r="F845" s="18" t="s">
        <v>1536</v>
      </c>
      <c r="G845" s="18" t="s">
        <v>180</v>
      </c>
      <c r="H845" s="18" t="s">
        <v>162</v>
      </c>
      <c r="I845" s="18"/>
      <c r="J845" s="18"/>
      <c r="K845" s="18"/>
      <c r="L845" s="18" t="s">
        <v>129</v>
      </c>
      <c r="M845" s="18" t="s">
        <v>129</v>
      </c>
      <c r="N845" s="18"/>
      <c r="O845" s="18"/>
      <c r="P845" s="18" t="s">
        <v>3815</v>
      </c>
      <c r="Q845" s="18" t="s">
        <v>131</v>
      </c>
      <c r="R845" s="18" t="s">
        <v>3816</v>
      </c>
      <c r="S845" s="18" t="s">
        <v>133</v>
      </c>
      <c r="T845" s="18" t="s">
        <v>3817</v>
      </c>
      <c r="U845" s="18"/>
      <c r="V845" s="19" t="s">
        <v>29</v>
      </c>
      <c r="W845" s="19"/>
      <c r="X845" s="19"/>
      <c r="Y845" s="20"/>
      <c r="Z845" s="19"/>
      <c r="AA845" s="18" t="str">
        <f aca="false">IF(OR(V845="Aprobada"),R845,IF(AND(OR(V845="Aprobada con ajuste",V845="Rechazada"),W845&lt;&gt;""),W845,""))</f>
        <v/>
      </c>
    </row>
    <row r="846" customFormat="false" ht="22.35" hidden="false" customHeight="false" outlineLevel="0" collapsed="false">
      <c r="A846" s="18" t="s">
        <v>3818</v>
      </c>
      <c r="B846" s="18" t="s">
        <v>62</v>
      </c>
      <c r="C846" s="18" t="s">
        <v>63</v>
      </c>
      <c r="D846" s="18" t="s">
        <v>3789</v>
      </c>
      <c r="E846" s="18" t="n">
        <v>15250</v>
      </c>
      <c r="F846" s="18" t="s">
        <v>1191</v>
      </c>
      <c r="G846" s="18" t="s">
        <v>486</v>
      </c>
      <c r="H846" s="18" t="s">
        <v>162</v>
      </c>
      <c r="I846" s="18"/>
      <c r="J846" s="18"/>
      <c r="K846" s="18"/>
      <c r="L846" s="18" t="s">
        <v>129</v>
      </c>
      <c r="M846" s="18" t="s">
        <v>129</v>
      </c>
      <c r="N846" s="18"/>
      <c r="O846" s="18"/>
      <c r="P846" s="18" t="s">
        <v>3819</v>
      </c>
      <c r="Q846" s="18" t="s">
        <v>131</v>
      </c>
      <c r="R846" s="18" t="s">
        <v>3820</v>
      </c>
      <c r="S846" s="18" t="s">
        <v>133</v>
      </c>
      <c r="T846" s="18" t="s">
        <v>3821</v>
      </c>
      <c r="U846" s="18"/>
      <c r="V846" s="19" t="s">
        <v>29</v>
      </c>
      <c r="W846" s="19"/>
      <c r="X846" s="19"/>
      <c r="Y846" s="20"/>
      <c r="Z846" s="19"/>
      <c r="AA846" s="18" t="str">
        <f aca="false">IF(OR(V846="Aprobada"),R846,IF(AND(OR(V846="Aprobada con ajuste",V846="Rechazada"),W846&lt;&gt;""),W846,""))</f>
        <v/>
      </c>
    </row>
    <row r="847" customFormat="false" ht="22.35" hidden="false" customHeight="false" outlineLevel="0" collapsed="false">
      <c r="A847" s="18" t="s">
        <v>3822</v>
      </c>
      <c r="B847" s="18" t="s">
        <v>62</v>
      </c>
      <c r="C847" s="18" t="s">
        <v>63</v>
      </c>
      <c r="D847" s="18" t="s">
        <v>3789</v>
      </c>
      <c r="E847" s="18" t="n">
        <v>15250</v>
      </c>
      <c r="F847" s="18" t="s">
        <v>1127</v>
      </c>
      <c r="G847" s="18" t="s">
        <v>486</v>
      </c>
      <c r="H847" s="18" t="s">
        <v>162</v>
      </c>
      <c r="I847" s="18"/>
      <c r="J847" s="18"/>
      <c r="K847" s="18"/>
      <c r="L847" s="18" t="s">
        <v>129</v>
      </c>
      <c r="M847" s="18" t="s">
        <v>129</v>
      </c>
      <c r="N847" s="18"/>
      <c r="O847" s="18"/>
      <c r="P847" s="18" t="s">
        <v>3823</v>
      </c>
      <c r="Q847" s="18" t="s">
        <v>138</v>
      </c>
      <c r="R847" s="18" t="s">
        <v>1129</v>
      </c>
      <c r="S847" s="18" t="s">
        <v>140</v>
      </c>
      <c r="T847" s="18" t="s">
        <v>141</v>
      </c>
      <c r="U847" s="18"/>
      <c r="V847" s="19" t="s">
        <v>29</v>
      </c>
      <c r="W847" s="19"/>
      <c r="X847" s="19"/>
      <c r="Y847" s="20"/>
      <c r="Z847" s="19"/>
      <c r="AA847" s="18" t="str">
        <f aca="false">IF(OR(V847="Aprobada"),R847,IF(AND(OR(V847="Aprobada con ajuste",V847="Rechazada"),W847&lt;&gt;""),W847,""))</f>
        <v/>
      </c>
    </row>
    <row r="848" customFormat="false" ht="22.35" hidden="false" customHeight="false" outlineLevel="0" collapsed="false">
      <c r="A848" s="18" t="s">
        <v>3824</v>
      </c>
      <c r="B848" s="18" t="s">
        <v>62</v>
      </c>
      <c r="C848" s="18" t="s">
        <v>63</v>
      </c>
      <c r="D848" s="18" t="s">
        <v>3789</v>
      </c>
      <c r="E848" s="18" t="n">
        <v>15250</v>
      </c>
      <c r="F848" s="18" t="s">
        <v>1131</v>
      </c>
      <c r="G848" s="18" t="s">
        <v>205</v>
      </c>
      <c r="H848" s="18" t="s">
        <v>162</v>
      </c>
      <c r="I848" s="18"/>
      <c r="J848" s="18"/>
      <c r="K848" s="18"/>
      <c r="L848" s="18" t="s">
        <v>129</v>
      </c>
      <c r="M848" s="18" t="s">
        <v>129</v>
      </c>
      <c r="N848" s="18"/>
      <c r="O848" s="18"/>
      <c r="P848" s="18" t="s">
        <v>3825</v>
      </c>
      <c r="Q848" s="18" t="s">
        <v>149</v>
      </c>
      <c r="R848" s="18" t="s">
        <v>3826</v>
      </c>
      <c r="S848" s="18" t="s">
        <v>133</v>
      </c>
      <c r="T848" s="18" t="s">
        <v>1777</v>
      </c>
      <c r="U848" s="18"/>
      <c r="V848" s="19" t="s">
        <v>29</v>
      </c>
      <c r="W848" s="19"/>
      <c r="X848" s="19"/>
      <c r="Y848" s="20"/>
      <c r="Z848" s="19"/>
      <c r="AA848" s="18" t="str">
        <f aca="false">IF(OR(V848="Aprobada"),R848,IF(AND(OR(V848="Aprobada con ajuste",V848="Rechazada"),W848&lt;&gt;""),W848,""))</f>
        <v/>
      </c>
    </row>
    <row r="849" customFormat="false" ht="32.8" hidden="false" customHeight="false" outlineLevel="0" collapsed="false">
      <c r="A849" s="18" t="s">
        <v>3827</v>
      </c>
      <c r="B849" s="18" t="s">
        <v>62</v>
      </c>
      <c r="C849" s="18" t="s">
        <v>63</v>
      </c>
      <c r="D849" s="18" t="s">
        <v>3789</v>
      </c>
      <c r="E849" s="18" t="n">
        <v>15250</v>
      </c>
      <c r="F849" s="18" t="s">
        <v>1023</v>
      </c>
      <c r="G849" s="18" t="s">
        <v>145</v>
      </c>
      <c r="H849" s="18" t="s">
        <v>129</v>
      </c>
      <c r="I849" s="18"/>
      <c r="J849" s="18"/>
      <c r="K849" s="18"/>
      <c r="L849" s="18" t="s">
        <v>129</v>
      </c>
      <c r="M849" s="18" t="s">
        <v>129</v>
      </c>
      <c r="N849" s="18"/>
      <c r="O849" s="18" t="s">
        <v>3828</v>
      </c>
      <c r="P849" s="18" t="s">
        <v>3829</v>
      </c>
      <c r="Q849" s="18" t="s">
        <v>131</v>
      </c>
      <c r="R849" s="18" t="s">
        <v>3830</v>
      </c>
      <c r="S849" s="18" t="s">
        <v>133</v>
      </c>
      <c r="T849" s="18" t="s">
        <v>3831</v>
      </c>
      <c r="U849" s="18"/>
      <c r="V849" s="19" t="s">
        <v>29</v>
      </c>
      <c r="W849" s="19"/>
      <c r="X849" s="19"/>
      <c r="Y849" s="20"/>
      <c r="Z849" s="19"/>
      <c r="AA849" s="18" t="str">
        <f aca="false">IF(OR(V849="Aprobada"),R849,IF(AND(OR(V849="Aprobada con ajuste",V849="Rechazada"),W849&lt;&gt;""),W849,""))</f>
        <v/>
      </c>
    </row>
    <row r="850" customFormat="false" ht="22.35" hidden="false" customHeight="false" outlineLevel="0" collapsed="false">
      <c r="A850" s="18" t="s">
        <v>3832</v>
      </c>
      <c r="B850" s="18" t="s">
        <v>62</v>
      </c>
      <c r="C850" s="18" t="s">
        <v>63</v>
      </c>
      <c r="D850" s="18" t="s">
        <v>3789</v>
      </c>
      <c r="E850" s="18" t="n">
        <v>15250</v>
      </c>
      <c r="F850" s="18" t="s">
        <v>1295</v>
      </c>
      <c r="G850" s="18" t="s">
        <v>317</v>
      </c>
      <c r="H850" s="18" t="s">
        <v>162</v>
      </c>
      <c r="I850" s="18"/>
      <c r="J850" s="18"/>
      <c r="K850" s="18"/>
      <c r="L850" s="18" t="s">
        <v>129</v>
      </c>
      <c r="M850" s="18" t="s">
        <v>129</v>
      </c>
      <c r="N850" s="18"/>
      <c r="O850" s="18" t="s">
        <v>3833</v>
      </c>
      <c r="P850" s="18" t="s">
        <v>3834</v>
      </c>
      <c r="Q850" s="18" t="s">
        <v>149</v>
      </c>
      <c r="R850" s="18" t="s">
        <v>3835</v>
      </c>
      <c r="S850" s="18" t="s">
        <v>133</v>
      </c>
      <c r="T850" s="18" t="s">
        <v>2026</v>
      </c>
      <c r="U850" s="18"/>
      <c r="V850" s="19" t="s">
        <v>29</v>
      </c>
      <c r="W850" s="19"/>
      <c r="X850" s="19"/>
      <c r="Y850" s="20"/>
      <c r="Z850" s="19"/>
      <c r="AA850" s="18" t="str">
        <f aca="false">IF(OR(V850="Aprobada"),R850,IF(AND(OR(V850="Aprobada con ajuste",V850="Rechazada"),W850&lt;&gt;""),W850,""))</f>
        <v/>
      </c>
    </row>
    <row r="851" customFormat="false" ht="22.35" hidden="false" customHeight="false" outlineLevel="0" collapsed="false">
      <c r="A851" s="18" t="s">
        <v>3836</v>
      </c>
      <c r="B851" s="18" t="s">
        <v>62</v>
      </c>
      <c r="C851" s="18" t="s">
        <v>63</v>
      </c>
      <c r="D851" s="18" t="s">
        <v>3789</v>
      </c>
      <c r="E851" s="18" t="n">
        <v>15250</v>
      </c>
      <c r="F851" s="18" t="s">
        <v>1285</v>
      </c>
      <c r="G851" s="18" t="s">
        <v>128</v>
      </c>
      <c r="H851" s="18" t="s">
        <v>162</v>
      </c>
      <c r="I851" s="18"/>
      <c r="J851" s="18"/>
      <c r="K851" s="18"/>
      <c r="L851" s="18" t="s">
        <v>129</v>
      </c>
      <c r="M851" s="18" t="s">
        <v>129</v>
      </c>
      <c r="N851" s="18"/>
      <c r="O851" s="18"/>
      <c r="P851" s="18" t="s">
        <v>3837</v>
      </c>
      <c r="Q851" s="18" t="s">
        <v>131</v>
      </c>
      <c r="R851" s="18" t="s">
        <v>3838</v>
      </c>
      <c r="S851" s="18" t="s">
        <v>133</v>
      </c>
      <c r="T851" s="18" t="s">
        <v>3839</v>
      </c>
      <c r="U851" s="18"/>
      <c r="V851" s="19" t="s">
        <v>29</v>
      </c>
      <c r="W851" s="19"/>
      <c r="X851" s="19"/>
      <c r="Y851" s="20"/>
      <c r="Z851" s="19"/>
      <c r="AA851" s="18" t="str">
        <f aca="false">IF(OR(V851="Aprobada"),R851,IF(AND(OR(V851="Aprobada con ajuste",V851="Rechazada"),W851&lt;&gt;""),W851,""))</f>
        <v/>
      </c>
    </row>
    <row r="852" customFormat="false" ht="22.35" hidden="false" customHeight="false" outlineLevel="0" collapsed="false">
      <c r="A852" s="18" t="s">
        <v>3840</v>
      </c>
      <c r="B852" s="18" t="s">
        <v>62</v>
      </c>
      <c r="C852" s="18" t="s">
        <v>63</v>
      </c>
      <c r="D852" s="18" t="s">
        <v>3789</v>
      </c>
      <c r="E852" s="18" t="n">
        <v>15250</v>
      </c>
      <c r="F852" s="18" t="s">
        <v>1264</v>
      </c>
      <c r="G852" s="18" t="s">
        <v>828</v>
      </c>
      <c r="H852" s="18" t="s">
        <v>162</v>
      </c>
      <c r="I852" s="18"/>
      <c r="J852" s="18"/>
      <c r="K852" s="18"/>
      <c r="L852" s="18" t="s">
        <v>129</v>
      </c>
      <c r="M852" s="18" t="s">
        <v>129</v>
      </c>
      <c r="N852" s="18"/>
      <c r="O852" s="18"/>
      <c r="P852" s="18" t="s">
        <v>3841</v>
      </c>
      <c r="Q852" s="18" t="s">
        <v>149</v>
      </c>
      <c r="R852" s="18" t="s">
        <v>3842</v>
      </c>
      <c r="S852" s="18" t="s">
        <v>140</v>
      </c>
      <c r="T852" s="18" t="s">
        <v>3843</v>
      </c>
      <c r="U852" s="18" t="s">
        <v>3844</v>
      </c>
      <c r="V852" s="19" t="s">
        <v>29</v>
      </c>
      <c r="W852" s="19"/>
      <c r="X852" s="19"/>
      <c r="Y852" s="20"/>
      <c r="Z852" s="19"/>
      <c r="AA852" s="18" t="str">
        <f aca="false">IF(OR(V852="Aprobada"),R852,IF(AND(OR(V852="Aprobada con ajuste",V852="Rechazada"),W852&lt;&gt;""),W852,""))</f>
        <v/>
      </c>
    </row>
    <row r="853" customFormat="false" ht="22.35" hidden="false" customHeight="false" outlineLevel="0" collapsed="false">
      <c r="A853" s="18" t="s">
        <v>3845</v>
      </c>
      <c r="B853" s="18" t="s">
        <v>62</v>
      </c>
      <c r="C853" s="18" t="s">
        <v>63</v>
      </c>
      <c r="D853" s="18" t="s">
        <v>3789</v>
      </c>
      <c r="E853" s="18" t="n">
        <v>15250</v>
      </c>
      <c r="F853" s="18" t="s">
        <v>1269</v>
      </c>
      <c r="G853" s="18" t="s">
        <v>317</v>
      </c>
      <c r="H853" s="18" t="s">
        <v>162</v>
      </c>
      <c r="I853" s="18"/>
      <c r="J853" s="18"/>
      <c r="K853" s="18"/>
      <c r="L853" s="18" t="s">
        <v>129</v>
      </c>
      <c r="M853" s="18" t="s">
        <v>129</v>
      </c>
      <c r="N853" s="18"/>
      <c r="O853" s="18" t="s">
        <v>3846</v>
      </c>
      <c r="P853" s="18" t="s">
        <v>3847</v>
      </c>
      <c r="Q853" s="18" t="s">
        <v>149</v>
      </c>
      <c r="R853" s="18" t="s">
        <v>3848</v>
      </c>
      <c r="S853" s="18" t="s">
        <v>133</v>
      </c>
      <c r="T853" s="18" t="s">
        <v>1272</v>
      </c>
      <c r="U853" s="18"/>
      <c r="V853" s="19" t="s">
        <v>29</v>
      </c>
      <c r="W853" s="19"/>
      <c r="X853" s="19"/>
      <c r="Y853" s="20"/>
      <c r="Z853" s="19"/>
      <c r="AA853" s="18" t="str">
        <f aca="false">IF(OR(V853="Aprobada"),R853,IF(AND(OR(V853="Aprobada con ajuste",V853="Rechazada"),W853&lt;&gt;""),W853,""))</f>
        <v/>
      </c>
    </row>
    <row r="854" customFormat="false" ht="22.35" hidden="false" customHeight="false" outlineLevel="0" collapsed="false">
      <c r="A854" s="18" t="s">
        <v>3849</v>
      </c>
      <c r="B854" s="18" t="s">
        <v>62</v>
      </c>
      <c r="C854" s="18" t="s">
        <v>63</v>
      </c>
      <c r="D854" s="18" t="s">
        <v>3789</v>
      </c>
      <c r="E854" s="18" t="n">
        <v>15250</v>
      </c>
      <c r="F854" s="18" t="s">
        <v>3850</v>
      </c>
      <c r="G854" s="18" t="s">
        <v>205</v>
      </c>
      <c r="H854" s="18" t="s">
        <v>162</v>
      </c>
      <c r="I854" s="18"/>
      <c r="J854" s="18"/>
      <c r="K854" s="18"/>
      <c r="L854" s="18" t="s">
        <v>129</v>
      </c>
      <c r="M854" s="18" t="s">
        <v>129</v>
      </c>
      <c r="N854" s="18"/>
      <c r="O854" s="18"/>
      <c r="P854" s="18" t="s">
        <v>3851</v>
      </c>
      <c r="Q854" s="18" t="s">
        <v>149</v>
      </c>
      <c r="R854" s="18" t="s">
        <v>3852</v>
      </c>
      <c r="S854" s="18" t="s">
        <v>140</v>
      </c>
      <c r="T854" s="18" t="s">
        <v>3853</v>
      </c>
      <c r="U854" s="18" t="s">
        <v>3854</v>
      </c>
      <c r="V854" s="19" t="s">
        <v>29</v>
      </c>
      <c r="W854" s="19"/>
      <c r="X854" s="19"/>
      <c r="Y854" s="20"/>
      <c r="Z854" s="19"/>
      <c r="AA854" s="18" t="str">
        <f aca="false">IF(OR(V854="Aprobada"),R854,IF(AND(OR(V854="Aprobada con ajuste",V854="Rechazada"),W854&lt;&gt;""),W854,""))</f>
        <v/>
      </c>
    </row>
    <row r="855" customFormat="false" ht="22.35" hidden="false" customHeight="false" outlineLevel="0" collapsed="false">
      <c r="A855" s="18" t="s">
        <v>3855</v>
      </c>
      <c r="B855" s="18" t="s">
        <v>62</v>
      </c>
      <c r="C855" s="18" t="s">
        <v>63</v>
      </c>
      <c r="D855" s="18" t="s">
        <v>3789</v>
      </c>
      <c r="E855" s="18" t="n">
        <v>15250</v>
      </c>
      <c r="F855" s="18" t="s">
        <v>3856</v>
      </c>
      <c r="G855" s="18" t="s">
        <v>486</v>
      </c>
      <c r="H855" s="18" t="s">
        <v>162</v>
      </c>
      <c r="I855" s="18"/>
      <c r="J855" s="18"/>
      <c r="K855" s="18"/>
      <c r="L855" s="18" t="s">
        <v>129</v>
      </c>
      <c r="M855" s="18" t="s">
        <v>129</v>
      </c>
      <c r="N855" s="18"/>
      <c r="O855" s="18"/>
      <c r="P855" s="18" t="s">
        <v>3857</v>
      </c>
      <c r="Q855" s="18" t="s">
        <v>149</v>
      </c>
      <c r="R855" s="18" t="s">
        <v>3858</v>
      </c>
      <c r="S855" s="18" t="s">
        <v>133</v>
      </c>
      <c r="T855" s="18" t="s">
        <v>183</v>
      </c>
      <c r="U855" s="18"/>
      <c r="V855" s="19" t="s">
        <v>29</v>
      </c>
      <c r="W855" s="19"/>
      <c r="X855" s="19"/>
      <c r="Y855" s="20"/>
      <c r="Z855" s="19"/>
      <c r="AA855" s="18" t="str">
        <f aca="false">IF(OR(V855="Aprobada"),R855,IF(AND(OR(V855="Aprobada con ajuste",V855="Rechazada"),W855&lt;&gt;""),W855,""))</f>
        <v/>
      </c>
    </row>
    <row r="856" customFormat="false" ht="22.35" hidden="false" customHeight="false" outlineLevel="0" collapsed="false">
      <c r="A856" s="18" t="s">
        <v>3859</v>
      </c>
      <c r="B856" s="18" t="s">
        <v>62</v>
      </c>
      <c r="C856" s="18" t="s">
        <v>63</v>
      </c>
      <c r="D856" s="18" t="s">
        <v>3789</v>
      </c>
      <c r="E856" s="18" t="n">
        <v>15250</v>
      </c>
      <c r="F856" s="18" t="s">
        <v>3860</v>
      </c>
      <c r="G856" s="18" t="s">
        <v>180</v>
      </c>
      <c r="H856" s="18" t="s">
        <v>162</v>
      </c>
      <c r="I856" s="18"/>
      <c r="J856" s="18"/>
      <c r="K856" s="18"/>
      <c r="L856" s="18" t="s">
        <v>129</v>
      </c>
      <c r="M856" s="18" t="s">
        <v>129</v>
      </c>
      <c r="N856" s="18"/>
      <c r="O856" s="18"/>
      <c r="P856" s="18" t="s">
        <v>3861</v>
      </c>
      <c r="Q856" s="18" t="s">
        <v>149</v>
      </c>
      <c r="R856" s="18" t="s">
        <v>3862</v>
      </c>
      <c r="S856" s="18" t="s">
        <v>133</v>
      </c>
      <c r="T856" s="18" t="s">
        <v>183</v>
      </c>
      <c r="U856" s="18"/>
      <c r="V856" s="19" t="s">
        <v>29</v>
      </c>
      <c r="W856" s="19"/>
      <c r="X856" s="19"/>
      <c r="Y856" s="20"/>
      <c r="Z856" s="19"/>
      <c r="AA856" s="18" t="str">
        <f aca="false">IF(OR(V856="Aprobada"),R856,IF(AND(OR(V856="Aprobada con ajuste",V856="Rechazada"),W856&lt;&gt;""),W856,""))</f>
        <v/>
      </c>
    </row>
    <row r="857" customFormat="false" ht="22.35" hidden="false" customHeight="false" outlineLevel="0" collapsed="false">
      <c r="A857" s="18" t="s">
        <v>3863</v>
      </c>
      <c r="B857" s="18" t="s">
        <v>62</v>
      </c>
      <c r="C857" s="18" t="s">
        <v>63</v>
      </c>
      <c r="D857" s="18" t="s">
        <v>3789</v>
      </c>
      <c r="E857" s="18" t="n">
        <v>15250</v>
      </c>
      <c r="F857" s="18" t="s">
        <v>3864</v>
      </c>
      <c r="G857" s="18" t="s">
        <v>161</v>
      </c>
      <c r="H857" s="18" t="s">
        <v>162</v>
      </c>
      <c r="I857" s="18"/>
      <c r="J857" s="18"/>
      <c r="K857" s="18"/>
      <c r="L857" s="18" t="s">
        <v>129</v>
      </c>
      <c r="M857" s="18" t="s">
        <v>129</v>
      </c>
      <c r="N857" s="18"/>
      <c r="O857" s="18"/>
      <c r="P857" s="18" t="s">
        <v>3865</v>
      </c>
      <c r="Q857" s="18" t="s">
        <v>149</v>
      </c>
      <c r="R857" s="18" t="s">
        <v>3866</v>
      </c>
      <c r="S857" s="18" t="s">
        <v>140</v>
      </c>
      <c r="T857" s="18" t="s">
        <v>3867</v>
      </c>
      <c r="U857" s="18" t="s">
        <v>3868</v>
      </c>
      <c r="V857" s="19" t="s">
        <v>29</v>
      </c>
      <c r="W857" s="19"/>
      <c r="X857" s="19"/>
      <c r="Y857" s="20"/>
      <c r="Z857" s="19"/>
      <c r="AA857" s="18" t="str">
        <f aca="false">IF(OR(V857="Aprobada"),R857,IF(AND(OR(V857="Aprobada con ajuste",V857="Rechazada"),W857&lt;&gt;""),W857,""))</f>
        <v/>
      </c>
    </row>
    <row r="858" customFormat="false" ht="22.35" hidden="false" customHeight="false" outlineLevel="0" collapsed="false">
      <c r="A858" s="18" t="s">
        <v>3869</v>
      </c>
      <c r="B858" s="18" t="s">
        <v>62</v>
      </c>
      <c r="C858" s="18" t="s">
        <v>63</v>
      </c>
      <c r="D858" s="18" t="s">
        <v>3789</v>
      </c>
      <c r="E858" s="18" t="n">
        <v>15250</v>
      </c>
      <c r="F858" s="18" t="s">
        <v>3870</v>
      </c>
      <c r="G858" s="18" t="s">
        <v>161</v>
      </c>
      <c r="H858" s="18" t="s">
        <v>162</v>
      </c>
      <c r="I858" s="18"/>
      <c r="J858" s="18"/>
      <c r="K858" s="18"/>
      <c r="L858" s="18" t="s">
        <v>129</v>
      </c>
      <c r="M858" s="18" t="s">
        <v>129</v>
      </c>
      <c r="N858" s="18"/>
      <c r="O858" s="18"/>
      <c r="P858" s="18" t="s">
        <v>3871</v>
      </c>
      <c r="Q858" s="18" t="s">
        <v>149</v>
      </c>
      <c r="R858" s="18" t="s">
        <v>3872</v>
      </c>
      <c r="S858" s="18" t="s">
        <v>133</v>
      </c>
      <c r="T858" s="18" t="s">
        <v>183</v>
      </c>
      <c r="U858" s="18"/>
      <c r="V858" s="19" t="s">
        <v>29</v>
      </c>
      <c r="W858" s="19"/>
      <c r="X858" s="19"/>
      <c r="Y858" s="20"/>
      <c r="Z858" s="19"/>
      <c r="AA858" s="18" t="str">
        <f aca="false">IF(OR(V858="Aprobada"),R858,IF(AND(OR(V858="Aprobada con ajuste",V858="Rechazada"),W858&lt;&gt;""),W858,""))</f>
        <v/>
      </c>
    </row>
    <row r="859" customFormat="false" ht="22.35" hidden="false" customHeight="false" outlineLevel="0" collapsed="false">
      <c r="A859" s="18" t="s">
        <v>3873</v>
      </c>
      <c r="B859" s="18" t="s">
        <v>62</v>
      </c>
      <c r="C859" s="18" t="s">
        <v>63</v>
      </c>
      <c r="D859" s="18" t="s">
        <v>3789</v>
      </c>
      <c r="E859" s="18" t="n">
        <v>15250</v>
      </c>
      <c r="F859" s="18" t="s">
        <v>3874</v>
      </c>
      <c r="G859" s="18" t="s">
        <v>180</v>
      </c>
      <c r="H859" s="18" t="s">
        <v>162</v>
      </c>
      <c r="I859" s="18"/>
      <c r="J859" s="18"/>
      <c r="K859" s="18"/>
      <c r="L859" s="18" t="s">
        <v>129</v>
      </c>
      <c r="M859" s="18" t="s">
        <v>129</v>
      </c>
      <c r="N859" s="18"/>
      <c r="O859" s="18"/>
      <c r="P859" s="18" t="s">
        <v>3875</v>
      </c>
      <c r="Q859" s="18" t="s">
        <v>149</v>
      </c>
      <c r="R859" s="18" t="s">
        <v>3876</v>
      </c>
      <c r="S859" s="18" t="s">
        <v>133</v>
      </c>
      <c r="T859" s="18" t="s">
        <v>183</v>
      </c>
      <c r="U859" s="18"/>
      <c r="V859" s="19" t="s">
        <v>29</v>
      </c>
      <c r="W859" s="19"/>
      <c r="X859" s="19"/>
      <c r="Y859" s="20"/>
      <c r="Z859" s="19"/>
      <c r="AA859" s="18" t="str">
        <f aca="false">IF(OR(V859="Aprobada"),R859,IF(AND(OR(V859="Aprobada con ajuste",V859="Rechazada"),W859&lt;&gt;""),W859,""))</f>
        <v/>
      </c>
    </row>
    <row r="860" customFormat="false" ht="22.35" hidden="false" customHeight="false" outlineLevel="0" collapsed="false">
      <c r="A860" s="18" t="s">
        <v>3877</v>
      </c>
      <c r="B860" s="18" t="s">
        <v>62</v>
      </c>
      <c r="C860" s="18" t="s">
        <v>63</v>
      </c>
      <c r="D860" s="18" t="s">
        <v>998</v>
      </c>
      <c r="E860" s="18" t="n">
        <v>3</v>
      </c>
      <c r="F860" s="18" t="s">
        <v>3878</v>
      </c>
      <c r="G860" s="18" t="s">
        <v>180</v>
      </c>
      <c r="H860" s="18" t="s">
        <v>162</v>
      </c>
      <c r="I860" s="18"/>
      <c r="J860" s="18"/>
      <c r="K860" s="18"/>
      <c r="L860" s="18" t="s">
        <v>129</v>
      </c>
      <c r="M860" s="18" t="s">
        <v>129</v>
      </c>
      <c r="N860" s="18"/>
      <c r="O860" s="18"/>
      <c r="P860" s="18" t="s">
        <v>3879</v>
      </c>
      <c r="Q860" s="18" t="s">
        <v>149</v>
      </c>
      <c r="R860" s="18" t="s">
        <v>3880</v>
      </c>
      <c r="S860" s="18" t="s">
        <v>133</v>
      </c>
      <c r="T860" s="18" t="s">
        <v>3881</v>
      </c>
      <c r="U860" s="18"/>
      <c r="V860" s="19" t="s">
        <v>29</v>
      </c>
      <c r="W860" s="19"/>
      <c r="X860" s="19"/>
      <c r="Y860" s="20"/>
      <c r="Z860" s="19"/>
      <c r="AA860" s="18" t="str">
        <f aca="false">IF(OR(V860="Aprobada"),R860,IF(AND(OR(V860="Aprobada con ajuste",V860="Rechazada"),W860&lt;&gt;""),W860,""))</f>
        <v/>
      </c>
    </row>
    <row r="861" customFormat="false" ht="22.35" hidden="false" customHeight="false" outlineLevel="0" collapsed="false">
      <c r="A861" s="18" t="s">
        <v>3882</v>
      </c>
      <c r="B861" s="18" t="s">
        <v>62</v>
      </c>
      <c r="C861" s="18" t="s">
        <v>63</v>
      </c>
      <c r="D861" s="18" t="s">
        <v>998</v>
      </c>
      <c r="E861" s="18" t="n">
        <v>3</v>
      </c>
      <c r="F861" s="18" t="s">
        <v>3883</v>
      </c>
      <c r="G861" s="18" t="s">
        <v>145</v>
      </c>
      <c r="H861" s="18" t="s">
        <v>162</v>
      </c>
      <c r="I861" s="18"/>
      <c r="J861" s="18"/>
      <c r="K861" s="18"/>
      <c r="L861" s="18" t="s">
        <v>129</v>
      </c>
      <c r="M861" s="18" t="s">
        <v>129</v>
      </c>
      <c r="N861" s="18"/>
      <c r="O861" s="18"/>
      <c r="P861" s="18" t="s">
        <v>3884</v>
      </c>
      <c r="Q861" s="18" t="s">
        <v>149</v>
      </c>
      <c r="R861" s="18" t="s">
        <v>3885</v>
      </c>
      <c r="S861" s="18" t="s">
        <v>242</v>
      </c>
      <c r="T861" s="18" t="s">
        <v>3886</v>
      </c>
      <c r="U861" s="18" t="s">
        <v>3887</v>
      </c>
      <c r="V861" s="19" t="s">
        <v>29</v>
      </c>
      <c r="W861" s="19"/>
      <c r="X861" s="19"/>
      <c r="Y861" s="20"/>
      <c r="Z861" s="19"/>
      <c r="AA861" s="18" t="str">
        <f aca="false">IF(OR(V861="Aprobada"),R861,IF(AND(OR(V861="Aprobada con ajuste",V861="Rechazada"),W861&lt;&gt;""),W861,""))</f>
        <v/>
      </c>
    </row>
    <row r="862" customFormat="false" ht="22.35" hidden="false" customHeight="false" outlineLevel="0" collapsed="false">
      <c r="A862" s="18" t="s">
        <v>3888</v>
      </c>
      <c r="B862" s="18" t="s">
        <v>62</v>
      </c>
      <c r="C862" s="18" t="s">
        <v>63</v>
      </c>
      <c r="D862" s="18" t="s">
        <v>998</v>
      </c>
      <c r="E862" s="18" t="n">
        <v>3</v>
      </c>
      <c r="F862" s="18" t="s">
        <v>1018</v>
      </c>
      <c r="G862" s="18" t="s">
        <v>205</v>
      </c>
      <c r="H862" s="18" t="s">
        <v>162</v>
      </c>
      <c r="I862" s="18"/>
      <c r="J862" s="18"/>
      <c r="K862" s="18"/>
      <c r="L862" s="18" t="s">
        <v>129</v>
      </c>
      <c r="M862" s="18" t="s">
        <v>129</v>
      </c>
      <c r="N862" s="18"/>
      <c r="O862" s="18"/>
      <c r="P862" s="18" t="s">
        <v>3889</v>
      </c>
      <c r="Q862" s="18" t="s">
        <v>138</v>
      </c>
      <c r="R862" s="18" t="s">
        <v>2302</v>
      </c>
      <c r="S862" s="18" t="s">
        <v>140</v>
      </c>
      <c r="T862" s="18" t="s">
        <v>141</v>
      </c>
      <c r="U862" s="18"/>
      <c r="V862" s="19" t="s">
        <v>29</v>
      </c>
      <c r="W862" s="19"/>
      <c r="X862" s="19"/>
      <c r="Y862" s="20"/>
      <c r="Z862" s="19"/>
      <c r="AA862" s="18" t="str">
        <f aca="false">IF(OR(V862="Aprobada"),R862,IF(AND(OR(V862="Aprobada con ajuste",V862="Rechazada"),W862&lt;&gt;""),W862,""))</f>
        <v/>
      </c>
    </row>
    <row r="863" customFormat="false" ht="22.35" hidden="false" customHeight="false" outlineLevel="0" collapsed="false">
      <c r="A863" s="18" t="s">
        <v>3890</v>
      </c>
      <c r="B863" s="18" t="s">
        <v>62</v>
      </c>
      <c r="C863" s="18" t="s">
        <v>63</v>
      </c>
      <c r="D863" s="18" t="s">
        <v>998</v>
      </c>
      <c r="E863" s="18" t="n">
        <v>3</v>
      </c>
      <c r="F863" s="18" t="s">
        <v>1023</v>
      </c>
      <c r="G863" s="18" t="s">
        <v>145</v>
      </c>
      <c r="H863" s="18" t="s">
        <v>162</v>
      </c>
      <c r="I863" s="18"/>
      <c r="J863" s="18"/>
      <c r="K863" s="18"/>
      <c r="L863" s="18" t="s">
        <v>129</v>
      </c>
      <c r="M863" s="18" t="s">
        <v>129</v>
      </c>
      <c r="N863" s="18"/>
      <c r="O863" s="18"/>
      <c r="P863" s="18" t="s">
        <v>3891</v>
      </c>
      <c r="Q863" s="18" t="s">
        <v>138</v>
      </c>
      <c r="R863" s="18" t="s">
        <v>3892</v>
      </c>
      <c r="S863" s="18" t="s">
        <v>140</v>
      </c>
      <c r="T863" s="18" t="s">
        <v>141</v>
      </c>
      <c r="U863" s="18"/>
      <c r="V863" s="19" t="s">
        <v>29</v>
      </c>
      <c r="W863" s="19"/>
      <c r="X863" s="19"/>
      <c r="Y863" s="20"/>
      <c r="Z863" s="19"/>
      <c r="AA863" s="18" t="str">
        <f aca="false">IF(OR(V863="Aprobada"),R863,IF(AND(OR(V863="Aprobada con ajuste",V863="Rechazada"),W863&lt;&gt;""),W863,""))</f>
        <v/>
      </c>
    </row>
    <row r="864" customFormat="false" ht="32.8" hidden="false" customHeight="false" outlineLevel="0" collapsed="false">
      <c r="A864" s="18" t="s">
        <v>3893</v>
      </c>
      <c r="B864" s="18" t="s">
        <v>62</v>
      </c>
      <c r="C864" s="18" t="s">
        <v>63</v>
      </c>
      <c r="D864" s="18" t="s">
        <v>998</v>
      </c>
      <c r="E864" s="18" t="n">
        <v>3</v>
      </c>
      <c r="F864" s="18" t="s">
        <v>3894</v>
      </c>
      <c r="G864" s="18" t="s">
        <v>186</v>
      </c>
      <c r="H864" s="18" t="s">
        <v>129</v>
      </c>
      <c r="I864" s="18"/>
      <c r="J864" s="18"/>
      <c r="K864" s="18"/>
      <c r="L864" s="18" t="s">
        <v>129</v>
      </c>
      <c r="M864" s="18" t="s">
        <v>129</v>
      </c>
      <c r="N864" s="18"/>
      <c r="O864" s="18" t="s">
        <v>3895</v>
      </c>
      <c r="P864" s="18" t="s">
        <v>3896</v>
      </c>
      <c r="Q864" s="18" t="s">
        <v>149</v>
      </c>
      <c r="R864" s="18" t="s">
        <v>3897</v>
      </c>
      <c r="S864" s="18" t="s">
        <v>140</v>
      </c>
      <c r="T864" s="18" t="s">
        <v>169</v>
      </c>
      <c r="U864" s="18" t="s">
        <v>3898</v>
      </c>
      <c r="V864" s="19" t="s">
        <v>29</v>
      </c>
      <c r="W864" s="19"/>
      <c r="X864" s="19"/>
      <c r="Y864" s="20"/>
      <c r="Z864" s="19"/>
      <c r="AA864" s="18" t="str">
        <f aca="false">IF(OR(V864="Aprobada"),R864,IF(AND(OR(V864="Aprobada con ajuste",V864="Rechazada"),W864&lt;&gt;""),W864,""))</f>
        <v/>
      </c>
    </row>
    <row r="865" customFormat="false" ht="22.35" hidden="false" customHeight="false" outlineLevel="0" collapsed="false">
      <c r="A865" s="18" t="s">
        <v>3899</v>
      </c>
      <c r="B865" s="18" t="s">
        <v>62</v>
      </c>
      <c r="C865" s="18" t="s">
        <v>63</v>
      </c>
      <c r="D865" s="18" t="s">
        <v>998</v>
      </c>
      <c r="E865" s="18" t="n">
        <v>3</v>
      </c>
      <c r="F865" s="18" t="s">
        <v>1482</v>
      </c>
      <c r="G865" s="18" t="s">
        <v>128</v>
      </c>
      <c r="H865" s="18" t="s">
        <v>162</v>
      </c>
      <c r="I865" s="18"/>
      <c r="J865" s="18"/>
      <c r="K865" s="18"/>
      <c r="L865" s="18" t="s">
        <v>129</v>
      </c>
      <c r="M865" s="18" t="s">
        <v>129</v>
      </c>
      <c r="N865" s="18"/>
      <c r="O865" s="18"/>
      <c r="P865" s="18" t="s">
        <v>3900</v>
      </c>
      <c r="Q865" s="18" t="s">
        <v>149</v>
      </c>
      <c r="R865" s="18" t="s">
        <v>3901</v>
      </c>
      <c r="S865" s="18" t="s">
        <v>133</v>
      </c>
      <c r="T865" s="18" t="s">
        <v>183</v>
      </c>
      <c r="U865" s="18"/>
      <c r="V865" s="19" t="s">
        <v>29</v>
      </c>
      <c r="W865" s="19"/>
      <c r="X865" s="19"/>
      <c r="Y865" s="20"/>
      <c r="Z865" s="19"/>
      <c r="AA865" s="18" t="str">
        <f aca="false">IF(OR(V865="Aprobada"),R865,IF(AND(OR(V865="Aprobada con ajuste",V865="Rechazada"),W865&lt;&gt;""),W865,""))</f>
        <v/>
      </c>
    </row>
    <row r="866" customFormat="false" ht="22.35" hidden="false" customHeight="false" outlineLevel="0" collapsed="false">
      <c r="A866" s="18" t="s">
        <v>3902</v>
      </c>
      <c r="B866" s="18" t="s">
        <v>62</v>
      </c>
      <c r="C866" s="18" t="s">
        <v>63</v>
      </c>
      <c r="D866" s="18" t="s">
        <v>998</v>
      </c>
      <c r="E866" s="18" t="n">
        <v>3</v>
      </c>
      <c r="F866" s="18" t="s">
        <v>3903</v>
      </c>
      <c r="G866" s="18" t="s">
        <v>128</v>
      </c>
      <c r="H866" s="18" t="s">
        <v>162</v>
      </c>
      <c r="I866" s="18"/>
      <c r="J866" s="18"/>
      <c r="K866" s="18"/>
      <c r="L866" s="18" t="s">
        <v>129</v>
      </c>
      <c r="M866" s="18" t="s">
        <v>129</v>
      </c>
      <c r="N866" s="18"/>
      <c r="O866" s="18"/>
      <c r="P866" s="18" t="s">
        <v>3904</v>
      </c>
      <c r="Q866" s="18" t="s">
        <v>149</v>
      </c>
      <c r="R866" s="18" t="s">
        <v>3905</v>
      </c>
      <c r="S866" s="18" t="s">
        <v>133</v>
      </c>
      <c r="T866" s="18" t="s">
        <v>183</v>
      </c>
      <c r="U866" s="18"/>
      <c r="V866" s="19" t="s">
        <v>29</v>
      </c>
      <c r="W866" s="19"/>
      <c r="X866" s="19"/>
      <c r="Y866" s="20"/>
      <c r="Z866" s="19"/>
      <c r="AA866" s="18" t="str">
        <f aca="false">IF(OR(V866="Aprobada"),R866,IF(AND(OR(V866="Aprobada con ajuste",V866="Rechazada"),W866&lt;&gt;""),W866,""))</f>
        <v/>
      </c>
    </row>
    <row r="867" customFormat="false" ht="22.35" hidden="false" customHeight="false" outlineLevel="0" collapsed="false">
      <c r="A867" s="18" t="s">
        <v>3906</v>
      </c>
      <c r="B867" s="18" t="s">
        <v>62</v>
      </c>
      <c r="C867" s="18" t="s">
        <v>63</v>
      </c>
      <c r="D867" s="18" t="s">
        <v>998</v>
      </c>
      <c r="E867" s="18" t="n">
        <v>3</v>
      </c>
      <c r="F867" s="18" t="s">
        <v>3907</v>
      </c>
      <c r="G867" s="18" t="s">
        <v>128</v>
      </c>
      <c r="H867" s="18" t="s">
        <v>162</v>
      </c>
      <c r="I867" s="18"/>
      <c r="J867" s="18"/>
      <c r="K867" s="18"/>
      <c r="L867" s="18" t="s">
        <v>129</v>
      </c>
      <c r="M867" s="18" t="s">
        <v>129</v>
      </c>
      <c r="N867" s="18"/>
      <c r="O867" s="18"/>
      <c r="P867" s="18" t="s">
        <v>3908</v>
      </c>
      <c r="Q867" s="18" t="s">
        <v>149</v>
      </c>
      <c r="R867" s="18" t="s">
        <v>3909</v>
      </c>
      <c r="S867" s="18" t="s">
        <v>242</v>
      </c>
      <c r="T867" s="18" t="s">
        <v>183</v>
      </c>
      <c r="U867" s="18" t="s">
        <v>3910</v>
      </c>
      <c r="V867" s="19" t="s">
        <v>29</v>
      </c>
      <c r="W867" s="19"/>
      <c r="X867" s="19"/>
      <c r="Y867" s="20"/>
      <c r="Z867" s="19"/>
      <c r="AA867" s="18" t="str">
        <f aca="false">IF(OR(V867="Aprobada"),R867,IF(AND(OR(V867="Aprobada con ajuste",V867="Rechazada"),W867&lt;&gt;""),W867,""))</f>
        <v/>
      </c>
    </row>
    <row r="868" customFormat="false" ht="22.35" hidden="false" customHeight="false" outlineLevel="0" collapsed="false">
      <c r="A868" s="18" t="s">
        <v>3911</v>
      </c>
      <c r="B868" s="18" t="s">
        <v>62</v>
      </c>
      <c r="C868" s="18" t="s">
        <v>63</v>
      </c>
      <c r="D868" s="18" t="s">
        <v>998</v>
      </c>
      <c r="E868" s="18" t="n">
        <v>3</v>
      </c>
      <c r="F868" s="18" t="s">
        <v>3912</v>
      </c>
      <c r="G868" s="18" t="s">
        <v>128</v>
      </c>
      <c r="H868" s="18" t="s">
        <v>162</v>
      </c>
      <c r="I868" s="18"/>
      <c r="J868" s="18"/>
      <c r="K868" s="18"/>
      <c r="L868" s="18" t="s">
        <v>129</v>
      </c>
      <c r="M868" s="18" t="s">
        <v>129</v>
      </c>
      <c r="N868" s="18"/>
      <c r="O868" s="18"/>
      <c r="P868" s="18" t="s">
        <v>3913</v>
      </c>
      <c r="Q868" s="18" t="s">
        <v>149</v>
      </c>
      <c r="R868" s="18" t="s">
        <v>3914</v>
      </c>
      <c r="S868" s="18" t="s">
        <v>140</v>
      </c>
      <c r="T868" s="18" t="s">
        <v>3915</v>
      </c>
      <c r="U868" s="18" t="s">
        <v>3916</v>
      </c>
      <c r="V868" s="19" t="s">
        <v>29</v>
      </c>
      <c r="W868" s="19"/>
      <c r="X868" s="19"/>
      <c r="Y868" s="20"/>
      <c r="Z868" s="19"/>
      <c r="AA868" s="18" t="str">
        <f aca="false">IF(OR(V868="Aprobada"),R868,IF(AND(OR(V868="Aprobada con ajuste",V868="Rechazada"),W868&lt;&gt;""),W868,""))</f>
        <v/>
      </c>
    </row>
    <row r="869" customFormat="false" ht="22.35" hidden="false" customHeight="false" outlineLevel="0" collapsed="false">
      <c r="A869" s="18" t="s">
        <v>3917</v>
      </c>
      <c r="B869" s="18" t="s">
        <v>62</v>
      </c>
      <c r="C869" s="18" t="s">
        <v>63</v>
      </c>
      <c r="D869" s="18" t="s">
        <v>3918</v>
      </c>
      <c r="E869" s="18" t="n">
        <v>1</v>
      </c>
      <c r="F869" s="18" t="s">
        <v>485</v>
      </c>
      <c r="G869" s="18" t="s">
        <v>180</v>
      </c>
      <c r="H869" s="18" t="s">
        <v>129</v>
      </c>
      <c r="I869" s="18"/>
      <c r="J869" s="18"/>
      <c r="K869" s="18"/>
      <c r="L869" s="18" t="s">
        <v>129</v>
      </c>
      <c r="M869" s="18" t="s">
        <v>129</v>
      </c>
      <c r="N869" s="18"/>
      <c r="O869" s="18"/>
      <c r="P869" s="18" t="s">
        <v>3919</v>
      </c>
      <c r="Q869" s="18" t="s">
        <v>138</v>
      </c>
      <c r="R869" s="18" t="s">
        <v>3920</v>
      </c>
      <c r="S869" s="18" t="s">
        <v>140</v>
      </c>
      <c r="T869" s="18" t="s">
        <v>141</v>
      </c>
      <c r="U869" s="18"/>
      <c r="V869" s="19" t="s">
        <v>29</v>
      </c>
      <c r="W869" s="19"/>
      <c r="X869" s="19"/>
      <c r="Y869" s="20"/>
      <c r="Z869" s="19"/>
      <c r="AA869" s="18" t="str">
        <f aca="false">IF(OR(V869="Aprobada"),R869,IF(AND(OR(V869="Aprobada con ajuste",V869="Rechazada"),W869&lt;&gt;""),W869,""))</f>
        <v/>
      </c>
    </row>
    <row r="870" customFormat="false" ht="22.35" hidden="false" customHeight="false" outlineLevel="0" collapsed="false">
      <c r="A870" s="18" t="s">
        <v>3921</v>
      </c>
      <c r="B870" s="18" t="s">
        <v>62</v>
      </c>
      <c r="C870" s="18" t="s">
        <v>63</v>
      </c>
      <c r="D870" s="18" t="s">
        <v>3918</v>
      </c>
      <c r="E870" s="18" t="n">
        <v>1</v>
      </c>
      <c r="F870" s="18" t="s">
        <v>490</v>
      </c>
      <c r="G870" s="18" t="s">
        <v>128</v>
      </c>
      <c r="H870" s="18" t="s">
        <v>162</v>
      </c>
      <c r="I870" s="18"/>
      <c r="J870" s="18"/>
      <c r="K870" s="18"/>
      <c r="L870" s="18" t="s">
        <v>129</v>
      </c>
      <c r="M870" s="18" t="s">
        <v>129</v>
      </c>
      <c r="N870" s="18"/>
      <c r="O870" s="18"/>
      <c r="P870" s="18" t="s">
        <v>3922</v>
      </c>
      <c r="Q870" s="18" t="s">
        <v>138</v>
      </c>
      <c r="R870" s="18" t="s">
        <v>3923</v>
      </c>
      <c r="S870" s="18" t="s">
        <v>140</v>
      </c>
      <c r="T870" s="18" t="s">
        <v>141</v>
      </c>
      <c r="U870" s="18"/>
      <c r="V870" s="19" t="s">
        <v>29</v>
      </c>
      <c r="W870" s="19"/>
      <c r="X870" s="19"/>
      <c r="Y870" s="20"/>
      <c r="Z870" s="19"/>
      <c r="AA870" s="18" t="str">
        <f aca="false">IF(OR(V870="Aprobada"),R870,IF(AND(OR(V870="Aprobada con ajuste",V870="Rechazada"),W870&lt;&gt;""),W870,""))</f>
        <v/>
      </c>
    </row>
    <row r="871" customFormat="false" ht="22.35" hidden="false" customHeight="false" outlineLevel="0" collapsed="false">
      <c r="A871" s="18" t="s">
        <v>3924</v>
      </c>
      <c r="B871" s="18" t="s">
        <v>62</v>
      </c>
      <c r="C871" s="18" t="s">
        <v>63</v>
      </c>
      <c r="D871" s="18" t="s">
        <v>3918</v>
      </c>
      <c r="E871" s="18" t="n">
        <v>1</v>
      </c>
      <c r="F871" s="18" t="s">
        <v>3925</v>
      </c>
      <c r="G871" s="18" t="s">
        <v>128</v>
      </c>
      <c r="H871" s="18" t="s">
        <v>129</v>
      </c>
      <c r="I871" s="18"/>
      <c r="J871" s="18"/>
      <c r="K871" s="18"/>
      <c r="L871" s="18" t="s">
        <v>129</v>
      </c>
      <c r="M871" s="18" t="s">
        <v>129</v>
      </c>
      <c r="N871" s="18"/>
      <c r="O871" s="18"/>
      <c r="P871" s="18" t="s">
        <v>3926</v>
      </c>
      <c r="Q871" s="18" t="s">
        <v>131</v>
      </c>
      <c r="R871" s="18" t="s">
        <v>3927</v>
      </c>
      <c r="S871" s="18" t="s">
        <v>133</v>
      </c>
      <c r="T871" s="18" t="s">
        <v>3928</v>
      </c>
      <c r="U871" s="18"/>
      <c r="V871" s="19" t="s">
        <v>29</v>
      </c>
      <c r="W871" s="19"/>
      <c r="X871" s="19"/>
      <c r="Y871" s="20"/>
      <c r="Z871" s="19"/>
      <c r="AA871" s="18" t="str">
        <f aca="false">IF(OR(V871="Aprobada"),R871,IF(AND(OR(V871="Aprobada con ajuste",V871="Rechazada"),W871&lt;&gt;""),W871,""))</f>
        <v/>
      </c>
    </row>
    <row r="872" customFormat="false" ht="22.35" hidden="false" customHeight="false" outlineLevel="0" collapsed="false">
      <c r="A872" s="18" t="s">
        <v>3929</v>
      </c>
      <c r="B872" s="18" t="s">
        <v>62</v>
      </c>
      <c r="C872" s="18" t="s">
        <v>63</v>
      </c>
      <c r="D872" s="18" t="s">
        <v>3918</v>
      </c>
      <c r="E872" s="18" t="n">
        <v>1</v>
      </c>
      <c r="F872" s="18" t="s">
        <v>1258</v>
      </c>
      <c r="G872" s="18" t="s">
        <v>486</v>
      </c>
      <c r="H872" s="18" t="s">
        <v>162</v>
      </c>
      <c r="I872" s="18"/>
      <c r="J872" s="18"/>
      <c r="K872" s="18"/>
      <c r="L872" s="18" t="s">
        <v>129</v>
      </c>
      <c r="M872" s="18" t="s">
        <v>129</v>
      </c>
      <c r="N872" s="18"/>
      <c r="O872" s="18"/>
      <c r="P872" s="18" t="s">
        <v>3930</v>
      </c>
      <c r="Q872" s="18" t="s">
        <v>131</v>
      </c>
      <c r="R872" s="18" t="s">
        <v>3931</v>
      </c>
      <c r="S872" s="18" t="s">
        <v>140</v>
      </c>
      <c r="T872" s="18" t="s">
        <v>3932</v>
      </c>
      <c r="U872" s="18" t="s">
        <v>3933</v>
      </c>
      <c r="V872" s="19" t="s">
        <v>29</v>
      </c>
      <c r="W872" s="19"/>
      <c r="X872" s="19"/>
      <c r="Y872" s="20"/>
      <c r="Z872" s="19"/>
      <c r="AA872" s="18" t="str">
        <f aca="false">IF(OR(V872="Aprobada"),R872,IF(AND(OR(V872="Aprobada con ajuste",V872="Rechazada"),W872&lt;&gt;""),W872,""))</f>
        <v/>
      </c>
    </row>
    <row r="873" customFormat="false" ht="22.35" hidden="false" customHeight="false" outlineLevel="0" collapsed="false">
      <c r="A873" s="18" t="s">
        <v>3934</v>
      </c>
      <c r="B873" s="18" t="s">
        <v>62</v>
      </c>
      <c r="C873" s="18" t="s">
        <v>63</v>
      </c>
      <c r="D873" s="18" t="s">
        <v>3918</v>
      </c>
      <c r="E873" s="18" t="n">
        <v>1</v>
      </c>
      <c r="F873" s="18" t="s">
        <v>512</v>
      </c>
      <c r="G873" s="18" t="s">
        <v>173</v>
      </c>
      <c r="H873" s="18" t="s">
        <v>162</v>
      </c>
      <c r="I873" s="18"/>
      <c r="J873" s="18"/>
      <c r="K873" s="18"/>
      <c r="L873" s="18" t="s">
        <v>129</v>
      </c>
      <c r="M873" s="18" t="s">
        <v>129</v>
      </c>
      <c r="N873" s="18"/>
      <c r="O873" s="18"/>
      <c r="P873" s="18" t="s">
        <v>3935</v>
      </c>
      <c r="Q873" s="18" t="s">
        <v>131</v>
      </c>
      <c r="R873" s="18" t="s">
        <v>3936</v>
      </c>
      <c r="S873" s="18" t="s">
        <v>133</v>
      </c>
      <c r="T873" s="18" t="s">
        <v>3937</v>
      </c>
      <c r="U873" s="18"/>
      <c r="V873" s="19" t="s">
        <v>29</v>
      </c>
      <c r="W873" s="19"/>
      <c r="X873" s="19"/>
      <c r="Y873" s="20"/>
      <c r="Z873" s="19"/>
      <c r="AA873" s="18" t="str">
        <f aca="false">IF(OR(V873="Aprobada"),R873,IF(AND(OR(V873="Aprobada con ajuste",V873="Rechazada"),W873&lt;&gt;""),W873,""))</f>
        <v/>
      </c>
    </row>
    <row r="874" customFormat="false" ht="22.35" hidden="false" customHeight="false" outlineLevel="0" collapsed="false">
      <c r="A874" s="18" t="s">
        <v>3938</v>
      </c>
      <c r="B874" s="18" t="s">
        <v>62</v>
      </c>
      <c r="C874" s="18" t="s">
        <v>63</v>
      </c>
      <c r="D874" s="18" t="s">
        <v>3918</v>
      </c>
      <c r="E874" s="18" t="n">
        <v>1</v>
      </c>
      <c r="F874" s="18" t="s">
        <v>1018</v>
      </c>
      <c r="G874" s="18" t="s">
        <v>503</v>
      </c>
      <c r="H874" s="18" t="s">
        <v>162</v>
      </c>
      <c r="I874" s="18"/>
      <c r="J874" s="18"/>
      <c r="K874" s="18"/>
      <c r="L874" s="18" t="s">
        <v>129</v>
      </c>
      <c r="M874" s="18" t="s">
        <v>129</v>
      </c>
      <c r="N874" s="18"/>
      <c r="O874" s="18"/>
      <c r="P874" s="18" t="s">
        <v>3939</v>
      </c>
      <c r="Q874" s="18" t="s">
        <v>138</v>
      </c>
      <c r="R874" s="18" t="s">
        <v>2302</v>
      </c>
      <c r="S874" s="18" t="s">
        <v>140</v>
      </c>
      <c r="T874" s="18" t="s">
        <v>141</v>
      </c>
      <c r="U874" s="18"/>
      <c r="V874" s="19" t="s">
        <v>29</v>
      </c>
      <c r="W874" s="19"/>
      <c r="X874" s="19"/>
      <c r="Y874" s="20"/>
      <c r="Z874" s="19"/>
      <c r="AA874" s="18" t="str">
        <f aca="false">IF(OR(V874="Aprobada"),R874,IF(AND(OR(V874="Aprobada con ajuste",V874="Rechazada"),W874&lt;&gt;""),W874,""))</f>
        <v/>
      </c>
    </row>
    <row r="875" customFormat="false" ht="32.8" hidden="false" customHeight="false" outlineLevel="0" collapsed="false">
      <c r="A875" s="18" t="s">
        <v>3940</v>
      </c>
      <c r="B875" s="18" t="s">
        <v>62</v>
      </c>
      <c r="C875" s="18" t="s">
        <v>63</v>
      </c>
      <c r="D875" s="18" t="s">
        <v>1042</v>
      </c>
      <c r="E875" s="18" t="n">
        <v>42</v>
      </c>
      <c r="F875" s="18" t="s">
        <v>1043</v>
      </c>
      <c r="G875" s="18" t="s">
        <v>317</v>
      </c>
      <c r="H875" s="18" t="s">
        <v>129</v>
      </c>
      <c r="I875" s="18"/>
      <c r="J875" s="18"/>
      <c r="K875" s="18"/>
      <c r="L875" s="18" t="s">
        <v>129</v>
      </c>
      <c r="M875" s="18" t="s">
        <v>129</v>
      </c>
      <c r="N875" s="18"/>
      <c r="O875" s="18" t="s">
        <v>3941</v>
      </c>
      <c r="P875" s="18" t="s">
        <v>3942</v>
      </c>
      <c r="Q875" s="18" t="s">
        <v>131</v>
      </c>
      <c r="R875" s="18" t="s">
        <v>3943</v>
      </c>
      <c r="S875" s="18" t="s">
        <v>133</v>
      </c>
      <c r="T875" s="18" t="s">
        <v>3944</v>
      </c>
      <c r="U875" s="18"/>
      <c r="V875" s="19" t="s">
        <v>29</v>
      </c>
      <c r="W875" s="19"/>
      <c r="X875" s="19"/>
      <c r="Y875" s="20"/>
      <c r="Z875" s="19"/>
      <c r="AA875" s="18" t="str">
        <f aca="false">IF(OR(V875="Aprobada"),R875,IF(AND(OR(V875="Aprobada con ajuste",V875="Rechazada"),W875&lt;&gt;""),W875,""))</f>
        <v/>
      </c>
    </row>
    <row r="876" customFormat="false" ht="22.35" hidden="false" customHeight="false" outlineLevel="0" collapsed="false">
      <c r="A876" s="18" t="s">
        <v>3945</v>
      </c>
      <c r="B876" s="18" t="s">
        <v>62</v>
      </c>
      <c r="C876" s="18" t="s">
        <v>63</v>
      </c>
      <c r="D876" s="18" t="s">
        <v>1042</v>
      </c>
      <c r="E876" s="18" t="n">
        <v>42</v>
      </c>
      <c r="F876" s="18" t="s">
        <v>1049</v>
      </c>
      <c r="G876" s="18" t="s">
        <v>145</v>
      </c>
      <c r="H876" s="18" t="s">
        <v>162</v>
      </c>
      <c r="I876" s="18"/>
      <c r="J876" s="18"/>
      <c r="K876" s="18"/>
      <c r="L876" s="18" t="s">
        <v>129</v>
      </c>
      <c r="M876" s="18" t="s">
        <v>129</v>
      </c>
      <c r="N876" s="18"/>
      <c r="O876" s="18"/>
      <c r="P876" s="18" t="s">
        <v>3946</v>
      </c>
      <c r="Q876" s="18" t="s">
        <v>149</v>
      </c>
      <c r="R876" s="18" t="s">
        <v>3947</v>
      </c>
      <c r="S876" s="18" t="s">
        <v>133</v>
      </c>
      <c r="T876" s="18" t="s">
        <v>3948</v>
      </c>
      <c r="U876" s="18"/>
      <c r="V876" s="19" t="s">
        <v>29</v>
      </c>
      <c r="W876" s="19"/>
      <c r="X876" s="19"/>
      <c r="Y876" s="20"/>
      <c r="Z876" s="19"/>
      <c r="AA876" s="18" t="str">
        <f aca="false">IF(OR(V876="Aprobada"),R876,IF(AND(OR(V876="Aprobada con ajuste",V876="Rechazada"),W876&lt;&gt;""),W876,""))</f>
        <v/>
      </c>
    </row>
    <row r="877" customFormat="false" ht="22.35" hidden="false" customHeight="false" outlineLevel="0" collapsed="false">
      <c r="A877" s="18" t="s">
        <v>3949</v>
      </c>
      <c r="B877" s="18" t="s">
        <v>62</v>
      </c>
      <c r="C877" s="18" t="s">
        <v>63</v>
      </c>
      <c r="D877" s="18" t="s">
        <v>1042</v>
      </c>
      <c r="E877" s="18" t="n">
        <v>42</v>
      </c>
      <c r="F877" s="18" t="s">
        <v>1054</v>
      </c>
      <c r="G877" s="18" t="s">
        <v>128</v>
      </c>
      <c r="H877" s="18" t="s">
        <v>162</v>
      </c>
      <c r="I877" s="18"/>
      <c r="J877" s="18"/>
      <c r="K877" s="18"/>
      <c r="L877" s="18" t="s">
        <v>129</v>
      </c>
      <c r="M877" s="18" t="s">
        <v>129</v>
      </c>
      <c r="N877" s="18"/>
      <c r="O877" s="18"/>
      <c r="P877" s="18" t="s">
        <v>3950</v>
      </c>
      <c r="Q877" s="18" t="s">
        <v>138</v>
      </c>
      <c r="R877" s="18" t="s">
        <v>1056</v>
      </c>
      <c r="S877" s="18" t="s">
        <v>140</v>
      </c>
      <c r="T877" s="18" t="s">
        <v>141</v>
      </c>
      <c r="U877" s="18"/>
      <c r="V877" s="19" t="s">
        <v>29</v>
      </c>
      <c r="W877" s="19"/>
      <c r="X877" s="19"/>
      <c r="Y877" s="20"/>
      <c r="Z877" s="19"/>
      <c r="AA877" s="18" t="str">
        <f aca="false">IF(OR(V877="Aprobada"),R877,IF(AND(OR(V877="Aprobada con ajuste",V877="Rechazada"),W877&lt;&gt;""),W877,""))</f>
        <v/>
      </c>
    </row>
    <row r="878" customFormat="false" ht="22.35" hidden="false" customHeight="false" outlineLevel="0" collapsed="false">
      <c r="A878" s="18" t="s">
        <v>3951</v>
      </c>
      <c r="B878" s="18" t="s">
        <v>62</v>
      </c>
      <c r="C878" s="18" t="s">
        <v>63</v>
      </c>
      <c r="D878" s="18" t="s">
        <v>1042</v>
      </c>
      <c r="E878" s="18" t="n">
        <v>42</v>
      </c>
      <c r="F878" s="18" t="s">
        <v>1058</v>
      </c>
      <c r="G878" s="18" t="s">
        <v>180</v>
      </c>
      <c r="H878" s="18" t="s">
        <v>162</v>
      </c>
      <c r="I878" s="18"/>
      <c r="J878" s="18"/>
      <c r="K878" s="18"/>
      <c r="L878" s="18" t="s">
        <v>129</v>
      </c>
      <c r="M878" s="18" t="s">
        <v>129</v>
      </c>
      <c r="N878" s="18"/>
      <c r="O878" s="18"/>
      <c r="P878" s="18" t="s">
        <v>3952</v>
      </c>
      <c r="Q878" s="18" t="s">
        <v>131</v>
      </c>
      <c r="R878" s="18" t="s">
        <v>3953</v>
      </c>
      <c r="S878" s="18" t="s">
        <v>133</v>
      </c>
      <c r="T878" s="18" t="s">
        <v>3954</v>
      </c>
      <c r="U878" s="18"/>
      <c r="V878" s="19" t="s">
        <v>29</v>
      </c>
      <c r="W878" s="19"/>
      <c r="X878" s="19"/>
      <c r="Y878" s="20"/>
      <c r="Z878" s="19"/>
      <c r="AA878" s="18" t="str">
        <f aca="false">IF(OR(V878="Aprobada"),R878,IF(AND(OR(V878="Aprobada con ajuste",V878="Rechazada"),W878&lt;&gt;""),W878,""))</f>
        <v/>
      </c>
    </row>
    <row r="879" customFormat="false" ht="32.8" hidden="false" customHeight="false" outlineLevel="0" collapsed="false">
      <c r="A879" s="18" t="s">
        <v>3955</v>
      </c>
      <c r="B879" s="18" t="s">
        <v>62</v>
      </c>
      <c r="C879" s="18" t="s">
        <v>63</v>
      </c>
      <c r="D879" s="18" t="s">
        <v>3956</v>
      </c>
      <c r="E879" s="18" t="n">
        <v>130</v>
      </c>
      <c r="F879" s="18" t="s">
        <v>1437</v>
      </c>
      <c r="G879" s="18" t="s">
        <v>486</v>
      </c>
      <c r="H879" s="18" t="s">
        <v>129</v>
      </c>
      <c r="I879" s="18" t="s">
        <v>146</v>
      </c>
      <c r="J879" s="18"/>
      <c r="K879" s="18"/>
      <c r="L879" s="18" t="s">
        <v>129</v>
      </c>
      <c r="M879" s="18" t="s">
        <v>129</v>
      </c>
      <c r="N879" s="18"/>
      <c r="O879" s="18" t="s">
        <v>3957</v>
      </c>
      <c r="P879" s="18" t="s">
        <v>3958</v>
      </c>
      <c r="Q879" s="18" t="s">
        <v>131</v>
      </c>
      <c r="R879" s="18" t="s">
        <v>3959</v>
      </c>
      <c r="S879" s="18" t="s">
        <v>133</v>
      </c>
      <c r="T879" s="18" t="s">
        <v>3960</v>
      </c>
      <c r="U879" s="18"/>
      <c r="V879" s="19" t="s">
        <v>29</v>
      </c>
      <c r="W879" s="19"/>
      <c r="X879" s="19"/>
      <c r="Y879" s="20"/>
      <c r="Z879" s="19"/>
      <c r="AA879" s="18" t="str">
        <f aca="false">IF(OR(V879="Aprobada"),R879,IF(AND(OR(V879="Aprobada con ajuste",V879="Rechazada"),W879&lt;&gt;""),W879,""))</f>
        <v/>
      </c>
    </row>
    <row r="880" customFormat="false" ht="43.25" hidden="false" customHeight="false" outlineLevel="0" collapsed="false">
      <c r="A880" s="18" t="s">
        <v>3961</v>
      </c>
      <c r="B880" s="18" t="s">
        <v>62</v>
      </c>
      <c r="C880" s="18" t="s">
        <v>63</v>
      </c>
      <c r="D880" s="18" t="s">
        <v>3956</v>
      </c>
      <c r="E880" s="18" t="n">
        <v>130</v>
      </c>
      <c r="F880" s="18" t="s">
        <v>1431</v>
      </c>
      <c r="G880" s="18" t="s">
        <v>145</v>
      </c>
      <c r="H880" s="18" t="s">
        <v>129</v>
      </c>
      <c r="I880" s="18" t="s">
        <v>146</v>
      </c>
      <c r="J880" s="18"/>
      <c r="K880" s="18"/>
      <c r="L880" s="18" t="s">
        <v>129</v>
      </c>
      <c r="M880" s="18" t="s">
        <v>129</v>
      </c>
      <c r="N880" s="18"/>
      <c r="O880" s="18" t="s">
        <v>3962</v>
      </c>
      <c r="P880" s="18" t="s">
        <v>3963</v>
      </c>
      <c r="Q880" s="18" t="s">
        <v>131</v>
      </c>
      <c r="R880" s="18" t="s">
        <v>3964</v>
      </c>
      <c r="S880" s="18" t="s">
        <v>133</v>
      </c>
      <c r="T880" s="18" t="s">
        <v>3965</v>
      </c>
      <c r="U880" s="18"/>
      <c r="V880" s="19" t="s">
        <v>29</v>
      </c>
      <c r="W880" s="19"/>
      <c r="X880" s="19"/>
      <c r="Y880" s="20"/>
      <c r="Z880" s="19"/>
      <c r="AA880" s="18" t="str">
        <f aca="false">IF(OR(V880="Aprobada"),R880,IF(AND(OR(V880="Aprobada con ajuste",V880="Rechazada"),W880&lt;&gt;""),W880,""))</f>
        <v/>
      </c>
    </row>
    <row r="881" customFormat="false" ht="22.35" hidden="false" customHeight="false" outlineLevel="0" collapsed="false">
      <c r="A881" s="18" t="s">
        <v>3966</v>
      </c>
      <c r="B881" s="18" t="s">
        <v>62</v>
      </c>
      <c r="C881" s="18" t="s">
        <v>63</v>
      </c>
      <c r="D881" s="18" t="s">
        <v>3956</v>
      </c>
      <c r="E881" s="18" t="n">
        <v>130</v>
      </c>
      <c r="F881" s="18" t="s">
        <v>1116</v>
      </c>
      <c r="G881" s="18" t="s">
        <v>180</v>
      </c>
      <c r="H881" s="18" t="s">
        <v>129</v>
      </c>
      <c r="I881" s="18"/>
      <c r="J881" s="18"/>
      <c r="K881" s="18"/>
      <c r="L881" s="18" t="s">
        <v>129</v>
      </c>
      <c r="M881" s="18" t="s">
        <v>129</v>
      </c>
      <c r="N881" s="18"/>
      <c r="O881" s="18"/>
      <c r="P881" s="18" t="s">
        <v>3967</v>
      </c>
      <c r="Q881" s="18" t="s">
        <v>131</v>
      </c>
      <c r="R881" s="18" t="s">
        <v>3968</v>
      </c>
      <c r="S881" s="18" t="s">
        <v>133</v>
      </c>
      <c r="T881" s="18" t="s">
        <v>3969</v>
      </c>
      <c r="U881" s="18"/>
      <c r="V881" s="19" t="s">
        <v>29</v>
      </c>
      <c r="W881" s="19"/>
      <c r="X881" s="19"/>
      <c r="Y881" s="20"/>
      <c r="Z881" s="19"/>
      <c r="AA881" s="18" t="str">
        <f aca="false">IF(OR(V881="Aprobada"),R881,IF(AND(OR(V881="Aprobada con ajuste",V881="Rechazada"),W881&lt;&gt;""),W881,""))</f>
        <v/>
      </c>
    </row>
    <row r="882" customFormat="false" ht="32.8" hidden="false" customHeight="false" outlineLevel="0" collapsed="false">
      <c r="A882" s="18" t="s">
        <v>3970</v>
      </c>
      <c r="B882" s="18" t="s">
        <v>62</v>
      </c>
      <c r="C882" s="18" t="s">
        <v>63</v>
      </c>
      <c r="D882" s="18" t="s">
        <v>3956</v>
      </c>
      <c r="E882" s="18" t="n">
        <v>130</v>
      </c>
      <c r="F882" s="18" t="s">
        <v>1121</v>
      </c>
      <c r="G882" s="18" t="s">
        <v>145</v>
      </c>
      <c r="H882" s="18" t="s">
        <v>129</v>
      </c>
      <c r="I882" s="18"/>
      <c r="J882" s="18"/>
      <c r="K882" s="18"/>
      <c r="L882" s="18" t="s">
        <v>129</v>
      </c>
      <c r="M882" s="18" t="s">
        <v>129</v>
      </c>
      <c r="N882" s="18"/>
      <c r="O882" s="18" t="s">
        <v>1447</v>
      </c>
      <c r="P882" s="18" t="s">
        <v>3971</v>
      </c>
      <c r="Q882" s="18" t="s">
        <v>149</v>
      </c>
      <c r="R882" s="18" t="s">
        <v>3972</v>
      </c>
      <c r="S882" s="18" t="s">
        <v>133</v>
      </c>
      <c r="T882" s="18" t="s">
        <v>3973</v>
      </c>
      <c r="U882" s="18"/>
      <c r="V882" s="19" t="s">
        <v>29</v>
      </c>
      <c r="W882" s="19"/>
      <c r="X882" s="19"/>
      <c r="Y882" s="20"/>
      <c r="Z882" s="19"/>
      <c r="AA882" s="18" t="str">
        <f aca="false">IF(OR(V882="Aprobada"),R882,IF(AND(OR(V882="Aprobada con ajuste",V882="Rechazada"),W882&lt;&gt;""),W882,""))</f>
        <v/>
      </c>
    </row>
    <row r="883" customFormat="false" ht="32.8" hidden="false" customHeight="false" outlineLevel="0" collapsed="false">
      <c r="A883" s="18" t="s">
        <v>3974</v>
      </c>
      <c r="B883" s="18" t="s">
        <v>62</v>
      </c>
      <c r="C883" s="18" t="s">
        <v>63</v>
      </c>
      <c r="D883" s="18" t="s">
        <v>3956</v>
      </c>
      <c r="E883" s="18" t="n">
        <v>130</v>
      </c>
      <c r="F883" s="18" t="s">
        <v>3975</v>
      </c>
      <c r="G883" s="18" t="s">
        <v>486</v>
      </c>
      <c r="H883" s="18" t="s">
        <v>129</v>
      </c>
      <c r="I883" s="18"/>
      <c r="J883" s="18"/>
      <c r="K883" s="18"/>
      <c r="L883" s="18" t="s">
        <v>129</v>
      </c>
      <c r="M883" s="18" t="s">
        <v>129</v>
      </c>
      <c r="N883" s="18"/>
      <c r="O883" s="18"/>
      <c r="P883" s="18" t="s">
        <v>3976</v>
      </c>
      <c r="Q883" s="18" t="s">
        <v>149</v>
      </c>
      <c r="R883" s="18" t="s">
        <v>3977</v>
      </c>
      <c r="S883" s="18" t="s">
        <v>140</v>
      </c>
      <c r="T883" s="18" t="s">
        <v>183</v>
      </c>
      <c r="U883" s="18" t="s">
        <v>3978</v>
      </c>
      <c r="V883" s="19" t="s">
        <v>29</v>
      </c>
      <c r="W883" s="19"/>
      <c r="X883" s="19"/>
      <c r="Y883" s="20"/>
      <c r="Z883" s="19"/>
      <c r="AA883" s="18" t="str">
        <f aca="false">IF(OR(V883="Aprobada"),R883,IF(AND(OR(V883="Aprobada con ajuste",V883="Rechazada"),W883&lt;&gt;""),W883,""))</f>
        <v/>
      </c>
    </row>
    <row r="884" customFormat="false" ht="32.8" hidden="false" customHeight="false" outlineLevel="0" collapsed="false">
      <c r="A884" s="18" t="s">
        <v>3979</v>
      </c>
      <c r="B884" s="18" t="s">
        <v>62</v>
      </c>
      <c r="C884" s="18" t="s">
        <v>63</v>
      </c>
      <c r="D884" s="18" t="s">
        <v>3956</v>
      </c>
      <c r="E884" s="18" t="n">
        <v>130</v>
      </c>
      <c r="F884" s="18" t="s">
        <v>3805</v>
      </c>
      <c r="G884" s="18" t="s">
        <v>137</v>
      </c>
      <c r="H884" s="18" t="s">
        <v>129</v>
      </c>
      <c r="I884" s="18"/>
      <c r="J884" s="18"/>
      <c r="K884" s="18"/>
      <c r="L884" s="18" t="s">
        <v>129</v>
      </c>
      <c r="M884" s="18" t="s">
        <v>129</v>
      </c>
      <c r="N884" s="18"/>
      <c r="O884" s="18"/>
      <c r="P884" s="18" t="s">
        <v>3980</v>
      </c>
      <c r="Q884" s="18" t="s">
        <v>149</v>
      </c>
      <c r="R884" s="18" t="s">
        <v>3981</v>
      </c>
      <c r="S884" s="18" t="s">
        <v>133</v>
      </c>
      <c r="T884" s="18" t="s">
        <v>3982</v>
      </c>
      <c r="U884" s="18"/>
      <c r="V884" s="19" t="s">
        <v>29</v>
      </c>
      <c r="W884" s="19"/>
      <c r="X884" s="19"/>
      <c r="Y884" s="20"/>
      <c r="Z884" s="19"/>
      <c r="AA884" s="18" t="str">
        <f aca="false">IF(OR(V884="Aprobada"),R884,IF(AND(OR(V884="Aprobada con ajuste",V884="Rechazada"),W884&lt;&gt;""),W884,""))</f>
        <v/>
      </c>
    </row>
    <row r="885" customFormat="false" ht="32.8" hidden="false" customHeight="false" outlineLevel="0" collapsed="false">
      <c r="A885" s="18" t="s">
        <v>3983</v>
      </c>
      <c r="B885" s="18" t="s">
        <v>62</v>
      </c>
      <c r="C885" s="18" t="s">
        <v>63</v>
      </c>
      <c r="D885" s="18" t="s">
        <v>3956</v>
      </c>
      <c r="E885" s="18" t="n">
        <v>130</v>
      </c>
      <c r="F885" s="18" t="s">
        <v>3984</v>
      </c>
      <c r="G885" s="18" t="s">
        <v>486</v>
      </c>
      <c r="H885" s="18" t="s">
        <v>129</v>
      </c>
      <c r="I885" s="18"/>
      <c r="J885" s="18"/>
      <c r="K885" s="18"/>
      <c r="L885" s="18" t="s">
        <v>129</v>
      </c>
      <c r="M885" s="18" t="s">
        <v>129</v>
      </c>
      <c r="N885" s="18"/>
      <c r="O885" s="18"/>
      <c r="P885" s="18" t="s">
        <v>3985</v>
      </c>
      <c r="Q885" s="18" t="s">
        <v>149</v>
      </c>
      <c r="R885" s="18" t="s">
        <v>3986</v>
      </c>
      <c r="S885" s="18" t="s">
        <v>140</v>
      </c>
      <c r="T885" s="18" t="s">
        <v>3853</v>
      </c>
      <c r="U885" s="18" t="s">
        <v>3987</v>
      </c>
      <c r="V885" s="19" t="s">
        <v>29</v>
      </c>
      <c r="W885" s="19"/>
      <c r="X885" s="19"/>
      <c r="Y885" s="20"/>
      <c r="Z885" s="19"/>
      <c r="AA885" s="18" t="str">
        <f aca="false">IF(OR(V885="Aprobada"),R885,IF(AND(OR(V885="Aprobada con ajuste",V885="Rechazada"),W885&lt;&gt;""),W885,""))</f>
        <v/>
      </c>
    </row>
    <row r="886" customFormat="false" ht="32.8" hidden="false" customHeight="false" outlineLevel="0" collapsed="false">
      <c r="A886" s="18" t="s">
        <v>3988</v>
      </c>
      <c r="B886" s="18" t="s">
        <v>62</v>
      </c>
      <c r="C886" s="18" t="s">
        <v>63</v>
      </c>
      <c r="D886" s="18" t="s">
        <v>3956</v>
      </c>
      <c r="E886" s="18" t="n">
        <v>130</v>
      </c>
      <c r="F886" s="18" t="s">
        <v>3810</v>
      </c>
      <c r="G886" s="18" t="s">
        <v>337</v>
      </c>
      <c r="H886" s="18" t="s">
        <v>162</v>
      </c>
      <c r="I886" s="18"/>
      <c r="J886" s="18"/>
      <c r="K886" s="18"/>
      <c r="L886" s="18" t="s">
        <v>129</v>
      </c>
      <c r="M886" s="18" t="s">
        <v>129</v>
      </c>
      <c r="N886" s="18"/>
      <c r="O886" s="18"/>
      <c r="P886" s="18" t="s">
        <v>3989</v>
      </c>
      <c r="Q886" s="18" t="s">
        <v>149</v>
      </c>
      <c r="R886" s="18" t="s">
        <v>3990</v>
      </c>
      <c r="S886" s="18" t="s">
        <v>140</v>
      </c>
      <c r="T886" s="18" t="s">
        <v>183</v>
      </c>
      <c r="U886" s="18" t="s">
        <v>3991</v>
      </c>
      <c r="V886" s="19" t="s">
        <v>29</v>
      </c>
      <c r="W886" s="19"/>
      <c r="X886" s="19"/>
      <c r="Y886" s="20"/>
      <c r="Z886" s="19"/>
      <c r="AA886" s="18" t="str">
        <f aca="false">IF(OR(V886="Aprobada"),R886,IF(AND(OR(V886="Aprobada con ajuste",V886="Rechazada"),W886&lt;&gt;""),W886,""))</f>
        <v/>
      </c>
    </row>
    <row r="887" customFormat="false" ht="32.8" hidden="false" customHeight="false" outlineLevel="0" collapsed="false">
      <c r="A887" s="18" t="s">
        <v>3992</v>
      </c>
      <c r="B887" s="18" t="s">
        <v>62</v>
      </c>
      <c r="C887" s="18" t="s">
        <v>63</v>
      </c>
      <c r="D887" s="18" t="s">
        <v>3956</v>
      </c>
      <c r="E887" s="18" t="n">
        <v>130</v>
      </c>
      <c r="F887" s="18" t="s">
        <v>3993</v>
      </c>
      <c r="G887" s="18" t="s">
        <v>3994</v>
      </c>
      <c r="H887" s="18" t="s">
        <v>129</v>
      </c>
      <c r="I887" s="18"/>
      <c r="J887" s="18"/>
      <c r="K887" s="18"/>
      <c r="L887" s="18" t="s">
        <v>129</v>
      </c>
      <c r="M887" s="18" t="s">
        <v>129</v>
      </c>
      <c r="N887" s="18"/>
      <c r="O887" s="18"/>
      <c r="P887" s="18" t="s">
        <v>3995</v>
      </c>
      <c r="Q887" s="18" t="s">
        <v>149</v>
      </c>
      <c r="R887" s="18" t="s">
        <v>3996</v>
      </c>
      <c r="S887" s="18" t="s">
        <v>140</v>
      </c>
      <c r="T887" s="18" t="s">
        <v>3997</v>
      </c>
      <c r="U887" s="18" t="s">
        <v>3998</v>
      </c>
      <c r="V887" s="19" t="s">
        <v>29</v>
      </c>
      <c r="W887" s="19"/>
      <c r="X887" s="19"/>
      <c r="Y887" s="20"/>
      <c r="Z887" s="19"/>
      <c r="AA887" s="18" t="str">
        <f aca="false">IF(OR(V887="Aprobada"),R887,IF(AND(OR(V887="Aprobada con ajuste",V887="Rechazada"),W887&lt;&gt;""),W887,""))</f>
        <v/>
      </c>
    </row>
    <row r="888" customFormat="false" ht="32.8" hidden="false" customHeight="false" outlineLevel="0" collapsed="false">
      <c r="A888" s="18" t="s">
        <v>3999</v>
      </c>
      <c r="B888" s="18" t="s">
        <v>62</v>
      </c>
      <c r="C888" s="18" t="s">
        <v>63</v>
      </c>
      <c r="D888" s="18" t="s">
        <v>3956</v>
      </c>
      <c r="E888" s="18" t="n">
        <v>130</v>
      </c>
      <c r="F888" s="18" t="s">
        <v>4000</v>
      </c>
      <c r="G888" s="18" t="s">
        <v>180</v>
      </c>
      <c r="H888" s="18" t="s">
        <v>162</v>
      </c>
      <c r="I888" s="18"/>
      <c r="J888" s="18"/>
      <c r="K888" s="18"/>
      <c r="L888" s="18" t="s">
        <v>129</v>
      </c>
      <c r="M888" s="18" t="s">
        <v>129</v>
      </c>
      <c r="N888" s="18"/>
      <c r="O888" s="18"/>
      <c r="P888" s="18" t="s">
        <v>4001</v>
      </c>
      <c r="Q888" s="18" t="s">
        <v>149</v>
      </c>
      <c r="R888" s="18" t="s">
        <v>4002</v>
      </c>
      <c r="S888" s="18" t="s">
        <v>140</v>
      </c>
      <c r="T888" s="18" t="s">
        <v>4003</v>
      </c>
      <c r="U888" s="18" t="s">
        <v>4004</v>
      </c>
      <c r="V888" s="19" t="s">
        <v>29</v>
      </c>
      <c r="W888" s="19"/>
      <c r="X888" s="19"/>
      <c r="Y888" s="20"/>
      <c r="Z888" s="19"/>
      <c r="AA888" s="18" t="str">
        <f aca="false">IF(OR(V888="Aprobada"),R888,IF(AND(OR(V888="Aprobada con ajuste",V888="Rechazada"),W888&lt;&gt;""),W888,""))</f>
        <v/>
      </c>
    </row>
    <row r="889" customFormat="false" ht="32.8" hidden="false" customHeight="false" outlineLevel="0" collapsed="false">
      <c r="A889" s="18" t="s">
        <v>4005</v>
      </c>
      <c r="B889" s="18" t="s">
        <v>62</v>
      </c>
      <c r="C889" s="18" t="s">
        <v>63</v>
      </c>
      <c r="D889" s="18" t="s">
        <v>3956</v>
      </c>
      <c r="E889" s="18" t="n">
        <v>130</v>
      </c>
      <c r="F889" s="18" t="s">
        <v>1536</v>
      </c>
      <c r="G889" s="18" t="s">
        <v>180</v>
      </c>
      <c r="H889" s="18" t="s">
        <v>162</v>
      </c>
      <c r="I889" s="18"/>
      <c r="J889" s="18"/>
      <c r="K889" s="18"/>
      <c r="L889" s="18" t="s">
        <v>129</v>
      </c>
      <c r="M889" s="18" t="s">
        <v>129</v>
      </c>
      <c r="N889" s="18"/>
      <c r="O889" s="18"/>
      <c r="P889" s="18" t="s">
        <v>4006</v>
      </c>
      <c r="Q889" s="18" t="s">
        <v>149</v>
      </c>
      <c r="R889" s="18" t="s">
        <v>4007</v>
      </c>
      <c r="S889" s="18" t="s">
        <v>140</v>
      </c>
      <c r="T889" s="18" t="s">
        <v>183</v>
      </c>
      <c r="U889" s="18" t="s">
        <v>4008</v>
      </c>
      <c r="V889" s="19" t="s">
        <v>29</v>
      </c>
      <c r="W889" s="19"/>
      <c r="X889" s="19"/>
      <c r="Y889" s="20"/>
      <c r="Z889" s="19"/>
      <c r="AA889" s="18" t="str">
        <f aca="false">IF(OR(V889="Aprobada"),R889,IF(AND(OR(V889="Aprobada con ajuste",V889="Rechazada"),W889&lt;&gt;""),W889,""))</f>
        <v/>
      </c>
    </row>
    <row r="890" customFormat="false" ht="32.8" hidden="false" customHeight="false" outlineLevel="0" collapsed="false">
      <c r="A890" s="18" t="s">
        <v>4009</v>
      </c>
      <c r="B890" s="18" t="s">
        <v>62</v>
      </c>
      <c r="C890" s="18" t="s">
        <v>63</v>
      </c>
      <c r="D890" s="18" t="s">
        <v>3956</v>
      </c>
      <c r="E890" s="18" t="n">
        <v>130</v>
      </c>
      <c r="F890" s="18" t="s">
        <v>1191</v>
      </c>
      <c r="G890" s="18" t="s">
        <v>486</v>
      </c>
      <c r="H890" s="18" t="s">
        <v>162</v>
      </c>
      <c r="I890" s="18"/>
      <c r="J890" s="18"/>
      <c r="K890" s="18"/>
      <c r="L890" s="18" t="s">
        <v>129</v>
      </c>
      <c r="M890" s="18" t="s">
        <v>129</v>
      </c>
      <c r="N890" s="18"/>
      <c r="O890" s="18"/>
      <c r="P890" s="18" t="s">
        <v>4010</v>
      </c>
      <c r="Q890" s="18" t="s">
        <v>149</v>
      </c>
      <c r="R890" s="18" t="s">
        <v>4011</v>
      </c>
      <c r="S890" s="18" t="s">
        <v>140</v>
      </c>
      <c r="T890" s="18" t="s">
        <v>183</v>
      </c>
      <c r="U890" s="18" t="s">
        <v>4012</v>
      </c>
      <c r="V890" s="19" t="s">
        <v>29</v>
      </c>
      <c r="W890" s="19"/>
      <c r="X890" s="19"/>
      <c r="Y890" s="20"/>
      <c r="Z890" s="19"/>
      <c r="AA890" s="18" t="str">
        <f aca="false">IF(OR(V890="Aprobada"),R890,IF(AND(OR(V890="Aprobada con ajuste",V890="Rechazada"),W890&lt;&gt;""),W890,""))</f>
        <v/>
      </c>
    </row>
    <row r="891" customFormat="false" ht="22.35" hidden="false" customHeight="false" outlineLevel="0" collapsed="false">
      <c r="A891" s="18" t="s">
        <v>4013</v>
      </c>
      <c r="B891" s="18" t="s">
        <v>62</v>
      </c>
      <c r="C891" s="18" t="s">
        <v>63</v>
      </c>
      <c r="D891" s="18" t="s">
        <v>3956</v>
      </c>
      <c r="E891" s="18" t="n">
        <v>130</v>
      </c>
      <c r="F891" s="18" t="s">
        <v>1502</v>
      </c>
      <c r="G891" s="18" t="s">
        <v>137</v>
      </c>
      <c r="H891" s="18" t="s">
        <v>129</v>
      </c>
      <c r="I891" s="18"/>
      <c r="J891" s="18"/>
      <c r="K891" s="18"/>
      <c r="L891" s="18" t="s">
        <v>129</v>
      </c>
      <c r="M891" s="18" t="s">
        <v>129</v>
      </c>
      <c r="N891" s="18"/>
      <c r="O891" s="18"/>
      <c r="P891" s="18" t="s">
        <v>4014</v>
      </c>
      <c r="Q891" s="18" t="s">
        <v>131</v>
      </c>
      <c r="R891" s="18" t="s">
        <v>4015</v>
      </c>
      <c r="S891" s="18" t="s">
        <v>133</v>
      </c>
      <c r="T891" s="18" t="s">
        <v>4016</v>
      </c>
      <c r="U891" s="18"/>
      <c r="V891" s="19" t="s">
        <v>29</v>
      </c>
      <c r="W891" s="19"/>
      <c r="X891" s="19"/>
      <c r="Y891" s="20"/>
      <c r="Z891" s="19"/>
      <c r="AA891" s="18" t="str">
        <f aca="false">IF(OR(V891="Aprobada"),R891,IF(AND(OR(V891="Aprobada con ajuste",V891="Rechazada"),W891&lt;&gt;""),W891,""))</f>
        <v/>
      </c>
    </row>
    <row r="892" customFormat="false" ht="32.8" hidden="false" customHeight="false" outlineLevel="0" collapsed="false">
      <c r="A892" s="18" t="s">
        <v>4017</v>
      </c>
      <c r="B892" s="18" t="s">
        <v>62</v>
      </c>
      <c r="C892" s="18" t="s">
        <v>63</v>
      </c>
      <c r="D892" s="18" t="s">
        <v>3956</v>
      </c>
      <c r="E892" s="18" t="n">
        <v>130</v>
      </c>
      <c r="F892" s="18" t="s">
        <v>4018</v>
      </c>
      <c r="G892" s="18" t="s">
        <v>317</v>
      </c>
      <c r="H892" s="18" t="s">
        <v>129</v>
      </c>
      <c r="I892" s="18"/>
      <c r="J892" s="18"/>
      <c r="K892" s="18"/>
      <c r="L892" s="18" t="s">
        <v>129</v>
      </c>
      <c r="M892" s="18" t="s">
        <v>129</v>
      </c>
      <c r="N892" s="18"/>
      <c r="O892" s="18"/>
      <c r="P892" s="18" t="s">
        <v>4019</v>
      </c>
      <c r="Q892" s="18" t="s">
        <v>149</v>
      </c>
      <c r="R892" s="18" t="s">
        <v>4020</v>
      </c>
      <c r="S892" s="18" t="s">
        <v>133</v>
      </c>
      <c r="T892" s="18" t="s">
        <v>4021</v>
      </c>
      <c r="U892" s="18"/>
      <c r="V892" s="19" t="s">
        <v>29</v>
      </c>
      <c r="W892" s="19"/>
      <c r="X892" s="19"/>
      <c r="Y892" s="20"/>
      <c r="Z892" s="19"/>
      <c r="AA892" s="18" t="str">
        <f aca="false">IF(OR(V892="Aprobada"),R892,IF(AND(OR(V892="Aprobada con ajuste",V892="Rechazada"),W892&lt;&gt;""),W892,""))</f>
        <v/>
      </c>
    </row>
    <row r="893" customFormat="false" ht="22.35" hidden="false" customHeight="false" outlineLevel="0" collapsed="false">
      <c r="A893" s="18" t="s">
        <v>4022</v>
      </c>
      <c r="B893" s="18" t="s">
        <v>62</v>
      </c>
      <c r="C893" s="18" t="s">
        <v>63</v>
      </c>
      <c r="D893" s="18" t="s">
        <v>3956</v>
      </c>
      <c r="E893" s="18" t="n">
        <v>130</v>
      </c>
      <c r="F893" s="18" t="s">
        <v>1472</v>
      </c>
      <c r="G893" s="18" t="s">
        <v>180</v>
      </c>
      <c r="H893" s="18" t="s">
        <v>162</v>
      </c>
      <c r="I893" s="18"/>
      <c r="J893" s="18"/>
      <c r="K893" s="18"/>
      <c r="L893" s="18" t="s">
        <v>129</v>
      </c>
      <c r="M893" s="18" t="s">
        <v>129</v>
      </c>
      <c r="N893" s="18"/>
      <c r="O893" s="18"/>
      <c r="P893" s="18" t="s">
        <v>4023</v>
      </c>
      <c r="Q893" s="18" t="s">
        <v>131</v>
      </c>
      <c r="R893" s="18" t="s">
        <v>1474</v>
      </c>
      <c r="S893" s="18" t="s">
        <v>133</v>
      </c>
      <c r="T893" s="18" t="s">
        <v>4024</v>
      </c>
      <c r="U893" s="18"/>
      <c r="V893" s="19" t="s">
        <v>29</v>
      </c>
      <c r="W893" s="19"/>
      <c r="X893" s="19"/>
      <c r="Y893" s="20"/>
      <c r="Z893" s="19"/>
      <c r="AA893" s="18" t="str">
        <f aca="false">IF(OR(V893="Aprobada"),R893,IF(AND(OR(V893="Aprobada con ajuste",V893="Rechazada"),W893&lt;&gt;""),W893,""))</f>
        <v/>
      </c>
    </row>
    <row r="894" customFormat="false" ht="22.35" hidden="false" customHeight="false" outlineLevel="0" collapsed="false">
      <c r="A894" s="18" t="s">
        <v>4025</v>
      </c>
      <c r="B894" s="18" t="s">
        <v>62</v>
      </c>
      <c r="C894" s="18" t="s">
        <v>63</v>
      </c>
      <c r="D894" s="18" t="s">
        <v>3956</v>
      </c>
      <c r="E894" s="18" t="n">
        <v>130</v>
      </c>
      <c r="F894" s="18" t="s">
        <v>1477</v>
      </c>
      <c r="G894" s="18" t="s">
        <v>180</v>
      </c>
      <c r="H894" s="18" t="s">
        <v>162</v>
      </c>
      <c r="I894" s="18"/>
      <c r="J894" s="18"/>
      <c r="K894" s="18"/>
      <c r="L894" s="18" t="s">
        <v>129</v>
      </c>
      <c r="M894" s="18" t="s">
        <v>129</v>
      </c>
      <c r="N894" s="18"/>
      <c r="O894" s="18"/>
      <c r="P894" s="18" t="s">
        <v>4026</v>
      </c>
      <c r="Q894" s="18" t="s">
        <v>131</v>
      </c>
      <c r="R894" s="18" t="s">
        <v>4027</v>
      </c>
      <c r="S894" s="18" t="s">
        <v>133</v>
      </c>
      <c r="T894" s="18" t="s">
        <v>4028</v>
      </c>
      <c r="U894" s="18"/>
      <c r="V894" s="19" t="s">
        <v>29</v>
      </c>
      <c r="W894" s="19"/>
      <c r="X894" s="19"/>
      <c r="Y894" s="20"/>
      <c r="Z894" s="19"/>
      <c r="AA894" s="18" t="str">
        <f aca="false">IF(OR(V894="Aprobada"),R894,IF(AND(OR(V894="Aprobada con ajuste",V894="Rechazada"),W894&lt;&gt;""),W894,""))</f>
        <v/>
      </c>
    </row>
    <row r="895" customFormat="false" ht="32.8" hidden="false" customHeight="false" outlineLevel="0" collapsed="false">
      <c r="A895" s="18" t="s">
        <v>4029</v>
      </c>
      <c r="B895" s="18" t="s">
        <v>62</v>
      </c>
      <c r="C895" s="18" t="s">
        <v>63</v>
      </c>
      <c r="D895" s="18" t="s">
        <v>3956</v>
      </c>
      <c r="E895" s="18" t="n">
        <v>130</v>
      </c>
      <c r="F895" s="18" t="s">
        <v>4030</v>
      </c>
      <c r="G895" s="18" t="s">
        <v>180</v>
      </c>
      <c r="H895" s="18" t="s">
        <v>162</v>
      </c>
      <c r="I895" s="18"/>
      <c r="J895" s="18"/>
      <c r="K895" s="18"/>
      <c r="L895" s="18" t="s">
        <v>129</v>
      </c>
      <c r="M895" s="18" t="s">
        <v>129</v>
      </c>
      <c r="N895" s="18"/>
      <c r="O895" s="18"/>
      <c r="P895" s="18" t="s">
        <v>4031</v>
      </c>
      <c r="Q895" s="18" t="s">
        <v>149</v>
      </c>
      <c r="R895" s="18" t="s">
        <v>4032</v>
      </c>
      <c r="S895" s="18" t="s">
        <v>133</v>
      </c>
      <c r="T895" s="18" t="s">
        <v>4033</v>
      </c>
      <c r="U895" s="18"/>
      <c r="V895" s="19" t="s">
        <v>29</v>
      </c>
      <c r="W895" s="19"/>
      <c r="X895" s="19"/>
      <c r="Y895" s="20"/>
      <c r="Z895" s="19"/>
      <c r="AA895" s="18" t="str">
        <f aca="false">IF(OR(V895="Aprobada"),R895,IF(AND(OR(V895="Aprobada con ajuste",V895="Rechazada"),W895&lt;&gt;""),W895,""))</f>
        <v/>
      </c>
    </row>
    <row r="896" customFormat="false" ht="22.35" hidden="false" customHeight="false" outlineLevel="0" collapsed="false">
      <c r="A896" s="18" t="s">
        <v>4034</v>
      </c>
      <c r="B896" s="18" t="s">
        <v>62</v>
      </c>
      <c r="C896" s="18" t="s">
        <v>63</v>
      </c>
      <c r="D896" s="18" t="s">
        <v>3956</v>
      </c>
      <c r="E896" s="18" t="n">
        <v>130</v>
      </c>
      <c r="F896" s="18" t="s">
        <v>1486</v>
      </c>
      <c r="G896" s="18" t="s">
        <v>161</v>
      </c>
      <c r="H896" s="18" t="s">
        <v>162</v>
      </c>
      <c r="I896" s="18"/>
      <c r="J896" s="18"/>
      <c r="K896" s="18"/>
      <c r="L896" s="18" t="s">
        <v>129</v>
      </c>
      <c r="M896" s="18" t="s">
        <v>129</v>
      </c>
      <c r="N896" s="18"/>
      <c r="O896" s="18"/>
      <c r="P896" s="18" t="s">
        <v>4035</v>
      </c>
      <c r="Q896" s="18" t="s">
        <v>131</v>
      </c>
      <c r="R896" s="18" t="s">
        <v>4036</v>
      </c>
      <c r="S896" s="18" t="s">
        <v>133</v>
      </c>
      <c r="T896" s="18" t="s">
        <v>4037</v>
      </c>
      <c r="U896" s="18"/>
      <c r="V896" s="19" t="s">
        <v>29</v>
      </c>
      <c r="W896" s="19"/>
      <c r="X896" s="19"/>
      <c r="Y896" s="20"/>
      <c r="Z896" s="19"/>
      <c r="AA896" s="18" t="str">
        <f aca="false">IF(OR(V896="Aprobada"),R896,IF(AND(OR(V896="Aprobada con ajuste",V896="Rechazada"),W896&lt;&gt;""),W896,""))</f>
        <v/>
      </c>
    </row>
    <row r="897" customFormat="false" ht="22.35" hidden="false" customHeight="false" outlineLevel="0" collapsed="false">
      <c r="A897" s="18" t="s">
        <v>4038</v>
      </c>
      <c r="B897" s="18" t="s">
        <v>62</v>
      </c>
      <c r="C897" s="18" t="s">
        <v>63</v>
      </c>
      <c r="D897" s="18" t="s">
        <v>3956</v>
      </c>
      <c r="E897" s="18" t="n">
        <v>130</v>
      </c>
      <c r="F897" s="18" t="s">
        <v>1023</v>
      </c>
      <c r="G897" s="18" t="s">
        <v>145</v>
      </c>
      <c r="H897" s="18" t="s">
        <v>129</v>
      </c>
      <c r="I897" s="18"/>
      <c r="J897" s="18"/>
      <c r="K897" s="18"/>
      <c r="L897" s="18" t="s">
        <v>129</v>
      </c>
      <c r="M897" s="18" t="s">
        <v>129</v>
      </c>
      <c r="N897" s="18"/>
      <c r="O897" s="18" t="s">
        <v>1497</v>
      </c>
      <c r="P897" s="18" t="s">
        <v>4039</v>
      </c>
      <c r="Q897" s="18" t="s">
        <v>131</v>
      </c>
      <c r="R897" s="18" t="s">
        <v>4040</v>
      </c>
      <c r="S897" s="18" t="s">
        <v>133</v>
      </c>
      <c r="T897" s="18" t="s">
        <v>4041</v>
      </c>
      <c r="U897" s="18"/>
      <c r="V897" s="19" t="s">
        <v>29</v>
      </c>
      <c r="W897" s="19"/>
      <c r="X897" s="19"/>
      <c r="Y897" s="20"/>
      <c r="Z897" s="19"/>
      <c r="AA897" s="18" t="str">
        <f aca="false">IF(OR(V897="Aprobada"),R897,IF(AND(OR(V897="Aprobada con ajuste",V897="Rechazada"),W897&lt;&gt;""),W897,""))</f>
        <v/>
      </c>
    </row>
    <row r="898" customFormat="false" ht="22.35" hidden="false" customHeight="false" outlineLevel="0" collapsed="false">
      <c r="A898" s="18" t="s">
        <v>4042</v>
      </c>
      <c r="B898" s="18" t="s">
        <v>62</v>
      </c>
      <c r="C898" s="18" t="s">
        <v>63</v>
      </c>
      <c r="D898" s="18" t="s">
        <v>3956</v>
      </c>
      <c r="E898" s="18" t="n">
        <v>130</v>
      </c>
      <c r="F898" s="18" t="s">
        <v>4043</v>
      </c>
      <c r="G898" s="18" t="s">
        <v>503</v>
      </c>
      <c r="H898" s="18" t="s">
        <v>162</v>
      </c>
      <c r="I898" s="18"/>
      <c r="J898" s="18"/>
      <c r="K898" s="18"/>
      <c r="L898" s="18" t="s">
        <v>129</v>
      </c>
      <c r="M898" s="18" t="s">
        <v>129</v>
      </c>
      <c r="N898" s="18"/>
      <c r="O898" s="18"/>
      <c r="P898" s="18" t="s">
        <v>4044</v>
      </c>
      <c r="Q898" s="18" t="s">
        <v>131</v>
      </c>
      <c r="R898" s="18" t="s">
        <v>4045</v>
      </c>
      <c r="S898" s="18" t="s">
        <v>133</v>
      </c>
      <c r="T898" s="18" t="s">
        <v>4046</v>
      </c>
      <c r="U898" s="18"/>
      <c r="V898" s="19" t="s">
        <v>29</v>
      </c>
      <c r="W898" s="19"/>
      <c r="X898" s="19"/>
      <c r="Y898" s="20"/>
      <c r="Z898" s="19"/>
      <c r="AA898" s="18" t="str">
        <f aca="false">IF(OR(V898="Aprobada"),R898,IF(AND(OR(V898="Aprobada con ajuste",V898="Rechazada"),W898&lt;&gt;""),W898,""))</f>
        <v/>
      </c>
    </row>
    <row r="899" customFormat="false" ht="32.8" hidden="false" customHeight="false" outlineLevel="0" collapsed="false">
      <c r="A899" s="18" t="s">
        <v>4047</v>
      </c>
      <c r="B899" s="18" t="s">
        <v>62</v>
      </c>
      <c r="C899" s="18" t="s">
        <v>63</v>
      </c>
      <c r="D899" s="18" t="s">
        <v>3956</v>
      </c>
      <c r="E899" s="18" t="n">
        <v>130</v>
      </c>
      <c r="F899" s="18" t="s">
        <v>4048</v>
      </c>
      <c r="G899" s="18" t="s">
        <v>3994</v>
      </c>
      <c r="H899" s="18" t="s">
        <v>162</v>
      </c>
      <c r="I899" s="18"/>
      <c r="J899" s="18"/>
      <c r="K899" s="18"/>
      <c r="L899" s="18" t="s">
        <v>129</v>
      </c>
      <c r="M899" s="18" t="s">
        <v>129</v>
      </c>
      <c r="N899" s="18"/>
      <c r="O899" s="18"/>
      <c r="P899" s="18" t="s">
        <v>4049</v>
      </c>
      <c r="Q899" s="18" t="s">
        <v>149</v>
      </c>
      <c r="R899" s="18" t="s">
        <v>4050</v>
      </c>
      <c r="S899" s="18" t="s">
        <v>140</v>
      </c>
      <c r="T899" s="18" t="s">
        <v>4051</v>
      </c>
      <c r="U899" s="18" t="s">
        <v>4052</v>
      </c>
      <c r="V899" s="19" t="s">
        <v>29</v>
      </c>
      <c r="W899" s="19"/>
      <c r="X899" s="19"/>
      <c r="Y899" s="20"/>
      <c r="Z899" s="19"/>
      <c r="AA899" s="18" t="str">
        <f aca="false">IF(OR(V899="Aprobada"),R899,IF(AND(OR(V899="Aprobada con ajuste",V899="Rechazada"),W899&lt;&gt;""),W899,""))</f>
        <v/>
      </c>
    </row>
    <row r="900" customFormat="false" ht="32.8" hidden="false" customHeight="false" outlineLevel="0" collapsed="false">
      <c r="A900" s="18" t="s">
        <v>4053</v>
      </c>
      <c r="B900" s="18" t="s">
        <v>62</v>
      </c>
      <c r="C900" s="18" t="s">
        <v>63</v>
      </c>
      <c r="D900" s="18" t="s">
        <v>3956</v>
      </c>
      <c r="E900" s="18" t="n">
        <v>130</v>
      </c>
      <c r="F900" s="18" t="s">
        <v>4054</v>
      </c>
      <c r="G900" s="18" t="s">
        <v>317</v>
      </c>
      <c r="H900" s="18" t="s">
        <v>162</v>
      </c>
      <c r="I900" s="18"/>
      <c r="J900" s="18"/>
      <c r="K900" s="18"/>
      <c r="L900" s="18" t="s">
        <v>129</v>
      </c>
      <c r="M900" s="18" t="s">
        <v>129</v>
      </c>
      <c r="N900" s="18"/>
      <c r="O900" s="18"/>
      <c r="P900" s="18" t="s">
        <v>4055</v>
      </c>
      <c r="Q900" s="18" t="s">
        <v>149</v>
      </c>
      <c r="R900" s="18" t="s">
        <v>4056</v>
      </c>
      <c r="S900" s="18" t="s">
        <v>133</v>
      </c>
      <c r="T900" s="18" t="s">
        <v>4057</v>
      </c>
      <c r="U900" s="18"/>
      <c r="V900" s="19" t="s">
        <v>29</v>
      </c>
      <c r="W900" s="19"/>
      <c r="X900" s="19"/>
      <c r="Y900" s="20"/>
      <c r="Z900" s="19"/>
      <c r="AA900" s="18" t="str">
        <f aca="false">IF(OR(V900="Aprobada"),R900,IF(AND(OR(V900="Aprobada con ajuste",V900="Rechazada"),W900&lt;&gt;""),W900,""))</f>
        <v/>
      </c>
    </row>
    <row r="901" customFormat="false" ht="53.7" hidden="false" customHeight="false" outlineLevel="0" collapsed="false">
      <c r="A901" s="18" t="s">
        <v>4058</v>
      </c>
      <c r="B901" s="18" t="s">
        <v>62</v>
      </c>
      <c r="C901" s="18" t="s">
        <v>63</v>
      </c>
      <c r="D901" s="18" t="s">
        <v>4059</v>
      </c>
      <c r="E901" s="18" t="n">
        <v>19</v>
      </c>
      <c r="F901" s="18" t="s">
        <v>4060</v>
      </c>
      <c r="G901" s="18" t="s">
        <v>205</v>
      </c>
      <c r="H901" s="18" t="s">
        <v>162</v>
      </c>
      <c r="I901" s="18"/>
      <c r="J901" s="18"/>
      <c r="K901" s="18"/>
      <c r="L901" s="18" t="s">
        <v>129</v>
      </c>
      <c r="M901" s="18" t="s">
        <v>129</v>
      </c>
      <c r="N901" s="18"/>
      <c r="O901" s="18" t="s">
        <v>4061</v>
      </c>
      <c r="P901" s="18" t="s">
        <v>4062</v>
      </c>
      <c r="Q901" s="18" t="s">
        <v>131</v>
      </c>
      <c r="R901" s="18" t="s">
        <v>4063</v>
      </c>
      <c r="S901" s="18" t="s">
        <v>140</v>
      </c>
      <c r="T901" s="18" t="s">
        <v>4064</v>
      </c>
      <c r="U901" s="18" t="s">
        <v>4065</v>
      </c>
      <c r="V901" s="19" t="s">
        <v>29</v>
      </c>
      <c r="W901" s="19"/>
      <c r="X901" s="19"/>
      <c r="Y901" s="20"/>
      <c r="Z901" s="19"/>
      <c r="AA901" s="18" t="str">
        <f aca="false">IF(OR(V901="Aprobada"),R901,IF(AND(OR(V901="Aprobada con ajuste",V901="Rechazada"),W901&lt;&gt;""),W901,""))</f>
        <v/>
      </c>
    </row>
    <row r="902" customFormat="false" ht="22.35" hidden="false" customHeight="false" outlineLevel="0" collapsed="false">
      <c r="A902" s="18" t="s">
        <v>4066</v>
      </c>
      <c r="B902" s="18" t="s">
        <v>62</v>
      </c>
      <c r="C902" s="18" t="s">
        <v>63</v>
      </c>
      <c r="D902" s="18" t="s">
        <v>4059</v>
      </c>
      <c r="E902" s="18" t="n">
        <v>19</v>
      </c>
      <c r="F902" s="18" t="s">
        <v>4067</v>
      </c>
      <c r="G902" s="18" t="s">
        <v>205</v>
      </c>
      <c r="H902" s="18" t="s">
        <v>162</v>
      </c>
      <c r="I902" s="18"/>
      <c r="J902" s="18"/>
      <c r="K902" s="18"/>
      <c r="L902" s="18" t="s">
        <v>129</v>
      </c>
      <c r="M902" s="18" t="s">
        <v>129</v>
      </c>
      <c r="N902" s="18"/>
      <c r="O902" s="18" t="s">
        <v>4061</v>
      </c>
      <c r="P902" s="18" t="s">
        <v>4068</v>
      </c>
      <c r="Q902" s="18" t="s">
        <v>149</v>
      </c>
      <c r="R902" s="18" t="s">
        <v>4069</v>
      </c>
      <c r="S902" s="18" t="s">
        <v>133</v>
      </c>
      <c r="T902" s="18" t="s">
        <v>4070</v>
      </c>
      <c r="U902" s="18"/>
      <c r="V902" s="19" t="s">
        <v>29</v>
      </c>
      <c r="W902" s="19"/>
      <c r="X902" s="19"/>
      <c r="Y902" s="20"/>
      <c r="Z902" s="19"/>
      <c r="AA902" s="18" t="str">
        <f aca="false">IF(OR(V902="Aprobada"),R902,IF(AND(OR(V902="Aprobada con ajuste",V902="Rechazada"),W902&lt;&gt;""),W902,""))</f>
        <v/>
      </c>
    </row>
    <row r="903" customFormat="false" ht="32.8" hidden="false" customHeight="false" outlineLevel="0" collapsed="false">
      <c r="A903" s="18" t="s">
        <v>4071</v>
      </c>
      <c r="B903" s="18" t="s">
        <v>62</v>
      </c>
      <c r="C903" s="18" t="s">
        <v>63</v>
      </c>
      <c r="D903" s="18" t="s">
        <v>4059</v>
      </c>
      <c r="E903" s="18" t="n">
        <v>19</v>
      </c>
      <c r="F903" s="18" t="s">
        <v>3856</v>
      </c>
      <c r="G903" s="18" t="s">
        <v>486</v>
      </c>
      <c r="H903" s="18" t="s">
        <v>162</v>
      </c>
      <c r="I903" s="18"/>
      <c r="J903" s="18"/>
      <c r="K903" s="18"/>
      <c r="L903" s="18" t="s">
        <v>129</v>
      </c>
      <c r="M903" s="18" t="s">
        <v>129</v>
      </c>
      <c r="N903" s="18"/>
      <c r="O903" s="18"/>
      <c r="P903" s="18" t="s">
        <v>4072</v>
      </c>
      <c r="Q903" s="18" t="s">
        <v>149</v>
      </c>
      <c r="R903" s="18" t="s">
        <v>4073</v>
      </c>
      <c r="S903" s="18" t="s">
        <v>140</v>
      </c>
      <c r="T903" s="18" t="s">
        <v>4074</v>
      </c>
      <c r="U903" s="18" t="s">
        <v>4075</v>
      </c>
      <c r="V903" s="19" t="s">
        <v>29</v>
      </c>
      <c r="W903" s="19"/>
      <c r="X903" s="19"/>
      <c r="Y903" s="20"/>
      <c r="Z903" s="19"/>
      <c r="AA903" s="18" t="str">
        <f aca="false">IF(OR(V903="Aprobada"),R903,IF(AND(OR(V903="Aprobada con ajuste",V903="Rechazada"),W903&lt;&gt;""),W903,""))</f>
        <v/>
      </c>
    </row>
    <row r="904" customFormat="false" ht="22.35" hidden="false" customHeight="false" outlineLevel="0" collapsed="false">
      <c r="A904" s="18" t="s">
        <v>4076</v>
      </c>
      <c r="B904" s="18" t="s">
        <v>62</v>
      </c>
      <c r="C904" s="18" t="s">
        <v>63</v>
      </c>
      <c r="D904" s="18" t="s">
        <v>4059</v>
      </c>
      <c r="E904" s="18" t="n">
        <v>19</v>
      </c>
      <c r="F904" s="18" t="s">
        <v>3860</v>
      </c>
      <c r="G904" s="18" t="s">
        <v>180</v>
      </c>
      <c r="H904" s="18" t="s">
        <v>162</v>
      </c>
      <c r="I904" s="18"/>
      <c r="J904" s="18"/>
      <c r="K904" s="18"/>
      <c r="L904" s="18" t="s">
        <v>129</v>
      </c>
      <c r="M904" s="18" t="s">
        <v>129</v>
      </c>
      <c r="N904" s="18"/>
      <c r="O904" s="18"/>
      <c r="P904" s="18" t="s">
        <v>4077</v>
      </c>
      <c r="Q904" s="18" t="s">
        <v>149</v>
      </c>
      <c r="R904" s="18" t="s">
        <v>4078</v>
      </c>
      <c r="S904" s="18" t="s">
        <v>133</v>
      </c>
      <c r="T904" s="18" t="s">
        <v>4079</v>
      </c>
      <c r="U904" s="18"/>
      <c r="V904" s="19" t="s">
        <v>29</v>
      </c>
      <c r="W904" s="19"/>
      <c r="X904" s="19"/>
      <c r="Y904" s="20"/>
      <c r="Z904" s="19"/>
      <c r="AA904" s="18" t="str">
        <f aca="false">IF(OR(V904="Aprobada"),R904,IF(AND(OR(V904="Aprobada con ajuste",V904="Rechazada"),W904&lt;&gt;""),W904,""))</f>
        <v/>
      </c>
    </row>
    <row r="905" customFormat="false" ht="22.35" hidden="false" customHeight="false" outlineLevel="0" collapsed="false">
      <c r="A905" s="18" t="s">
        <v>4080</v>
      </c>
      <c r="B905" s="18" t="s">
        <v>62</v>
      </c>
      <c r="C905" s="18" t="s">
        <v>63</v>
      </c>
      <c r="D905" s="18" t="s">
        <v>4059</v>
      </c>
      <c r="E905" s="18" t="n">
        <v>19</v>
      </c>
      <c r="F905" s="18" t="s">
        <v>4081</v>
      </c>
      <c r="G905" s="18" t="s">
        <v>161</v>
      </c>
      <c r="H905" s="18" t="s">
        <v>162</v>
      </c>
      <c r="I905" s="18"/>
      <c r="J905" s="18"/>
      <c r="K905" s="18"/>
      <c r="L905" s="18" t="s">
        <v>129</v>
      </c>
      <c r="M905" s="18" t="s">
        <v>129</v>
      </c>
      <c r="N905" s="18"/>
      <c r="O905" s="18"/>
      <c r="P905" s="18" t="s">
        <v>4082</v>
      </c>
      <c r="Q905" s="18" t="s">
        <v>149</v>
      </c>
      <c r="R905" s="18" t="s">
        <v>4083</v>
      </c>
      <c r="S905" s="18" t="s">
        <v>133</v>
      </c>
      <c r="T905" s="18" t="s">
        <v>4079</v>
      </c>
      <c r="U905" s="18"/>
      <c r="V905" s="19" t="s">
        <v>29</v>
      </c>
      <c r="W905" s="19"/>
      <c r="X905" s="19"/>
      <c r="Y905" s="20"/>
      <c r="Z905" s="19"/>
      <c r="AA905" s="18" t="str">
        <f aca="false">IF(OR(V905="Aprobada"),R905,IF(AND(OR(V905="Aprobada con ajuste",V905="Rechazada"),W905&lt;&gt;""),W905,""))</f>
        <v/>
      </c>
    </row>
    <row r="906" customFormat="false" ht="22.35" hidden="false" customHeight="false" outlineLevel="0" collapsed="false">
      <c r="A906" s="18" t="s">
        <v>4084</v>
      </c>
      <c r="B906" s="18" t="s">
        <v>62</v>
      </c>
      <c r="C906" s="18" t="s">
        <v>63</v>
      </c>
      <c r="D906" s="18" t="s">
        <v>4059</v>
      </c>
      <c r="E906" s="18" t="n">
        <v>19</v>
      </c>
      <c r="F906" s="18" t="s">
        <v>4085</v>
      </c>
      <c r="G906" s="18" t="s">
        <v>161</v>
      </c>
      <c r="H906" s="18" t="s">
        <v>162</v>
      </c>
      <c r="I906" s="18"/>
      <c r="J906" s="18"/>
      <c r="K906" s="18"/>
      <c r="L906" s="18" t="s">
        <v>129</v>
      </c>
      <c r="M906" s="18" t="s">
        <v>129</v>
      </c>
      <c r="N906" s="18"/>
      <c r="O906" s="18"/>
      <c r="P906" s="18" t="s">
        <v>4086</v>
      </c>
      <c r="Q906" s="18" t="s">
        <v>149</v>
      </c>
      <c r="R906" s="18" t="s">
        <v>4087</v>
      </c>
      <c r="S906" s="18" t="s">
        <v>140</v>
      </c>
      <c r="T906" s="18" t="s">
        <v>4088</v>
      </c>
      <c r="U906" s="18" t="s">
        <v>4089</v>
      </c>
      <c r="V906" s="19" t="s">
        <v>29</v>
      </c>
      <c r="W906" s="19"/>
      <c r="X906" s="19"/>
      <c r="Y906" s="20"/>
      <c r="Z906" s="19"/>
      <c r="AA906" s="18" t="str">
        <f aca="false">IF(OR(V906="Aprobada"),R906,IF(AND(OR(V906="Aprobada con ajuste",V906="Rechazada"),W906&lt;&gt;""),W906,""))</f>
        <v/>
      </c>
    </row>
    <row r="907" customFormat="false" ht="22.35" hidden="false" customHeight="false" outlineLevel="0" collapsed="false">
      <c r="A907" s="18" t="s">
        <v>4090</v>
      </c>
      <c r="B907" s="18" t="s">
        <v>62</v>
      </c>
      <c r="C907" s="18" t="s">
        <v>63</v>
      </c>
      <c r="D907" s="18" t="s">
        <v>4059</v>
      </c>
      <c r="E907" s="18" t="n">
        <v>19</v>
      </c>
      <c r="F907" s="18" t="s">
        <v>3870</v>
      </c>
      <c r="G907" s="18" t="s">
        <v>161</v>
      </c>
      <c r="H907" s="18" t="s">
        <v>162</v>
      </c>
      <c r="I907" s="18"/>
      <c r="J907" s="18"/>
      <c r="K907" s="18"/>
      <c r="L907" s="18" t="s">
        <v>129</v>
      </c>
      <c r="M907" s="18" t="s">
        <v>129</v>
      </c>
      <c r="N907" s="18"/>
      <c r="O907" s="18"/>
      <c r="P907" s="18" t="s">
        <v>4091</v>
      </c>
      <c r="Q907" s="18" t="s">
        <v>149</v>
      </c>
      <c r="R907" s="18" t="s">
        <v>4092</v>
      </c>
      <c r="S907" s="18" t="s">
        <v>133</v>
      </c>
      <c r="T907" s="18" t="s">
        <v>4079</v>
      </c>
      <c r="U907" s="18"/>
      <c r="V907" s="19" t="s">
        <v>29</v>
      </c>
      <c r="W907" s="19"/>
      <c r="X907" s="19"/>
      <c r="Y907" s="20"/>
      <c r="Z907" s="19"/>
      <c r="AA907" s="18" t="str">
        <f aca="false">IF(OR(V907="Aprobada"),R907,IF(AND(OR(V907="Aprobada con ajuste",V907="Rechazada"),W907&lt;&gt;""),W907,""))</f>
        <v/>
      </c>
    </row>
    <row r="908" customFormat="false" ht="22.35" hidden="false" customHeight="false" outlineLevel="0" collapsed="false">
      <c r="A908" s="18" t="s">
        <v>4093</v>
      </c>
      <c r="B908" s="18" t="s">
        <v>62</v>
      </c>
      <c r="C908" s="18" t="s">
        <v>63</v>
      </c>
      <c r="D908" s="18" t="s">
        <v>4059</v>
      </c>
      <c r="E908" s="18" t="n">
        <v>19</v>
      </c>
      <c r="F908" s="18" t="s">
        <v>4094</v>
      </c>
      <c r="G908" s="18" t="s">
        <v>161</v>
      </c>
      <c r="H908" s="18" t="s">
        <v>162</v>
      </c>
      <c r="I908" s="18"/>
      <c r="J908" s="18"/>
      <c r="K908" s="18"/>
      <c r="L908" s="18" t="s">
        <v>129</v>
      </c>
      <c r="M908" s="18" t="s">
        <v>129</v>
      </c>
      <c r="N908" s="18"/>
      <c r="O908" s="18"/>
      <c r="P908" s="18" t="s">
        <v>4095</v>
      </c>
      <c r="Q908" s="18" t="s">
        <v>149</v>
      </c>
      <c r="R908" s="18" t="s">
        <v>4096</v>
      </c>
      <c r="S908" s="18" t="s">
        <v>140</v>
      </c>
      <c r="T908" s="18" t="s">
        <v>4088</v>
      </c>
      <c r="U908" s="18" t="s">
        <v>4097</v>
      </c>
      <c r="V908" s="19" t="s">
        <v>29</v>
      </c>
      <c r="W908" s="19"/>
      <c r="X908" s="19"/>
      <c r="Y908" s="20"/>
      <c r="Z908" s="19"/>
      <c r="AA908" s="18" t="str">
        <f aca="false">IF(OR(V908="Aprobada"),R908,IF(AND(OR(V908="Aprobada con ajuste",V908="Rechazada"),W908&lt;&gt;""),W908,""))</f>
        <v/>
      </c>
    </row>
    <row r="909" customFormat="false" ht="22.35" hidden="false" customHeight="false" outlineLevel="0" collapsed="false">
      <c r="A909" s="18" t="s">
        <v>4098</v>
      </c>
      <c r="B909" s="18" t="s">
        <v>62</v>
      </c>
      <c r="C909" s="18" t="s">
        <v>63</v>
      </c>
      <c r="D909" s="18" t="s">
        <v>4059</v>
      </c>
      <c r="E909" s="18" t="n">
        <v>19</v>
      </c>
      <c r="F909" s="18" t="s">
        <v>3874</v>
      </c>
      <c r="G909" s="18" t="s">
        <v>180</v>
      </c>
      <c r="H909" s="18" t="s">
        <v>162</v>
      </c>
      <c r="I909" s="18"/>
      <c r="J909" s="18"/>
      <c r="K909" s="18"/>
      <c r="L909" s="18" t="s">
        <v>129</v>
      </c>
      <c r="M909" s="18" t="s">
        <v>129</v>
      </c>
      <c r="N909" s="18"/>
      <c r="O909" s="18"/>
      <c r="P909" s="18" t="s">
        <v>4099</v>
      </c>
      <c r="Q909" s="18" t="s">
        <v>149</v>
      </c>
      <c r="R909" s="18" t="s">
        <v>4100</v>
      </c>
      <c r="S909" s="18" t="s">
        <v>140</v>
      </c>
      <c r="T909" s="18" t="s">
        <v>4074</v>
      </c>
      <c r="U909" s="18" t="s">
        <v>4101</v>
      </c>
      <c r="V909" s="19" t="s">
        <v>29</v>
      </c>
      <c r="W909" s="19"/>
      <c r="X909" s="19"/>
      <c r="Y909" s="20"/>
      <c r="Z909" s="19"/>
      <c r="AA909" s="18" t="str">
        <f aca="false">IF(OR(V909="Aprobada"),R909,IF(AND(OR(V909="Aprobada con ajuste",V909="Rechazada"),W909&lt;&gt;""),W909,""))</f>
        <v/>
      </c>
    </row>
    <row r="910" customFormat="false" ht="22.35" hidden="false" customHeight="false" outlineLevel="0" collapsed="false">
      <c r="A910" s="18" t="s">
        <v>4102</v>
      </c>
      <c r="B910" s="18" t="s">
        <v>62</v>
      </c>
      <c r="C910" s="18" t="s">
        <v>63</v>
      </c>
      <c r="D910" s="18" t="s">
        <v>4059</v>
      </c>
      <c r="E910" s="18" t="n">
        <v>19</v>
      </c>
      <c r="F910" s="18" t="s">
        <v>4103</v>
      </c>
      <c r="G910" s="18" t="s">
        <v>180</v>
      </c>
      <c r="H910" s="18" t="s">
        <v>162</v>
      </c>
      <c r="I910" s="18"/>
      <c r="J910" s="18"/>
      <c r="K910" s="18"/>
      <c r="L910" s="18" t="s">
        <v>129</v>
      </c>
      <c r="M910" s="18" t="s">
        <v>129</v>
      </c>
      <c r="N910" s="18"/>
      <c r="O910" s="18"/>
      <c r="P910" s="18" t="s">
        <v>4104</v>
      </c>
      <c r="Q910" s="18" t="s">
        <v>149</v>
      </c>
      <c r="R910" s="18" t="s">
        <v>4105</v>
      </c>
      <c r="S910" s="18" t="s">
        <v>133</v>
      </c>
      <c r="T910" s="18" t="s">
        <v>4106</v>
      </c>
      <c r="U910" s="18"/>
      <c r="V910" s="19" t="s">
        <v>29</v>
      </c>
      <c r="W910" s="19"/>
      <c r="X910" s="19"/>
      <c r="Y910" s="20"/>
      <c r="Z910" s="19"/>
      <c r="AA910" s="18" t="str">
        <f aca="false">IF(OR(V910="Aprobada"),R910,IF(AND(OR(V910="Aprobada con ajuste",V910="Rechazada"),W910&lt;&gt;""),W910,""))</f>
        <v/>
      </c>
    </row>
    <row r="911" customFormat="false" ht="22.35" hidden="false" customHeight="false" outlineLevel="0" collapsed="false">
      <c r="A911" s="18" t="s">
        <v>4107</v>
      </c>
      <c r="B911" s="18" t="s">
        <v>62</v>
      </c>
      <c r="C911" s="18" t="s">
        <v>63</v>
      </c>
      <c r="D911" s="18" t="s">
        <v>4059</v>
      </c>
      <c r="E911" s="18" t="n">
        <v>19</v>
      </c>
      <c r="F911" s="18" t="s">
        <v>512</v>
      </c>
      <c r="G911" s="18" t="s">
        <v>173</v>
      </c>
      <c r="H911" s="18" t="s">
        <v>129</v>
      </c>
      <c r="I911" s="18"/>
      <c r="J911" s="18"/>
      <c r="K911" s="18"/>
      <c r="L911" s="18" t="s">
        <v>129</v>
      </c>
      <c r="M911" s="18" t="s">
        <v>129</v>
      </c>
      <c r="N911" s="18"/>
      <c r="O911" s="18"/>
      <c r="P911" s="18" t="s">
        <v>4108</v>
      </c>
      <c r="Q911" s="18" t="s">
        <v>138</v>
      </c>
      <c r="R911" s="18" t="s">
        <v>176</v>
      </c>
      <c r="S911" s="18" t="s">
        <v>140</v>
      </c>
      <c r="T911" s="18" t="s">
        <v>141</v>
      </c>
      <c r="U911" s="18"/>
      <c r="V911" s="19" t="s">
        <v>29</v>
      </c>
      <c r="W911" s="19"/>
      <c r="X911" s="19"/>
      <c r="Y911" s="20"/>
      <c r="Z911" s="19"/>
      <c r="AA911" s="18" t="str">
        <f aca="false">IF(OR(V911="Aprobada"),R911,IF(AND(OR(V911="Aprobada con ajuste",V911="Rechazada"),W911&lt;&gt;""),W911,""))</f>
        <v/>
      </c>
    </row>
    <row r="912" customFormat="false" ht="22.35" hidden="false" customHeight="false" outlineLevel="0" collapsed="false">
      <c r="A912" s="18" t="s">
        <v>4109</v>
      </c>
      <c r="B912" s="18" t="s">
        <v>62</v>
      </c>
      <c r="C912" s="18" t="s">
        <v>63</v>
      </c>
      <c r="D912" s="18" t="s">
        <v>4059</v>
      </c>
      <c r="E912" s="18" t="n">
        <v>19</v>
      </c>
      <c r="F912" s="18" t="s">
        <v>1121</v>
      </c>
      <c r="G912" s="18" t="s">
        <v>145</v>
      </c>
      <c r="H912" s="18" t="s">
        <v>162</v>
      </c>
      <c r="I912" s="18" t="s">
        <v>298</v>
      </c>
      <c r="J912" s="18"/>
      <c r="K912" s="18"/>
      <c r="L912" s="18" t="s">
        <v>129</v>
      </c>
      <c r="M912" s="18" t="s">
        <v>129</v>
      </c>
      <c r="N912" s="18"/>
      <c r="O912" s="18" t="s">
        <v>4110</v>
      </c>
      <c r="P912" s="18" t="s">
        <v>4111</v>
      </c>
      <c r="Q912" s="18" t="s">
        <v>149</v>
      </c>
      <c r="R912" s="18" t="s">
        <v>4112</v>
      </c>
      <c r="S912" s="18" t="s">
        <v>140</v>
      </c>
      <c r="T912" s="18" t="s">
        <v>4113</v>
      </c>
      <c r="U912" s="18" t="s">
        <v>4114</v>
      </c>
      <c r="V912" s="19" t="s">
        <v>29</v>
      </c>
      <c r="W912" s="19"/>
      <c r="X912" s="19"/>
      <c r="Y912" s="20"/>
      <c r="Z912" s="19"/>
      <c r="AA912" s="18" t="str">
        <f aca="false">IF(OR(V912="Aprobada"),R912,IF(AND(OR(V912="Aprobada con ajuste",V912="Rechazada"),W912&lt;&gt;""),W912,""))</f>
        <v/>
      </c>
    </row>
    <row r="913" customFormat="false" ht="22.35" hidden="false" customHeight="false" outlineLevel="0" collapsed="false">
      <c r="A913" s="18" t="s">
        <v>4115</v>
      </c>
      <c r="B913" s="18" t="s">
        <v>62</v>
      </c>
      <c r="C913" s="18" t="s">
        <v>63</v>
      </c>
      <c r="D913" s="18" t="s">
        <v>4116</v>
      </c>
      <c r="E913" s="18" t="n">
        <v>190</v>
      </c>
      <c r="F913" s="18" t="s">
        <v>4117</v>
      </c>
      <c r="G913" s="18" t="s">
        <v>503</v>
      </c>
      <c r="H913" s="18" t="s">
        <v>129</v>
      </c>
      <c r="I913" s="18" t="s">
        <v>298</v>
      </c>
      <c r="J913" s="18"/>
      <c r="K913" s="18"/>
      <c r="L913" s="18" t="s">
        <v>129</v>
      </c>
      <c r="M913" s="18" t="s">
        <v>129</v>
      </c>
      <c r="N913" s="18"/>
      <c r="O913" s="18" t="s">
        <v>4118</v>
      </c>
      <c r="P913" s="18" t="s">
        <v>4119</v>
      </c>
      <c r="Q913" s="18" t="s">
        <v>149</v>
      </c>
      <c r="R913" s="18" t="s">
        <v>4120</v>
      </c>
      <c r="S913" s="18" t="s">
        <v>133</v>
      </c>
      <c r="T913" s="18" t="s">
        <v>4121</v>
      </c>
      <c r="U913" s="18"/>
      <c r="V913" s="19" t="s">
        <v>29</v>
      </c>
      <c r="W913" s="19"/>
      <c r="X913" s="19"/>
      <c r="Y913" s="20"/>
      <c r="Z913" s="19"/>
      <c r="AA913" s="18" t="str">
        <f aca="false">IF(OR(V913="Aprobada"),R913,IF(AND(OR(V913="Aprobada con ajuste",V913="Rechazada"),W913&lt;&gt;""),W913,""))</f>
        <v/>
      </c>
    </row>
    <row r="914" customFormat="false" ht="22.35" hidden="false" customHeight="false" outlineLevel="0" collapsed="false">
      <c r="A914" s="18" t="s">
        <v>4122</v>
      </c>
      <c r="B914" s="18" t="s">
        <v>62</v>
      </c>
      <c r="C914" s="18" t="s">
        <v>63</v>
      </c>
      <c r="D914" s="18" t="s">
        <v>4116</v>
      </c>
      <c r="E914" s="18" t="n">
        <v>190</v>
      </c>
      <c r="F914" s="18" t="s">
        <v>490</v>
      </c>
      <c r="G914" s="18" t="s">
        <v>128</v>
      </c>
      <c r="H914" s="18" t="s">
        <v>129</v>
      </c>
      <c r="I914" s="18" t="s">
        <v>298</v>
      </c>
      <c r="J914" s="18"/>
      <c r="K914" s="18"/>
      <c r="L914" s="18" t="s">
        <v>129</v>
      </c>
      <c r="M914" s="18" t="s">
        <v>129</v>
      </c>
      <c r="N914" s="18"/>
      <c r="O914" s="18"/>
      <c r="P914" s="18" t="s">
        <v>4123</v>
      </c>
      <c r="Q914" s="18" t="s">
        <v>138</v>
      </c>
      <c r="R914" s="18" t="s">
        <v>4124</v>
      </c>
      <c r="S914" s="18" t="s">
        <v>140</v>
      </c>
      <c r="T914" s="18" t="s">
        <v>141</v>
      </c>
      <c r="U914" s="18"/>
      <c r="V914" s="19" t="s">
        <v>29</v>
      </c>
      <c r="W914" s="19"/>
      <c r="X914" s="19"/>
      <c r="Y914" s="20"/>
      <c r="Z914" s="19"/>
      <c r="AA914" s="18" t="str">
        <f aca="false">IF(OR(V914="Aprobada"),R914,IF(AND(OR(V914="Aprobada con ajuste",V914="Rechazada"),W914&lt;&gt;""),W914,""))</f>
        <v/>
      </c>
    </row>
    <row r="915" customFormat="false" ht="22.35" hidden="false" customHeight="false" outlineLevel="0" collapsed="false">
      <c r="A915" s="18" t="s">
        <v>4125</v>
      </c>
      <c r="B915" s="18" t="s">
        <v>62</v>
      </c>
      <c r="C915" s="18" t="s">
        <v>63</v>
      </c>
      <c r="D915" s="18" t="s">
        <v>1526</v>
      </c>
      <c r="E915" s="18" t="n">
        <v>1</v>
      </c>
      <c r="F915" s="18" t="s">
        <v>1116</v>
      </c>
      <c r="G915" s="18" t="s">
        <v>180</v>
      </c>
      <c r="H915" s="18" t="s">
        <v>129</v>
      </c>
      <c r="I915" s="18"/>
      <c r="J915" s="18"/>
      <c r="K915" s="18"/>
      <c r="L915" s="18" t="s">
        <v>129</v>
      </c>
      <c r="M915" s="18" t="s">
        <v>129</v>
      </c>
      <c r="N915" s="18"/>
      <c r="O915" s="18"/>
      <c r="P915" s="18" t="s">
        <v>4126</v>
      </c>
      <c r="Q915" s="18" t="s">
        <v>131</v>
      </c>
      <c r="R915" s="18" t="s">
        <v>4127</v>
      </c>
      <c r="S915" s="18" t="s">
        <v>133</v>
      </c>
      <c r="T915" s="18" t="s">
        <v>4128</v>
      </c>
      <c r="U915" s="18"/>
      <c r="V915" s="19" t="s">
        <v>29</v>
      </c>
      <c r="W915" s="19"/>
      <c r="X915" s="19"/>
      <c r="Y915" s="20"/>
      <c r="Z915" s="19"/>
      <c r="AA915" s="18" t="str">
        <f aca="false">IF(OR(V915="Aprobada"),R915,IF(AND(OR(V915="Aprobada con ajuste",V915="Rechazada"),W915&lt;&gt;""),W915,""))</f>
        <v/>
      </c>
    </row>
    <row r="916" customFormat="false" ht="22.35" hidden="false" customHeight="false" outlineLevel="0" collapsed="false">
      <c r="A916" s="18" t="s">
        <v>4129</v>
      </c>
      <c r="B916" s="18" t="s">
        <v>62</v>
      </c>
      <c r="C916" s="18" t="s">
        <v>63</v>
      </c>
      <c r="D916" s="18" t="s">
        <v>1526</v>
      </c>
      <c r="E916" s="18" t="n">
        <v>1</v>
      </c>
      <c r="F916" s="18" t="s">
        <v>1531</v>
      </c>
      <c r="G916" s="18" t="s">
        <v>180</v>
      </c>
      <c r="H916" s="18" t="s">
        <v>129</v>
      </c>
      <c r="I916" s="18"/>
      <c r="J916" s="18"/>
      <c r="K916" s="18"/>
      <c r="L916" s="18" t="s">
        <v>129</v>
      </c>
      <c r="M916" s="18" t="s">
        <v>129</v>
      </c>
      <c r="N916" s="18"/>
      <c r="O916" s="18"/>
      <c r="P916" s="18" t="s">
        <v>4130</v>
      </c>
      <c r="Q916" s="18" t="s">
        <v>149</v>
      </c>
      <c r="R916" s="18" t="s">
        <v>4131</v>
      </c>
      <c r="S916" s="18" t="s">
        <v>133</v>
      </c>
      <c r="T916" s="18" t="s">
        <v>4132</v>
      </c>
      <c r="U916" s="18"/>
      <c r="V916" s="19" t="s">
        <v>29</v>
      </c>
      <c r="W916" s="19"/>
      <c r="X916" s="19"/>
      <c r="Y916" s="20"/>
      <c r="Z916" s="19"/>
      <c r="AA916" s="18" t="str">
        <f aca="false">IF(OR(V916="Aprobada"),R916,IF(AND(OR(V916="Aprobada con ajuste",V916="Rechazada"),W916&lt;&gt;""),W916,""))</f>
        <v/>
      </c>
    </row>
    <row r="917" customFormat="false" ht="22.35" hidden="false" customHeight="false" outlineLevel="0" collapsed="false">
      <c r="A917" s="18" t="s">
        <v>4133</v>
      </c>
      <c r="B917" s="18" t="s">
        <v>62</v>
      </c>
      <c r="C917" s="18" t="s">
        <v>63</v>
      </c>
      <c r="D917" s="18" t="s">
        <v>1526</v>
      </c>
      <c r="E917" s="18" t="n">
        <v>1</v>
      </c>
      <c r="F917" s="18" t="s">
        <v>1536</v>
      </c>
      <c r="G917" s="18" t="s">
        <v>180</v>
      </c>
      <c r="H917" s="18" t="s">
        <v>162</v>
      </c>
      <c r="I917" s="18"/>
      <c r="J917" s="18"/>
      <c r="K917" s="18"/>
      <c r="L917" s="18" t="s">
        <v>129</v>
      </c>
      <c r="M917" s="18" t="s">
        <v>129</v>
      </c>
      <c r="N917" s="18"/>
      <c r="O917" s="18"/>
      <c r="P917" s="18" t="s">
        <v>4134</v>
      </c>
      <c r="Q917" s="18" t="s">
        <v>149</v>
      </c>
      <c r="R917" s="18" t="s">
        <v>4135</v>
      </c>
      <c r="S917" s="18" t="s">
        <v>133</v>
      </c>
      <c r="T917" s="18" t="s">
        <v>3982</v>
      </c>
      <c r="U917" s="18"/>
      <c r="V917" s="19" t="s">
        <v>29</v>
      </c>
      <c r="W917" s="19"/>
      <c r="X917" s="19"/>
      <c r="Y917" s="20"/>
      <c r="Z917" s="19"/>
      <c r="AA917" s="18" t="str">
        <f aca="false">IF(OR(V917="Aprobada"),R917,IF(AND(OR(V917="Aprobada con ajuste",V917="Rechazada"),W917&lt;&gt;""),W917,""))</f>
        <v/>
      </c>
    </row>
    <row r="918" customFormat="false" ht="22.35" hidden="false" customHeight="false" outlineLevel="0" collapsed="false">
      <c r="A918" s="18" t="s">
        <v>4136</v>
      </c>
      <c r="B918" s="18" t="s">
        <v>62</v>
      </c>
      <c r="C918" s="18" t="s">
        <v>63</v>
      </c>
      <c r="D918" s="18" t="s">
        <v>1526</v>
      </c>
      <c r="E918" s="18" t="n">
        <v>1</v>
      </c>
      <c r="F918" s="18" t="s">
        <v>1482</v>
      </c>
      <c r="G918" s="18" t="s">
        <v>161</v>
      </c>
      <c r="H918" s="18" t="s">
        <v>162</v>
      </c>
      <c r="I918" s="18"/>
      <c r="J918" s="18"/>
      <c r="K918" s="18"/>
      <c r="L918" s="18" t="s">
        <v>129</v>
      </c>
      <c r="M918" s="18" t="s">
        <v>129</v>
      </c>
      <c r="N918" s="18"/>
      <c r="O918" s="18"/>
      <c r="P918" s="18" t="s">
        <v>4137</v>
      </c>
      <c r="Q918" s="18" t="s">
        <v>131</v>
      </c>
      <c r="R918" s="18" t="s">
        <v>4138</v>
      </c>
      <c r="S918" s="18" t="s">
        <v>133</v>
      </c>
      <c r="T918" s="18" t="s">
        <v>4139</v>
      </c>
      <c r="U918" s="18"/>
      <c r="V918" s="19" t="s">
        <v>29</v>
      </c>
      <c r="W918" s="19"/>
      <c r="X918" s="19"/>
      <c r="Y918" s="20"/>
      <c r="Z918" s="19"/>
      <c r="AA918" s="18" t="str">
        <f aca="false">IF(OR(V918="Aprobada"),R918,IF(AND(OR(V918="Aprobada con ajuste",V918="Rechazada"),W918&lt;&gt;""),W918,""))</f>
        <v/>
      </c>
    </row>
    <row r="919" customFormat="false" ht="22.35" hidden="false" customHeight="false" outlineLevel="0" collapsed="false">
      <c r="A919" s="18" t="s">
        <v>4140</v>
      </c>
      <c r="B919" s="18" t="s">
        <v>62</v>
      </c>
      <c r="C919" s="18" t="s">
        <v>63</v>
      </c>
      <c r="D919" s="18" t="s">
        <v>1526</v>
      </c>
      <c r="E919" s="18" t="n">
        <v>1</v>
      </c>
      <c r="F919" s="18" t="s">
        <v>512</v>
      </c>
      <c r="G919" s="18" t="s">
        <v>173</v>
      </c>
      <c r="H919" s="18" t="s">
        <v>162</v>
      </c>
      <c r="I919" s="18"/>
      <c r="J919" s="18"/>
      <c r="K919" s="18"/>
      <c r="L919" s="18" t="s">
        <v>129</v>
      </c>
      <c r="M919" s="18" t="s">
        <v>129</v>
      </c>
      <c r="N919" s="18"/>
      <c r="O919" s="18"/>
      <c r="P919" s="18" t="s">
        <v>4141</v>
      </c>
      <c r="Q919" s="18" t="s">
        <v>131</v>
      </c>
      <c r="R919" s="18" t="s">
        <v>1547</v>
      </c>
      <c r="S919" s="18" t="s">
        <v>133</v>
      </c>
      <c r="T919" s="18" t="s">
        <v>4142</v>
      </c>
      <c r="U919" s="18"/>
      <c r="V919" s="19" t="s">
        <v>29</v>
      </c>
      <c r="W919" s="19"/>
      <c r="X919" s="19"/>
      <c r="Y919" s="20"/>
      <c r="Z919" s="19"/>
      <c r="AA919" s="18" t="str">
        <f aca="false">IF(OR(V919="Aprobada"),R919,IF(AND(OR(V919="Aprobada con ajuste",V919="Rechazada"),W919&lt;&gt;""),W919,""))</f>
        <v/>
      </c>
    </row>
    <row r="920" customFormat="false" ht="22.35" hidden="false" customHeight="false" outlineLevel="0" collapsed="false">
      <c r="A920" s="18" t="s">
        <v>4143</v>
      </c>
      <c r="B920" s="18" t="s">
        <v>62</v>
      </c>
      <c r="C920" s="18" t="s">
        <v>63</v>
      </c>
      <c r="D920" s="18" t="s">
        <v>1526</v>
      </c>
      <c r="E920" s="18" t="n">
        <v>1</v>
      </c>
      <c r="F920" s="18" t="s">
        <v>1550</v>
      </c>
      <c r="G920" s="18" t="s">
        <v>173</v>
      </c>
      <c r="H920" s="18" t="s">
        <v>162</v>
      </c>
      <c r="I920" s="18"/>
      <c r="J920" s="18"/>
      <c r="K920" s="18"/>
      <c r="L920" s="18" t="s">
        <v>129</v>
      </c>
      <c r="M920" s="18" t="s">
        <v>129</v>
      </c>
      <c r="N920" s="18"/>
      <c r="O920" s="18"/>
      <c r="P920" s="18" t="s">
        <v>4144</v>
      </c>
      <c r="Q920" s="18" t="s">
        <v>131</v>
      </c>
      <c r="R920" s="18" t="s">
        <v>1553</v>
      </c>
      <c r="S920" s="18" t="s">
        <v>133</v>
      </c>
      <c r="T920" s="18" t="s">
        <v>4145</v>
      </c>
      <c r="U920" s="18"/>
      <c r="V920" s="19" t="s">
        <v>29</v>
      </c>
      <c r="W920" s="19"/>
      <c r="X920" s="19"/>
      <c r="Y920" s="20"/>
      <c r="Z920" s="19"/>
      <c r="AA920" s="18" t="str">
        <f aca="false">IF(OR(V920="Aprobada"),R920,IF(AND(OR(V920="Aprobada con ajuste",V920="Rechazada"),W920&lt;&gt;""),W920,""))</f>
        <v/>
      </c>
    </row>
    <row r="921" customFormat="false" ht="22.35" hidden="false" customHeight="false" outlineLevel="0" collapsed="false">
      <c r="A921" s="18" t="s">
        <v>4146</v>
      </c>
      <c r="B921" s="18" t="s">
        <v>62</v>
      </c>
      <c r="C921" s="18" t="s">
        <v>63</v>
      </c>
      <c r="D921" s="18" t="s">
        <v>4147</v>
      </c>
      <c r="E921" s="18" t="n">
        <v>53</v>
      </c>
      <c r="F921" s="18" t="s">
        <v>1116</v>
      </c>
      <c r="G921" s="18" t="s">
        <v>180</v>
      </c>
      <c r="H921" s="18" t="s">
        <v>129</v>
      </c>
      <c r="I921" s="18"/>
      <c r="J921" s="18"/>
      <c r="K921" s="18"/>
      <c r="L921" s="18" t="s">
        <v>129</v>
      </c>
      <c r="M921" s="18" t="s">
        <v>129</v>
      </c>
      <c r="N921" s="18"/>
      <c r="O921" s="18"/>
      <c r="P921" s="18" t="s">
        <v>4148</v>
      </c>
      <c r="Q921" s="18" t="s">
        <v>149</v>
      </c>
      <c r="R921" s="18" t="s">
        <v>4149</v>
      </c>
      <c r="S921" s="18" t="s">
        <v>133</v>
      </c>
      <c r="T921" s="18" t="s">
        <v>4150</v>
      </c>
      <c r="U921" s="18"/>
      <c r="V921" s="19" t="s">
        <v>29</v>
      </c>
      <c r="W921" s="19"/>
      <c r="X921" s="19"/>
      <c r="Y921" s="20"/>
      <c r="Z921" s="19"/>
      <c r="AA921" s="18" t="str">
        <f aca="false">IF(OR(V921="Aprobada"),R921,IF(AND(OR(V921="Aprobada con ajuste",V921="Rechazada"),W921&lt;&gt;""),W921,""))</f>
        <v/>
      </c>
    </row>
    <row r="922" customFormat="false" ht="22.35" hidden="false" customHeight="false" outlineLevel="0" collapsed="false">
      <c r="A922" s="18" t="s">
        <v>4151</v>
      </c>
      <c r="B922" s="18" t="s">
        <v>62</v>
      </c>
      <c r="C922" s="18" t="s">
        <v>63</v>
      </c>
      <c r="D922" s="18" t="s">
        <v>4152</v>
      </c>
      <c r="E922" s="18" t="n">
        <v>3</v>
      </c>
      <c r="F922" s="18" t="s">
        <v>4153</v>
      </c>
      <c r="G922" s="18" t="s">
        <v>931</v>
      </c>
      <c r="H922" s="18" t="s">
        <v>162</v>
      </c>
      <c r="I922" s="18"/>
      <c r="J922" s="18"/>
      <c r="K922" s="18"/>
      <c r="L922" s="18" t="s">
        <v>129</v>
      </c>
      <c r="M922" s="18" t="s">
        <v>129</v>
      </c>
      <c r="N922" s="18"/>
      <c r="O922" s="18"/>
      <c r="P922" s="18" t="s">
        <v>4154</v>
      </c>
      <c r="Q922" s="18" t="s">
        <v>149</v>
      </c>
      <c r="R922" s="18" t="s">
        <v>4155</v>
      </c>
      <c r="S922" s="18" t="s">
        <v>140</v>
      </c>
      <c r="T922" s="18" t="s">
        <v>4156</v>
      </c>
      <c r="U922" s="18" t="s">
        <v>4157</v>
      </c>
      <c r="V922" s="19" t="s">
        <v>29</v>
      </c>
      <c r="W922" s="19"/>
      <c r="X922" s="19"/>
      <c r="Y922" s="20"/>
      <c r="Z922" s="19"/>
      <c r="AA922" s="18" t="str">
        <f aca="false">IF(OR(V922="Aprobada"),R922,IF(AND(OR(V922="Aprobada con ajuste",V922="Rechazada"),W922&lt;&gt;""),W922,""))</f>
        <v/>
      </c>
    </row>
    <row r="923" customFormat="false" ht="22.35" hidden="false" customHeight="false" outlineLevel="0" collapsed="false">
      <c r="A923" s="18" t="s">
        <v>4158</v>
      </c>
      <c r="B923" s="18" t="s">
        <v>62</v>
      </c>
      <c r="C923" s="18" t="s">
        <v>63</v>
      </c>
      <c r="D923" s="18" t="s">
        <v>4152</v>
      </c>
      <c r="E923" s="18" t="n">
        <v>3</v>
      </c>
      <c r="F923" s="18" t="s">
        <v>490</v>
      </c>
      <c r="G923" s="18" t="s">
        <v>180</v>
      </c>
      <c r="H923" s="18" t="s">
        <v>162</v>
      </c>
      <c r="I923" s="18"/>
      <c r="J923" s="18"/>
      <c r="K923" s="18"/>
      <c r="L923" s="18" t="s">
        <v>129</v>
      </c>
      <c r="M923" s="18" t="s">
        <v>129</v>
      </c>
      <c r="N923" s="18"/>
      <c r="O923" s="18"/>
      <c r="P923" s="18" t="s">
        <v>4159</v>
      </c>
      <c r="Q923" s="18" t="s">
        <v>138</v>
      </c>
      <c r="R923" s="18" t="s">
        <v>4160</v>
      </c>
      <c r="S923" s="18" t="s">
        <v>140</v>
      </c>
      <c r="T923" s="18" t="s">
        <v>141</v>
      </c>
      <c r="U923" s="18"/>
      <c r="V923" s="19" t="s">
        <v>29</v>
      </c>
      <c r="W923" s="19"/>
      <c r="X923" s="19"/>
      <c r="Y923" s="20"/>
      <c r="Z923" s="19"/>
      <c r="AA923" s="18" t="str">
        <f aca="false">IF(OR(V923="Aprobada"),R923,IF(AND(OR(V923="Aprobada con ajuste",V923="Rechazada"),W923&lt;&gt;""),W923,""))</f>
        <v/>
      </c>
    </row>
    <row r="924" customFormat="false" ht="22.35" hidden="false" customHeight="false" outlineLevel="0" collapsed="false">
      <c r="A924" s="18" t="s">
        <v>4161</v>
      </c>
      <c r="B924" s="18" t="s">
        <v>62</v>
      </c>
      <c r="C924" s="18" t="s">
        <v>63</v>
      </c>
      <c r="D924" s="18" t="s">
        <v>4152</v>
      </c>
      <c r="E924" s="18" t="n">
        <v>3</v>
      </c>
      <c r="F924" s="18" t="s">
        <v>502</v>
      </c>
      <c r="G924" s="18" t="s">
        <v>503</v>
      </c>
      <c r="H924" s="18" t="s">
        <v>129</v>
      </c>
      <c r="I924" s="18"/>
      <c r="J924" s="18"/>
      <c r="K924" s="18"/>
      <c r="L924" s="18" t="s">
        <v>129</v>
      </c>
      <c r="M924" s="18" t="s">
        <v>129</v>
      </c>
      <c r="N924" s="18"/>
      <c r="O924" s="18"/>
      <c r="P924" s="18" t="s">
        <v>4162</v>
      </c>
      <c r="Q924" s="18" t="s">
        <v>149</v>
      </c>
      <c r="R924" s="18" t="s">
        <v>4163</v>
      </c>
      <c r="S924" s="18" t="s">
        <v>133</v>
      </c>
      <c r="T924" s="18" t="s">
        <v>4164</v>
      </c>
      <c r="U924" s="18"/>
      <c r="V924" s="19" t="s">
        <v>29</v>
      </c>
      <c r="W924" s="19"/>
      <c r="X924" s="19"/>
      <c r="Y924" s="20"/>
      <c r="Z924" s="19"/>
      <c r="AA924" s="18" t="str">
        <f aca="false">IF(OR(V924="Aprobada"),R924,IF(AND(OR(V924="Aprobada con ajuste",V924="Rechazada"),W924&lt;&gt;""),W924,""))</f>
        <v/>
      </c>
    </row>
    <row r="925" customFormat="false" ht="22.35" hidden="false" customHeight="false" outlineLevel="0" collapsed="false">
      <c r="A925" s="18" t="s">
        <v>4165</v>
      </c>
      <c r="B925" s="18" t="s">
        <v>62</v>
      </c>
      <c r="C925" s="18" t="s">
        <v>63</v>
      </c>
      <c r="D925" s="18" t="s">
        <v>4152</v>
      </c>
      <c r="E925" s="18" t="n">
        <v>3</v>
      </c>
      <c r="F925" s="18" t="s">
        <v>4166</v>
      </c>
      <c r="G925" s="18" t="s">
        <v>173</v>
      </c>
      <c r="H925" s="18" t="s">
        <v>129</v>
      </c>
      <c r="I925" s="18"/>
      <c r="J925" s="18"/>
      <c r="K925" s="18"/>
      <c r="L925" s="18" t="s">
        <v>129</v>
      </c>
      <c r="M925" s="18" t="s">
        <v>129</v>
      </c>
      <c r="N925" s="18"/>
      <c r="O925" s="18"/>
      <c r="P925" s="18" t="s">
        <v>4167</v>
      </c>
      <c r="Q925" s="18" t="s">
        <v>138</v>
      </c>
      <c r="R925" s="18" t="s">
        <v>4168</v>
      </c>
      <c r="S925" s="18" t="s">
        <v>140</v>
      </c>
      <c r="T925" s="18" t="s">
        <v>141</v>
      </c>
      <c r="U925" s="18"/>
      <c r="V925" s="19" t="s">
        <v>29</v>
      </c>
      <c r="W925" s="19"/>
      <c r="X925" s="19"/>
      <c r="Y925" s="20"/>
      <c r="Z925" s="19"/>
      <c r="AA925" s="18" t="str">
        <f aca="false">IF(OR(V925="Aprobada"),R925,IF(AND(OR(V925="Aprobada con ajuste",V925="Rechazada"),W925&lt;&gt;""),W925,""))</f>
        <v/>
      </c>
    </row>
    <row r="926" customFormat="false" ht="22.35" hidden="false" customHeight="false" outlineLevel="0" collapsed="false">
      <c r="A926" s="18" t="s">
        <v>4169</v>
      </c>
      <c r="B926" s="18" t="s">
        <v>62</v>
      </c>
      <c r="C926" s="18" t="s">
        <v>63</v>
      </c>
      <c r="D926" s="18" t="s">
        <v>4152</v>
      </c>
      <c r="E926" s="18" t="n">
        <v>3</v>
      </c>
      <c r="F926" s="18" t="s">
        <v>512</v>
      </c>
      <c r="G926" s="18" t="s">
        <v>173</v>
      </c>
      <c r="H926" s="18" t="s">
        <v>129</v>
      </c>
      <c r="I926" s="18"/>
      <c r="J926" s="18"/>
      <c r="K926" s="18"/>
      <c r="L926" s="18" t="s">
        <v>129</v>
      </c>
      <c r="M926" s="18" t="s">
        <v>129</v>
      </c>
      <c r="N926" s="18"/>
      <c r="O926" s="18"/>
      <c r="P926" s="18" t="s">
        <v>4170</v>
      </c>
      <c r="Q926" s="18" t="s">
        <v>138</v>
      </c>
      <c r="R926" s="18" t="s">
        <v>176</v>
      </c>
      <c r="S926" s="18" t="s">
        <v>140</v>
      </c>
      <c r="T926" s="18" t="s">
        <v>141</v>
      </c>
      <c r="U926" s="18"/>
      <c r="V926" s="19" t="s">
        <v>29</v>
      </c>
      <c r="W926" s="19"/>
      <c r="X926" s="19"/>
      <c r="Y926" s="20"/>
      <c r="Z926" s="19"/>
      <c r="AA926" s="18" t="str">
        <f aca="false">IF(OR(V926="Aprobada"),R926,IF(AND(OR(V926="Aprobada con ajuste",V926="Rechazada"),W926&lt;&gt;""),W926,""))</f>
        <v/>
      </c>
    </row>
    <row r="927" customFormat="false" ht="22.35" hidden="false" customHeight="false" outlineLevel="0" collapsed="false">
      <c r="A927" s="18" t="s">
        <v>4171</v>
      </c>
      <c r="B927" s="18" t="s">
        <v>62</v>
      </c>
      <c r="C927" s="18" t="s">
        <v>63</v>
      </c>
      <c r="D927" s="18" t="s">
        <v>1556</v>
      </c>
      <c r="E927" s="18" t="n">
        <v>206</v>
      </c>
      <c r="F927" s="18" t="s">
        <v>4172</v>
      </c>
      <c r="G927" s="18" t="s">
        <v>317</v>
      </c>
      <c r="H927" s="18" t="s">
        <v>162</v>
      </c>
      <c r="I927" s="18"/>
      <c r="J927" s="18"/>
      <c r="K927" s="18"/>
      <c r="L927" s="18" t="s">
        <v>129</v>
      </c>
      <c r="M927" s="18" t="s">
        <v>129</v>
      </c>
      <c r="N927" s="18"/>
      <c r="O927" s="18" t="s">
        <v>4173</v>
      </c>
      <c r="P927" s="18" t="s">
        <v>4174</v>
      </c>
      <c r="Q927" s="18" t="s">
        <v>149</v>
      </c>
      <c r="R927" s="18" t="s">
        <v>4175</v>
      </c>
      <c r="S927" s="18" t="s">
        <v>133</v>
      </c>
      <c r="T927" s="18" t="s">
        <v>4176</v>
      </c>
      <c r="U927" s="18"/>
      <c r="V927" s="19" t="s">
        <v>29</v>
      </c>
      <c r="W927" s="19"/>
      <c r="X927" s="19"/>
      <c r="Y927" s="20"/>
      <c r="Z927" s="19"/>
      <c r="AA927" s="18" t="str">
        <f aca="false">IF(OR(V927="Aprobada"),R927,IF(AND(OR(V927="Aprobada con ajuste",V927="Rechazada"),W927&lt;&gt;""),W927,""))</f>
        <v/>
      </c>
    </row>
    <row r="928" customFormat="false" ht="22.35" hidden="false" customHeight="false" outlineLevel="0" collapsed="false">
      <c r="A928" s="18" t="s">
        <v>4177</v>
      </c>
      <c r="B928" s="18" t="s">
        <v>62</v>
      </c>
      <c r="C928" s="18" t="s">
        <v>63</v>
      </c>
      <c r="D928" s="18" t="s">
        <v>1556</v>
      </c>
      <c r="E928" s="18" t="n">
        <v>206</v>
      </c>
      <c r="F928" s="18" t="s">
        <v>1577</v>
      </c>
      <c r="G928" s="18" t="s">
        <v>180</v>
      </c>
      <c r="H928" s="18" t="s">
        <v>162</v>
      </c>
      <c r="I928" s="18"/>
      <c r="J928" s="18"/>
      <c r="K928" s="18"/>
      <c r="L928" s="18" t="s">
        <v>129</v>
      </c>
      <c r="M928" s="18" t="s">
        <v>129</v>
      </c>
      <c r="N928" s="18"/>
      <c r="O928" s="18"/>
      <c r="P928" s="18" t="s">
        <v>4178</v>
      </c>
      <c r="Q928" s="18" t="s">
        <v>149</v>
      </c>
      <c r="R928" s="18" t="s">
        <v>4179</v>
      </c>
      <c r="S928" s="18" t="s">
        <v>140</v>
      </c>
      <c r="T928" s="18" t="s">
        <v>858</v>
      </c>
      <c r="U928" s="18" t="s">
        <v>1581</v>
      </c>
      <c r="V928" s="19" t="s">
        <v>29</v>
      </c>
      <c r="W928" s="19"/>
      <c r="X928" s="19"/>
      <c r="Y928" s="20"/>
      <c r="Z928" s="19"/>
      <c r="AA928" s="18" t="str">
        <f aca="false">IF(OR(V928="Aprobada"),R928,IF(AND(OR(V928="Aprobada con ajuste",V928="Rechazada"),W928&lt;&gt;""),W928,""))</f>
        <v/>
      </c>
    </row>
    <row r="929" customFormat="false" ht="22.35" hidden="false" customHeight="false" outlineLevel="0" collapsed="false">
      <c r="A929" s="18" t="s">
        <v>4180</v>
      </c>
      <c r="B929" s="18" t="s">
        <v>62</v>
      </c>
      <c r="C929" s="18" t="s">
        <v>63</v>
      </c>
      <c r="D929" s="18" t="s">
        <v>4181</v>
      </c>
      <c r="E929" s="18" t="n">
        <v>1</v>
      </c>
      <c r="F929" s="18" t="s">
        <v>1116</v>
      </c>
      <c r="G929" s="18" t="s">
        <v>180</v>
      </c>
      <c r="H929" s="18" t="s">
        <v>129</v>
      </c>
      <c r="I929" s="18"/>
      <c r="J929" s="18"/>
      <c r="K929" s="18"/>
      <c r="L929" s="18" t="s">
        <v>129</v>
      </c>
      <c r="M929" s="18" t="s">
        <v>129</v>
      </c>
      <c r="N929" s="18"/>
      <c r="O929" s="18"/>
      <c r="P929" s="18" t="s">
        <v>4182</v>
      </c>
      <c r="Q929" s="18" t="s">
        <v>149</v>
      </c>
      <c r="R929" s="18" t="s">
        <v>4183</v>
      </c>
      <c r="S929" s="18" t="s">
        <v>133</v>
      </c>
      <c r="T929" s="18" t="s">
        <v>4079</v>
      </c>
      <c r="U929" s="18"/>
      <c r="V929" s="19" t="s">
        <v>29</v>
      </c>
      <c r="W929" s="19"/>
      <c r="X929" s="19"/>
      <c r="Y929" s="20"/>
      <c r="Z929" s="19"/>
      <c r="AA929" s="18" t="str">
        <f aca="false">IF(OR(V929="Aprobada"),R929,IF(AND(OR(V929="Aprobada con ajuste",V929="Rechazada"),W929&lt;&gt;""),W929,""))</f>
        <v/>
      </c>
    </row>
    <row r="930" customFormat="false" ht="22.35" hidden="false" customHeight="false" outlineLevel="0" collapsed="false">
      <c r="A930" s="18" t="s">
        <v>4184</v>
      </c>
      <c r="B930" s="18" t="s">
        <v>62</v>
      </c>
      <c r="C930" s="18" t="s">
        <v>63</v>
      </c>
      <c r="D930" s="18" t="s">
        <v>4181</v>
      </c>
      <c r="E930" s="18" t="n">
        <v>1</v>
      </c>
      <c r="F930" s="18" t="s">
        <v>1531</v>
      </c>
      <c r="G930" s="18" t="s">
        <v>337</v>
      </c>
      <c r="H930" s="18" t="s">
        <v>129</v>
      </c>
      <c r="I930" s="18"/>
      <c r="J930" s="18"/>
      <c r="K930" s="18"/>
      <c r="L930" s="18" t="s">
        <v>129</v>
      </c>
      <c r="M930" s="18" t="s">
        <v>129</v>
      </c>
      <c r="N930" s="18"/>
      <c r="O930" s="18"/>
      <c r="P930" s="18" t="s">
        <v>4185</v>
      </c>
      <c r="Q930" s="18" t="s">
        <v>149</v>
      </c>
      <c r="R930" s="18" t="s">
        <v>4186</v>
      </c>
      <c r="S930" s="18" t="s">
        <v>133</v>
      </c>
      <c r="T930" s="18" t="s">
        <v>3982</v>
      </c>
      <c r="U930" s="18"/>
      <c r="V930" s="19" t="s">
        <v>29</v>
      </c>
      <c r="W930" s="19"/>
      <c r="X930" s="19"/>
      <c r="Y930" s="20"/>
      <c r="Z930" s="19"/>
      <c r="AA930" s="18" t="str">
        <f aca="false">IF(OR(V930="Aprobada"),R930,IF(AND(OR(V930="Aprobada con ajuste",V930="Rechazada"),W930&lt;&gt;""),W930,""))</f>
        <v/>
      </c>
    </row>
    <row r="931" customFormat="false" ht="22.35" hidden="false" customHeight="false" outlineLevel="0" collapsed="false">
      <c r="A931" s="18" t="s">
        <v>4187</v>
      </c>
      <c r="B931" s="18" t="s">
        <v>62</v>
      </c>
      <c r="C931" s="18" t="s">
        <v>63</v>
      </c>
      <c r="D931" s="18" t="s">
        <v>4181</v>
      </c>
      <c r="E931" s="18" t="n">
        <v>1</v>
      </c>
      <c r="F931" s="18" t="s">
        <v>1536</v>
      </c>
      <c r="G931" s="18" t="s">
        <v>180</v>
      </c>
      <c r="H931" s="18" t="s">
        <v>129</v>
      </c>
      <c r="I931" s="18"/>
      <c r="J931" s="18"/>
      <c r="K931" s="18"/>
      <c r="L931" s="18" t="s">
        <v>129</v>
      </c>
      <c r="M931" s="18" t="s">
        <v>129</v>
      </c>
      <c r="N931" s="18"/>
      <c r="O931" s="18"/>
      <c r="P931" s="18" t="s">
        <v>4188</v>
      </c>
      <c r="Q931" s="18" t="s">
        <v>149</v>
      </c>
      <c r="R931" s="18" t="s">
        <v>1538</v>
      </c>
      <c r="S931" s="18" t="s">
        <v>133</v>
      </c>
      <c r="T931" s="18" t="s">
        <v>3982</v>
      </c>
      <c r="U931" s="18"/>
      <c r="V931" s="19" t="s">
        <v>29</v>
      </c>
      <c r="W931" s="19"/>
      <c r="X931" s="19"/>
      <c r="Y931" s="20"/>
      <c r="Z931" s="19"/>
      <c r="AA931" s="18" t="str">
        <f aca="false">IF(OR(V931="Aprobada"),R931,IF(AND(OR(V931="Aprobada con ajuste",V931="Rechazada"),W931&lt;&gt;""),W931,""))</f>
        <v/>
      </c>
    </row>
    <row r="932" customFormat="false" ht="22.35" hidden="false" customHeight="false" outlineLevel="0" collapsed="false">
      <c r="A932" s="18" t="s">
        <v>4189</v>
      </c>
      <c r="B932" s="18" t="s">
        <v>62</v>
      </c>
      <c r="C932" s="18" t="s">
        <v>63</v>
      </c>
      <c r="D932" s="18" t="s">
        <v>4181</v>
      </c>
      <c r="E932" s="18" t="n">
        <v>1</v>
      </c>
      <c r="F932" s="18" t="s">
        <v>512</v>
      </c>
      <c r="G932" s="18" t="s">
        <v>173</v>
      </c>
      <c r="H932" s="18" t="s">
        <v>162</v>
      </c>
      <c r="I932" s="18"/>
      <c r="J932" s="18"/>
      <c r="K932" s="18"/>
      <c r="L932" s="18" t="s">
        <v>129</v>
      </c>
      <c r="M932" s="18" t="s">
        <v>129</v>
      </c>
      <c r="N932" s="18"/>
      <c r="O932" s="18"/>
      <c r="P932" s="18" t="s">
        <v>4190</v>
      </c>
      <c r="Q932" s="18" t="s">
        <v>138</v>
      </c>
      <c r="R932" s="18" t="s">
        <v>176</v>
      </c>
      <c r="S932" s="18" t="s">
        <v>140</v>
      </c>
      <c r="T932" s="18" t="s">
        <v>141</v>
      </c>
      <c r="U932" s="18"/>
      <c r="V932" s="19" t="s">
        <v>29</v>
      </c>
      <c r="W932" s="19"/>
      <c r="X932" s="19"/>
      <c r="Y932" s="20"/>
      <c r="Z932" s="19"/>
      <c r="AA932" s="18" t="str">
        <f aca="false">IF(OR(V932="Aprobada"),R932,IF(AND(OR(V932="Aprobada con ajuste",V932="Rechazada"),W932&lt;&gt;""),W932,""))</f>
        <v/>
      </c>
    </row>
    <row r="933" customFormat="false" ht="32.8" hidden="false" customHeight="false" outlineLevel="0" collapsed="false">
      <c r="A933" s="18" t="s">
        <v>4191</v>
      </c>
      <c r="B933" s="18" t="s">
        <v>64</v>
      </c>
      <c r="C933" s="18" t="s">
        <v>65</v>
      </c>
      <c r="D933" s="18" t="s">
        <v>4192</v>
      </c>
      <c r="E933" s="18" t="n">
        <v>0</v>
      </c>
      <c r="F933" s="18" t="s">
        <v>4193</v>
      </c>
      <c r="G933" s="18" t="s">
        <v>486</v>
      </c>
      <c r="H933" s="18" t="s">
        <v>162</v>
      </c>
      <c r="I933" s="18"/>
      <c r="J933" s="18"/>
      <c r="K933" s="18"/>
      <c r="L933" s="18" t="s">
        <v>129</v>
      </c>
      <c r="M933" s="18" t="s">
        <v>129</v>
      </c>
      <c r="N933" s="18"/>
      <c r="O933" s="18"/>
      <c r="P933" s="18" t="s">
        <v>4194</v>
      </c>
      <c r="Q933" s="18" t="s">
        <v>149</v>
      </c>
      <c r="R933" s="18" t="s">
        <v>4195</v>
      </c>
      <c r="S933" s="18" t="s">
        <v>133</v>
      </c>
      <c r="T933" s="18" t="s">
        <v>183</v>
      </c>
      <c r="U933" s="18"/>
      <c r="V933" s="19" t="s">
        <v>29</v>
      </c>
      <c r="W933" s="19"/>
      <c r="X933" s="19"/>
      <c r="Y933" s="20"/>
      <c r="Z933" s="19"/>
      <c r="AA933" s="18" t="str">
        <f aca="false">IF(OR(V933="Aprobada"),R933,IF(AND(OR(V933="Aprobada con ajuste",V933="Rechazada"),W933&lt;&gt;""),W933,""))</f>
        <v/>
      </c>
    </row>
    <row r="934" customFormat="false" ht="32.8" hidden="false" customHeight="false" outlineLevel="0" collapsed="false">
      <c r="A934" s="18" t="s">
        <v>4196</v>
      </c>
      <c r="B934" s="18" t="s">
        <v>64</v>
      </c>
      <c r="C934" s="18" t="s">
        <v>65</v>
      </c>
      <c r="D934" s="18" t="s">
        <v>4192</v>
      </c>
      <c r="E934" s="18" t="n">
        <v>0</v>
      </c>
      <c r="F934" s="18" t="s">
        <v>331</v>
      </c>
      <c r="G934" s="18" t="s">
        <v>137</v>
      </c>
      <c r="H934" s="18" t="s">
        <v>162</v>
      </c>
      <c r="I934" s="18"/>
      <c r="J934" s="18"/>
      <c r="K934" s="18"/>
      <c r="L934" s="18" t="s">
        <v>129</v>
      </c>
      <c r="M934" s="18" t="s">
        <v>129</v>
      </c>
      <c r="N934" s="18"/>
      <c r="O934" s="18"/>
      <c r="P934" s="18" t="s">
        <v>4197</v>
      </c>
      <c r="Q934" s="18" t="s">
        <v>149</v>
      </c>
      <c r="R934" s="18" t="s">
        <v>4198</v>
      </c>
      <c r="S934" s="18" t="s">
        <v>133</v>
      </c>
      <c r="T934" s="18" t="s">
        <v>183</v>
      </c>
      <c r="U934" s="18"/>
      <c r="V934" s="19" t="s">
        <v>29</v>
      </c>
      <c r="W934" s="19"/>
      <c r="X934" s="19"/>
      <c r="Y934" s="20"/>
      <c r="Z934" s="19"/>
      <c r="AA934" s="18" t="str">
        <f aca="false">IF(OR(V934="Aprobada"),R934,IF(AND(OR(V934="Aprobada con ajuste",V934="Rechazada"),W934&lt;&gt;""),W934,""))</f>
        <v/>
      </c>
    </row>
    <row r="935" customFormat="false" ht="32.8" hidden="false" customHeight="false" outlineLevel="0" collapsed="false">
      <c r="A935" s="18" t="s">
        <v>4199</v>
      </c>
      <c r="B935" s="18" t="s">
        <v>64</v>
      </c>
      <c r="C935" s="18" t="s">
        <v>65</v>
      </c>
      <c r="D935" s="18" t="s">
        <v>4192</v>
      </c>
      <c r="E935" s="18" t="n">
        <v>0</v>
      </c>
      <c r="F935" s="18" t="s">
        <v>4200</v>
      </c>
      <c r="G935" s="18" t="s">
        <v>145</v>
      </c>
      <c r="H935" s="18" t="s">
        <v>162</v>
      </c>
      <c r="I935" s="18"/>
      <c r="J935" s="18"/>
      <c r="K935" s="18"/>
      <c r="L935" s="18" t="s">
        <v>129</v>
      </c>
      <c r="M935" s="18" t="s">
        <v>129</v>
      </c>
      <c r="N935" s="18"/>
      <c r="O935" s="18"/>
      <c r="P935" s="18" t="s">
        <v>4201</v>
      </c>
      <c r="Q935" s="18" t="s">
        <v>149</v>
      </c>
      <c r="R935" s="18" t="s">
        <v>4202</v>
      </c>
      <c r="S935" s="18" t="s">
        <v>140</v>
      </c>
      <c r="T935" s="18" t="s">
        <v>183</v>
      </c>
      <c r="U935" s="18" t="s">
        <v>4203</v>
      </c>
      <c r="V935" s="19" t="s">
        <v>29</v>
      </c>
      <c r="W935" s="19"/>
      <c r="X935" s="19"/>
      <c r="Y935" s="20"/>
      <c r="Z935" s="19"/>
      <c r="AA935" s="18" t="str">
        <f aca="false">IF(OR(V935="Aprobada"),R935,IF(AND(OR(V935="Aprobada con ajuste",V935="Rechazada"),W935&lt;&gt;""),W935,""))</f>
        <v/>
      </c>
    </row>
    <row r="936" customFormat="false" ht="32.8" hidden="false" customHeight="false" outlineLevel="0" collapsed="false">
      <c r="A936" s="18" t="s">
        <v>4204</v>
      </c>
      <c r="B936" s="18" t="s">
        <v>64</v>
      </c>
      <c r="C936" s="18" t="s">
        <v>65</v>
      </c>
      <c r="D936" s="18" t="s">
        <v>4192</v>
      </c>
      <c r="E936" s="18" t="n">
        <v>0</v>
      </c>
      <c r="F936" s="18" t="s">
        <v>4205</v>
      </c>
      <c r="G936" s="18" t="s">
        <v>145</v>
      </c>
      <c r="H936" s="18" t="s">
        <v>162</v>
      </c>
      <c r="I936" s="18"/>
      <c r="J936" s="18"/>
      <c r="K936" s="18"/>
      <c r="L936" s="18" t="s">
        <v>129</v>
      </c>
      <c r="M936" s="18" t="s">
        <v>129</v>
      </c>
      <c r="N936" s="18"/>
      <c r="O936" s="18"/>
      <c r="P936" s="18" t="s">
        <v>4206</v>
      </c>
      <c r="Q936" s="18" t="s">
        <v>149</v>
      </c>
      <c r="R936" s="18" t="s">
        <v>4207</v>
      </c>
      <c r="S936" s="18" t="s">
        <v>140</v>
      </c>
      <c r="T936" s="18" t="s">
        <v>183</v>
      </c>
      <c r="U936" s="18" t="s">
        <v>4208</v>
      </c>
      <c r="V936" s="19" t="s">
        <v>29</v>
      </c>
      <c r="W936" s="19"/>
      <c r="X936" s="19"/>
      <c r="Y936" s="20"/>
      <c r="Z936" s="19"/>
      <c r="AA936" s="18" t="str">
        <f aca="false">IF(OR(V936="Aprobada"),R936,IF(AND(OR(V936="Aprobada con ajuste",V936="Rechazada"),W936&lt;&gt;""),W936,""))</f>
        <v/>
      </c>
    </row>
    <row r="937" customFormat="false" ht="22.35" hidden="false" customHeight="false" outlineLevel="0" collapsed="false">
      <c r="A937" s="18" t="s">
        <v>4209</v>
      </c>
      <c r="B937" s="18" t="s">
        <v>64</v>
      </c>
      <c r="C937" s="18" t="s">
        <v>65</v>
      </c>
      <c r="D937" s="18" t="s">
        <v>4192</v>
      </c>
      <c r="E937" s="18" t="n">
        <v>0</v>
      </c>
      <c r="F937" s="18" t="s">
        <v>4210</v>
      </c>
      <c r="G937" s="18" t="s">
        <v>180</v>
      </c>
      <c r="H937" s="18" t="s">
        <v>162</v>
      </c>
      <c r="I937" s="18"/>
      <c r="J937" s="18"/>
      <c r="K937" s="18"/>
      <c r="L937" s="18" t="s">
        <v>129</v>
      </c>
      <c r="M937" s="18" t="s">
        <v>129</v>
      </c>
      <c r="N937" s="18"/>
      <c r="O937" s="18"/>
      <c r="P937" s="18" t="s">
        <v>4211</v>
      </c>
      <c r="Q937" s="18" t="s">
        <v>149</v>
      </c>
      <c r="R937" s="18" t="s">
        <v>4212</v>
      </c>
      <c r="S937" s="18" t="s">
        <v>133</v>
      </c>
      <c r="T937" s="18" t="s">
        <v>183</v>
      </c>
      <c r="U937" s="18"/>
      <c r="V937" s="19" t="s">
        <v>29</v>
      </c>
      <c r="W937" s="19"/>
      <c r="X937" s="19"/>
      <c r="Y937" s="20"/>
      <c r="Z937" s="19"/>
      <c r="AA937" s="18" t="str">
        <f aca="false">IF(OR(V937="Aprobada"),R937,IF(AND(OR(V937="Aprobada con ajuste",V937="Rechazada"),W937&lt;&gt;""),W937,""))</f>
        <v/>
      </c>
    </row>
    <row r="938" customFormat="false" ht="32.8" hidden="false" customHeight="false" outlineLevel="0" collapsed="false">
      <c r="A938" s="18" t="s">
        <v>4213</v>
      </c>
      <c r="B938" s="18" t="s">
        <v>64</v>
      </c>
      <c r="C938" s="18" t="s">
        <v>65</v>
      </c>
      <c r="D938" s="18" t="s">
        <v>4192</v>
      </c>
      <c r="E938" s="18" t="n">
        <v>0</v>
      </c>
      <c r="F938" s="18" t="s">
        <v>4214</v>
      </c>
      <c r="G938" s="18" t="s">
        <v>180</v>
      </c>
      <c r="H938" s="18" t="s">
        <v>162</v>
      </c>
      <c r="I938" s="18"/>
      <c r="J938" s="18"/>
      <c r="K938" s="18"/>
      <c r="L938" s="18" t="s">
        <v>129</v>
      </c>
      <c r="M938" s="18" t="s">
        <v>129</v>
      </c>
      <c r="N938" s="18"/>
      <c r="O938" s="18"/>
      <c r="P938" s="18" t="s">
        <v>4215</v>
      </c>
      <c r="Q938" s="18" t="s">
        <v>149</v>
      </c>
      <c r="R938" s="18" t="s">
        <v>4216</v>
      </c>
      <c r="S938" s="18" t="s">
        <v>133</v>
      </c>
      <c r="T938" s="18" t="s">
        <v>183</v>
      </c>
      <c r="U938" s="18"/>
      <c r="V938" s="19" t="s">
        <v>29</v>
      </c>
      <c r="W938" s="19"/>
      <c r="X938" s="19"/>
      <c r="Y938" s="20"/>
      <c r="Z938" s="19"/>
      <c r="AA938" s="18" t="str">
        <f aca="false">IF(OR(V938="Aprobada"),R938,IF(AND(OR(V938="Aprobada con ajuste",V938="Rechazada"),W938&lt;&gt;""),W938,""))</f>
        <v/>
      </c>
    </row>
    <row r="939" customFormat="false" ht="32.8" hidden="false" customHeight="false" outlineLevel="0" collapsed="false">
      <c r="A939" s="18" t="s">
        <v>4217</v>
      </c>
      <c r="B939" s="18" t="s">
        <v>64</v>
      </c>
      <c r="C939" s="18" t="s">
        <v>65</v>
      </c>
      <c r="D939" s="18" t="s">
        <v>4192</v>
      </c>
      <c r="E939" s="18" t="n">
        <v>0</v>
      </c>
      <c r="F939" s="18" t="s">
        <v>4218</v>
      </c>
      <c r="G939" s="18" t="s">
        <v>128</v>
      </c>
      <c r="H939" s="18" t="s">
        <v>162</v>
      </c>
      <c r="I939" s="18"/>
      <c r="J939" s="18"/>
      <c r="K939" s="18"/>
      <c r="L939" s="18" t="s">
        <v>129</v>
      </c>
      <c r="M939" s="18" t="s">
        <v>129</v>
      </c>
      <c r="N939" s="18"/>
      <c r="O939" s="18"/>
      <c r="P939" s="18" t="s">
        <v>4219</v>
      </c>
      <c r="Q939" s="18" t="s">
        <v>131</v>
      </c>
      <c r="R939" s="18" t="s">
        <v>4220</v>
      </c>
      <c r="S939" s="18" t="s">
        <v>140</v>
      </c>
      <c r="T939" s="18" t="s">
        <v>4221</v>
      </c>
      <c r="U939" s="18" t="s">
        <v>4222</v>
      </c>
      <c r="V939" s="19" t="s">
        <v>29</v>
      </c>
      <c r="W939" s="19"/>
      <c r="X939" s="19"/>
      <c r="Y939" s="20"/>
      <c r="Z939" s="19"/>
      <c r="AA939" s="18" t="str">
        <f aca="false">IF(OR(V939="Aprobada"),R939,IF(AND(OR(V939="Aprobada con ajuste",V939="Rechazada"),W939&lt;&gt;""),W939,""))</f>
        <v/>
      </c>
    </row>
    <row r="940" customFormat="false" ht="32.8" hidden="false" customHeight="false" outlineLevel="0" collapsed="false">
      <c r="A940" s="18" t="s">
        <v>4223</v>
      </c>
      <c r="B940" s="18" t="s">
        <v>64</v>
      </c>
      <c r="C940" s="18" t="s">
        <v>65</v>
      </c>
      <c r="D940" s="18" t="s">
        <v>4192</v>
      </c>
      <c r="E940" s="18" t="n">
        <v>0</v>
      </c>
      <c r="F940" s="18" t="s">
        <v>3191</v>
      </c>
      <c r="G940" s="18" t="s">
        <v>128</v>
      </c>
      <c r="H940" s="18" t="s">
        <v>162</v>
      </c>
      <c r="I940" s="18"/>
      <c r="J940" s="18"/>
      <c r="K940" s="18"/>
      <c r="L940" s="18" t="s">
        <v>129</v>
      </c>
      <c r="M940" s="18" t="s">
        <v>129</v>
      </c>
      <c r="N940" s="18"/>
      <c r="O940" s="18"/>
      <c r="P940" s="18" t="s">
        <v>4224</v>
      </c>
      <c r="Q940" s="18" t="s">
        <v>149</v>
      </c>
      <c r="R940" s="18" t="s">
        <v>4225</v>
      </c>
      <c r="S940" s="18" t="s">
        <v>133</v>
      </c>
      <c r="T940" s="18" t="s">
        <v>183</v>
      </c>
      <c r="U940" s="18"/>
      <c r="V940" s="19" t="s">
        <v>29</v>
      </c>
      <c r="W940" s="19"/>
      <c r="X940" s="19"/>
      <c r="Y940" s="20"/>
      <c r="Z940" s="19"/>
      <c r="AA940" s="18" t="str">
        <f aca="false">IF(OR(V940="Aprobada"),R940,IF(AND(OR(V940="Aprobada con ajuste",V940="Rechazada"),W940&lt;&gt;""),W940,""))</f>
        <v/>
      </c>
    </row>
    <row r="941" customFormat="false" ht="32.8" hidden="false" customHeight="false" outlineLevel="0" collapsed="false">
      <c r="A941" s="18" t="s">
        <v>4226</v>
      </c>
      <c r="B941" s="18" t="s">
        <v>64</v>
      </c>
      <c r="C941" s="18" t="s">
        <v>65</v>
      </c>
      <c r="D941" s="18" t="s">
        <v>4192</v>
      </c>
      <c r="E941" s="18" t="n">
        <v>0</v>
      </c>
      <c r="F941" s="18" t="s">
        <v>4227</v>
      </c>
      <c r="G941" s="18" t="s">
        <v>128</v>
      </c>
      <c r="H941" s="18" t="s">
        <v>162</v>
      </c>
      <c r="I941" s="18"/>
      <c r="J941" s="18"/>
      <c r="K941" s="18"/>
      <c r="L941" s="18" t="s">
        <v>129</v>
      </c>
      <c r="M941" s="18" t="s">
        <v>129</v>
      </c>
      <c r="N941" s="18"/>
      <c r="O941" s="18"/>
      <c r="P941" s="18" t="s">
        <v>4228</v>
      </c>
      <c r="Q941" s="18" t="s">
        <v>149</v>
      </c>
      <c r="R941" s="18" t="s">
        <v>4229</v>
      </c>
      <c r="S941" s="18" t="s">
        <v>133</v>
      </c>
      <c r="T941" s="18" t="s">
        <v>183</v>
      </c>
      <c r="U941" s="18"/>
      <c r="V941" s="19" t="s">
        <v>29</v>
      </c>
      <c r="W941" s="19"/>
      <c r="X941" s="19"/>
      <c r="Y941" s="20"/>
      <c r="Z941" s="19"/>
      <c r="AA941" s="18" t="str">
        <f aca="false">IF(OR(V941="Aprobada"),R941,IF(AND(OR(V941="Aprobada con ajuste",V941="Rechazada"),W941&lt;&gt;""),W941,""))</f>
        <v/>
      </c>
    </row>
    <row r="942" customFormat="false" ht="32.8" hidden="false" customHeight="false" outlineLevel="0" collapsed="false">
      <c r="A942" s="18" t="s">
        <v>4230</v>
      </c>
      <c r="B942" s="18" t="s">
        <v>64</v>
      </c>
      <c r="C942" s="18" t="s">
        <v>65</v>
      </c>
      <c r="D942" s="18" t="s">
        <v>4192</v>
      </c>
      <c r="E942" s="18" t="n">
        <v>0</v>
      </c>
      <c r="F942" s="18" t="s">
        <v>185</v>
      </c>
      <c r="G942" s="18" t="s">
        <v>145</v>
      </c>
      <c r="H942" s="18" t="s">
        <v>162</v>
      </c>
      <c r="I942" s="18" t="s">
        <v>298</v>
      </c>
      <c r="J942" s="18" t="s">
        <v>4231</v>
      </c>
      <c r="K942" s="18"/>
      <c r="L942" s="18" t="s">
        <v>162</v>
      </c>
      <c r="M942" s="18" t="s">
        <v>129</v>
      </c>
      <c r="N942" s="18"/>
      <c r="O942" s="18"/>
      <c r="P942" s="18" t="s">
        <v>4232</v>
      </c>
      <c r="Q942" s="18" t="s">
        <v>138</v>
      </c>
      <c r="R942" s="18" t="s">
        <v>4233</v>
      </c>
      <c r="S942" s="18" t="s">
        <v>140</v>
      </c>
      <c r="T942" s="18" t="s">
        <v>141</v>
      </c>
      <c r="U942" s="18"/>
      <c r="V942" s="19" t="s">
        <v>29</v>
      </c>
      <c r="W942" s="19"/>
      <c r="X942" s="19"/>
      <c r="Y942" s="20"/>
      <c r="Z942" s="19"/>
      <c r="AA942" s="18" t="str">
        <f aca="false">IF(OR(V942="Aprobada"),R942,IF(AND(OR(V942="Aprobada con ajuste",V942="Rechazada"),W942&lt;&gt;""),W942,""))</f>
        <v/>
      </c>
    </row>
    <row r="943" customFormat="false" ht="32.8" hidden="false" customHeight="false" outlineLevel="0" collapsed="false">
      <c r="A943" s="18" t="s">
        <v>4234</v>
      </c>
      <c r="B943" s="18" t="s">
        <v>64</v>
      </c>
      <c r="C943" s="18" t="s">
        <v>65</v>
      </c>
      <c r="D943" s="18" t="s">
        <v>4192</v>
      </c>
      <c r="E943" s="18" t="n">
        <v>0</v>
      </c>
      <c r="F943" s="18" t="s">
        <v>4235</v>
      </c>
      <c r="G943" s="18" t="s">
        <v>180</v>
      </c>
      <c r="H943" s="18" t="s">
        <v>162</v>
      </c>
      <c r="I943" s="18"/>
      <c r="J943" s="18"/>
      <c r="K943" s="18"/>
      <c r="L943" s="18" t="s">
        <v>129</v>
      </c>
      <c r="M943" s="18" t="s">
        <v>129</v>
      </c>
      <c r="N943" s="18"/>
      <c r="O943" s="18"/>
      <c r="P943" s="18" t="s">
        <v>4236</v>
      </c>
      <c r="Q943" s="18" t="s">
        <v>149</v>
      </c>
      <c r="R943" s="18" t="s">
        <v>4237</v>
      </c>
      <c r="S943" s="18" t="s">
        <v>133</v>
      </c>
      <c r="T943" s="18" t="s">
        <v>4238</v>
      </c>
      <c r="U943" s="18"/>
      <c r="V943" s="19" t="s">
        <v>29</v>
      </c>
      <c r="W943" s="19"/>
      <c r="X943" s="19"/>
      <c r="Y943" s="20"/>
      <c r="Z943" s="19"/>
      <c r="AA943" s="18" t="str">
        <f aca="false">IF(OR(V943="Aprobada"),R943,IF(AND(OR(V943="Aprobada con ajuste",V943="Rechazada"),W943&lt;&gt;""),W943,""))</f>
        <v/>
      </c>
    </row>
    <row r="944" customFormat="false" ht="32.8" hidden="false" customHeight="false" outlineLevel="0" collapsed="false">
      <c r="A944" s="18" t="s">
        <v>4239</v>
      </c>
      <c r="B944" s="18" t="s">
        <v>64</v>
      </c>
      <c r="C944" s="18" t="s">
        <v>65</v>
      </c>
      <c r="D944" s="18" t="s">
        <v>4192</v>
      </c>
      <c r="E944" s="18" t="n">
        <v>0</v>
      </c>
      <c r="F944" s="18" t="s">
        <v>4240</v>
      </c>
      <c r="G944" s="18" t="s">
        <v>128</v>
      </c>
      <c r="H944" s="18" t="s">
        <v>162</v>
      </c>
      <c r="I944" s="18"/>
      <c r="J944" s="18"/>
      <c r="K944" s="18"/>
      <c r="L944" s="18" t="s">
        <v>129</v>
      </c>
      <c r="M944" s="18" t="s">
        <v>129</v>
      </c>
      <c r="N944" s="18"/>
      <c r="O944" s="18"/>
      <c r="P944" s="18" t="s">
        <v>4241</v>
      </c>
      <c r="Q944" s="18" t="s">
        <v>149</v>
      </c>
      <c r="R944" s="18" t="s">
        <v>4242</v>
      </c>
      <c r="S944" s="18" t="s">
        <v>133</v>
      </c>
      <c r="T944" s="18" t="s">
        <v>183</v>
      </c>
      <c r="U944" s="18"/>
      <c r="V944" s="19" t="s">
        <v>29</v>
      </c>
      <c r="W944" s="19"/>
      <c r="X944" s="19"/>
      <c r="Y944" s="20"/>
      <c r="Z944" s="19"/>
      <c r="AA944" s="18" t="str">
        <f aca="false">IF(OR(V944="Aprobada"),R944,IF(AND(OR(V944="Aprobada con ajuste",V944="Rechazada"),W944&lt;&gt;""),W944,""))</f>
        <v/>
      </c>
    </row>
    <row r="945" customFormat="false" ht="32.8" hidden="false" customHeight="false" outlineLevel="0" collapsed="false">
      <c r="A945" s="18" t="s">
        <v>4243</v>
      </c>
      <c r="B945" s="18" t="s">
        <v>64</v>
      </c>
      <c r="C945" s="18" t="s">
        <v>65</v>
      </c>
      <c r="D945" s="18" t="s">
        <v>4192</v>
      </c>
      <c r="E945" s="18" t="n">
        <v>0</v>
      </c>
      <c r="F945" s="18" t="s">
        <v>4244</v>
      </c>
      <c r="G945" s="18" t="s">
        <v>503</v>
      </c>
      <c r="H945" s="18" t="s">
        <v>162</v>
      </c>
      <c r="I945" s="18"/>
      <c r="J945" s="18"/>
      <c r="K945" s="18"/>
      <c r="L945" s="18" t="s">
        <v>129</v>
      </c>
      <c r="M945" s="18" t="s">
        <v>129</v>
      </c>
      <c r="N945" s="18"/>
      <c r="O945" s="18"/>
      <c r="P945" s="18" t="s">
        <v>4245</v>
      </c>
      <c r="Q945" s="18" t="s">
        <v>149</v>
      </c>
      <c r="R945" s="18" t="s">
        <v>4246</v>
      </c>
      <c r="S945" s="18" t="s">
        <v>140</v>
      </c>
      <c r="T945" s="18" t="s">
        <v>183</v>
      </c>
      <c r="U945" s="18" t="s">
        <v>4247</v>
      </c>
      <c r="V945" s="19" t="s">
        <v>29</v>
      </c>
      <c r="W945" s="19"/>
      <c r="X945" s="19"/>
      <c r="Y945" s="20"/>
      <c r="Z945" s="19"/>
      <c r="AA945" s="18" t="str">
        <f aca="false">IF(OR(V945="Aprobada"),R945,IF(AND(OR(V945="Aprobada con ajuste",V945="Rechazada"),W945&lt;&gt;""),W945,""))</f>
        <v/>
      </c>
    </row>
    <row r="946" customFormat="false" ht="22.35" hidden="false" customHeight="false" outlineLevel="0" collapsed="false">
      <c r="A946" s="18" t="s">
        <v>4248</v>
      </c>
      <c r="B946" s="18" t="s">
        <v>64</v>
      </c>
      <c r="C946" s="18" t="s">
        <v>65</v>
      </c>
      <c r="D946" s="18" t="s">
        <v>4192</v>
      </c>
      <c r="E946" s="18" t="n">
        <v>0</v>
      </c>
      <c r="F946" s="18" t="s">
        <v>127</v>
      </c>
      <c r="G946" s="18" t="s">
        <v>486</v>
      </c>
      <c r="H946" s="18" t="s">
        <v>162</v>
      </c>
      <c r="I946" s="18"/>
      <c r="J946" s="18"/>
      <c r="K946" s="18"/>
      <c r="L946" s="18" t="s">
        <v>129</v>
      </c>
      <c r="M946" s="18" t="s">
        <v>129</v>
      </c>
      <c r="N946" s="18"/>
      <c r="O946" s="18"/>
      <c r="P946" s="18" t="s">
        <v>4249</v>
      </c>
      <c r="Q946" s="18" t="s">
        <v>138</v>
      </c>
      <c r="R946" s="18" t="s">
        <v>4250</v>
      </c>
      <c r="S946" s="18" t="s">
        <v>140</v>
      </c>
      <c r="T946" s="18" t="s">
        <v>141</v>
      </c>
      <c r="U946" s="18"/>
      <c r="V946" s="19" t="s">
        <v>29</v>
      </c>
      <c r="W946" s="19"/>
      <c r="X946" s="19"/>
      <c r="Y946" s="20"/>
      <c r="Z946" s="19"/>
      <c r="AA946" s="18" t="str">
        <f aca="false">IF(OR(V946="Aprobada"),R946,IF(AND(OR(V946="Aprobada con ajuste",V946="Rechazada"),W946&lt;&gt;""),W946,""))</f>
        <v/>
      </c>
    </row>
    <row r="947" customFormat="false" ht="32.8" hidden="false" customHeight="false" outlineLevel="0" collapsed="false">
      <c r="A947" s="18" t="s">
        <v>4251</v>
      </c>
      <c r="B947" s="18" t="s">
        <v>64</v>
      </c>
      <c r="C947" s="18" t="s">
        <v>65</v>
      </c>
      <c r="D947" s="18" t="s">
        <v>4252</v>
      </c>
      <c r="E947" s="18" t="n">
        <v>168</v>
      </c>
      <c r="F947" s="18" t="s">
        <v>275</v>
      </c>
      <c r="G947" s="18" t="s">
        <v>180</v>
      </c>
      <c r="H947" s="18" t="s">
        <v>129</v>
      </c>
      <c r="I947" s="18"/>
      <c r="J947" s="18"/>
      <c r="K947" s="18"/>
      <c r="L947" s="18" t="s">
        <v>129</v>
      </c>
      <c r="M947" s="18" t="s">
        <v>129</v>
      </c>
      <c r="N947" s="18"/>
      <c r="O947" s="18"/>
      <c r="P947" s="18" t="s">
        <v>4253</v>
      </c>
      <c r="Q947" s="18" t="s">
        <v>138</v>
      </c>
      <c r="R947" s="18" t="s">
        <v>4254</v>
      </c>
      <c r="S947" s="18" t="s">
        <v>140</v>
      </c>
      <c r="T947" s="18" t="s">
        <v>141</v>
      </c>
      <c r="U947" s="18"/>
      <c r="V947" s="19" t="s">
        <v>29</v>
      </c>
      <c r="W947" s="19"/>
      <c r="X947" s="19"/>
      <c r="Y947" s="20"/>
      <c r="Z947" s="19"/>
      <c r="AA947" s="18" t="str">
        <f aca="false">IF(OR(V947="Aprobada"),R947,IF(AND(OR(V947="Aprobada con ajuste",V947="Rechazada"),W947&lt;&gt;""),W947,""))</f>
        <v/>
      </c>
    </row>
    <row r="948" customFormat="false" ht="32.8" hidden="false" customHeight="false" outlineLevel="0" collapsed="false">
      <c r="A948" s="18" t="s">
        <v>4255</v>
      </c>
      <c r="B948" s="18" t="s">
        <v>64</v>
      </c>
      <c r="C948" s="18" t="s">
        <v>65</v>
      </c>
      <c r="D948" s="18" t="s">
        <v>4252</v>
      </c>
      <c r="E948" s="18" t="n">
        <v>168</v>
      </c>
      <c r="F948" s="18" t="s">
        <v>4256</v>
      </c>
      <c r="G948" s="18" t="s">
        <v>145</v>
      </c>
      <c r="H948" s="18" t="s">
        <v>129</v>
      </c>
      <c r="I948" s="18"/>
      <c r="J948" s="18"/>
      <c r="K948" s="18"/>
      <c r="L948" s="18" t="s">
        <v>129</v>
      </c>
      <c r="M948" s="18" t="s">
        <v>129</v>
      </c>
      <c r="N948" s="18"/>
      <c r="O948" s="18"/>
      <c r="P948" s="18" t="s">
        <v>4257</v>
      </c>
      <c r="Q948" s="18" t="s">
        <v>131</v>
      </c>
      <c r="R948" s="18" t="s">
        <v>4258</v>
      </c>
      <c r="S948" s="18" t="s">
        <v>133</v>
      </c>
      <c r="T948" s="18" t="s">
        <v>4259</v>
      </c>
      <c r="U948" s="18"/>
      <c r="V948" s="19" t="s">
        <v>29</v>
      </c>
      <c r="W948" s="19"/>
      <c r="X948" s="19"/>
      <c r="Y948" s="20"/>
      <c r="Z948" s="19"/>
      <c r="AA948" s="18" t="str">
        <f aca="false">IF(OR(V948="Aprobada"),R948,IF(AND(OR(V948="Aprobada con ajuste",V948="Rechazada"),W948&lt;&gt;""),W948,""))</f>
        <v/>
      </c>
    </row>
    <row r="949" customFormat="false" ht="32.8" hidden="false" customHeight="false" outlineLevel="0" collapsed="false">
      <c r="A949" s="18" t="s">
        <v>4260</v>
      </c>
      <c r="B949" s="18" t="s">
        <v>64</v>
      </c>
      <c r="C949" s="18" t="s">
        <v>65</v>
      </c>
      <c r="D949" s="18" t="s">
        <v>4252</v>
      </c>
      <c r="E949" s="18" t="n">
        <v>168</v>
      </c>
      <c r="F949" s="18" t="s">
        <v>2440</v>
      </c>
      <c r="G949" s="18" t="s">
        <v>145</v>
      </c>
      <c r="H949" s="18" t="s">
        <v>162</v>
      </c>
      <c r="I949" s="18"/>
      <c r="J949" s="18"/>
      <c r="K949" s="18"/>
      <c r="L949" s="18" t="s">
        <v>129</v>
      </c>
      <c r="M949" s="18" t="s">
        <v>129</v>
      </c>
      <c r="N949" s="18"/>
      <c r="O949" s="18"/>
      <c r="P949" s="18" t="s">
        <v>4261</v>
      </c>
      <c r="Q949" s="18" t="s">
        <v>138</v>
      </c>
      <c r="R949" s="18" t="s">
        <v>532</v>
      </c>
      <c r="S949" s="18" t="s">
        <v>140</v>
      </c>
      <c r="T949" s="18" t="s">
        <v>141</v>
      </c>
      <c r="U949" s="18"/>
      <c r="V949" s="19" t="s">
        <v>29</v>
      </c>
      <c r="W949" s="19"/>
      <c r="X949" s="19"/>
      <c r="Y949" s="20"/>
      <c r="Z949" s="19"/>
      <c r="AA949" s="18" t="str">
        <f aca="false">IF(OR(V949="Aprobada"),R949,IF(AND(OR(V949="Aprobada con ajuste",V949="Rechazada"),W949&lt;&gt;""),W949,""))</f>
        <v/>
      </c>
    </row>
    <row r="950" customFormat="false" ht="43.25" hidden="false" customHeight="false" outlineLevel="0" collapsed="false">
      <c r="A950" s="18" t="s">
        <v>4262</v>
      </c>
      <c r="B950" s="18" t="s">
        <v>64</v>
      </c>
      <c r="C950" s="18" t="s">
        <v>65</v>
      </c>
      <c r="D950" s="18" t="s">
        <v>4252</v>
      </c>
      <c r="E950" s="18" t="n">
        <v>168</v>
      </c>
      <c r="F950" s="18" t="s">
        <v>4263</v>
      </c>
      <c r="G950" s="18" t="s">
        <v>145</v>
      </c>
      <c r="H950" s="18" t="s">
        <v>129</v>
      </c>
      <c r="I950" s="18"/>
      <c r="J950" s="18"/>
      <c r="K950" s="18"/>
      <c r="L950" s="18" t="s">
        <v>129</v>
      </c>
      <c r="M950" s="18" t="s">
        <v>129</v>
      </c>
      <c r="N950" s="18"/>
      <c r="O950" s="18" t="s">
        <v>4264</v>
      </c>
      <c r="P950" s="18" t="s">
        <v>4265</v>
      </c>
      <c r="Q950" s="18" t="s">
        <v>131</v>
      </c>
      <c r="R950" s="18" t="s">
        <v>4266</v>
      </c>
      <c r="S950" s="18" t="s">
        <v>133</v>
      </c>
      <c r="T950" s="18" t="s">
        <v>4267</v>
      </c>
      <c r="U950" s="18"/>
      <c r="V950" s="19" t="s">
        <v>29</v>
      </c>
      <c r="W950" s="19"/>
      <c r="X950" s="19"/>
      <c r="Y950" s="20"/>
      <c r="Z950" s="19"/>
      <c r="AA950" s="18" t="str">
        <f aca="false">IF(OR(V950="Aprobada"),R950,IF(AND(OR(V950="Aprobada con ajuste",V950="Rechazada"),W950&lt;&gt;""),W950,""))</f>
        <v/>
      </c>
    </row>
    <row r="951" customFormat="false" ht="22.35" hidden="false" customHeight="false" outlineLevel="0" collapsed="false">
      <c r="A951" s="18" t="s">
        <v>4268</v>
      </c>
      <c r="B951" s="18" t="s">
        <v>64</v>
      </c>
      <c r="C951" s="18" t="s">
        <v>65</v>
      </c>
      <c r="D951" s="18" t="s">
        <v>4252</v>
      </c>
      <c r="E951" s="18" t="n">
        <v>168</v>
      </c>
      <c r="F951" s="18" t="s">
        <v>4269</v>
      </c>
      <c r="G951" s="18" t="s">
        <v>486</v>
      </c>
      <c r="H951" s="18" t="s">
        <v>162</v>
      </c>
      <c r="I951" s="18"/>
      <c r="J951" s="18"/>
      <c r="K951" s="18"/>
      <c r="L951" s="18" t="s">
        <v>129</v>
      </c>
      <c r="M951" s="18" t="s">
        <v>129</v>
      </c>
      <c r="N951" s="18"/>
      <c r="O951" s="18"/>
      <c r="P951" s="18" t="s">
        <v>4270</v>
      </c>
      <c r="Q951" s="18" t="s">
        <v>131</v>
      </c>
      <c r="R951" s="18" t="s">
        <v>4271</v>
      </c>
      <c r="S951" s="18" t="s">
        <v>133</v>
      </c>
      <c r="T951" s="18" t="s">
        <v>4272</v>
      </c>
      <c r="U951" s="18"/>
      <c r="V951" s="19" t="s">
        <v>29</v>
      </c>
      <c r="W951" s="19"/>
      <c r="X951" s="19"/>
      <c r="Y951" s="20"/>
      <c r="Z951" s="19"/>
      <c r="AA951" s="18" t="str">
        <f aca="false">IF(OR(V951="Aprobada"),R951,IF(AND(OR(V951="Aprobada con ajuste",V951="Rechazada"),W951&lt;&gt;""),W951,""))</f>
        <v/>
      </c>
    </row>
    <row r="952" customFormat="false" ht="32.8" hidden="false" customHeight="false" outlineLevel="0" collapsed="false">
      <c r="A952" s="18" t="s">
        <v>4273</v>
      </c>
      <c r="B952" s="18" t="s">
        <v>64</v>
      </c>
      <c r="C952" s="18" t="s">
        <v>65</v>
      </c>
      <c r="D952" s="18" t="s">
        <v>4252</v>
      </c>
      <c r="E952" s="18" t="n">
        <v>168</v>
      </c>
      <c r="F952" s="18" t="s">
        <v>1127</v>
      </c>
      <c r="G952" s="18" t="s">
        <v>180</v>
      </c>
      <c r="H952" s="18" t="s">
        <v>162</v>
      </c>
      <c r="I952" s="18"/>
      <c r="J952" s="18"/>
      <c r="K952" s="18"/>
      <c r="L952" s="18" t="s">
        <v>129</v>
      </c>
      <c r="M952" s="18" t="s">
        <v>129</v>
      </c>
      <c r="N952" s="18"/>
      <c r="O952" s="18"/>
      <c r="P952" s="18" t="s">
        <v>4274</v>
      </c>
      <c r="Q952" s="18" t="s">
        <v>138</v>
      </c>
      <c r="R952" s="18" t="s">
        <v>1129</v>
      </c>
      <c r="S952" s="18" t="s">
        <v>140</v>
      </c>
      <c r="T952" s="18" t="s">
        <v>141</v>
      </c>
      <c r="U952" s="18"/>
      <c r="V952" s="19" t="s">
        <v>29</v>
      </c>
      <c r="W952" s="19"/>
      <c r="X952" s="19"/>
      <c r="Y952" s="20"/>
      <c r="Z952" s="19"/>
      <c r="AA952" s="18" t="str">
        <f aca="false">IF(OR(V952="Aprobada"),R952,IF(AND(OR(V952="Aprobada con ajuste",V952="Rechazada"),W952&lt;&gt;""),W952,""))</f>
        <v/>
      </c>
    </row>
    <row r="953" customFormat="false" ht="32.8" hidden="false" customHeight="false" outlineLevel="0" collapsed="false">
      <c r="A953" s="18" t="s">
        <v>4275</v>
      </c>
      <c r="B953" s="18" t="s">
        <v>64</v>
      </c>
      <c r="C953" s="18" t="s">
        <v>65</v>
      </c>
      <c r="D953" s="18" t="s">
        <v>4252</v>
      </c>
      <c r="E953" s="18" t="n">
        <v>168</v>
      </c>
      <c r="F953" s="18" t="s">
        <v>2448</v>
      </c>
      <c r="G953" s="18" t="s">
        <v>145</v>
      </c>
      <c r="H953" s="18" t="s">
        <v>162</v>
      </c>
      <c r="I953" s="18"/>
      <c r="J953" s="18"/>
      <c r="K953" s="18"/>
      <c r="L953" s="18" t="s">
        <v>129</v>
      </c>
      <c r="M953" s="18" t="s">
        <v>129</v>
      </c>
      <c r="N953" s="18"/>
      <c r="O953" s="18"/>
      <c r="P953" s="18" t="s">
        <v>4276</v>
      </c>
      <c r="Q953" s="18" t="s">
        <v>138</v>
      </c>
      <c r="R953" s="18" t="s">
        <v>2450</v>
      </c>
      <c r="S953" s="18" t="s">
        <v>140</v>
      </c>
      <c r="T953" s="18" t="s">
        <v>141</v>
      </c>
      <c r="U953" s="18"/>
      <c r="V953" s="19" t="s">
        <v>29</v>
      </c>
      <c r="W953" s="19"/>
      <c r="X953" s="19"/>
      <c r="Y953" s="20"/>
      <c r="Z953" s="19"/>
      <c r="AA953" s="18" t="str">
        <f aca="false">IF(OR(V953="Aprobada"),R953,IF(AND(OR(V953="Aprobada con ajuste",V953="Rechazada"),W953&lt;&gt;""),W953,""))</f>
        <v/>
      </c>
    </row>
    <row r="954" customFormat="false" ht="32.8" hidden="false" customHeight="false" outlineLevel="0" collapsed="false">
      <c r="A954" s="18" t="s">
        <v>4277</v>
      </c>
      <c r="B954" s="18" t="s">
        <v>64</v>
      </c>
      <c r="C954" s="18" t="s">
        <v>65</v>
      </c>
      <c r="D954" s="18" t="s">
        <v>4252</v>
      </c>
      <c r="E954" s="18" t="n">
        <v>168</v>
      </c>
      <c r="F954" s="18" t="s">
        <v>2452</v>
      </c>
      <c r="G954" s="18" t="s">
        <v>180</v>
      </c>
      <c r="H954" s="18" t="s">
        <v>162</v>
      </c>
      <c r="I954" s="18"/>
      <c r="J954" s="18"/>
      <c r="K954" s="18"/>
      <c r="L954" s="18" t="s">
        <v>129</v>
      </c>
      <c r="M954" s="18" t="s">
        <v>129</v>
      </c>
      <c r="N954" s="18"/>
      <c r="O954" s="18"/>
      <c r="P954" s="18" t="s">
        <v>4278</v>
      </c>
      <c r="Q954" s="18" t="s">
        <v>149</v>
      </c>
      <c r="R954" s="18" t="s">
        <v>4279</v>
      </c>
      <c r="S954" s="18" t="s">
        <v>133</v>
      </c>
      <c r="T954" s="18" t="s">
        <v>183</v>
      </c>
      <c r="U954" s="18"/>
      <c r="V954" s="19" t="s">
        <v>29</v>
      </c>
      <c r="W954" s="19"/>
      <c r="X954" s="19"/>
      <c r="Y954" s="20"/>
      <c r="Z954" s="19"/>
      <c r="AA954" s="18" t="str">
        <f aca="false">IF(OR(V954="Aprobada"),R954,IF(AND(OR(V954="Aprobada con ajuste",V954="Rechazada"),W954&lt;&gt;""),W954,""))</f>
        <v/>
      </c>
    </row>
    <row r="955" customFormat="false" ht="32.8" hidden="false" customHeight="false" outlineLevel="0" collapsed="false">
      <c r="A955" s="18" t="s">
        <v>4280</v>
      </c>
      <c r="B955" s="18" t="s">
        <v>64</v>
      </c>
      <c r="C955" s="18" t="s">
        <v>65</v>
      </c>
      <c r="D955" s="18" t="s">
        <v>4252</v>
      </c>
      <c r="E955" s="18" t="n">
        <v>168</v>
      </c>
      <c r="F955" s="18" t="s">
        <v>4281</v>
      </c>
      <c r="G955" s="18" t="s">
        <v>180</v>
      </c>
      <c r="H955" s="18" t="s">
        <v>162</v>
      </c>
      <c r="I955" s="18"/>
      <c r="J955" s="18"/>
      <c r="K955" s="18"/>
      <c r="L955" s="18" t="s">
        <v>129</v>
      </c>
      <c r="M955" s="18" t="s">
        <v>129</v>
      </c>
      <c r="N955" s="18"/>
      <c r="O955" s="18"/>
      <c r="P955" s="18" t="s">
        <v>4282</v>
      </c>
      <c r="Q955" s="18" t="s">
        <v>149</v>
      </c>
      <c r="R955" s="18" t="s">
        <v>4283</v>
      </c>
      <c r="S955" s="18" t="s">
        <v>133</v>
      </c>
      <c r="T955" s="18" t="s">
        <v>183</v>
      </c>
      <c r="U955" s="18"/>
      <c r="V955" s="19" t="s">
        <v>29</v>
      </c>
      <c r="W955" s="19"/>
      <c r="X955" s="19"/>
      <c r="Y955" s="20"/>
      <c r="Z955" s="19"/>
      <c r="AA955" s="18" t="str">
        <f aca="false">IF(OR(V955="Aprobada"),R955,IF(AND(OR(V955="Aprobada con ajuste",V955="Rechazada"),W955&lt;&gt;""),W955,""))</f>
        <v/>
      </c>
    </row>
    <row r="956" customFormat="false" ht="32.8" hidden="false" customHeight="false" outlineLevel="0" collapsed="false">
      <c r="A956" s="18" t="s">
        <v>4284</v>
      </c>
      <c r="B956" s="18" t="s">
        <v>64</v>
      </c>
      <c r="C956" s="18" t="s">
        <v>65</v>
      </c>
      <c r="D956" s="18" t="s">
        <v>4252</v>
      </c>
      <c r="E956" s="18" t="n">
        <v>168</v>
      </c>
      <c r="F956" s="18" t="s">
        <v>4285</v>
      </c>
      <c r="G956" s="18" t="s">
        <v>337</v>
      </c>
      <c r="H956" s="18" t="s">
        <v>162</v>
      </c>
      <c r="I956" s="18"/>
      <c r="J956" s="18"/>
      <c r="K956" s="18"/>
      <c r="L956" s="18" t="s">
        <v>129</v>
      </c>
      <c r="M956" s="18" t="s">
        <v>129</v>
      </c>
      <c r="N956" s="18"/>
      <c r="O956" s="18"/>
      <c r="P956" s="18" t="s">
        <v>4286</v>
      </c>
      <c r="Q956" s="18" t="s">
        <v>149</v>
      </c>
      <c r="R956" s="18" t="s">
        <v>4287</v>
      </c>
      <c r="S956" s="18" t="s">
        <v>140</v>
      </c>
      <c r="T956" s="18" t="s">
        <v>183</v>
      </c>
      <c r="U956" s="18" t="s">
        <v>4288</v>
      </c>
      <c r="V956" s="19" t="s">
        <v>29</v>
      </c>
      <c r="W956" s="19"/>
      <c r="X956" s="19"/>
      <c r="Y956" s="20"/>
      <c r="Z956" s="19"/>
      <c r="AA956" s="18" t="str">
        <f aca="false">IF(OR(V956="Aprobada"),R956,IF(AND(OR(V956="Aprobada con ajuste",V956="Rechazada"),W956&lt;&gt;""),W956,""))</f>
        <v/>
      </c>
    </row>
    <row r="957" customFormat="false" ht="43.25" hidden="false" customHeight="false" outlineLevel="0" collapsed="false">
      <c r="A957" s="18" t="s">
        <v>4289</v>
      </c>
      <c r="B957" s="18" t="s">
        <v>64</v>
      </c>
      <c r="C957" s="18" t="s">
        <v>65</v>
      </c>
      <c r="D957" s="18" t="s">
        <v>4290</v>
      </c>
      <c r="E957" s="18" t="n">
        <v>427</v>
      </c>
      <c r="F957" s="18" t="s">
        <v>4291</v>
      </c>
      <c r="G957" s="18" t="s">
        <v>180</v>
      </c>
      <c r="H957" s="18" t="s">
        <v>129</v>
      </c>
      <c r="I957" s="18"/>
      <c r="J957" s="18"/>
      <c r="K957" s="18"/>
      <c r="L957" s="18" t="s">
        <v>129</v>
      </c>
      <c r="M957" s="18" t="s">
        <v>129</v>
      </c>
      <c r="N957" s="18"/>
      <c r="O957" s="18" t="s">
        <v>4292</v>
      </c>
      <c r="P957" s="18" t="s">
        <v>4293</v>
      </c>
      <c r="Q957" s="18" t="s">
        <v>131</v>
      </c>
      <c r="R957" s="18" t="s">
        <v>4294</v>
      </c>
      <c r="S957" s="18" t="s">
        <v>133</v>
      </c>
      <c r="T957" s="18" t="s">
        <v>4295</v>
      </c>
      <c r="U957" s="18"/>
      <c r="V957" s="19" t="s">
        <v>29</v>
      </c>
      <c r="W957" s="19"/>
      <c r="X957" s="19"/>
      <c r="Y957" s="20"/>
      <c r="Z957" s="19"/>
      <c r="AA957" s="18" t="str">
        <f aca="false">IF(OR(V957="Aprobada"),R957,IF(AND(OR(V957="Aprobada con ajuste",V957="Rechazada"),W957&lt;&gt;""),W957,""))</f>
        <v/>
      </c>
    </row>
    <row r="958" customFormat="false" ht="22.35" hidden="false" customHeight="false" outlineLevel="0" collapsed="false">
      <c r="A958" s="18" t="s">
        <v>4296</v>
      </c>
      <c r="B958" s="18" t="s">
        <v>64</v>
      </c>
      <c r="C958" s="18" t="s">
        <v>65</v>
      </c>
      <c r="D958" s="18" t="s">
        <v>4290</v>
      </c>
      <c r="E958" s="18" t="n">
        <v>427</v>
      </c>
      <c r="F958" s="18" t="s">
        <v>4297</v>
      </c>
      <c r="G958" s="18" t="s">
        <v>486</v>
      </c>
      <c r="H958" s="18" t="s">
        <v>129</v>
      </c>
      <c r="I958" s="18"/>
      <c r="J958" s="18"/>
      <c r="K958" s="18"/>
      <c r="L958" s="18" t="s">
        <v>129</v>
      </c>
      <c r="M958" s="18" t="s">
        <v>129</v>
      </c>
      <c r="N958" s="18"/>
      <c r="O958" s="18"/>
      <c r="P958" s="18" t="s">
        <v>4298</v>
      </c>
      <c r="Q958" s="18" t="s">
        <v>131</v>
      </c>
      <c r="R958" s="18" t="s">
        <v>4299</v>
      </c>
      <c r="S958" s="18" t="s">
        <v>140</v>
      </c>
      <c r="T958" s="18" t="s">
        <v>4300</v>
      </c>
      <c r="U958" s="18" t="s">
        <v>4301</v>
      </c>
      <c r="V958" s="19" t="s">
        <v>29</v>
      </c>
      <c r="W958" s="19"/>
      <c r="X958" s="19"/>
      <c r="Y958" s="20"/>
      <c r="Z958" s="19"/>
      <c r="AA958" s="18" t="str">
        <f aca="false">IF(OR(V958="Aprobada"),R958,IF(AND(OR(V958="Aprobada con ajuste",V958="Rechazada"),W958&lt;&gt;""),W958,""))</f>
        <v/>
      </c>
    </row>
    <row r="959" customFormat="false" ht="32.8" hidden="false" customHeight="false" outlineLevel="0" collapsed="false">
      <c r="A959" s="18" t="s">
        <v>4302</v>
      </c>
      <c r="B959" s="18" t="s">
        <v>64</v>
      </c>
      <c r="C959" s="18" t="s">
        <v>65</v>
      </c>
      <c r="D959" s="18" t="s">
        <v>4290</v>
      </c>
      <c r="E959" s="18" t="n">
        <v>427</v>
      </c>
      <c r="F959" s="18" t="s">
        <v>160</v>
      </c>
      <c r="G959" s="18" t="s">
        <v>128</v>
      </c>
      <c r="H959" s="18" t="s">
        <v>162</v>
      </c>
      <c r="I959" s="18"/>
      <c r="J959" s="18"/>
      <c r="K959" s="18"/>
      <c r="L959" s="18" t="s">
        <v>129</v>
      </c>
      <c r="M959" s="18" t="s">
        <v>129</v>
      </c>
      <c r="N959" s="18"/>
      <c r="O959" s="18"/>
      <c r="P959" s="18" t="s">
        <v>4303</v>
      </c>
      <c r="Q959" s="18" t="s">
        <v>138</v>
      </c>
      <c r="R959" s="18" t="s">
        <v>4304</v>
      </c>
      <c r="S959" s="18" t="s">
        <v>140</v>
      </c>
      <c r="T959" s="18" t="s">
        <v>141</v>
      </c>
      <c r="U959" s="18"/>
      <c r="V959" s="19" t="s">
        <v>29</v>
      </c>
      <c r="W959" s="19"/>
      <c r="X959" s="19"/>
      <c r="Y959" s="20"/>
      <c r="Z959" s="19"/>
      <c r="AA959" s="18" t="str">
        <f aca="false">IF(OR(V959="Aprobada"),R959,IF(AND(OR(V959="Aprobada con ajuste",V959="Rechazada"),W959&lt;&gt;""),W959,""))</f>
        <v/>
      </c>
    </row>
    <row r="960" customFormat="false" ht="32.8" hidden="false" customHeight="false" outlineLevel="0" collapsed="false">
      <c r="A960" s="18" t="s">
        <v>4305</v>
      </c>
      <c r="B960" s="18" t="s">
        <v>64</v>
      </c>
      <c r="C960" s="18" t="s">
        <v>65</v>
      </c>
      <c r="D960" s="18" t="s">
        <v>4290</v>
      </c>
      <c r="E960" s="18" t="n">
        <v>427</v>
      </c>
      <c r="F960" s="18" t="s">
        <v>4306</v>
      </c>
      <c r="G960" s="18" t="s">
        <v>317</v>
      </c>
      <c r="H960" s="18" t="s">
        <v>129</v>
      </c>
      <c r="I960" s="18"/>
      <c r="J960" s="18"/>
      <c r="K960" s="18"/>
      <c r="L960" s="18" t="s">
        <v>129</v>
      </c>
      <c r="M960" s="18" t="s">
        <v>129</v>
      </c>
      <c r="N960" s="18"/>
      <c r="O960" s="18"/>
      <c r="P960" s="18" t="s">
        <v>4307</v>
      </c>
      <c r="Q960" s="18" t="s">
        <v>138</v>
      </c>
      <c r="R960" s="18" t="s">
        <v>4308</v>
      </c>
      <c r="S960" s="18" t="s">
        <v>140</v>
      </c>
      <c r="T960" s="18" t="s">
        <v>141</v>
      </c>
      <c r="U960" s="18"/>
      <c r="V960" s="19" t="s">
        <v>29</v>
      </c>
      <c r="W960" s="19"/>
      <c r="X960" s="19"/>
      <c r="Y960" s="20"/>
      <c r="Z960" s="19"/>
      <c r="AA960" s="18" t="str">
        <f aca="false">IF(OR(V960="Aprobada"),R960,IF(AND(OR(V960="Aprobada con ajuste",V960="Rechazada"),W960&lt;&gt;""),W960,""))</f>
        <v/>
      </c>
    </row>
    <row r="961" customFormat="false" ht="32.8" hidden="false" customHeight="false" outlineLevel="0" collapsed="false">
      <c r="A961" s="18" t="s">
        <v>4309</v>
      </c>
      <c r="B961" s="18" t="s">
        <v>64</v>
      </c>
      <c r="C961" s="18" t="s">
        <v>65</v>
      </c>
      <c r="D961" s="18" t="s">
        <v>4290</v>
      </c>
      <c r="E961" s="18" t="n">
        <v>427</v>
      </c>
      <c r="F961" s="18" t="s">
        <v>4310</v>
      </c>
      <c r="G961" s="18" t="s">
        <v>180</v>
      </c>
      <c r="H961" s="18" t="s">
        <v>162</v>
      </c>
      <c r="I961" s="18"/>
      <c r="J961" s="18"/>
      <c r="K961" s="18"/>
      <c r="L961" s="18" t="s">
        <v>129</v>
      </c>
      <c r="M961" s="18" t="s">
        <v>129</v>
      </c>
      <c r="N961" s="18"/>
      <c r="O961" s="18"/>
      <c r="P961" s="18" t="s">
        <v>4311</v>
      </c>
      <c r="Q961" s="18" t="s">
        <v>149</v>
      </c>
      <c r="R961" s="18" t="s">
        <v>4312</v>
      </c>
      <c r="S961" s="18" t="s">
        <v>133</v>
      </c>
      <c r="T961" s="18" t="s">
        <v>183</v>
      </c>
      <c r="U961" s="18"/>
      <c r="V961" s="19" t="s">
        <v>29</v>
      </c>
      <c r="W961" s="19"/>
      <c r="X961" s="19"/>
      <c r="Y961" s="20"/>
      <c r="Z961" s="19"/>
      <c r="AA961" s="18" t="str">
        <f aca="false">IF(OR(V961="Aprobada"),R961,IF(AND(OR(V961="Aprobada con ajuste",V961="Rechazada"),W961&lt;&gt;""),W961,""))</f>
        <v/>
      </c>
    </row>
    <row r="962" customFormat="false" ht="32.8" hidden="false" customHeight="false" outlineLevel="0" collapsed="false">
      <c r="A962" s="18" t="s">
        <v>4313</v>
      </c>
      <c r="B962" s="18" t="s">
        <v>64</v>
      </c>
      <c r="C962" s="18" t="s">
        <v>65</v>
      </c>
      <c r="D962" s="18" t="s">
        <v>4290</v>
      </c>
      <c r="E962" s="18" t="n">
        <v>427</v>
      </c>
      <c r="F962" s="18" t="s">
        <v>4314</v>
      </c>
      <c r="G962" s="18" t="s">
        <v>180</v>
      </c>
      <c r="H962" s="18" t="s">
        <v>162</v>
      </c>
      <c r="I962" s="18"/>
      <c r="J962" s="18"/>
      <c r="K962" s="18"/>
      <c r="L962" s="18" t="s">
        <v>129</v>
      </c>
      <c r="M962" s="18" t="s">
        <v>129</v>
      </c>
      <c r="N962" s="18"/>
      <c r="O962" s="18"/>
      <c r="P962" s="18" t="s">
        <v>4315</v>
      </c>
      <c r="Q962" s="18" t="s">
        <v>149</v>
      </c>
      <c r="R962" s="18" t="s">
        <v>4316</v>
      </c>
      <c r="S962" s="18" t="s">
        <v>133</v>
      </c>
      <c r="T962" s="18" t="s">
        <v>183</v>
      </c>
      <c r="U962" s="18"/>
      <c r="V962" s="19" t="s">
        <v>29</v>
      </c>
      <c r="W962" s="19"/>
      <c r="X962" s="19"/>
      <c r="Y962" s="20"/>
      <c r="Z962" s="19"/>
      <c r="AA962" s="18" t="str">
        <f aca="false">IF(OR(V962="Aprobada"),R962,IF(AND(OR(V962="Aprobada con ajuste",V962="Rechazada"),W962&lt;&gt;""),W962,""))</f>
        <v/>
      </c>
    </row>
    <row r="963" customFormat="false" ht="32.8" hidden="false" customHeight="false" outlineLevel="0" collapsed="false">
      <c r="A963" s="18" t="s">
        <v>4317</v>
      </c>
      <c r="B963" s="18" t="s">
        <v>64</v>
      </c>
      <c r="C963" s="18" t="s">
        <v>65</v>
      </c>
      <c r="D963" s="18" t="s">
        <v>4290</v>
      </c>
      <c r="E963" s="18" t="n">
        <v>427</v>
      </c>
      <c r="F963" s="18" t="s">
        <v>4318</v>
      </c>
      <c r="G963" s="18" t="s">
        <v>486</v>
      </c>
      <c r="H963" s="18" t="s">
        <v>162</v>
      </c>
      <c r="I963" s="18"/>
      <c r="J963" s="18"/>
      <c r="K963" s="18"/>
      <c r="L963" s="18" t="s">
        <v>129</v>
      </c>
      <c r="M963" s="18" t="s">
        <v>129</v>
      </c>
      <c r="N963" s="18"/>
      <c r="O963" s="18"/>
      <c r="P963" s="18" t="s">
        <v>4319</v>
      </c>
      <c r="Q963" s="18" t="s">
        <v>149</v>
      </c>
      <c r="R963" s="18" t="s">
        <v>4320</v>
      </c>
      <c r="S963" s="18" t="s">
        <v>140</v>
      </c>
      <c r="T963" s="18" t="s">
        <v>169</v>
      </c>
      <c r="U963" s="18" t="s">
        <v>4321</v>
      </c>
      <c r="V963" s="19" t="s">
        <v>29</v>
      </c>
      <c r="W963" s="19"/>
      <c r="X963" s="19"/>
      <c r="Y963" s="20"/>
      <c r="Z963" s="19"/>
      <c r="AA963" s="18" t="str">
        <f aca="false">IF(OR(V963="Aprobada"),R963,IF(AND(OR(V963="Aprobada con ajuste",V963="Rechazada"),W963&lt;&gt;""),W963,""))</f>
        <v/>
      </c>
    </row>
    <row r="964" customFormat="false" ht="43.25" hidden="false" customHeight="false" outlineLevel="0" collapsed="false">
      <c r="A964" s="18" t="s">
        <v>4322</v>
      </c>
      <c r="B964" s="18" t="s">
        <v>64</v>
      </c>
      <c r="C964" s="18" t="s">
        <v>65</v>
      </c>
      <c r="D964" s="18" t="s">
        <v>4290</v>
      </c>
      <c r="E964" s="18" t="n">
        <v>427</v>
      </c>
      <c r="F964" s="18" t="s">
        <v>341</v>
      </c>
      <c r="G964" s="18" t="s">
        <v>145</v>
      </c>
      <c r="H964" s="18" t="s">
        <v>162</v>
      </c>
      <c r="I964" s="18"/>
      <c r="J964" s="18"/>
      <c r="K964" s="18"/>
      <c r="L964" s="18" t="s">
        <v>129</v>
      </c>
      <c r="M964" s="18" t="s">
        <v>129</v>
      </c>
      <c r="N964" s="18"/>
      <c r="O964" s="18"/>
      <c r="P964" s="18" t="s">
        <v>4323</v>
      </c>
      <c r="Q964" s="18" t="s">
        <v>131</v>
      </c>
      <c r="R964" s="18" t="s">
        <v>4324</v>
      </c>
      <c r="S964" s="18" t="s">
        <v>133</v>
      </c>
      <c r="T964" s="18" t="s">
        <v>4325</v>
      </c>
      <c r="U964" s="18"/>
      <c r="V964" s="19" t="s">
        <v>29</v>
      </c>
      <c r="W964" s="19"/>
      <c r="X964" s="19"/>
      <c r="Y964" s="20"/>
      <c r="Z964" s="19"/>
      <c r="AA964" s="18" t="str">
        <f aca="false">IF(OR(V964="Aprobada"),R964,IF(AND(OR(V964="Aprobada con ajuste",V964="Rechazada"),W964&lt;&gt;""),W964,""))</f>
        <v/>
      </c>
    </row>
    <row r="965" customFormat="false" ht="32.8" hidden="false" customHeight="false" outlineLevel="0" collapsed="false">
      <c r="A965" s="18" t="s">
        <v>4326</v>
      </c>
      <c r="B965" s="18" t="s">
        <v>64</v>
      </c>
      <c r="C965" s="18" t="s">
        <v>65</v>
      </c>
      <c r="D965" s="18" t="s">
        <v>4290</v>
      </c>
      <c r="E965" s="18" t="n">
        <v>427</v>
      </c>
      <c r="F965" s="18" t="s">
        <v>4327</v>
      </c>
      <c r="G965" s="18" t="s">
        <v>312</v>
      </c>
      <c r="H965" s="18" t="s">
        <v>162</v>
      </c>
      <c r="I965" s="18"/>
      <c r="J965" s="18"/>
      <c r="K965" s="18"/>
      <c r="L965" s="18" t="s">
        <v>129</v>
      </c>
      <c r="M965" s="18" t="s">
        <v>129</v>
      </c>
      <c r="N965" s="18"/>
      <c r="O965" s="18" t="s">
        <v>4328</v>
      </c>
      <c r="P965" s="18" t="s">
        <v>4329</v>
      </c>
      <c r="Q965" s="18" t="s">
        <v>131</v>
      </c>
      <c r="R965" s="18" t="s">
        <v>4330</v>
      </c>
      <c r="S965" s="18" t="s">
        <v>133</v>
      </c>
      <c r="T965" s="18" t="s">
        <v>4331</v>
      </c>
      <c r="U965" s="18"/>
      <c r="V965" s="19" t="s">
        <v>29</v>
      </c>
      <c r="W965" s="19"/>
      <c r="X965" s="19"/>
      <c r="Y965" s="20"/>
      <c r="Z965" s="19"/>
      <c r="AA965" s="18" t="str">
        <f aca="false">IF(OR(V965="Aprobada"),R965,IF(AND(OR(V965="Aprobada con ajuste",V965="Rechazada"),W965&lt;&gt;""),W965,""))</f>
        <v/>
      </c>
    </row>
    <row r="966" customFormat="false" ht="32.8" hidden="false" customHeight="false" outlineLevel="0" collapsed="false">
      <c r="A966" s="18" t="s">
        <v>4332</v>
      </c>
      <c r="B966" s="18" t="s">
        <v>64</v>
      </c>
      <c r="C966" s="18" t="s">
        <v>65</v>
      </c>
      <c r="D966" s="18" t="s">
        <v>4290</v>
      </c>
      <c r="E966" s="18" t="n">
        <v>427</v>
      </c>
      <c r="F966" s="18" t="s">
        <v>191</v>
      </c>
      <c r="G966" s="18" t="s">
        <v>192</v>
      </c>
      <c r="H966" s="18" t="s">
        <v>162</v>
      </c>
      <c r="I966" s="18"/>
      <c r="J966" s="18"/>
      <c r="K966" s="18"/>
      <c r="L966" s="18" t="s">
        <v>129</v>
      </c>
      <c r="M966" s="18" t="s">
        <v>129</v>
      </c>
      <c r="N966" s="18"/>
      <c r="O966" s="18"/>
      <c r="P966" s="18" t="s">
        <v>4333</v>
      </c>
      <c r="Q966" s="18" t="s">
        <v>131</v>
      </c>
      <c r="R966" s="18" t="s">
        <v>4334</v>
      </c>
      <c r="S966" s="18" t="s">
        <v>133</v>
      </c>
      <c r="T966" s="18" t="s">
        <v>4335</v>
      </c>
      <c r="U966" s="18"/>
      <c r="V966" s="19" t="s">
        <v>29</v>
      </c>
      <c r="W966" s="19"/>
      <c r="X966" s="19"/>
      <c r="Y966" s="20"/>
      <c r="Z966" s="19"/>
      <c r="AA966" s="18" t="str">
        <f aca="false">IF(OR(V966="Aprobada"),R966,IF(AND(OR(V966="Aprobada con ajuste",V966="Rechazada"),W966&lt;&gt;""),W966,""))</f>
        <v/>
      </c>
    </row>
    <row r="967" customFormat="false" ht="53.7" hidden="false" customHeight="false" outlineLevel="0" collapsed="false">
      <c r="A967" s="18" t="s">
        <v>4336</v>
      </c>
      <c r="B967" s="18" t="s">
        <v>64</v>
      </c>
      <c r="C967" s="18" t="s">
        <v>65</v>
      </c>
      <c r="D967" s="18" t="s">
        <v>4290</v>
      </c>
      <c r="E967" s="18" t="n">
        <v>427</v>
      </c>
      <c r="F967" s="18" t="s">
        <v>4337</v>
      </c>
      <c r="G967" s="18" t="s">
        <v>180</v>
      </c>
      <c r="H967" s="18" t="s">
        <v>162</v>
      </c>
      <c r="I967" s="18"/>
      <c r="J967" s="18"/>
      <c r="K967" s="18"/>
      <c r="L967" s="18" t="s">
        <v>129</v>
      </c>
      <c r="M967" s="18" t="s">
        <v>129</v>
      </c>
      <c r="N967" s="18"/>
      <c r="O967" s="18"/>
      <c r="P967" s="18" t="s">
        <v>4338</v>
      </c>
      <c r="Q967" s="18" t="s">
        <v>131</v>
      </c>
      <c r="R967" s="18" t="s">
        <v>4339</v>
      </c>
      <c r="S967" s="18" t="s">
        <v>133</v>
      </c>
      <c r="T967" s="18" t="s">
        <v>4340</v>
      </c>
      <c r="U967" s="18"/>
      <c r="V967" s="19" t="s">
        <v>29</v>
      </c>
      <c r="W967" s="19"/>
      <c r="X967" s="19"/>
      <c r="Y967" s="20"/>
      <c r="Z967" s="19"/>
      <c r="AA967" s="18" t="str">
        <f aca="false">IF(OR(V967="Aprobada"),R967,IF(AND(OR(V967="Aprobada con ajuste",V967="Rechazada"),W967&lt;&gt;""),W967,""))</f>
        <v/>
      </c>
    </row>
    <row r="968" customFormat="false" ht="22.35" hidden="false" customHeight="false" outlineLevel="0" collapsed="false">
      <c r="A968" s="18" t="s">
        <v>4341</v>
      </c>
      <c r="B968" s="18" t="s">
        <v>64</v>
      </c>
      <c r="C968" s="18" t="s">
        <v>65</v>
      </c>
      <c r="D968" s="18" t="s">
        <v>4342</v>
      </c>
      <c r="E968" s="18" t="n">
        <v>2554</v>
      </c>
      <c r="F968" s="18" t="s">
        <v>4343</v>
      </c>
      <c r="G968" s="18" t="s">
        <v>161</v>
      </c>
      <c r="H968" s="18" t="s">
        <v>129</v>
      </c>
      <c r="I968" s="18"/>
      <c r="J968" s="18"/>
      <c r="K968" s="18"/>
      <c r="L968" s="18" t="s">
        <v>129</v>
      </c>
      <c r="M968" s="18" t="s">
        <v>129</v>
      </c>
      <c r="N968" s="18"/>
      <c r="O968" s="18" t="s">
        <v>4344</v>
      </c>
      <c r="P968" s="18" t="s">
        <v>4345</v>
      </c>
      <c r="Q968" s="18" t="s">
        <v>149</v>
      </c>
      <c r="R968" s="18" t="s">
        <v>4346</v>
      </c>
      <c r="S968" s="18" t="s">
        <v>133</v>
      </c>
      <c r="T968" s="18" t="s">
        <v>1777</v>
      </c>
      <c r="U968" s="18"/>
      <c r="V968" s="19" t="s">
        <v>29</v>
      </c>
      <c r="W968" s="19"/>
      <c r="X968" s="19"/>
      <c r="Y968" s="20"/>
      <c r="Z968" s="19"/>
      <c r="AA968" s="18" t="str">
        <f aca="false">IF(OR(V968="Aprobada"),R968,IF(AND(OR(V968="Aprobada con ajuste",V968="Rechazada"),W968&lt;&gt;""),W968,""))</f>
        <v/>
      </c>
    </row>
    <row r="969" customFormat="false" ht="22.35" hidden="false" customHeight="false" outlineLevel="0" collapsed="false">
      <c r="A969" s="18" t="s">
        <v>4347</v>
      </c>
      <c r="B969" s="18" t="s">
        <v>64</v>
      </c>
      <c r="C969" s="18" t="s">
        <v>65</v>
      </c>
      <c r="D969" s="18" t="s">
        <v>4342</v>
      </c>
      <c r="E969" s="18" t="n">
        <v>2554</v>
      </c>
      <c r="F969" s="18" t="s">
        <v>275</v>
      </c>
      <c r="G969" s="18" t="s">
        <v>161</v>
      </c>
      <c r="H969" s="18" t="s">
        <v>129</v>
      </c>
      <c r="I969" s="18"/>
      <c r="J969" s="18"/>
      <c r="K969" s="18"/>
      <c r="L969" s="18" t="s">
        <v>129</v>
      </c>
      <c r="M969" s="18" t="s">
        <v>129</v>
      </c>
      <c r="N969" s="18"/>
      <c r="O969" s="18"/>
      <c r="P969" s="18" t="s">
        <v>4348</v>
      </c>
      <c r="Q969" s="18" t="s">
        <v>138</v>
      </c>
      <c r="R969" s="18" t="s">
        <v>4349</v>
      </c>
      <c r="S969" s="18" t="s">
        <v>140</v>
      </c>
      <c r="T969" s="18" t="s">
        <v>141</v>
      </c>
      <c r="U969" s="18"/>
      <c r="V969" s="19" t="s">
        <v>29</v>
      </c>
      <c r="W969" s="19"/>
      <c r="X969" s="19"/>
      <c r="Y969" s="20"/>
      <c r="Z969" s="19"/>
      <c r="AA969" s="18" t="str">
        <f aca="false">IF(OR(V969="Aprobada"),R969,IF(AND(OR(V969="Aprobada con ajuste",V969="Rechazada"),W969&lt;&gt;""),W969,""))</f>
        <v/>
      </c>
    </row>
    <row r="970" customFormat="false" ht="22.35" hidden="false" customHeight="false" outlineLevel="0" collapsed="false">
      <c r="A970" s="18" t="s">
        <v>4350</v>
      </c>
      <c r="B970" s="18" t="s">
        <v>64</v>
      </c>
      <c r="C970" s="18" t="s">
        <v>65</v>
      </c>
      <c r="D970" s="18" t="s">
        <v>4342</v>
      </c>
      <c r="E970" s="18" t="n">
        <v>2554</v>
      </c>
      <c r="F970" s="18" t="s">
        <v>4351</v>
      </c>
      <c r="G970" s="18" t="s">
        <v>180</v>
      </c>
      <c r="H970" s="18" t="s">
        <v>162</v>
      </c>
      <c r="I970" s="18"/>
      <c r="J970" s="18"/>
      <c r="K970" s="18"/>
      <c r="L970" s="18" t="s">
        <v>129</v>
      </c>
      <c r="M970" s="18" t="s">
        <v>129</v>
      </c>
      <c r="N970" s="18"/>
      <c r="O970" s="18"/>
      <c r="P970" s="18" t="s">
        <v>4352</v>
      </c>
      <c r="Q970" s="18" t="s">
        <v>149</v>
      </c>
      <c r="R970" s="18" t="s">
        <v>4353</v>
      </c>
      <c r="S970" s="18" t="s">
        <v>133</v>
      </c>
      <c r="T970" s="18" t="s">
        <v>183</v>
      </c>
      <c r="U970" s="18"/>
      <c r="V970" s="19" t="s">
        <v>29</v>
      </c>
      <c r="W970" s="19"/>
      <c r="X970" s="19"/>
      <c r="Y970" s="20"/>
      <c r="Z970" s="19"/>
      <c r="AA970" s="18" t="str">
        <f aca="false">IF(OR(V970="Aprobada"),R970,IF(AND(OR(V970="Aprobada con ajuste",V970="Rechazada"),W970&lt;&gt;""),W970,""))</f>
        <v/>
      </c>
    </row>
    <row r="971" customFormat="false" ht="22.35" hidden="false" customHeight="false" outlineLevel="0" collapsed="false">
      <c r="A971" s="18" t="s">
        <v>4354</v>
      </c>
      <c r="B971" s="18" t="s">
        <v>64</v>
      </c>
      <c r="C971" s="18" t="s">
        <v>65</v>
      </c>
      <c r="D971" s="18" t="s">
        <v>4342</v>
      </c>
      <c r="E971" s="18" t="n">
        <v>2554</v>
      </c>
      <c r="F971" s="18" t="s">
        <v>4355</v>
      </c>
      <c r="G971" s="18" t="s">
        <v>503</v>
      </c>
      <c r="H971" s="18" t="s">
        <v>162</v>
      </c>
      <c r="I971" s="18"/>
      <c r="J971" s="18"/>
      <c r="K971" s="18"/>
      <c r="L971" s="18" t="s">
        <v>129</v>
      </c>
      <c r="M971" s="18" t="s">
        <v>129</v>
      </c>
      <c r="N971" s="18"/>
      <c r="O971" s="18"/>
      <c r="P971" s="18" t="s">
        <v>4356</v>
      </c>
      <c r="Q971" s="18" t="s">
        <v>149</v>
      </c>
      <c r="R971" s="18" t="s">
        <v>4357</v>
      </c>
      <c r="S971" s="18" t="s">
        <v>140</v>
      </c>
      <c r="T971" s="18" t="s">
        <v>183</v>
      </c>
      <c r="U971" s="18" t="s">
        <v>4247</v>
      </c>
      <c r="V971" s="19" t="s">
        <v>29</v>
      </c>
      <c r="W971" s="19"/>
      <c r="X971" s="19"/>
      <c r="Y971" s="20"/>
      <c r="Z971" s="19"/>
      <c r="AA971" s="18" t="str">
        <f aca="false">IF(OR(V971="Aprobada"),R971,IF(AND(OR(V971="Aprobada con ajuste",V971="Rechazada"),W971&lt;&gt;""),W971,""))</f>
        <v/>
      </c>
    </row>
    <row r="972" customFormat="false" ht="22.35" hidden="false" customHeight="false" outlineLevel="0" collapsed="false">
      <c r="A972" s="18" t="s">
        <v>4358</v>
      </c>
      <c r="B972" s="18" t="s">
        <v>64</v>
      </c>
      <c r="C972" s="18" t="s">
        <v>65</v>
      </c>
      <c r="D972" s="18" t="s">
        <v>4342</v>
      </c>
      <c r="E972" s="18" t="n">
        <v>2554</v>
      </c>
      <c r="F972" s="18" t="s">
        <v>4359</v>
      </c>
      <c r="G972" s="18" t="s">
        <v>173</v>
      </c>
      <c r="H972" s="18" t="s">
        <v>162</v>
      </c>
      <c r="I972" s="18"/>
      <c r="J972" s="18"/>
      <c r="K972" s="18"/>
      <c r="L972" s="18" t="s">
        <v>129</v>
      </c>
      <c r="M972" s="18" t="s">
        <v>129</v>
      </c>
      <c r="N972" s="18"/>
      <c r="O972" s="18"/>
      <c r="P972" s="18" t="s">
        <v>4360</v>
      </c>
      <c r="Q972" s="18" t="s">
        <v>138</v>
      </c>
      <c r="R972" s="18" t="s">
        <v>4361</v>
      </c>
      <c r="S972" s="18" t="s">
        <v>140</v>
      </c>
      <c r="T972" s="18" t="s">
        <v>141</v>
      </c>
      <c r="U972" s="18"/>
      <c r="V972" s="19" t="s">
        <v>29</v>
      </c>
      <c r="W972" s="19"/>
      <c r="X972" s="19"/>
      <c r="Y972" s="20"/>
      <c r="Z972" s="19"/>
      <c r="AA972" s="18" t="str">
        <f aca="false">IF(OR(V972="Aprobada"),R972,IF(AND(OR(V972="Aprobada con ajuste",V972="Rechazada"),W972&lt;&gt;""),W972,""))</f>
        <v/>
      </c>
    </row>
    <row r="973" customFormat="false" ht="32.8" hidden="false" customHeight="false" outlineLevel="0" collapsed="false">
      <c r="A973" s="18" t="s">
        <v>4362</v>
      </c>
      <c r="B973" s="18" t="s">
        <v>64</v>
      </c>
      <c r="C973" s="18" t="s">
        <v>65</v>
      </c>
      <c r="D973" s="18" t="s">
        <v>4363</v>
      </c>
      <c r="E973" s="18" t="n">
        <v>18</v>
      </c>
      <c r="F973" s="18" t="s">
        <v>4364</v>
      </c>
      <c r="G973" s="18" t="s">
        <v>312</v>
      </c>
      <c r="H973" s="18" t="s">
        <v>129</v>
      </c>
      <c r="I973" s="18"/>
      <c r="J973" s="18"/>
      <c r="K973" s="18"/>
      <c r="L973" s="18" t="s">
        <v>129</v>
      </c>
      <c r="M973" s="18" t="s">
        <v>129</v>
      </c>
      <c r="N973" s="18"/>
      <c r="O973" s="18"/>
      <c r="P973" s="18" t="s">
        <v>4365</v>
      </c>
      <c r="Q973" s="18" t="s">
        <v>149</v>
      </c>
      <c r="R973" s="18" t="s">
        <v>4366</v>
      </c>
      <c r="S973" s="18" t="s">
        <v>140</v>
      </c>
      <c r="T973" s="18" t="s">
        <v>183</v>
      </c>
      <c r="U973" s="18" t="s">
        <v>4367</v>
      </c>
      <c r="V973" s="19" t="s">
        <v>29</v>
      </c>
      <c r="W973" s="19"/>
      <c r="X973" s="19"/>
      <c r="Y973" s="20"/>
      <c r="Z973" s="19"/>
      <c r="AA973" s="18" t="str">
        <f aca="false">IF(OR(V973="Aprobada"),R973,IF(AND(OR(V973="Aprobada con ajuste",V973="Rechazada"),W973&lt;&gt;""),W973,""))</f>
        <v/>
      </c>
    </row>
    <row r="974" customFormat="false" ht="32.8" hidden="false" customHeight="false" outlineLevel="0" collapsed="false">
      <c r="A974" s="18" t="s">
        <v>4368</v>
      </c>
      <c r="B974" s="18" t="s">
        <v>64</v>
      </c>
      <c r="C974" s="18" t="s">
        <v>65</v>
      </c>
      <c r="D974" s="18" t="s">
        <v>4363</v>
      </c>
      <c r="E974" s="18" t="n">
        <v>18</v>
      </c>
      <c r="F974" s="18" t="s">
        <v>4369</v>
      </c>
      <c r="G974" s="18" t="s">
        <v>180</v>
      </c>
      <c r="H974" s="18" t="s">
        <v>129</v>
      </c>
      <c r="I974" s="18"/>
      <c r="J974" s="18"/>
      <c r="K974" s="18"/>
      <c r="L974" s="18" t="s">
        <v>129</v>
      </c>
      <c r="M974" s="18" t="s">
        <v>129</v>
      </c>
      <c r="N974" s="18"/>
      <c r="O974" s="18"/>
      <c r="P974" s="18" t="s">
        <v>4370</v>
      </c>
      <c r="Q974" s="18" t="s">
        <v>149</v>
      </c>
      <c r="R974" s="18" t="s">
        <v>4371</v>
      </c>
      <c r="S974" s="18" t="s">
        <v>133</v>
      </c>
      <c r="T974" s="18" t="s">
        <v>183</v>
      </c>
      <c r="U974" s="18"/>
      <c r="V974" s="19" t="s">
        <v>29</v>
      </c>
      <c r="W974" s="19"/>
      <c r="X974" s="19"/>
      <c r="Y974" s="20"/>
      <c r="Z974" s="19"/>
      <c r="AA974" s="18" t="str">
        <f aca="false">IF(OR(V974="Aprobada"),R974,IF(AND(OR(V974="Aprobada con ajuste",V974="Rechazada"),W974&lt;&gt;""),W974,""))</f>
        <v/>
      </c>
    </row>
    <row r="975" customFormat="false" ht="32.8" hidden="false" customHeight="false" outlineLevel="0" collapsed="false">
      <c r="A975" s="18" t="s">
        <v>4372</v>
      </c>
      <c r="B975" s="18" t="s">
        <v>64</v>
      </c>
      <c r="C975" s="18" t="s">
        <v>65</v>
      </c>
      <c r="D975" s="18" t="s">
        <v>4363</v>
      </c>
      <c r="E975" s="18" t="n">
        <v>18</v>
      </c>
      <c r="F975" s="18" t="s">
        <v>4373</v>
      </c>
      <c r="G975" s="18" t="s">
        <v>317</v>
      </c>
      <c r="H975" s="18" t="s">
        <v>129</v>
      </c>
      <c r="I975" s="18"/>
      <c r="J975" s="18"/>
      <c r="K975" s="18"/>
      <c r="L975" s="18" t="s">
        <v>129</v>
      </c>
      <c r="M975" s="18" t="s">
        <v>129</v>
      </c>
      <c r="N975" s="18"/>
      <c r="O975" s="18"/>
      <c r="P975" s="18" t="s">
        <v>4374</v>
      </c>
      <c r="Q975" s="18" t="s">
        <v>138</v>
      </c>
      <c r="R975" s="18" t="s">
        <v>4375</v>
      </c>
      <c r="S975" s="18" t="s">
        <v>140</v>
      </c>
      <c r="T975" s="18" t="s">
        <v>141</v>
      </c>
      <c r="U975" s="18"/>
      <c r="V975" s="19" t="s">
        <v>29</v>
      </c>
      <c r="W975" s="19"/>
      <c r="X975" s="19"/>
      <c r="Y975" s="20"/>
      <c r="Z975" s="19"/>
      <c r="AA975" s="18" t="str">
        <f aca="false">IF(OR(V975="Aprobada"),R975,IF(AND(OR(V975="Aprobada con ajuste",V975="Rechazada"),W975&lt;&gt;""),W975,""))</f>
        <v/>
      </c>
    </row>
    <row r="976" customFormat="false" ht="32.8" hidden="false" customHeight="false" outlineLevel="0" collapsed="false">
      <c r="A976" s="18" t="s">
        <v>4376</v>
      </c>
      <c r="B976" s="18" t="s">
        <v>64</v>
      </c>
      <c r="C976" s="18" t="s">
        <v>65</v>
      </c>
      <c r="D976" s="18" t="s">
        <v>4363</v>
      </c>
      <c r="E976" s="18" t="n">
        <v>18</v>
      </c>
      <c r="F976" s="18" t="s">
        <v>4377</v>
      </c>
      <c r="G976" s="18" t="s">
        <v>503</v>
      </c>
      <c r="H976" s="18" t="s">
        <v>129</v>
      </c>
      <c r="I976" s="18"/>
      <c r="J976" s="18"/>
      <c r="K976" s="18"/>
      <c r="L976" s="18" t="s">
        <v>129</v>
      </c>
      <c r="M976" s="18" t="s">
        <v>129</v>
      </c>
      <c r="N976" s="18"/>
      <c r="O976" s="18"/>
      <c r="P976" s="18" t="s">
        <v>4378</v>
      </c>
      <c r="Q976" s="18" t="s">
        <v>149</v>
      </c>
      <c r="R976" s="18" t="s">
        <v>4379</v>
      </c>
      <c r="S976" s="18" t="s">
        <v>133</v>
      </c>
      <c r="T976" s="18" t="s">
        <v>183</v>
      </c>
      <c r="U976" s="18"/>
      <c r="V976" s="19" t="s">
        <v>29</v>
      </c>
      <c r="W976" s="19"/>
      <c r="X976" s="19"/>
      <c r="Y976" s="20"/>
      <c r="Z976" s="19"/>
      <c r="AA976" s="18" t="str">
        <f aca="false">IF(OR(V976="Aprobada"),R976,IF(AND(OR(V976="Aprobada con ajuste",V976="Rechazada"),W976&lt;&gt;""),W976,""))</f>
        <v/>
      </c>
    </row>
    <row r="977" customFormat="false" ht="64.15" hidden="false" customHeight="false" outlineLevel="0" collapsed="false">
      <c r="A977" s="18" t="s">
        <v>4380</v>
      </c>
      <c r="B977" s="18" t="s">
        <v>64</v>
      </c>
      <c r="C977" s="18" t="s">
        <v>65</v>
      </c>
      <c r="D977" s="18" t="s">
        <v>4363</v>
      </c>
      <c r="E977" s="18" t="n">
        <v>18</v>
      </c>
      <c r="F977" s="18" t="s">
        <v>622</v>
      </c>
      <c r="G977" s="18" t="s">
        <v>145</v>
      </c>
      <c r="H977" s="18" t="s">
        <v>129</v>
      </c>
      <c r="I977" s="18"/>
      <c r="J977" s="18"/>
      <c r="K977" s="18"/>
      <c r="L977" s="18" t="s">
        <v>129</v>
      </c>
      <c r="M977" s="18" t="s">
        <v>129</v>
      </c>
      <c r="N977" s="18"/>
      <c r="O977" s="18"/>
      <c r="P977" s="18" t="s">
        <v>4381</v>
      </c>
      <c r="Q977" s="18" t="s">
        <v>131</v>
      </c>
      <c r="R977" s="18" t="s">
        <v>4382</v>
      </c>
      <c r="S977" s="18" t="s">
        <v>133</v>
      </c>
      <c r="T977" s="18" t="s">
        <v>4383</v>
      </c>
      <c r="U977" s="18"/>
      <c r="V977" s="19" t="s">
        <v>29</v>
      </c>
      <c r="W977" s="19"/>
      <c r="X977" s="19"/>
      <c r="Y977" s="20"/>
      <c r="Z977" s="19"/>
      <c r="AA977" s="18" t="str">
        <f aca="false">IF(OR(V977="Aprobada"),R977,IF(AND(OR(V977="Aprobada con ajuste",V977="Rechazada"),W977&lt;&gt;""),W977,""))</f>
        <v/>
      </c>
    </row>
    <row r="978" customFormat="false" ht="32.8" hidden="false" customHeight="false" outlineLevel="0" collapsed="false">
      <c r="A978" s="18" t="s">
        <v>4384</v>
      </c>
      <c r="B978" s="18" t="s">
        <v>64</v>
      </c>
      <c r="C978" s="18" t="s">
        <v>65</v>
      </c>
      <c r="D978" s="18" t="s">
        <v>4363</v>
      </c>
      <c r="E978" s="18" t="n">
        <v>18</v>
      </c>
      <c r="F978" s="18" t="s">
        <v>4385</v>
      </c>
      <c r="G978" s="18" t="s">
        <v>180</v>
      </c>
      <c r="H978" s="18" t="s">
        <v>162</v>
      </c>
      <c r="I978" s="18"/>
      <c r="J978" s="18"/>
      <c r="K978" s="18"/>
      <c r="L978" s="18" t="s">
        <v>129</v>
      </c>
      <c r="M978" s="18" t="s">
        <v>129</v>
      </c>
      <c r="N978" s="18"/>
      <c r="O978" s="18"/>
      <c r="P978" s="18" t="s">
        <v>4386</v>
      </c>
      <c r="Q978" s="18" t="s">
        <v>149</v>
      </c>
      <c r="R978" s="18" t="s">
        <v>4387</v>
      </c>
      <c r="S978" s="18" t="s">
        <v>140</v>
      </c>
      <c r="T978" s="18" t="s">
        <v>183</v>
      </c>
      <c r="U978" s="18" t="s">
        <v>4388</v>
      </c>
      <c r="V978" s="19" t="s">
        <v>29</v>
      </c>
      <c r="W978" s="19"/>
      <c r="X978" s="19"/>
      <c r="Y978" s="20"/>
      <c r="Z978" s="19"/>
      <c r="AA978" s="18" t="str">
        <f aca="false">IF(OR(V978="Aprobada"),R978,IF(AND(OR(V978="Aprobada con ajuste",V978="Rechazada"),W978&lt;&gt;""),W978,""))</f>
        <v/>
      </c>
    </row>
    <row r="979" customFormat="false" ht="32.8" hidden="false" customHeight="false" outlineLevel="0" collapsed="false">
      <c r="A979" s="18" t="s">
        <v>4389</v>
      </c>
      <c r="B979" s="18" t="s">
        <v>64</v>
      </c>
      <c r="C979" s="18" t="s">
        <v>65</v>
      </c>
      <c r="D979" s="18" t="s">
        <v>4363</v>
      </c>
      <c r="E979" s="18" t="n">
        <v>18</v>
      </c>
      <c r="F979" s="18" t="s">
        <v>4390</v>
      </c>
      <c r="G979" s="18" t="s">
        <v>128</v>
      </c>
      <c r="H979" s="18" t="s">
        <v>162</v>
      </c>
      <c r="I979" s="18"/>
      <c r="J979" s="18"/>
      <c r="K979" s="18"/>
      <c r="L979" s="18" t="s">
        <v>129</v>
      </c>
      <c r="M979" s="18" t="s">
        <v>129</v>
      </c>
      <c r="N979" s="18"/>
      <c r="O979" s="18"/>
      <c r="P979" s="18" t="s">
        <v>4391</v>
      </c>
      <c r="Q979" s="18" t="s">
        <v>149</v>
      </c>
      <c r="R979" s="18" t="s">
        <v>4392</v>
      </c>
      <c r="S979" s="18" t="s">
        <v>133</v>
      </c>
      <c r="T979" s="18" t="s">
        <v>4393</v>
      </c>
      <c r="U979" s="18"/>
      <c r="V979" s="19" t="s">
        <v>29</v>
      </c>
      <c r="W979" s="19"/>
      <c r="X979" s="19"/>
      <c r="Y979" s="20"/>
      <c r="Z979" s="19"/>
      <c r="AA979" s="18" t="str">
        <f aca="false">IF(OR(V979="Aprobada"),R979,IF(AND(OR(V979="Aprobada con ajuste",V979="Rechazada"),W979&lt;&gt;""),W979,""))</f>
        <v/>
      </c>
    </row>
    <row r="980" customFormat="false" ht="64.15" hidden="false" customHeight="false" outlineLevel="0" collapsed="false">
      <c r="A980" s="18" t="s">
        <v>4394</v>
      </c>
      <c r="B980" s="18" t="s">
        <v>64</v>
      </c>
      <c r="C980" s="18" t="s">
        <v>65</v>
      </c>
      <c r="D980" s="18" t="s">
        <v>4363</v>
      </c>
      <c r="E980" s="18" t="n">
        <v>18</v>
      </c>
      <c r="F980" s="18" t="s">
        <v>185</v>
      </c>
      <c r="G980" s="18" t="s">
        <v>145</v>
      </c>
      <c r="H980" s="18" t="s">
        <v>162</v>
      </c>
      <c r="I980" s="18"/>
      <c r="J980" s="18"/>
      <c r="K980" s="18"/>
      <c r="L980" s="18" t="s">
        <v>129</v>
      </c>
      <c r="M980" s="18" t="s">
        <v>129</v>
      </c>
      <c r="N980" s="18"/>
      <c r="O980" s="18"/>
      <c r="P980" s="18" t="s">
        <v>4395</v>
      </c>
      <c r="Q980" s="18" t="s">
        <v>131</v>
      </c>
      <c r="R980" s="18" t="s">
        <v>4396</v>
      </c>
      <c r="S980" s="18" t="s">
        <v>133</v>
      </c>
      <c r="T980" s="18" t="s">
        <v>4397</v>
      </c>
      <c r="U980" s="18"/>
      <c r="V980" s="19" t="s">
        <v>29</v>
      </c>
      <c r="W980" s="19"/>
      <c r="X980" s="19"/>
      <c r="Y980" s="20"/>
      <c r="Z980" s="19"/>
      <c r="AA980" s="18" t="str">
        <f aca="false">IF(OR(V980="Aprobada"),R980,IF(AND(OR(V980="Aprobada con ajuste",V980="Rechazada"),W980&lt;&gt;""),W980,""))</f>
        <v/>
      </c>
    </row>
    <row r="981" customFormat="false" ht="32.8" hidden="false" customHeight="false" outlineLevel="0" collapsed="false">
      <c r="A981" s="18" t="s">
        <v>4398</v>
      </c>
      <c r="B981" s="18" t="s">
        <v>64</v>
      </c>
      <c r="C981" s="18" t="s">
        <v>65</v>
      </c>
      <c r="D981" s="18" t="s">
        <v>4363</v>
      </c>
      <c r="E981" s="18" t="n">
        <v>18</v>
      </c>
      <c r="F981" s="18" t="s">
        <v>4399</v>
      </c>
      <c r="G981" s="18" t="s">
        <v>128</v>
      </c>
      <c r="H981" s="18" t="s">
        <v>162</v>
      </c>
      <c r="I981" s="18"/>
      <c r="J981" s="18"/>
      <c r="K981" s="18"/>
      <c r="L981" s="18" t="s">
        <v>129</v>
      </c>
      <c r="M981" s="18" t="s">
        <v>129</v>
      </c>
      <c r="N981" s="18"/>
      <c r="O981" s="18"/>
      <c r="P981" s="18" t="s">
        <v>4400</v>
      </c>
      <c r="Q981" s="18" t="s">
        <v>149</v>
      </c>
      <c r="R981" s="18" t="s">
        <v>4401</v>
      </c>
      <c r="S981" s="18" t="s">
        <v>140</v>
      </c>
      <c r="T981" s="18" t="s">
        <v>183</v>
      </c>
      <c r="U981" s="18" t="s">
        <v>4402</v>
      </c>
      <c r="V981" s="19" t="s">
        <v>29</v>
      </c>
      <c r="W981" s="19"/>
      <c r="X981" s="19"/>
      <c r="Y981" s="20"/>
      <c r="Z981" s="19"/>
      <c r="AA981" s="18" t="str">
        <f aca="false">IF(OR(V981="Aprobada"),R981,IF(AND(OR(V981="Aprobada con ajuste",V981="Rechazada"),W981&lt;&gt;""),W981,""))</f>
        <v/>
      </c>
    </row>
    <row r="982" customFormat="false" ht="32.8" hidden="false" customHeight="false" outlineLevel="0" collapsed="false">
      <c r="A982" s="18" t="s">
        <v>4403</v>
      </c>
      <c r="B982" s="18" t="s">
        <v>64</v>
      </c>
      <c r="C982" s="18" t="s">
        <v>65</v>
      </c>
      <c r="D982" s="18" t="s">
        <v>4363</v>
      </c>
      <c r="E982" s="18" t="n">
        <v>18</v>
      </c>
      <c r="F982" s="18" t="s">
        <v>4404</v>
      </c>
      <c r="G982" s="18" t="s">
        <v>192</v>
      </c>
      <c r="H982" s="18" t="s">
        <v>162</v>
      </c>
      <c r="I982" s="18"/>
      <c r="J982" s="18"/>
      <c r="K982" s="18"/>
      <c r="L982" s="18" t="s">
        <v>129</v>
      </c>
      <c r="M982" s="18" t="s">
        <v>129</v>
      </c>
      <c r="N982" s="18"/>
      <c r="O982" s="18"/>
      <c r="P982" s="18" t="s">
        <v>4405</v>
      </c>
      <c r="Q982" s="18" t="s">
        <v>149</v>
      </c>
      <c r="R982" s="18" t="s">
        <v>4406</v>
      </c>
      <c r="S982" s="18" t="s">
        <v>140</v>
      </c>
      <c r="T982" s="18" t="s">
        <v>169</v>
      </c>
      <c r="U982" s="18" t="s">
        <v>4407</v>
      </c>
      <c r="V982" s="19" t="s">
        <v>29</v>
      </c>
      <c r="W982" s="19"/>
      <c r="X982" s="19"/>
      <c r="Y982" s="20"/>
      <c r="Z982" s="19"/>
      <c r="AA982" s="18" t="str">
        <f aca="false">IF(OR(V982="Aprobada"),R982,IF(AND(OR(V982="Aprobada con ajuste",V982="Rechazada"),W982&lt;&gt;""),W982,""))</f>
        <v/>
      </c>
    </row>
    <row r="983" customFormat="false" ht="32.8" hidden="false" customHeight="false" outlineLevel="0" collapsed="false">
      <c r="A983" s="18" t="s">
        <v>4408</v>
      </c>
      <c r="B983" s="18" t="s">
        <v>64</v>
      </c>
      <c r="C983" s="18" t="s">
        <v>65</v>
      </c>
      <c r="D983" s="18" t="s">
        <v>4363</v>
      </c>
      <c r="E983" s="18" t="n">
        <v>18</v>
      </c>
      <c r="F983" s="18" t="s">
        <v>4409</v>
      </c>
      <c r="G983" s="18" t="s">
        <v>180</v>
      </c>
      <c r="H983" s="18" t="s">
        <v>162</v>
      </c>
      <c r="I983" s="18"/>
      <c r="J983" s="18"/>
      <c r="K983" s="18"/>
      <c r="L983" s="18" t="s">
        <v>129</v>
      </c>
      <c r="M983" s="18" t="s">
        <v>129</v>
      </c>
      <c r="N983" s="18"/>
      <c r="O983" s="18"/>
      <c r="P983" s="18" t="s">
        <v>4410</v>
      </c>
      <c r="Q983" s="18" t="s">
        <v>149</v>
      </c>
      <c r="R983" s="18" t="s">
        <v>4411</v>
      </c>
      <c r="S983" s="18" t="s">
        <v>133</v>
      </c>
      <c r="T983" s="18" t="s">
        <v>183</v>
      </c>
      <c r="U983" s="18"/>
      <c r="V983" s="19" t="s">
        <v>29</v>
      </c>
      <c r="W983" s="19"/>
      <c r="X983" s="19"/>
      <c r="Y983" s="20"/>
      <c r="Z983" s="19"/>
      <c r="AA983" s="18" t="str">
        <f aca="false">IF(OR(V983="Aprobada"),R983,IF(AND(OR(V983="Aprobada con ajuste",V983="Rechazada"),W983&lt;&gt;""),W983,""))</f>
        <v/>
      </c>
    </row>
    <row r="984" customFormat="false" ht="32.8" hidden="false" customHeight="false" outlineLevel="0" collapsed="false">
      <c r="A984" s="18" t="s">
        <v>4412</v>
      </c>
      <c r="B984" s="18" t="s">
        <v>64</v>
      </c>
      <c r="C984" s="18" t="s">
        <v>65</v>
      </c>
      <c r="D984" s="18" t="s">
        <v>4363</v>
      </c>
      <c r="E984" s="18" t="n">
        <v>18</v>
      </c>
      <c r="F984" s="18" t="s">
        <v>4413</v>
      </c>
      <c r="G984" s="18" t="s">
        <v>180</v>
      </c>
      <c r="H984" s="18" t="s">
        <v>162</v>
      </c>
      <c r="I984" s="18"/>
      <c r="J984" s="18"/>
      <c r="K984" s="18"/>
      <c r="L984" s="18" t="s">
        <v>129</v>
      </c>
      <c r="M984" s="18" t="s">
        <v>129</v>
      </c>
      <c r="N984" s="18"/>
      <c r="O984" s="18"/>
      <c r="P984" s="18" t="s">
        <v>4414</v>
      </c>
      <c r="Q984" s="18" t="s">
        <v>149</v>
      </c>
      <c r="R984" s="18" t="s">
        <v>4415</v>
      </c>
      <c r="S984" s="18" t="s">
        <v>133</v>
      </c>
      <c r="T984" s="18" t="s">
        <v>183</v>
      </c>
      <c r="U984" s="18"/>
      <c r="V984" s="19" t="s">
        <v>29</v>
      </c>
      <c r="W984" s="19"/>
      <c r="X984" s="19"/>
      <c r="Y984" s="20"/>
      <c r="Z984" s="19"/>
      <c r="AA984" s="18" t="str">
        <f aca="false">IF(OR(V984="Aprobada"),R984,IF(AND(OR(V984="Aprobada con ajuste",V984="Rechazada"),W984&lt;&gt;""),W984,""))</f>
        <v/>
      </c>
    </row>
    <row r="985" customFormat="false" ht="32.8" hidden="false" customHeight="false" outlineLevel="0" collapsed="false">
      <c r="A985" s="18" t="s">
        <v>4416</v>
      </c>
      <c r="B985" s="18" t="s">
        <v>64</v>
      </c>
      <c r="C985" s="18" t="s">
        <v>65</v>
      </c>
      <c r="D985" s="18" t="s">
        <v>4417</v>
      </c>
      <c r="E985" s="18" t="n">
        <v>4</v>
      </c>
      <c r="F985" s="18" t="s">
        <v>676</v>
      </c>
      <c r="G985" s="18" t="s">
        <v>4418</v>
      </c>
      <c r="H985" s="18" t="s">
        <v>129</v>
      </c>
      <c r="I985" s="18"/>
      <c r="J985" s="18"/>
      <c r="K985" s="18"/>
      <c r="L985" s="18" t="s">
        <v>129</v>
      </c>
      <c r="M985" s="18" t="s">
        <v>129</v>
      </c>
      <c r="N985" s="18"/>
      <c r="O985" s="18"/>
      <c r="P985" s="18" t="s">
        <v>4419</v>
      </c>
      <c r="Q985" s="18" t="s">
        <v>131</v>
      </c>
      <c r="R985" s="18" t="s">
        <v>4420</v>
      </c>
      <c r="S985" s="18" t="s">
        <v>133</v>
      </c>
      <c r="T985" s="18" t="s">
        <v>4421</v>
      </c>
      <c r="U985" s="18"/>
      <c r="V985" s="19" t="s">
        <v>29</v>
      </c>
      <c r="W985" s="19"/>
      <c r="X985" s="19"/>
      <c r="Y985" s="20"/>
      <c r="Z985" s="19"/>
      <c r="AA985" s="18" t="str">
        <f aca="false">IF(OR(V985="Aprobada"),R985,IF(AND(OR(V985="Aprobada con ajuste",V985="Rechazada"),W985&lt;&gt;""),W985,""))</f>
        <v/>
      </c>
    </row>
    <row r="986" customFormat="false" ht="32.8" hidden="false" customHeight="false" outlineLevel="0" collapsed="false">
      <c r="A986" s="18" t="s">
        <v>4422</v>
      </c>
      <c r="B986" s="18" t="s">
        <v>64</v>
      </c>
      <c r="C986" s="18" t="s">
        <v>65</v>
      </c>
      <c r="D986" s="18" t="s">
        <v>4417</v>
      </c>
      <c r="E986" s="18" t="n">
        <v>4</v>
      </c>
      <c r="F986" s="18" t="s">
        <v>127</v>
      </c>
      <c r="G986" s="18" t="s">
        <v>4418</v>
      </c>
      <c r="H986" s="18" t="s">
        <v>129</v>
      </c>
      <c r="I986" s="18"/>
      <c r="J986" s="18"/>
      <c r="K986" s="18"/>
      <c r="L986" s="18" t="s">
        <v>129</v>
      </c>
      <c r="M986" s="18" t="s">
        <v>129</v>
      </c>
      <c r="N986" s="18"/>
      <c r="O986" s="18"/>
      <c r="P986" s="18" t="s">
        <v>4423</v>
      </c>
      <c r="Q986" s="18" t="s">
        <v>131</v>
      </c>
      <c r="R986" s="18" t="s">
        <v>4424</v>
      </c>
      <c r="S986" s="18" t="s">
        <v>140</v>
      </c>
      <c r="T986" s="18" t="s">
        <v>4425</v>
      </c>
      <c r="U986" s="18" t="s">
        <v>4426</v>
      </c>
      <c r="V986" s="19" t="s">
        <v>29</v>
      </c>
      <c r="W986" s="19"/>
      <c r="X986" s="19"/>
      <c r="Y986" s="20"/>
      <c r="Z986" s="19"/>
      <c r="AA986" s="18" t="str">
        <f aca="false">IF(OR(V986="Aprobada"),R986,IF(AND(OR(V986="Aprobada con ajuste",V986="Rechazada"),W986&lt;&gt;""),W986,""))</f>
        <v/>
      </c>
    </row>
    <row r="987" customFormat="false" ht="32.8" hidden="false" customHeight="false" outlineLevel="0" collapsed="false">
      <c r="A987" s="18" t="s">
        <v>4427</v>
      </c>
      <c r="B987" s="18" t="s">
        <v>64</v>
      </c>
      <c r="C987" s="18" t="s">
        <v>65</v>
      </c>
      <c r="D987" s="18" t="s">
        <v>4417</v>
      </c>
      <c r="E987" s="18" t="n">
        <v>4</v>
      </c>
      <c r="F987" s="18" t="s">
        <v>4428</v>
      </c>
      <c r="G987" s="18" t="s">
        <v>317</v>
      </c>
      <c r="H987" s="18" t="s">
        <v>129</v>
      </c>
      <c r="I987" s="18"/>
      <c r="J987" s="18"/>
      <c r="K987" s="18"/>
      <c r="L987" s="18" t="s">
        <v>129</v>
      </c>
      <c r="M987" s="18" t="s">
        <v>129</v>
      </c>
      <c r="N987" s="18"/>
      <c r="O987" s="18"/>
      <c r="P987" s="18" t="s">
        <v>4429</v>
      </c>
      <c r="Q987" s="18" t="s">
        <v>138</v>
      </c>
      <c r="R987" s="18" t="s">
        <v>4430</v>
      </c>
      <c r="S987" s="18" t="s">
        <v>140</v>
      </c>
      <c r="T987" s="18" t="s">
        <v>141</v>
      </c>
      <c r="U987" s="18"/>
      <c r="V987" s="19" t="s">
        <v>29</v>
      </c>
      <c r="W987" s="19"/>
      <c r="X987" s="19"/>
      <c r="Y987" s="20"/>
      <c r="Z987" s="19"/>
      <c r="AA987" s="18" t="str">
        <f aca="false">IF(OR(V987="Aprobada"),R987,IF(AND(OR(V987="Aprobada con ajuste",V987="Rechazada"),W987&lt;&gt;""),W987,""))</f>
        <v/>
      </c>
    </row>
    <row r="988" customFormat="false" ht="32.8" hidden="false" customHeight="false" outlineLevel="0" collapsed="false">
      <c r="A988" s="18" t="s">
        <v>4431</v>
      </c>
      <c r="B988" s="18" t="s">
        <v>64</v>
      </c>
      <c r="C988" s="18" t="s">
        <v>65</v>
      </c>
      <c r="D988" s="18" t="s">
        <v>4417</v>
      </c>
      <c r="E988" s="18" t="n">
        <v>4</v>
      </c>
      <c r="F988" s="18" t="s">
        <v>4432</v>
      </c>
      <c r="G988" s="18" t="s">
        <v>4418</v>
      </c>
      <c r="H988" s="18" t="s">
        <v>129</v>
      </c>
      <c r="I988" s="18"/>
      <c r="J988" s="18"/>
      <c r="K988" s="18"/>
      <c r="L988" s="18" t="s">
        <v>129</v>
      </c>
      <c r="M988" s="18" t="s">
        <v>129</v>
      </c>
      <c r="N988" s="18"/>
      <c r="O988" s="18"/>
      <c r="P988" s="18" t="s">
        <v>4433</v>
      </c>
      <c r="Q988" s="18" t="s">
        <v>149</v>
      </c>
      <c r="R988" s="18" t="s">
        <v>4434</v>
      </c>
      <c r="S988" s="18" t="s">
        <v>133</v>
      </c>
      <c r="T988" s="18" t="s">
        <v>169</v>
      </c>
      <c r="U988" s="18"/>
      <c r="V988" s="19" t="s">
        <v>29</v>
      </c>
      <c r="W988" s="19"/>
      <c r="X988" s="19"/>
      <c r="Y988" s="20"/>
      <c r="Z988" s="19"/>
      <c r="AA988" s="18" t="str">
        <f aca="false">IF(OR(V988="Aprobada"),R988,IF(AND(OR(V988="Aprobada con ajuste",V988="Rechazada"),W988&lt;&gt;""),W988,""))</f>
        <v/>
      </c>
    </row>
    <row r="989" customFormat="false" ht="32.8" hidden="false" customHeight="false" outlineLevel="0" collapsed="false">
      <c r="A989" s="18" t="s">
        <v>4435</v>
      </c>
      <c r="B989" s="18" t="s">
        <v>64</v>
      </c>
      <c r="C989" s="18" t="s">
        <v>65</v>
      </c>
      <c r="D989" s="18" t="s">
        <v>4417</v>
      </c>
      <c r="E989" s="18" t="n">
        <v>4</v>
      </c>
      <c r="F989" s="18" t="s">
        <v>3191</v>
      </c>
      <c r="G989" s="18" t="s">
        <v>128</v>
      </c>
      <c r="H989" s="18" t="s">
        <v>162</v>
      </c>
      <c r="I989" s="18"/>
      <c r="J989" s="18"/>
      <c r="K989" s="18"/>
      <c r="L989" s="18" t="s">
        <v>129</v>
      </c>
      <c r="M989" s="18" t="s">
        <v>129</v>
      </c>
      <c r="N989" s="18"/>
      <c r="O989" s="18"/>
      <c r="P989" s="18" t="s">
        <v>4436</v>
      </c>
      <c r="Q989" s="18" t="s">
        <v>149</v>
      </c>
      <c r="R989" s="18" t="s">
        <v>4437</v>
      </c>
      <c r="S989" s="18" t="s">
        <v>133</v>
      </c>
      <c r="T989" s="18" t="s">
        <v>183</v>
      </c>
      <c r="U989" s="18"/>
      <c r="V989" s="19" t="s">
        <v>29</v>
      </c>
      <c r="W989" s="19"/>
      <c r="X989" s="19"/>
      <c r="Y989" s="20"/>
      <c r="Z989" s="19"/>
      <c r="AA989" s="18" t="str">
        <f aca="false">IF(OR(V989="Aprobada"),R989,IF(AND(OR(V989="Aprobada con ajuste",V989="Rechazada"),W989&lt;&gt;""),W989,""))</f>
        <v/>
      </c>
    </row>
    <row r="990" customFormat="false" ht="43.25" hidden="false" customHeight="false" outlineLevel="0" collapsed="false">
      <c r="A990" s="18" t="s">
        <v>4438</v>
      </c>
      <c r="B990" s="18" t="s">
        <v>64</v>
      </c>
      <c r="C990" s="18" t="s">
        <v>65</v>
      </c>
      <c r="D990" s="18" t="s">
        <v>4417</v>
      </c>
      <c r="E990" s="18" t="n">
        <v>4</v>
      </c>
      <c r="F990" s="18" t="s">
        <v>185</v>
      </c>
      <c r="G990" s="18" t="s">
        <v>4418</v>
      </c>
      <c r="H990" s="18" t="s">
        <v>129</v>
      </c>
      <c r="I990" s="18"/>
      <c r="J990" s="18"/>
      <c r="K990" s="18"/>
      <c r="L990" s="18" t="s">
        <v>129</v>
      </c>
      <c r="M990" s="18" t="s">
        <v>129</v>
      </c>
      <c r="N990" s="18"/>
      <c r="O990" s="18"/>
      <c r="P990" s="18" t="s">
        <v>4439</v>
      </c>
      <c r="Q990" s="18" t="s">
        <v>131</v>
      </c>
      <c r="R990" s="18" t="s">
        <v>4440</v>
      </c>
      <c r="S990" s="18" t="s">
        <v>133</v>
      </c>
      <c r="T990" s="18" t="s">
        <v>4441</v>
      </c>
      <c r="U990" s="18"/>
      <c r="V990" s="19" t="s">
        <v>29</v>
      </c>
      <c r="W990" s="19"/>
      <c r="X990" s="19"/>
      <c r="Y990" s="20"/>
      <c r="Z990" s="19"/>
      <c r="AA990" s="18" t="str">
        <f aca="false">IF(OR(V990="Aprobada"),R990,IF(AND(OR(V990="Aprobada con ajuste",V990="Rechazada"),W990&lt;&gt;""),W990,""))</f>
        <v/>
      </c>
    </row>
    <row r="991" customFormat="false" ht="32.8" hidden="false" customHeight="false" outlineLevel="0" collapsed="false">
      <c r="A991" s="18" t="s">
        <v>4442</v>
      </c>
      <c r="B991" s="18" t="s">
        <v>64</v>
      </c>
      <c r="C991" s="18" t="s">
        <v>65</v>
      </c>
      <c r="D991" s="18" t="s">
        <v>4417</v>
      </c>
      <c r="E991" s="18" t="n">
        <v>4</v>
      </c>
      <c r="F991" s="18" t="s">
        <v>4443</v>
      </c>
      <c r="G991" s="18" t="s">
        <v>317</v>
      </c>
      <c r="H991" s="18" t="s">
        <v>162</v>
      </c>
      <c r="I991" s="18"/>
      <c r="J991" s="18"/>
      <c r="K991" s="18"/>
      <c r="L991" s="18" t="s">
        <v>129</v>
      </c>
      <c r="M991" s="18" t="s">
        <v>129</v>
      </c>
      <c r="N991" s="18"/>
      <c r="O991" s="18"/>
      <c r="P991" s="18" t="s">
        <v>4444</v>
      </c>
      <c r="Q991" s="18" t="s">
        <v>138</v>
      </c>
      <c r="R991" s="18" t="s">
        <v>4445</v>
      </c>
      <c r="S991" s="18" t="s">
        <v>140</v>
      </c>
      <c r="T991" s="18" t="s">
        <v>141</v>
      </c>
      <c r="U991" s="18"/>
      <c r="V991" s="19" t="s">
        <v>29</v>
      </c>
      <c r="W991" s="19"/>
      <c r="X991" s="19"/>
      <c r="Y991" s="20"/>
      <c r="Z991" s="19"/>
      <c r="AA991" s="18" t="str">
        <f aca="false">IF(OR(V991="Aprobada"),R991,IF(AND(OR(V991="Aprobada con ajuste",V991="Rechazada"),W991&lt;&gt;""),W991,""))</f>
        <v/>
      </c>
    </row>
    <row r="992" customFormat="false" ht="32.8" hidden="false" customHeight="false" outlineLevel="0" collapsed="false">
      <c r="A992" s="18" t="s">
        <v>4446</v>
      </c>
      <c r="B992" s="18" t="s">
        <v>64</v>
      </c>
      <c r="C992" s="18" t="s">
        <v>65</v>
      </c>
      <c r="D992" s="18" t="s">
        <v>4417</v>
      </c>
      <c r="E992" s="18" t="n">
        <v>4</v>
      </c>
      <c r="F992" s="18" t="s">
        <v>4240</v>
      </c>
      <c r="G992" s="18" t="s">
        <v>4418</v>
      </c>
      <c r="H992" s="18" t="s">
        <v>129</v>
      </c>
      <c r="I992" s="18"/>
      <c r="J992" s="18"/>
      <c r="K992" s="18"/>
      <c r="L992" s="18" t="s">
        <v>129</v>
      </c>
      <c r="M992" s="18" t="s">
        <v>129</v>
      </c>
      <c r="N992" s="18"/>
      <c r="O992" s="18"/>
      <c r="P992" s="18" t="s">
        <v>4447</v>
      </c>
      <c r="Q992" s="18" t="s">
        <v>131</v>
      </c>
      <c r="R992" s="18" t="s">
        <v>4448</v>
      </c>
      <c r="S992" s="18" t="s">
        <v>133</v>
      </c>
      <c r="T992" s="18" t="s">
        <v>4449</v>
      </c>
      <c r="U992" s="18"/>
      <c r="V992" s="19" t="s">
        <v>29</v>
      </c>
      <c r="W992" s="19"/>
      <c r="X992" s="19"/>
      <c r="Y992" s="20"/>
      <c r="Z992" s="19"/>
      <c r="AA992" s="18" t="str">
        <f aca="false">IF(OR(V992="Aprobada"),R992,IF(AND(OR(V992="Aprobada con ajuste",V992="Rechazada"),W992&lt;&gt;""),W992,""))</f>
        <v/>
      </c>
    </row>
    <row r="993" customFormat="false" ht="32.8" hidden="false" customHeight="false" outlineLevel="0" collapsed="false">
      <c r="A993" s="18" t="s">
        <v>4450</v>
      </c>
      <c r="B993" s="18" t="s">
        <v>64</v>
      </c>
      <c r="C993" s="18" t="s">
        <v>65</v>
      </c>
      <c r="D993" s="18" t="s">
        <v>4417</v>
      </c>
      <c r="E993" s="18" t="n">
        <v>4</v>
      </c>
      <c r="F993" s="18" t="s">
        <v>4235</v>
      </c>
      <c r="G993" s="18" t="s">
        <v>4418</v>
      </c>
      <c r="H993" s="18" t="s">
        <v>129</v>
      </c>
      <c r="I993" s="18"/>
      <c r="J993" s="18"/>
      <c r="K993" s="18"/>
      <c r="L993" s="18" t="s">
        <v>129</v>
      </c>
      <c r="M993" s="18" t="s">
        <v>129</v>
      </c>
      <c r="N993" s="18"/>
      <c r="O993" s="18"/>
      <c r="P993" s="18" t="s">
        <v>4451</v>
      </c>
      <c r="Q993" s="18" t="s">
        <v>149</v>
      </c>
      <c r="R993" s="18" t="s">
        <v>4452</v>
      </c>
      <c r="S993" s="18" t="s">
        <v>133</v>
      </c>
      <c r="T993" s="18" t="s">
        <v>4238</v>
      </c>
      <c r="U993" s="18"/>
      <c r="V993" s="19" t="s">
        <v>29</v>
      </c>
      <c r="W993" s="19"/>
      <c r="X993" s="19"/>
      <c r="Y993" s="20"/>
      <c r="Z993" s="19"/>
      <c r="AA993" s="18" t="str">
        <f aca="false">IF(OR(V993="Aprobada"),R993,IF(AND(OR(V993="Aprobada con ajuste",V993="Rechazada"),W993&lt;&gt;""),W993,""))</f>
        <v/>
      </c>
    </row>
    <row r="994" customFormat="false" ht="64.15" hidden="false" customHeight="false" outlineLevel="0" collapsed="false">
      <c r="A994" s="18" t="s">
        <v>4453</v>
      </c>
      <c r="B994" s="18" t="s">
        <v>64</v>
      </c>
      <c r="C994" s="18" t="s">
        <v>65</v>
      </c>
      <c r="D994" s="18" t="s">
        <v>4454</v>
      </c>
      <c r="E994" s="18" t="n">
        <v>2</v>
      </c>
      <c r="F994" s="18" t="s">
        <v>1734</v>
      </c>
      <c r="G994" s="18" t="s">
        <v>486</v>
      </c>
      <c r="H994" s="18" t="s">
        <v>129</v>
      </c>
      <c r="I994" s="18"/>
      <c r="J994" s="18"/>
      <c r="K994" s="18"/>
      <c r="L994" s="18" t="s">
        <v>129</v>
      </c>
      <c r="M994" s="18" t="s">
        <v>129</v>
      </c>
      <c r="N994" s="18"/>
      <c r="O994" s="18" t="s">
        <v>4455</v>
      </c>
      <c r="P994" s="18" t="s">
        <v>4456</v>
      </c>
      <c r="Q994" s="18" t="s">
        <v>131</v>
      </c>
      <c r="R994" s="18" t="s">
        <v>4457</v>
      </c>
      <c r="S994" s="18" t="s">
        <v>133</v>
      </c>
      <c r="T994" s="18" t="s">
        <v>4458</v>
      </c>
      <c r="U994" s="18"/>
      <c r="V994" s="19" t="s">
        <v>29</v>
      </c>
      <c r="W994" s="19"/>
      <c r="X994" s="19"/>
      <c r="Y994" s="20"/>
      <c r="Z994" s="19"/>
      <c r="AA994" s="18" t="str">
        <f aca="false">IF(OR(V994="Aprobada"),R994,IF(AND(OR(V994="Aprobada con ajuste",V994="Rechazada"),W994&lt;&gt;""),W994,""))</f>
        <v/>
      </c>
    </row>
    <row r="995" customFormat="false" ht="32.8" hidden="false" customHeight="false" outlineLevel="0" collapsed="false">
      <c r="A995" s="18" t="s">
        <v>4459</v>
      </c>
      <c r="B995" s="18" t="s">
        <v>64</v>
      </c>
      <c r="C995" s="18" t="s">
        <v>65</v>
      </c>
      <c r="D995" s="18" t="s">
        <v>4454</v>
      </c>
      <c r="E995" s="18" t="n">
        <v>2</v>
      </c>
      <c r="F995" s="18" t="s">
        <v>1738</v>
      </c>
      <c r="G995" s="18" t="s">
        <v>180</v>
      </c>
      <c r="H995" s="18" t="s">
        <v>162</v>
      </c>
      <c r="I995" s="18"/>
      <c r="J995" s="18"/>
      <c r="K995" s="18"/>
      <c r="L995" s="18" t="s">
        <v>129</v>
      </c>
      <c r="M995" s="18" t="s">
        <v>129</v>
      </c>
      <c r="N995" s="18"/>
      <c r="O995" s="18"/>
      <c r="P995" s="18" t="s">
        <v>4460</v>
      </c>
      <c r="Q995" s="18" t="s">
        <v>149</v>
      </c>
      <c r="R995" s="18" t="s">
        <v>4461</v>
      </c>
      <c r="S995" s="18" t="s">
        <v>133</v>
      </c>
      <c r="T995" s="18" t="s">
        <v>201</v>
      </c>
      <c r="U995" s="18"/>
      <c r="V995" s="19" t="s">
        <v>29</v>
      </c>
      <c r="W995" s="19"/>
      <c r="X995" s="19"/>
      <c r="Y995" s="20"/>
      <c r="Z995" s="19"/>
      <c r="AA995" s="18" t="str">
        <f aca="false">IF(OR(V995="Aprobada"),R995,IF(AND(OR(V995="Aprobada con ajuste",V995="Rechazada"),W995&lt;&gt;""),W995,""))</f>
        <v/>
      </c>
    </row>
    <row r="996" customFormat="false" ht="53.7" hidden="false" customHeight="false" outlineLevel="0" collapsed="false">
      <c r="A996" s="18" t="s">
        <v>4462</v>
      </c>
      <c r="B996" s="18" t="s">
        <v>64</v>
      </c>
      <c r="C996" s="18" t="s">
        <v>65</v>
      </c>
      <c r="D996" s="18" t="s">
        <v>4454</v>
      </c>
      <c r="E996" s="18" t="n">
        <v>2</v>
      </c>
      <c r="F996" s="18" t="s">
        <v>4463</v>
      </c>
      <c r="G996" s="18" t="s">
        <v>128</v>
      </c>
      <c r="H996" s="18" t="s">
        <v>162</v>
      </c>
      <c r="I996" s="18"/>
      <c r="J996" s="18"/>
      <c r="K996" s="18"/>
      <c r="L996" s="18" t="s">
        <v>129</v>
      </c>
      <c r="M996" s="18" t="s">
        <v>129</v>
      </c>
      <c r="N996" s="18"/>
      <c r="O996" s="18"/>
      <c r="P996" s="18" t="s">
        <v>4464</v>
      </c>
      <c r="Q996" s="18" t="s">
        <v>131</v>
      </c>
      <c r="R996" s="18" t="s">
        <v>4465</v>
      </c>
      <c r="S996" s="18" t="s">
        <v>133</v>
      </c>
      <c r="T996" s="18" t="s">
        <v>4466</v>
      </c>
      <c r="U996" s="18"/>
      <c r="V996" s="19" t="s">
        <v>29</v>
      </c>
      <c r="W996" s="19"/>
      <c r="X996" s="19"/>
      <c r="Y996" s="20"/>
      <c r="Z996" s="19"/>
      <c r="AA996" s="18" t="str">
        <f aca="false">IF(OR(V996="Aprobada"),R996,IF(AND(OR(V996="Aprobada con ajuste",V996="Rechazada"),W996&lt;&gt;""),W996,""))</f>
        <v/>
      </c>
    </row>
    <row r="997" customFormat="false" ht="22.35" hidden="false" customHeight="false" outlineLevel="0" collapsed="false">
      <c r="A997" s="18" t="s">
        <v>4467</v>
      </c>
      <c r="B997" s="18" t="s">
        <v>64</v>
      </c>
      <c r="C997" s="18" t="s">
        <v>65</v>
      </c>
      <c r="D997" s="18" t="s">
        <v>4454</v>
      </c>
      <c r="E997" s="18" t="n">
        <v>2</v>
      </c>
      <c r="F997" s="18" t="s">
        <v>4468</v>
      </c>
      <c r="G997" s="18" t="s">
        <v>128</v>
      </c>
      <c r="H997" s="18" t="s">
        <v>162</v>
      </c>
      <c r="I997" s="18"/>
      <c r="J997" s="18"/>
      <c r="K997" s="18"/>
      <c r="L997" s="18" t="s">
        <v>129</v>
      </c>
      <c r="M997" s="18" t="s">
        <v>129</v>
      </c>
      <c r="N997" s="18"/>
      <c r="O997" s="18"/>
      <c r="P997" s="18" t="s">
        <v>4469</v>
      </c>
      <c r="Q997" s="18" t="s">
        <v>131</v>
      </c>
      <c r="R997" s="18" t="s">
        <v>4470</v>
      </c>
      <c r="S997" s="18" t="s">
        <v>133</v>
      </c>
      <c r="T997" s="18" t="s">
        <v>4471</v>
      </c>
      <c r="U997" s="18"/>
      <c r="V997" s="19" t="s">
        <v>29</v>
      </c>
      <c r="W997" s="19"/>
      <c r="X997" s="19"/>
      <c r="Y997" s="20"/>
      <c r="Z997" s="19"/>
      <c r="AA997" s="18" t="str">
        <f aca="false">IF(OR(V997="Aprobada"),R997,IF(AND(OR(V997="Aprobada con ajuste",V997="Rechazada"),W997&lt;&gt;""),W997,""))</f>
        <v/>
      </c>
    </row>
    <row r="998" customFormat="false" ht="32.8" hidden="false" customHeight="false" outlineLevel="0" collapsed="false">
      <c r="A998" s="18" t="s">
        <v>4472</v>
      </c>
      <c r="B998" s="18" t="s">
        <v>64</v>
      </c>
      <c r="C998" s="18" t="s">
        <v>65</v>
      </c>
      <c r="D998" s="18" t="s">
        <v>4454</v>
      </c>
      <c r="E998" s="18" t="n">
        <v>2</v>
      </c>
      <c r="F998" s="18" t="s">
        <v>4473</v>
      </c>
      <c r="G998" s="18" t="s">
        <v>128</v>
      </c>
      <c r="H998" s="18" t="s">
        <v>162</v>
      </c>
      <c r="I998" s="18"/>
      <c r="J998" s="18"/>
      <c r="K998" s="18"/>
      <c r="L998" s="18" t="s">
        <v>129</v>
      </c>
      <c r="M998" s="18" t="s">
        <v>129</v>
      </c>
      <c r="N998" s="18"/>
      <c r="O998" s="18"/>
      <c r="P998" s="18" t="s">
        <v>4474</v>
      </c>
      <c r="Q998" s="18" t="s">
        <v>131</v>
      </c>
      <c r="R998" s="18" t="s">
        <v>4475</v>
      </c>
      <c r="S998" s="18" t="s">
        <v>133</v>
      </c>
      <c r="T998" s="18" t="s">
        <v>4476</v>
      </c>
      <c r="U998" s="18"/>
      <c r="V998" s="19" t="s">
        <v>29</v>
      </c>
      <c r="W998" s="19"/>
      <c r="X998" s="19"/>
      <c r="Y998" s="20"/>
      <c r="Z998" s="19"/>
      <c r="AA998" s="18" t="str">
        <f aca="false">IF(OR(V998="Aprobada"),R998,IF(AND(OR(V998="Aprobada con ajuste",V998="Rechazada"),W998&lt;&gt;""),W998,""))</f>
        <v/>
      </c>
    </row>
    <row r="999" customFormat="false" ht="22.35" hidden="false" customHeight="false" outlineLevel="0" collapsed="false">
      <c r="A999" s="18" t="s">
        <v>4477</v>
      </c>
      <c r="B999" s="18" t="s">
        <v>64</v>
      </c>
      <c r="C999" s="18" t="s">
        <v>65</v>
      </c>
      <c r="D999" s="18" t="s">
        <v>4454</v>
      </c>
      <c r="E999" s="18" t="n">
        <v>2</v>
      </c>
      <c r="F999" s="18" t="s">
        <v>4478</v>
      </c>
      <c r="G999" s="18" t="s">
        <v>161</v>
      </c>
      <c r="H999" s="18" t="s">
        <v>162</v>
      </c>
      <c r="I999" s="18"/>
      <c r="J999" s="18"/>
      <c r="K999" s="18"/>
      <c r="L999" s="18" t="s">
        <v>129</v>
      </c>
      <c r="M999" s="18" t="s">
        <v>129</v>
      </c>
      <c r="N999" s="18"/>
      <c r="O999" s="18"/>
      <c r="P999" s="18" t="s">
        <v>4479</v>
      </c>
      <c r="Q999" s="18" t="s">
        <v>149</v>
      </c>
      <c r="R999" s="18" t="s">
        <v>4480</v>
      </c>
      <c r="S999" s="18" t="s">
        <v>133</v>
      </c>
      <c r="T999" s="18" t="s">
        <v>4481</v>
      </c>
      <c r="U999" s="18"/>
      <c r="V999" s="19" t="s">
        <v>29</v>
      </c>
      <c r="W999" s="19"/>
      <c r="X999" s="19"/>
      <c r="Y999" s="20"/>
      <c r="Z999" s="19"/>
      <c r="AA999" s="18" t="str">
        <f aca="false">IF(OR(V999="Aprobada"),R999,IF(AND(OR(V999="Aprobada con ajuste",V999="Rechazada"),W999&lt;&gt;""),W999,""))</f>
        <v/>
      </c>
    </row>
    <row r="1000" customFormat="false" ht="22.35" hidden="false" customHeight="false" outlineLevel="0" collapsed="false">
      <c r="A1000" s="18" t="s">
        <v>4482</v>
      </c>
      <c r="B1000" s="18" t="s">
        <v>64</v>
      </c>
      <c r="C1000" s="18" t="s">
        <v>65</v>
      </c>
      <c r="D1000" s="18" t="s">
        <v>4454</v>
      </c>
      <c r="E1000" s="18" t="n">
        <v>2</v>
      </c>
      <c r="F1000" s="18" t="s">
        <v>4483</v>
      </c>
      <c r="G1000" s="18" t="s">
        <v>128</v>
      </c>
      <c r="H1000" s="18" t="s">
        <v>162</v>
      </c>
      <c r="I1000" s="18"/>
      <c r="J1000" s="18"/>
      <c r="K1000" s="18"/>
      <c r="L1000" s="18" t="s">
        <v>129</v>
      </c>
      <c r="M1000" s="18" t="s">
        <v>129</v>
      </c>
      <c r="N1000" s="18"/>
      <c r="O1000" s="18"/>
      <c r="P1000" s="18" t="s">
        <v>4484</v>
      </c>
      <c r="Q1000" s="18" t="s">
        <v>149</v>
      </c>
      <c r="R1000" s="18" t="s">
        <v>4485</v>
      </c>
      <c r="S1000" s="18" t="s">
        <v>140</v>
      </c>
      <c r="T1000" s="18" t="s">
        <v>201</v>
      </c>
      <c r="U1000" s="18" t="s">
        <v>4486</v>
      </c>
      <c r="V1000" s="19" t="s">
        <v>29</v>
      </c>
      <c r="W1000" s="19"/>
      <c r="X1000" s="19"/>
      <c r="Y1000" s="20"/>
      <c r="Z1000" s="19"/>
      <c r="AA1000" s="18" t="str">
        <f aca="false">IF(OR(V1000="Aprobada"),R1000,IF(AND(OR(V1000="Aprobada con ajuste",V1000="Rechazada"),W1000&lt;&gt;""),W1000,""))</f>
        <v/>
      </c>
    </row>
    <row r="1001" customFormat="false" ht="32.8" hidden="false" customHeight="false" outlineLevel="0" collapsed="false">
      <c r="A1001" s="18" t="s">
        <v>4487</v>
      </c>
      <c r="B1001" s="18" t="s">
        <v>64</v>
      </c>
      <c r="C1001" s="18" t="s">
        <v>65</v>
      </c>
      <c r="D1001" s="18" t="s">
        <v>4454</v>
      </c>
      <c r="E1001" s="18" t="n">
        <v>2</v>
      </c>
      <c r="F1001" s="18" t="s">
        <v>4488</v>
      </c>
      <c r="G1001" s="18" t="s">
        <v>173</v>
      </c>
      <c r="H1001" s="18" t="s">
        <v>129</v>
      </c>
      <c r="I1001" s="18"/>
      <c r="J1001" s="18"/>
      <c r="K1001" s="18"/>
      <c r="L1001" s="18" t="s">
        <v>129</v>
      </c>
      <c r="M1001" s="18" t="s">
        <v>129</v>
      </c>
      <c r="N1001" s="18"/>
      <c r="O1001" s="18"/>
      <c r="P1001" s="18" t="s">
        <v>4489</v>
      </c>
      <c r="Q1001" s="18" t="s">
        <v>131</v>
      </c>
      <c r="R1001" s="18" t="s">
        <v>4490</v>
      </c>
      <c r="S1001" s="18" t="s">
        <v>133</v>
      </c>
      <c r="T1001" s="18" t="s">
        <v>4491</v>
      </c>
      <c r="U1001" s="18"/>
      <c r="V1001" s="19" t="s">
        <v>29</v>
      </c>
      <c r="W1001" s="19"/>
      <c r="X1001" s="19"/>
      <c r="Y1001" s="20"/>
      <c r="Z1001" s="19"/>
      <c r="AA1001" s="18" t="str">
        <f aca="false">IF(OR(V1001="Aprobada"),R1001,IF(AND(OR(V1001="Aprobada con ajuste",V1001="Rechazada"),W1001&lt;&gt;""),W1001,""))</f>
        <v/>
      </c>
    </row>
    <row r="1002" customFormat="false" ht="22.35" hidden="false" customHeight="false" outlineLevel="0" collapsed="false">
      <c r="A1002" s="18" t="s">
        <v>4492</v>
      </c>
      <c r="B1002" s="18" t="s">
        <v>64</v>
      </c>
      <c r="C1002" s="18" t="s">
        <v>65</v>
      </c>
      <c r="D1002" s="18" t="s">
        <v>4493</v>
      </c>
      <c r="E1002" s="18" t="n">
        <v>9</v>
      </c>
      <c r="F1002" s="18" t="s">
        <v>275</v>
      </c>
      <c r="G1002" s="18" t="s">
        <v>454</v>
      </c>
      <c r="H1002" s="18" t="s">
        <v>129</v>
      </c>
      <c r="I1002" s="18"/>
      <c r="J1002" s="18"/>
      <c r="K1002" s="18"/>
      <c r="L1002" s="18" t="s">
        <v>162</v>
      </c>
      <c r="M1002" s="18" t="s">
        <v>129</v>
      </c>
      <c r="N1002" s="18"/>
      <c r="O1002" s="18"/>
      <c r="P1002" s="18" t="s">
        <v>4494</v>
      </c>
      <c r="Q1002" s="18" t="s">
        <v>138</v>
      </c>
      <c r="R1002" s="18" t="s">
        <v>4495</v>
      </c>
      <c r="S1002" s="18" t="s">
        <v>140</v>
      </c>
      <c r="T1002" s="18" t="s">
        <v>141</v>
      </c>
      <c r="U1002" s="18"/>
      <c r="V1002" s="19" t="s">
        <v>29</v>
      </c>
      <c r="W1002" s="19"/>
      <c r="X1002" s="19"/>
      <c r="Y1002" s="20"/>
      <c r="Z1002" s="19"/>
      <c r="AA1002" s="18" t="str">
        <f aca="false">IF(OR(V1002="Aprobada"),R1002,IF(AND(OR(V1002="Aprobada con ajuste",V1002="Rechazada"),W1002&lt;&gt;""),W1002,""))</f>
        <v/>
      </c>
    </row>
    <row r="1003" customFormat="false" ht="22.35" hidden="false" customHeight="false" outlineLevel="0" collapsed="false">
      <c r="A1003" s="18" t="s">
        <v>4496</v>
      </c>
      <c r="B1003" s="18" t="s">
        <v>64</v>
      </c>
      <c r="C1003" s="18" t="s">
        <v>65</v>
      </c>
      <c r="D1003" s="18" t="s">
        <v>4493</v>
      </c>
      <c r="E1003" s="18" t="n">
        <v>9</v>
      </c>
      <c r="F1003" s="18" t="s">
        <v>160</v>
      </c>
      <c r="G1003" s="18" t="s">
        <v>128</v>
      </c>
      <c r="H1003" s="18" t="s">
        <v>162</v>
      </c>
      <c r="I1003" s="18"/>
      <c r="J1003" s="18"/>
      <c r="K1003" s="18"/>
      <c r="L1003" s="18" t="s">
        <v>162</v>
      </c>
      <c r="M1003" s="18" t="s">
        <v>129</v>
      </c>
      <c r="N1003" s="18"/>
      <c r="O1003" s="18"/>
      <c r="P1003" s="18" t="s">
        <v>4497</v>
      </c>
      <c r="Q1003" s="18" t="s">
        <v>138</v>
      </c>
      <c r="R1003" s="18" t="s">
        <v>4498</v>
      </c>
      <c r="S1003" s="18" t="s">
        <v>140</v>
      </c>
      <c r="T1003" s="18" t="s">
        <v>141</v>
      </c>
      <c r="U1003" s="18"/>
      <c r="V1003" s="19" t="s">
        <v>29</v>
      </c>
      <c r="W1003" s="19"/>
      <c r="X1003" s="19"/>
      <c r="Y1003" s="20"/>
      <c r="Z1003" s="19"/>
      <c r="AA1003" s="18" t="str">
        <f aca="false">IF(OR(V1003="Aprobada"),R1003,IF(AND(OR(V1003="Aprobada con ajuste",V1003="Rechazada"),W1003&lt;&gt;""),W1003,""))</f>
        <v/>
      </c>
    </row>
    <row r="1004" customFormat="false" ht="22.35" hidden="false" customHeight="false" outlineLevel="0" collapsed="false">
      <c r="A1004" s="18" t="s">
        <v>4499</v>
      </c>
      <c r="B1004" s="18" t="s">
        <v>64</v>
      </c>
      <c r="C1004" s="18" t="s">
        <v>65</v>
      </c>
      <c r="D1004" s="18" t="s">
        <v>4493</v>
      </c>
      <c r="E1004" s="18" t="n">
        <v>9</v>
      </c>
      <c r="F1004" s="18" t="s">
        <v>172</v>
      </c>
      <c r="G1004" s="18" t="s">
        <v>173</v>
      </c>
      <c r="H1004" s="18" t="s">
        <v>162</v>
      </c>
      <c r="I1004" s="18"/>
      <c r="J1004" s="18"/>
      <c r="K1004" s="18"/>
      <c r="L1004" s="18" t="s">
        <v>162</v>
      </c>
      <c r="M1004" s="18" t="s">
        <v>129</v>
      </c>
      <c r="N1004" s="18"/>
      <c r="O1004" s="18" t="s">
        <v>4500</v>
      </c>
      <c r="P1004" s="18" t="s">
        <v>4501</v>
      </c>
      <c r="Q1004" s="18" t="s">
        <v>138</v>
      </c>
      <c r="R1004" s="18" t="s">
        <v>176</v>
      </c>
      <c r="S1004" s="18" t="s">
        <v>140</v>
      </c>
      <c r="T1004" s="18" t="s">
        <v>141</v>
      </c>
      <c r="U1004" s="18"/>
      <c r="V1004" s="19" t="s">
        <v>29</v>
      </c>
      <c r="W1004" s="19"/>
      <c r="X1004" s="19"/>
      <c r="Y1004" s="20"/>
      <c r="Z1004" s="19"/>
      <c r="AA1004" s="18" t="str">
        <f aca="false">IF(OR(V1004="Aprobada"),R1004,IF(AND(OR(V1004="Aprobada con ajuste",V1004="Rechazada"),W1004&lt;&gt;""),W1004,""))</f>
        <v/>
      </c>
    </row>
    <row r="1005" customFormat="false" ht="22.35" hidden="false" customHeight="false" outlineLevel="0" collapsed="false">
      <c r="A1005" s="18" t="s">
        <v>4502</v>
      </c>
      <c r="B1005" s="18" t="s">
        <v>64</v>
      </c>
      <c r="C1005" s="18" t="s">
        <v>65</v>
      </c>
      <c r="D1005" s="18" t="s">
        <v>4493</v>
      </c>
      <c r="E1005" s="18" t="n">
        <v>9</v>
      </c>
      <c r="F1005" s="18" t="s">
        <v>937</v>
      </c>
      <c r="G1005" s="18" t="s">
        <v>503</v>
      </c>
      <c r="H1005" s="18" t="s">
        <v>162</v>
      </c>
      <c r="I1005" s="18"/>
      <c r="J1005" s="18"/>
      <c r="K1005" s="18"/>
      <c r="L1005" s="18" t="s">
        <v>162</v>
      </c>
      <c r="M1005" s="18" t="s">
        <v>129</v>
      </c>
      <c r="N1005" s="18"/>
      <c r="O1005" s="18" t="s">
        <v>4503</v>
      </c>
      <c r="P1005" s="18" t="s">
        <v>4504</v>
      </c>
      <c r="Q1005" s="18" t="s">
        <v>138</v>
      </c>
      <c r="R1005" s="18" t="s">
        <v>939</v>
      </c>
      <c r="S1005" s="18" t="s">
        <v>140</v>
      </c>
      <c r="T1005" s="18" t="s">
        <v>141</v>
      </c>
      <c r="U1005" s="18"/>
      <c r="V1005" s="19" t="s">
        <v>29</v>
      </c>
      <c r="W1005" s="19"/>
      <c r="X1005" s="19"/>
      <c r="Y1005" s="20"/>
      <c r="Z1005" s="19"/>
      <c r="AA1005" s="18" t="str">
        <f aca="false">IF(OR(V1005="Aprobada"),R1005,IF(AND(OR(V1005="Aprobada con ajuste",V1005="Rechazada"),W1005&lt;&gt;""),W1005,""))</f>
        <v/>
      </c>
    </row>
    <row r="1006" customFormat="false" ht="53.7" hidden="false" customHeight="false" outlineLevel="0" collapsed="false">
      <c r="A1006" s="18" t="s">
        <v>4505</v>
      </c>
      <c r="B1006" s="18" t="s">
        <v>64</v>
      </c>
      <c r="C1006" s="18" t="s">
        <v>65</v>
      </c>
      <c r="D1006" s="18" t="s">
        <v>4506</v>
      </c>
      <c r="E1006" s="18" t="n">
        <v>48</v>
      </c>
      <c r="F1006" s="18" t="s">
        <v>4507</v>
      </c>
      <c r="G1006" s="18" t="s">
        <v>145</v>
      </c>
      <c r="H1006" s="18" t="s">
        <v>129</v>
      </c>
      <c r="I1006" s="18"/>
      <c r="J1006" s="18"/>
      <c r="K1006" s="18"/>
      <c r="L1006" s="18" t="s">
        <v>129</v>
      </c>
      <c r="M1006" s="18" t="s">
        <v>129</v>
      </c>
      <c r="N1006" s="18"/>
      <c r="O1006" s="18"/>
      <c r="P1006" s="18" t="s">
        <v>4508</v>
      </c>
      <c r="Q1006" s="18" t="s">
        <v>131</v>
      </c>
      <c r="R1006" s="18" t="s">
        <v>4509</v>
      </c>
      <c r="S1006" s="18" t="s">
        <v>133</v>
      </c>
      <c r="T1006" s="18" t="s">
        <v>4510</v>
      </c>
      <c r="U1006" s="18"/>
      <c r="V1006" s="19" t="s">
        <v>29</v>
      </c>
      <c r="W1006" s="19"/>
      <c r="X1006" s="19"/>
      <c r="Y1006" s="20"/>
      <c r="Z1006" s="19"/>
      <c r="AA1006" s="18" t="str">
        <f aca="false">IF(OR(V1006="Aprobada"),R1006,IF(AND(OR(V1006="Aprobada con ajuste",V1006="Rechazada"),W1006&lt;&gt;""),W1006,""))</f>
        <v/>
      </c>
    </row>
    <row r="1007" customFormat="false" ht="22.35" hidden="false" customHeight="false" outlineLevel="0" collapsed="false">
      <c r="A1007" s="18" t="s">
        <v>4511</v>
      </c>
      <c r="B1007" s="18" t="s">
        <v>64</v>
      </c>
      <c r="C1007" s="18" t="s">
        <v>65</v>
      </c>
      <c r="D1007" s="18" t="s">
        <v>4506</v>
      </c>
      <c r="E1007" s="18" t="n">
        <v>48</v>
      </c>
      <c r="F1007" s="18" t="s">
        <v>4512</v>
      </c>
      <c r="G1007" s="18" t="s">
        <v>486</v>
      </c>
      <c r="H1007" s="18" t="s">
        <v>162</v>
      </c>
      <c r="I1007" s="18"/>
      <c r="J1007" s="18"/>
      <c r="K1007" s="18"/>
      <c r="L1007" s="18" t="s">
        <v>129</v>
      </c>
      <c r="M1007" s="18" t="s">
        <v>129</v>
      </c>
      <c r="N1007" s="18"/>
      <c r="O1007" s="18"/>
      <c r="P1007" s="18" t="s">
        <v>4513</v>
      </c>
      <c r="Q1007" s="18" t="s">
        <v>149</v>
      </c>
      <c r="R1007" s="18" t="s">
        <v>4514</v>
      </c>
      <c r="S1007" s="18" t="s">
        <v>140</v>
      </c>
      <c r="T1007" s="18" t="s">
        <v>4515</v>
      </c>
      <c r="U1007" s="18" t="s">
        <v>4516</v>
      </c>
      <c r="V1007" s="19" t="s">
        <v>29</v>
      </c>
      <c r="W1007" s="19"/>
      <c r="X1007" s="19"/>
      <c r="Y1007" s="20"/>
      <c r="Z1007" s="19"/>
      <c r="AA1007" s="18" t="str">
        <f aca="false">IF(OR(V1007="Aprobada"),R1007,IF(AND(OR(V1007="Aprobada con ajuste",V1007="Rechazada"),W1007&lt;&gt;""),W1007,""))</f>
        <v/>
      </c>
    </row>
    <row r="1008" customFormat="false" ht="22.35" hidden="false" customHeight="false" outlineLevel="0" collapsed="false">
      <c r="A1008" s="18" t="s">
        <v>4517</v>
      </c>
      <c r="B1008" s="18" t="s">
        <v>64</v>
      </c>
      <c r="C1008" s="18" t="s">
        <v>65</v>
      </c>
      <c r="D1008" s="18" t="s">
        <v>4506</v>
      </c>
      <c r="E1008" s="18" t="n">
        <v>48</v>
      </c>
      <c r="F1008" s="18" t="s">
        <v>4518</v>
      </c>
      <c r="G1008" s="18" t="s">
        <v>128</v>
      </c>
      <c r="H1008" s="18" t="s">
        <v>162</v>
      </c>
      <c r="I1008" s="18"/>
      <c r="J1008" s="18"/>
      <c r="K1008" s="18"/>
      <c r="L1008" s="18" t="s">
        <v>129</v>
      </c>
      <c r="M1008" s="18" t="s">
        <v>129</v>
      </c>
      <c r="N1008" s="18"/>
      <c r="O1008" s="18"/>
      <c r="P1008" s="18" t="s">
        <v>4519</v>
      </c>
      <c r="Q1008" s="18" t="s">
        <v>149</v>
      </c>
      <c r="R1008" s="18" t="s">
        <v>4520</v>
      </c>
      <c r="S1008" s="18" t="s">
        <v>133</v>
      </c>
      <c r="T1008" s="18" t="s">
        <v>4521</v>
      </c>
      <c r="U1008" s="18"/>
      <c r="V1008" s="19" t="s">
        <v>29</v>
      </c>
      <c r="W1008" s="19"/>
      <c r="X1008" s="19"/>
      <c r="Y1008" s="20"/>
      <c r="Z1008" s="19"/>
      <c r="AA1008" s="18" t="str">
        <f aca="false">IF(OR(V1008="Aprobada"),R1008,IF(AND(OR(V1008="Aprobada con ajuste",V1008="Rechazada"),W1008&lt;&gt;""),W1008,""))</f>
        <v/>
      </c>
    </row>
    <row r="1009" customFormat="false" ht="22.35" hidden="false" customHeight="false" outlineLevel="0" collapsed="false">
      <c r="A1009" s="18" t="s">
        <v>4522</v>
      </c>
      <c r="B1009" s="18" t="s">
        <v>64</v>
      </c>
      <c r="C1009" s="18" t="s">
        <v>65</v>
      </c>
      <c r="D1009" s="18" t="s">
        <v>4506</v>
      </c>
      <c r="E1009" s="18" t="n">
        <v>48</v>
      </c>
      <c r="F1009" s="18" t="s">
        <v>4523</v>
      </c>
      <c r="G1009" s="18" t="s">
        <v>128</v>
      </c>
      <c r="H1009" s="18" t="s">
        <v>162</v>
      </c>
      <c r="I1009" s="18"/>
      <c r="J1009" s="18"/>
      <c r="K1009" s="18"/>
      <c r="L1009" s="18" t="s">
        <v>129</v>
      </c>
      <c r="M1009" s="18" t="s">
        <v>129</v>
      </c>
      <c r="N1009" s="18"/>
      <c r="O1009" s="18"/>
      <c r="P1009" s="18" t="s">
        <v>4524</v>
      </c>
      <c r="Q1009" s="18" t="s">
        <v>149</v>
      </c>
      <c r="R1009" s="18" t="s">
        <v>4525</v>
      </c>
      <c r="S1009" s="18" t="s">
        <v>133</v>
      </c>
      <c r="T1009" s="18" t="s">
        <v>4521</v>
      </c>
      <c r="U1009" s="18"/>
      <c r="V1009" s="19" t="s">
        <v>29</v>
      </c>
      <c r="W1009" s="19"/>
      <c r="X1009" s="19"/>
      <c r="Y1009" s="20"/>
      <c r="Z1009" s="19"/>
      <c r="AA1009" s="18" t="str">
        <f aca="false">IF(OR(V1009="Aprobada"),R1009,IF(AND(OR(V1009="Aprobada con ajuste",V1009="Rechazada"),W1009&lt;&gt;""),W1009,""))</f>
        <v/>
      </c>
    </row>
    <row r="1010" customFormat="false" ht="32.8" hidden="false" customHeight="false" outlineLevel="0" collapsed="false">
      <c r="A1010" s="18" t="s">
        <v>4526</v>
      </c>
      <c r="B1010" s="18" t="s">
        <v>64</v>
      </c>
      <c r="C1010" s="18" t="s">
        <v>65</v>
      </c>
      <c r="D1010" s="18" t="s">
        <v>4506</v>
      </c>
      <c r="E1010" s="18" t="n">
        <v>48</v>
      </c>
      <c r="F1010" s="18" t="s">
        <v>4527</v>
      </c>
      <c r="G1010" s="18" t="s">
        <v>486</v>
      </c>
      <c r="H1010" s="18" t="s">
        <v>162</v>
      </c>
      <c r="I1010" s="18"/>
      <c r="J1010" s="18"/>
      <c r="K1010" s="18"/>
      <c r="L1010" s="18" t="s">
        <v>129</v>
      </c>
      <c r="M1010" s="18" t="s">
        <v>129</v>
      </c>
      <c r="N1010" s="18"/>
      <c r="O1010" s="18"/>
      <c r="P1010" s="18" t="s">
        <v>4528</v>
      </c>
      <c r="Q1010" s="18" t="s">
        <v>131</v>
      </c>
      <c r="R1010" s="18" t="s">
        <v>4529</v>
      </c>
      <c r="S1010" s="18" t="s">
        <v>133</v>
      </c>
      <c r="T1010" s="18" t="s">
        <v>4530</v>
      </c>
      <c r="U1010" s="18"/>
      <c r="V1010" s="19" t="s">
        <v>29</v>
      </c>
      <c r="W1010" s="19"/>
      <c r="X1010" s="19"/>
      <c r="Y1010" s="20"/>
      <c r="Z1010" s="19"/>
      <c r="AA1010" s="18" t="str">
        <f aca="false">IF(OR(V1010="Aprobada"),R1010,IF(AND(OR(V1010="Aprobada con ajuste",V1010="Rechazada"),W1010&lt;&gt;""),W1010,""))</f>
        <v/>
      </c>
    </row>
    <row r="1011" customFormat="false" ht="22.35" hidden="false" customHeight="false" outlineLevel="0" collapsed="false">
      <c r="A1011" s="18" t="s">
        <v>4531</v>
      </c>
      <c r="B1011" s="18" t="s">
        <v>64</v>
      </c>
      <c r="C1011" s="18" t="s">
        <v>65</v>
      </c>
      <c r="D1011" s="18" t="s">
        <v>4506</v>
      </c>
      <c r="E1011" s="18" t="n">
        <v>48</v>
      </c>
      <c r="F1011" s="18" t="s">
        <v>1763</v>
      </c>
      <c r="G1011" s="18" t="s">
        <v>128</v>
      </c>
      <c r="H1011" s="18" t="s">
        <v>162</v>
      </c>
      <c r="I1011" s="18"/>
      <c r="J1011" s="18"/>
      <c r="K1011" s="18"/>
      <c r="L1011" s="18" t="s">
        <v>129</v>
      </c>
      <c r="M1011" s="18" t="s">
        <v>129</v>
      </c>
      <c r="N1011" s="18"/>
      <c r="O1011" s="18"/>
      <c r="P1011" s="18" t="s">
        <v>4532</v>
      </c>
      <c r="Q1011" s="18" t="s">
        <v>149</v>
      </c>
      <c r="R1011" s="18" t="s">
        <v>4533</v>
      </c>
      <c r="S1011" s="18" t="s">
        <v>140</v>
      </c>
      <c r="T1011" s="18" t="s">
        <v>183</v>
      </c>
      <c r="U1011" s="18" t="s">
        <v>4534</v>
      </c>
      <c r="V1011" s="19" t="s">
        <v>29</v>
      </c>
      <c r="W1011" s="19"/>
      <c r="X1011" s="19"/>
      <c r="Y1011" s="20"/>
      <c r="Z1011" s="19"/>
      <c r="AA1011" s="18" t="str">
        <f aca="false">IF(OR(V1011="Aprobada"),R1011,IF(AND(OR(V1011="Aprobada con ajuste",V1011="Rechazada"),W1011&lt;&gt;""),W1011,""))</f>
        <v/>
      </c>
    </row>
    <row r="1012" customFormat="false" ht="22.35" hidden="false" customHeight="false" outlineLevel="0" collapsed="false">
      <c r="A1012" s="18" t="s">
        <v>4535</v>
      </c>
      <c r="B1012" s="18" t="s">
        <v>64</v>
      </c>
      <c r="C1012" s="18" t="s">
        <v>65</v>
      </c>
      <c r="D1012" s="18" t="s">
        <v>4506</v>
      </c>
      <c r="E1012" s="18" t="n">
        <v>48</v>
      </c>
      <c r="F1012" s="18" t="s">
        <v>4536</v>
      </c>
      <c r="G1012" s="18" t="s">
        <v>317</v>
      </c>
      <c r="H1012" s="18" t="s">
        <v>162</v>
      </c>
      <c r="I1012" s="18"/>
      <c r="J1012" s="18"/>
      <c r="K1012" s="18"/>
      <c r="L1012" s="18" t="s">
        <v>129</v>
      </c>
      <c r="M1012" s="18" t="s">
        <v>129</v>
      </c>
      <c r="N1012" s="18"/>
      <c r="O1012" s="18"/>
      <c r="P1012" s="18" t="s">
        <v>4537</v>
      </c>
      <c r="Q1012" s="18" t="s">
        <v>138</v>
      </c>
      <c r="R1012" s="18" t="s">
        <v>4538</v>
      </c>
      <c r="S1012" s="18" t="s">
        <v>140</v>
      </c>
      <c r="T1012" s="18" t="s">
        <v>141</v>
      </c>
      <c r="U1012" s="18"/>
      <c r="V1012" s="19" t="s">
        <v>29</v>
      </c>
      <c r="W1012" s="19"/>
      <c r="X1012" s="19"/>
      <c r="Y1012" s="20"/>
      <c r="Z1012" s="19"/>
      <c r="AA1012" s="18" t="str">
        <f aca="false">IF(OR(V1012="Aprobada"),R1012,IF(AND(OR(V1012="Aprobada con ajuste",V1012="Rechazada"),W1012&lt;&gt;""),W1012,""))</f>
        <v/>
      </c>
    </row>
    <row r="1013" customFormat="false" ht="32.8" hidden="false" customHeight="false" outlineLevel="0" collapsed="false">
      <c r="A1013" s="18" t="s">
        <v>4539</v>
      </c>
      <c r="B1013" s="18" t="s">
        <v>64</v>
      </c>
      <c r="C1013" s="18" t="s">
        <v>65</v>
      </c>
      <c r="D1013" s="18" t="s">
        <v>305</v>
      </c>
      <c r="E1013" s="18" t="n">
        <v>9</v>
      </c>
      <c r="F1013" s="18" t="s">
        <v>3176</v>
      </c>
      <c r="G1013" s="18" t="s">
        <v>128</v>
      </c>
      <c r="H1013" s="18" t="s">
        <v>129</v>
      </c>
      <c r="I1013" s="18"/>
      <c r="J1013" s="18"/>
      <c r="K1013" s="18"/>
      <c r="L1013" s="18" t="s">
        <v>129</v>
      </c>
      <c r="M1013" s="18" t="s">
        <v>129</v>
      </c>
      <c r="N1013" s="18"/>
      <c r="O1013" s="18"/>
      <c r="P1013" s="18" t="s">
        <v>4540</v>
      </c>
      <c r="Q1013" s="18" t="s">
        <v>149</v>
      </c>
      <c r="R1013" s="18" t="s">
        <v>4541</v>
      </c>
      <c r="S1013" s="18" t="s">
        <v>133</v>
      </c>
      <c r="T1013" s="18" t="s">
        <v>183</v>
      </c>
      <c r="U1013" s="18"/>
      <c r="V1013" s="19" t="s">
        <v>29</v>
      </c>
      <c r="W1013" s="19"/>
      <c r="X1013" s="19"/>
      <c r="Y1013" s="20"/>
      <c r="Z1013" s="19"/>
      <c r="AA1013" s="18" t="str">
        <f aca="false">IF(OR(V1013="Aprobada"),R1013,IF(AND(OR(V1013="Aprobada con ajuste",V1013="Rechazada"),W1013&lt;&gt;""),W1013,""))</f>
        <v/>
      </c>
    </row>
    <row r="1014" customFormat="false" ht="32.8" hidden="false" customHeight="false" outlineLevel="0" collapsed="false">
      <c r="A1014" s="18" t="s">
        <v>4542</v>
      </c>
      <c r="B1014" s="18" t="s">
        <v>64</v>
      </c>
      <c r="C1014" s="18" t="s">
        <v>65</v>
      </c>
      <c r="D1014" s="18" t="s">
        <v>305</v>
      </c>
      <c r="E1014" s="18" t="n">
        <v>9</v>
      </c>
      <c r="F1014" s="18" t="s">
        <v>1734</v>
      </c>
      <c r="G1014" s="18" t="s">
        <v>180</v>
      </c>
      <c r="H1014" s="18" t="s">
        <v>162</v>
      </c>
      <c r="I1014" s="18"/>
      <c r="J1014" s="18"/>
      <c r="K1014" s="18"/>
      <c r="L1014" s="18" t="s">
        <v>129</v>
      </c>
      <c r="M1014" s="18" t="s">
        <v>129</v>
      </c>
      <c r="N1014" s="18"/>
      <c r="O1014" s="18"/>
      <c r="P1014" s="18" t="s">
        <v>4543</v>
      </c>
      <c r="Q1014" s="18" t="s">
        <v>149</v>
      </c>
      <c r="R1014" s="18" t="s">
        <v>4544</v>
      </c>
      <c r="S1014" s="18" t="s">
        <v>140</v>
      </c>
      <c r="T1014" s="18" t="s">
        <v>183</v>
      </c>
      <c r="U1014" s="18" t="s">
        <v>4545</v>
      </c>
      <c r="V1014" s="19" t="s">
        <v>29</v>
      </c>
      <c r="W1014" s="19"/>
      <c r="X1014" s="19"/>
      <c r="Y1014" s="20"/>
      <c r="Z1014" s="19"/>
      <c r="AA1014" s="18" t="str">
        <f aca="false">IF(OR(V1014="Aprobada"),R1014,IF(AND(OR(V1014="Aprobada con ajuste",V1014="Rechazada"),W1014&lt;&gt;""),W1014,""))</f>
        <v/>
      </c>
    </row>
    <row r="1015" customFormat="false" ht="32.8" hidden="false" customHeight="false" outlineLevel="0" collapsed="false">
      <c r="A1015" s="18" t="s">
        <v>4546</v>
      </c>
      <c r="B1015" s="18" t="s">
        <v>64</v>
      </c>
      <c r="C1015" s="18" t="s">
        <v>65</v>
      </c>
      <c r="D1015" s="18" t="s">
        <v>305</v>
      </c>
      <c r="E1015" s="18" t="n">
        <v>9</v>
      </c>
      <c r="F1015" s="18" t="s">
        <v>1738</v>
      </c>
      <c r="G1015" s="18" t="s">
        <v>180</v>
      </c>
      <c r="H1015" s="18" t="s">
        <v>129</v>
      </c>
      <c r="I1015" s="18"/>
      <c r="J1015" s="18"/>
      <c r="K1015" s="18"/>
      <c r="L1015" s="18" t="s">
        <v>129</v>
      </c>
      <c r="M1015" s="18" t="s">
        <v>129</v>
      </c>
      <c r="N1015" s="18"/>
      <c r="O1015" s="18"/>
      <c r="P1015" s="18" t="s">
        <v>4547</v>
      </c>
      <c r="Q1015" s="18" t="s">
        <v>149</v>
      </c>
      <c r="R1015" s="18" t="s">
        <v>4548</v>
      </c>
      <c r="S1015" s="18" t="s">
        <v>133</v>
      </c>
      <c r="T1015" s="18" t="s">
        <v>183</v>
      </c>
      <c r="U1015" s="18"/>
      <c r="V1015" s="19" t="s">
        <v>29</v>
      </c>
      <c r="W1015" s="19"/>
      <c r="X1015" s="19"/>
      <c r="Y1015" s="20"/>
      <c r="Z1015" s="19"/>
      <c r="AA1015" s="18" t="str">
        <f aca="false">IF(OR(V1015="Aprobada"),R1015,IF(AND(OR(V1015="Aprobada con ajuste",V1015="Rechazada"),W1015&lt;&gt;""),W1015,""))</f>
        <v/>
      </c>
    </row>
    <row r="1016" customFormat="false" ht="22.35" hidden="false" customHeight="false" outlineLevel="0" collapsed="false">
      <c r="A1016" s="18" t="s">
        <v>4549</v>
      </c>
      <c r="B1016" s="18" t="s">
        <v>64</v>
      </c>
      <c r="C1016" s="18" t="s">
        <v>65</v>
      </c>
      <c r="D1016" s="18" t="s">
        <v>4550</v>
      </c>
      <c r="E1016" s="18" t="n">
        <v>2</v>
      </c>
      <c r="F1016" s="18" t="s">
        <v>1918</v>
      </c>
      <c r="G1016" s="18" t="s">
        <v>128</v>
      </c>
      <c r="H1016" s="18" t="s">
        <v>129</v>
      </c>
      <c r="I1016" s="18"/>
      <c r="J1016" s="18"/>
      <c r="K1016" s="18"/>
      <c r="L1016" s="18" t="s">
        <v>129</v>
      </c>
      <c r="M1016" s="18" t="s">
        <v>129</v>
      </c>
      <c r="N1016" s="18"/>
      <c r="O1016" s="18"/>
      <c r="P1016" s="18" t="s">
        <v>4551</v>
      </c>
      <c r="Q1016" s="18" t="s">
        <v>149</v>
      </c>
      <c r="R1016" s="18" t="s">
        <v>4552</v>
      </c>
      <c r="S1016" s="18" t="s">
        <v>133</v>
      </c>
      <c r="T1016" s="18" t="s">
        <v>183</v>
      </c>
      <c r="U1016" s="18"/>
      <c r="V1016" s="19" t="s">
        <v>29</v>
      </c>
      <c r="W1016" s="19"/>
      <c r="X1016" s="19"/>
      <c r="Y1016" s="20"/>
      <c r="Z1016" s="19"/>
      <c r="AA1016" s="18" t="str">
        <f aca="false">IF(OR(V1016="Aprobada"),R1016,IF(AND(OR(V1016="Aprobada con ajuste",V1016="Rechazada"),W1016&lt;&gt;""),W1016,""))</f>
        <v/>
      </c>
    </row>
    <row r="1017" customFormat="false" ht="22.35" hidden="false" customHeight="false" outlineLevel="0" collapsed="false">
      <c r="A1017" s="18" t="s">
        <v>4553</v>
      </c>
      <c r="B1017" s="18" t="s">
        <v>64</v>
      </c>
      <c r="C1017" s="18" t="s">
        <v>65</v>
      </c>
      <c r="D1017" s="18" t="s">
        <v>4550</v>
      </c>
      <c r="E1017" s="18" t="n">
        <v>2</v>
      </c>
      <c r="F1017" s="18" t="s">
        <v>4527</v>
      </c>
      <c r="G1017" s="18" t="s">
        <v>180</v>
      </c>
      <c r="H1017" s="18" t="s">
        <v>129</v>
      </c>
      <c r="I1017" s="18"/>
      <c r="J1017" s="18"/>
      <c r="K1017" s="18"/>
      <c r="L1017" s="18" t="s">
        <v>129</v>
      </c>
      <c r="M1017" s="18" t="s">
        <v>129</v>
      </c>
      <c r="N1017" s="18"/>
      <c r="O1017" s="18"/>
      <c r="P1017" s="18" t="s">
        <v>4554</v>
      </c>
      <c r="Q1017" s="18" t="s">
        <v>149</v>
      </c>
      <c r="R1017" s="18" t="s">
        <v>4548</v>
      </c>
      <c r="S1017" s="18" t="s">
        <v>140</v>
      </c>
      <c r="T1017" s="18" t="s">
        <v>183</v>
      </c>
      <c r="U1017" s="18" t="s">
        <v>4555</v>
      </c>
      <c r="V1017" s="19" t="s">
        <v>29</v>
      </c>
      <c r="W1017" s="19"/>
      <c r="X1017" s="19"/>
      <c r="Y1017" s="20"/>
      <c r="Z1017" s="19"/>
      <c r="AA1017" s="18" t="str">
        <f aca="false">IF(OR(V1017="Aprobada"),R1017,IF(AND(OR(V1017="Aprobada con ajuste",V1017="Rechazada"),W1017&lt;&gt;""),W1017,""))</f>
        <v/>
      </c>
    </row>
    <row r="1018" customFormat="false" ht="22.35" hidden="false" customHeight="false" outlineLevel="0" collapsed="false">
      <c r="A1018" s="18" t="s">
        <v>4556</v>
      </c>
      <c r="B1018" s="18" t="s">
        <v>64</v>
      </c>
      <c r="C1018" s="18" t="s">
        <v>65</v>
      </c>
      <c r="D1018" s="18" t="s">
        <v>4550</v>
      </c>
      <c r="E1018" s="18" t="n">
        <v>2</v>
      </c>
      <c r="F1018" s="18" t="s">
        <v>4269</v>
      </c>
      <c r="G1018" s="18" t="s">
        <v>180</v>
      </c>
      <c r="H1018" s="18" t="s">
        <v>162</v>
      </c>
      <c r="I1018" s="18"/>
      <c r="J1018" s="18"/>
      <c r="K1018" s="18"/>
      <c r="L1018" s="18" t="s">
        <v>129</v>
      </c>
      <c r="M1018" s="18" t="s">
        <v>129</v>
      </c>
      <c r="N1018" s="18"/>
      <c r="O1018" s="18"/>
      <c r="P1018" s="18" t="s">
        <v>4557</v>
      </c>
      <c r="Q1018" s="18" t="s">
        <v>149</v>
      </c>
      <c r="R1018" s="18" t="s">
        <v>4558</v>
      </c>
      <c r="S1018" s="18" t="s">
        <v>133</v>
      </c>
      <c r="T1018" s="18" t="s">
        <v>183</v>
      </c>
      <c r="U1018" s="18"/>
      <c r="V1018" s="19" t="s">
        <v>29</v>
      </c>
      <c r="W1018" s="19"/>
      <c r="X1018" s="19"/>
      <c r="Y1018" s="20"/>
      <c r="Z1018" s="19"/>
      <c r="AA1018" s="18" t="str">
        <f aca="false">IF(OR(V1018="Aprobada"),R1018,IF(AND(OR(V1018="Aprobada con ajuste",V1018="Rechazada"),W1018&lt;&gt;""),W1018,""))</f>
        <v/>
      </c>
    </row>
    <row r="1019" customFormat="false" ht="22.35" hidden="false" customHeight="false" outlineLevel="0" collapsed="false">
      <c r="A1019" s="18" t="s">
        <v>4559</v>
      </c>
      <c r="B1019" s="18" t="s">
        <v>64</v>
      </c>
      <c r="C1019" s="18" t="s">
        <v>65</v>
      </c>
      <c r="D1019" s="18" t="s">
        <v>4550</v>
      </c>
      <c r="E1019" s="18" t="n">
        <v>2</v>
      </c>
      <c r="F1019" s="18" t="s">
        <v>331</v>
      </c>
      <c r="G1019" s="18" t="s">
        <v>317</v>
      </c>
      <c r="H1019" s="18" t="s">
        <v>162</v>
      </c>
      <c r="I1019" s="18"/>
      <c r="J1019" s="18"/>
      <c r="K1019" s="18"/>
      <c r="L1019" s="18" t="s">
        <v>129</v>
      </c>
      <c r="M1019" s="18" t="s">
        <v>129</v>
      </c>
      <c r="N1019" s="18"/>
      <c r="O1019" s="18"/>
      <c r="P1019" s="18" t="s">
        <v>4560</v>
      </c>
      <c r="Q1019" s="18" t="s">
        <v>149</v>
      </c>
      <c r="R1019" s="18" t="s">
        <v>4561</v>
      </c>
      <c r="S1019" s="18" t="s">
        <v>133</v>
      </c>
      <c r="T1019" s="18" t="s">
        <v>169</v>
      </c>
      <c r="U1019" s="18"/>
      <c r="V1019" s="19" t="s">
        <v>29</v>
      </c>
      <c r="W1019" s="19"/>
      <c r="X1019" s="19"/>
      <c r="Y1019" s="20"/>
      <c r="Z1019" s="19"/>
      <c r="AA1019" s="18" t="str">
        <f aca="false">IF(OR(V1019="Aprobada"),R1019,IF(AND(OR(V1019="Aprobada con ajuste",V1019="Rechazada"),W1019&lt;&gt;""),W1019,""))</f>
        <v/>
      </c>
    </row>
    <row r="1020" customFormat="false" ht="22.35" hidden="false" customHeight="false" outlineLevel="0" collapsed="false">
      <c r="A1020" s="18" t="s">
        <v>4562</v>
      </c>
      <c r="B1020" s="18" t="s">
        <v>64</v>
      </c>
      <c r="C1020" s="18" t="s">
        <v>65</v>
      </c>
      <c r="D1020" s="18" t="s">
        <v>4563</v>
      </c>
      <c r="E1020" s="18" t="n">
        <v>2</v>
      </c>
      <c r="F1020" s="18" t="s">
        <v>1918</v>
      </c>
      <c r="G1020" s="18" t="s">
        <v>4418</v>
      </c>
      <c r="H1020" s="18" t="s">
        <v>129</v>
      </c>
      <c r="I1020" s="18"/>
      <c r="J1020" s="18"/>
      <c r="K1020" s="18"/>
      <c r="L1020" s="18" t="s">
        <v>129</v>
      </c>
      <c r="M1020" s="18" t="s">
        <v>129</v>
      </c>
      <c r="N1020" s="18"/>
      <c r="O1020" s="18"/>
      <c r="P1020" s="18" t="s">
        <v>4564</v>
      </c>
      <c r="Q1020" s="18" t="s">
        <v>149</v>
      </c>
      <c r="R1020" s="18" t="s">
        <v>4565</v>
      </c>
      <c r="S1020" s="18" t="s">
        <v>133</v>
      </c>
      <c r="T1020" s="18" t="s">
        <v>1777</v>
      </c>
      <c r="U1020" s="18"/>
      <c r="V1020" s="19" t="s">
        <v>29</v>
      </c>
      <c r="W1020" s="19"/>
      <c r="X1020" s="19"/>
      <c r="Y1020" s="20"/>
      <c r="Z1020" s="19"/>
      <c r="AA1020" s="18" t="str">
        <f aca="false">IF(OR(V1020="Aprobada"),R1020,IF(AND(OR(V1020="Aprobada con ajuste",V1020="Rechazada"),W1020&lt;&gt;""),W1020,""))</f>
        <v/>
      </c>
    </row>
    <row r="1021" customFormat="false" ht="22.35" hidden="false" customHeight="false" outlineLevel="0" collapsed="false">
      <c r="A1021" s="18" t="s">
        <v>4566</v>
      </c>
      <c r="B1021" s="18" t="s">
        <v>64</v>
      </c>
      <c r="C1021" s="18" t="s">
        <v>65</v>
      </c>
      <c r="D1021" s="18" t="s">
        <v>4563</v>
      </c>
      <c r="E1021" s="18" t="n">
        <v>2</v>
      </c>
      <c r="F1021" s="18" t="s">
        <v>4527</v>
      </c>
      <c r="G1021" s="18" t="s">
        <v>4418</v>
      </c>
      <c r="H1021" s="18" t="s">
        <v>129</v>
      </c>
      <c r="I1021" s="18"/>
      <c r="J1021" s="18"/>
      <c r="K1021" s="18"/>
      <c r="L1021" s="18" t="s">
        <v>129</v>
      </c>
      <c r="M1021" s="18" t="s">
        <v>129</v>
      </c>
      <c r="N1021" s="18"/>
      <c r="O1021" s="18"/>
      <c r="P1021" s="18" t="s">
        <v>4567</v>
      </c>
      <c r="Q1021" s="18" t="s">
        <v>149</v>
      </c>
      <c r="R1021" s="18" t="s">
        <v>4548</v>
      </c>
      <c r="S1021" s="18" t="s">
        <v>140</v>
      </c>
      <c r="T1021" s="18" t="s">
        <v>183</v>
      </c>
      <c r="U1021" s="18" t="s">
        <v>4555</v>
      </c>
      <c r="V1021" s="19" t="s">
        <v>29</v>
      </c>
      <c r="W1021" s="19"/>
      <c r="X1021" s="19"/>
      <c r="Y1021" s="20"/>
      <c r="Z1021" s="19"/>
      <c r="AA1021" s="18" t="str">
        <f aca="false">IF(OR(V1021="Aprobada"),R1021,IF(AND(OR(V1021="Aprobada con ajuste",V1021="Rechazada"),W1021&lt;&gt;""),W1021,""))</f>
        <v/>
      </c>
    </row>
    <row r="1022" customFormat="false" ht="22.35" hidden="false" customHeight="false" outlineLevel="0" collapsed="false">
      <c r="A1022" s="18" t="s">
        <v>4568</v>
      </c>
      <c r="B1022" s="18" t="s">
        <v>64</v>
      </c>
      <c r="C1022" s="18" t="s">
        <v>65</v>
      </c>
      <c r="D1022" s="18" t="s">
        <v>4563</v>
      </c>
      <c r="E1022" s="18" t="n">
        <v>2</v>
      </c>
      <c r="F1022" s="18" t="s">
        <v>4269</v>
      </c>
      <c r="G1022" s="18" t="s">
        <v>4418</v>
      </c>
      <c r="H1022" s="18" t="s">
        <v>162</v>
      </c>
      <c r="I1022" s="18"/>
      <c r="J1022" s="18"/>
      <c r="K1022" s="18"/>
      <c r="L1022" s="18" t="s">
        <v>129</v>
      </c>
      <c r="M1022" s="18" t="s">
        <v>129</v>
      </c>
      <c r="N1022" s="18"/>
      <c r="O1022" s="18"/>
      <c r="P1022" s="18" t="s">
        <v>4569</v>
      </c>
      <c r="Q1022" s="18" t="s">
        <v>149</v>
      </c>
      <c r="R1022" s="18" t="s">
        <v>4558</v>
      </c>
      <c r="S1022" s="18" t="s">
        <v>133</v>
      </c>
      <c r="T1022" s="18" t="s">
        <v>183</v>
      </c>
      <c r="U1022" s="18"/>
      <c r="V1022" s="19" t="s">
        <v>29</v>
      </c>
      <c r="W1022" s="19"/>
      <c r="X1022" s="19"/>
      <c r="Y1022" s="20"/>
      <c r="Z1022" s="19"/>
      <c r="AA1022" s="18" t="str">
        <f aca="false">IF(OR(V1022="Aprobada"),R1022,IF(AND(OR(V1022="Aprobada con ajuste",V1022="Rechazada"),W1022&lt;&gt;""),W1022,""))</f>
        <v/>
      </c>
    </row>
    <row r="1023" customFormat="false" ht="22.35" hidden="false" customHeight="false" outlineLevel="0" collapsed="false">
      <c r="A1023" s="18" t="s">
        <v>4570</v>
      </c>
      <c r="B1023" s="18" t="s">
        <v>64</v>
      </c>
      <c r="C1023" s="18" t="s">
        <v>65</v>
      </c>
      <c r="D1023" s="18" t="s">
        <v>4563</v>
      </c>
      <c r="E1023" s="18" t="n">
        <v>2</v>
      </c>
      <c r="F1023" s="18" t="s">
        <v>331</v>
      </c>
      <c r="G1023" s="18" t="s">
        <v>317</v>
      </c>
      <c r="H1023" s="18" t="s">
        <v>162</v>
      </c>
      <c r="I1023" s="18"/>
      <c r="J1023" s="18"/>
      <c r="K1023" s="18"/>
      <c r="L1023" s="18" t="s">
        <v>129</v>
      </c>
      <c r="M1023" s="18" t="s">
        <v>129</v>
      </c>
      <c r="N1023" s="18"/>
      <c r="O1023" s="18"/>
      <c r="P1023" s="18" t="s">
        <v>4571</v>
      </c>
      <c r="Q1023" s="18" t="s">
        <v>149</v>
      </c>
      <c r="R1023" s="18" t="s">
        <v>4561</v>
      </c>
      <c r="S1023" s="18" t="s">
        <v>133</v>
      </c>
      <c r="T1023" s="18" t="s">
        <v>169</v>
      </c>
      <c r="U1023" s="18"/>
      <c r="V1023" s="19" t="s">
        <v>29</v>
      </c>
      <c r="W1023" s="19"/>
      <c r="X1023" s="19"/>
      <c r="Y1023" s="20"/>
      <c r="Z1023" s="19"/>
      <c r="AA1023" s="18" t="str">
        <f aca="false">IF(OR(V1023="Aprobada"),R1023,IF(AND(OR(V1023="Aprobada con ajuste",V1023="Rechazada"),W1023&lt;&gt;""),W1023,""))</f>
        <v/>
      </c>
    </row>
    <row r="1024" customFormat="false" ht="32.8" hidden="false" customHeight="false" outlineLevel="0" collapsed="false">
      <c r="A1024" s="18" t="s">
        <v>4572</v>
      </c>
      <c r="B1024" s="18" t="s">
        <v>64</v>
      </c>
      <c r="C1024" s="18" t="s">
        <v>65</v>
      </c>
      <c r="D1024" s="18" t="s">
        <v>4573</v>
      </c>
      <c r="E1024" s="18" t="n">
        <v>28</v>
      </c>
      <c r="F1024" s="18" t="s">
        <v>3176</v>
      </c>
      <c r="G1024" s="18" t="s">
        <v>128</v>
      </c>
      <c r="H1024" s="18" t="s">
        <v>129</v>
      </c>
      <c r="I1024" s="18"/>
      <c r="J1024" s="18"/>
      <c r="K1024" s="18"/>
      <c r="L1024" s="18" t="s">
        <v>129</v>
      </c>
      <c r="M1024" s="18" t="s">
        <v>129</v>
      </c>
      <c r="N1024" s="18"/>
      <c r="O1024" s="18"/>
      <c r="P1024" s="18" t="s">
        <v>4574</v>
      </c>
      <c r="Q1024" s="18" t="s">
        <v>149</v>
      </c>
      <c r="R1024" s="18" t="s">
        <v>4575</v>
      </c>
      <c r="S1024" s="18" t="s">
        <v>133</v>
      </c>
      <c r="T1024" s="18" t="s">
        <v>183</v>
      </c>
      <c r="U1024" s="18"/>
      <c r="V1024" s="19" t="s">
        <v>29</v>
      </c>
      <c r="W1024" s="19"/>
      <c r="X1024" s="19"/>
      <c r="Y1024" s="20"/>
      <c r="Z1024" s="19"/>
      <c r="AA1024" s="18" t="str">
        <f aca="false">IF(OR(V1024="Aprobada"),R1024,IF(AND(OR(V1024="Aprobada con ajuste",V1024="Rechazada"),W1024&lt;&gt;""),W1024,""))</f>
        <v/>
      </c>
    </row>
    <row r="1025" customFormat="false" ht="43.25" hidden="false" customHeight="false" outlineLevel="0" collapsed="false">
      <c r="A1025" s="18" t="s">
        <v>4576</v>
      </c>
      <c r="B1025" s="18" t="s">
        <v>64</v>
      </c>
      <c r="C1025" s="18" t="s">
        <v>65</v>
      </c>
      <c r="D1025" s="18" t="s">
        <v>4573</v>
      </c>
      <c r="E1025" s="18" t="n">
        <v>28</v>
      </c>
      <c r="F1025" s="18" t="s">
        <v>127</v>
      </c>
      <c r="G1025" s="18" t="s">
        <v>186</v>
      </c>
      <c r="H1025" s="18" t="s">
        <v>162</v>
      </c>
      <c r="I1025" s="18" t="s">
        <v>298</v>
      </c>
      <c r="J1025" s="18" t="s">
        <v>4577</v>
      </c>
      <c r="K1025" s="18"/>
      <c r="L1025" s="18" t="s">
        <v>162</v>
      </c>
      <c r="M1025" s="18" t="s">
        <v>129</v>
      </c>
      <c r="N1025" s="18"/>
      <c r="O1025" s="18"/>
      <c r="P1025" s="18" t="s">
        <v>4578</v>
      </c>
      <c r="Q1025" s="18" t="s">
        <v>138</v>
      </c>
      <c r="R1025" s="18" t="s">
        <v>4579</v>
      </c>
      <c r="S1025" s="18" t="s">
        <v>140</v>
      </c>
      <c r="T1025" s="18" t="s">
        <v>141</v>
      </c>
      <c r="U1025" s="18"/>
      <c r="V1025" s="19" t="s">
        <v>29</v>
      </c>
      <c r="W1025" s="19"/>
      <c r="X1025" s="19"/>
      <c r="Y1025" s="20"/>
      <c r="Z1025" s="19"/>
      <c r="AA1025" s="18" t="str">
        <f aca="false">IF(OR(V1025="Aprobada"),R1025,IF(AND(OR(V1025="Aprobada con ajuste",V1025="Rechazada"),W1025&lt;&gt;""),W1025,""))</f>
        <v/>
      </c>
    </row>
    <row r="1026" customFormat="false" ht="22.35" hidden="false" customHeight="false" outlineLevel="0" collapsed="false">
      <c r="A1026" s="18" t="s">
        <v>4580</v>
      </c>
      <c r="B1026" s="18" t="s">
        <v>64</v>
      </c>
      <c r="C1026" s="18" t="s">
        <v>65</v>
      </c>
      <c r="D1026" s="18" t="s">
        <v>4573</v>
      </c>
      <c r="E1026" s="18" t="n">
        <v>28</v>
      </c>
      <c r="F1026" s="18" t="s">
        <v>4581</v>
      </c>
      <c r="G1026" s="18" t="s">
        <v>312</v>
      </c>
      <c r="H1026" s="18" t="s">
        <v>162</v>
      </c>
      <c r="I1026" s="18"/>
      <c r="J1026" s="18"/>
      <c r="K1026" s="18"/>
      <c r="L1026" s="18" t="s">
        <v>129</v>
      </c>
      <c r="M1026" s="18" t="s">
        <v>129</v>
      </c>
      <c r="N1026" s="18"/>
      <c r="O1026" s="18"/>
      <c r="P1026" s="18" t="s">
        <v>4582</v>
      </c>
      <c r="Q1026" s="18" t="s">
        <v>149</v>
      </c>
      <c r="R1026" s="18" t="s">
        <v>4544</v>
      </c>
      <c r="S1026" s="18" t="s">
        <v>140</v>
      </c>
      <c r="T1026" s="18" t="s">
        <v>183</v>
      </c>
      <c r="U1026" s="18" t="s">
        <v>4583</v>
      </c>
      <c r="V1026" s="19" t="s">
        <v>29</v>
      </c>
      <c r="W1026" s="19"/>
      <c r="X1026" s="19"/>
      <c r="Y1026" s="20"/>
      <c r="Z1026" s="19"/>
      <c r="AA1026" s="18" t="str">
        <f aca="false">IF(OR(V1026="Aprobada"),R1026,IF(AND(OR(V1026="Aprobada con ajuste",V1026="Rechazada"),W1026&lt;&gt;""),W1026,""))</f>
        <v/>
      </c>
    </row>
    <row r="1027" customFormat="false" ht="22.35" hidden="false" customHeight="false" outlineLevel="0" collapsed="false">
      <c r="A1027" s="18" t="s">
        <v>4584</v>
      </c>
      <c r="B1027" s="18" t="s">
        <v>64</v>
      </c>
      <c r="C1027" s="18" t="s">
        <v>65</v>
      </c>
      <c r="D1027" s="18" t="s">
        <v>4573</v>
      </c>
      <c r="E1027" s="18" t="n">
        <v>28</v>
      </c>
      <c r="F1027" s="18" t="s">
        <v>4585</v>
      </c>
      <c r="G1027" s="18" t="s">
        <v>454</v>
      </c>
      <c r="H1027" s="18" t="s">
        <v>162</v>
      </c>
      <c r="I1027" s="18"/>
      <c r="J1027" s="18"/>
      <c r="K1027" s="18"/>
      <c r="L1027" s="18" t="s">
        <v>129</v>
      </c>
      <c r="M1027" s="18" t="s">
        <v>129</v>
      </c>
      <c r="N1027" s="18"/>
      <c r="O1027" s="18"/>
      <c r="P1027" s="18" t="s">
        <v>4586</v>
      </c>
      <c r="Q1027" s="18" t="s">
        <v>149</v>
      </c>
      <c r="R1027" s="18" t="s">
        <v>4587</v>
      </c>
      <c r="S1027" s="18" t="s">
        <v>133</v>
      </c>
      <c r="T1027" s="18" t="s">
        <v>183</v>
      </c>
      <c r="U1027" s="18"/>
      <c r="V1027" s="19" t="s">
        <v>29</v>
      </c>
      <c r="W1027" s="19"/>
      <c r="X1027" s="19"/>
      <c r="Y1027" s="20"/>
      <c r="Z1027" s="19"/>
      <c r="AA1027" s="18" t="str">
        <f aca="false">IF(OR(V1027="Aprobada"),R1027,IF(AND(OR(V1027="Aprobada con ajuste",V1027="Rechazada"),W1027&lt;&gt;""),W1027,""))</f>
        <v/>
      </c>
    </row>
    <row r="1028" customFormat="false" ht="22.35" hidden="false" customHeight="false" outlineLevel="0" collapsed="false">
      <c r="A1028" s="18" t="s">
        <v>4588</v>
      </c>
      <c r="B1028" s="18" t="s">
        <v>64</v>
      </c>
      <c r="C1028" s="18" t="s">
        <v>65</v>
      </c>
      <c r="D1028" s="18" t="s">
        <v>4589</v>
      </c>
      <c r="E1028" s="18" t="n">
        <v>0</v>
      </c>
      <c r="F1028" s="18" t="s">
        <v>4590</v>
      </c>
      <c r="G1028" s="18" t="s">
        <v>145</v>
      </c>
      <c r="H1028" s="18" t="s">
        <v>129</v>
      </c>
      <c r="I1028" s="18" t="s">
        <v>146</v>
      </c>
      <c r="J1028" s="18"/>
      <c r="K1028" s="18"/>
      <c r="L1028" s="18" t="s">
        <v>129</v>
      </c>
      <c r="M1028" s="18" t="s">
        <v>129</v>
      </c>
      <c r="N1028" s="18"/>
      <c r="O1028" s="18" t="s">
        <v>4591</v>
      </c>
      <c r="P1028" s="18"/>
      <c r="Q1028" s="18" t="s">
        <v>149</v>
      </c>
      <c r="R1028" s="18" t="s">
        <v>4592</v>
      </c>
      <c r="S1028" s="18" t="s">
        <v>133</v>
      </c>
      <c r="T1028" s="18" t="s">
        <v>1105</v>
      </c>
      <c r="U1028" s="18"/>
      <c r="V1028" s="19" t="s">
        <v>29</v>
      </c>
      <c r="W1028" s="19"/>
      <c r="X1028" s="19"/>
      <c r="Y1028" s="20"/>
      <c r="Z1028" s="19"/>
      <c r="AA1028" s="18" t="str">
        <f aca="false">IF(OR(V1028="Aprobada"),R1028,IF(AND(OR(V1028="Aprobada con ajuste",V1028="Rechazada"),W1028&lt;&gt;""),W1028,""))</f>
        <v/>
      </c>
    </row>
    <row r="1029" customFormat="false" ht="32.8" hidden="false" customHeight="false" outlineLevel="0" collapsed="false">
      <c r="A1029" s="18" t="s">
        <v>4593</v>
      </c>
      <c r="B1029" s="18" t="s">
        <v>64</v>
      </c>
      <c r="C1029" s="18" t="s">
        <v>65</v>
      </c>
      <c r="D1029" s="18" t="s">
        <v>4589</v>
      </c>
      <c r="E1029" s="18" t="n">
        <v>0</v>
      </c>
      <c r="F1029" s="18" t="s">
        <v>896</v>
      </c>
      <c r="G1029" s="18" t="s">
        <v>186</v>
      </c>
      <c r="H1029" s="18" t="s">
        <v>162</v>
      </c>
      <c r="I1029" s="18" t="s">
        <v>298</v>
      </c>
      <c r="J1029" s="18" t="s">
        <v>4594</v>
      </c>
      <c r="K1029" s="18"/>
      <c r="L1029" s="18" t="s">
        <v>162</v>
      </c>
      <c r="M1029" s="18" t="s">
        <v>129</v>
      </c>
      <c r="N1029" s="18"/>
      <c r="O1029" s="18"/>
      <c r="P1029" s="18"/>
      <c r="Q1029" s="18" t="s">
        <v>149</v>
      </c>
      <c r="R1029" s="18" t="s">
        <v>4595</v>
      </c>
      <c r="S1029" s="18" t="s">
        <v>133</v>
      </c>
      <c r="T1029" s="18" t="s">
        <v>4596</v>
      </c>
      <c r="U1029" s="18"/>
      <c r="V1029" s="19" t="s">
        <v>29</v>
      </c>
      <c r="W1029" s="19"/>
      <c r="X1029" s="19"/>
      <c r="Y1029" s="20"/>
      <c r="Z1029" s="19"/>
      <c r="AA1029" s="18" t="str">
        <f aca="false">IF(OR(V1029="Aprobada"),R1029,IF(AND(OR(V1029="Aprobada con ajuste",V1029="Rechazada"),W1029&lt;&gt;""),W1029,""))</f>
        <v/>
      </c>
    </row>
    <row r="1030" customFormat="false" ht="22.35" hidden="false" customHeight="false" outlineLevel="0" collapsed="false">
      <c r="A1030" s="18" t="s">
        <v>4597</v>
      </c>
      <c r="B1030" s="18" t="s">
        <v>64</v>
      </c>
      <c r="C1030" s="18" t="s">
        <v>65</v>
      </c>
      <c r="D1030" s="18" t="s">
        <v>4589</v>
      </c>
      <c r="E1030" s="18" t="n">
        <v>0</v>
      </c>
      <c r="F1030" s="18" t="s">
        <v>4369</v>
      </c>
      <c r="G1030" s="18" t="s">
        <v>4598</v>
      </c>
      <c r="H1030" s="18" t="s">
        <v>129</v>
      </c>
      <c r="I1030" s="18"/>
      <c r="J1030" s="18"/>
      <c r="K1030" s="18"/>
      <c r="L1030" s="18" t="s">
        <v>129</v>
      </c>
      <c r="M1030" s="18" t="s">
        <v>129</v>
      </c>
      <c r="N1030" s="18"/>
      <c r="O1030" s="18"/>
      <c r="P1030" s="18"/>
      <c r="Q1030" s="18" t="s">
        <v>149</v>
      </c>
      <c r="R1030" s="18" t="s">
        <v>4599</v>
      </c>
      <c r="S1030" s="18" t="s">
        <v>133</v>
      </c>
      <c r="T1030" s="18" t="s">
        <v>183</v>
      </c>
      <c r="U1030" s="18"/>
      <c r="V1030" s="19" t="s">
        <v>29</v>
      </c>
      <c r="W1030" s="19"/>
      <c r="X1030" s="19"/>
      <c r="Y1030" s="20"/>
      <c r="Z1030" s="19"/>
      <c r="AA1030" s="18" t="str">
        <f aca="false">IF(OR(V1030="Aprobada"),R1030,IF(AND(OR(V1030="Aprobada con ajuste",V1030="Rechazada"),W1030&lt;&gt;""),W1030,""))</f>
        <v/>
      </c>
    </row>
    <row r="1031" customFormat="false" ht="22.35" hidden="false" customHeight="false" outlineLevel="0" collapsed="false">
      <c r="A1031" s="18" t="s">
        <v>4600</v>
      </c>
      <c r="B1031" s="18" t="s">
        <v>64</v>
      </c>
      <c r="C1031" s="18" t="s">
        <v>65</v>
      </c>
      <c r="D1031" s="18" t="s">
        <v>4589</v>
      </c>
      <c r="E1031" s="18" t="n">
        <v>0</v>
      </c>
      <c r="F1031" s="18" t="s">
        <v>3191</v>
      </c>
      <c r="G1031" s="18" t="s">
        <v>128</v>
      </c>
      <c r="H1031" s="18" t="s">
        <v>162</v>
      </c>
      <c r="I1031" s="18"/>
      <c r="J1031" s="18"/>
      <c r="K1031" s="18"/>
      <c r="L1031" s="18" t="s">
        <v>129</v>
      </c>
      <c r="M1031" s="18" t="s">
        <v>129</v>
      </c>
      <c r="N1031" s="18"/>
      <c r="O1031" s="18"/>
      <c r="P1031" s="18"/>
      <c r="Q1031" s="18" t="s">
        <v>149</v>
      </c>
      <c r="R1031" s="18" t="s">
        <v>4601</v>
      </c>
      <c r="S1031" s="18" t="s">
        <v>133</v>
      </c>
      <c r="T1031" s="18" t="s">
        <v>183</v>
      </c>
      <c r="U1031" s="18"/>
      <c r="V1031" s="19" t="s">
        <v>29</v>
      </c>
      <c r="W1031" s="19"/>
      <c r="X1031" s="19"/>
      <c r="Y1031" s="20"/>
      <c r="Z1031" s="19"/>
      <c r="AA1031" s="18" t="str">
        <f aca="false">IF(OR(V1031="Aprobada"),R1031,IF(AND(OR(V1031="Aprobada con ajuste",V1031="Rechazada"),W1031&lt;&gt;""),W1031,""))</f>
        <v/>
      </c>
    </row>
    <row r="1032" customFormat="false" ht="22.35" hidden="false" customHeight="false" outlineLevel="0" collapsed="false">
      <c r="A1032" s="18" t="s">
        <v>4602</v>
      </c>
      <c r="B1032" s="18" t="s">
        <v>64</v>
      </c>
      <c r="C1032" s="18" t="s">
        <v>65</v>
      </c>
      <c r="D1032" s="18" t="s">
        <v>4589</v>
      </c>
      <c r="E1032" s="18" t="n">
        <v>0</v>
      </c>
      <c r="F1032" s="18" t="s">
        <v>4603</v>
      </c>
      <c r="G1032" s="18" t="s">
        <v>128</v>
      </c>
      <c r="H1032" s="18" t="s">
        <v>129</v>
      </c>
      <c r="I1032" s="18"/>
      <c r="J1032" s="18"/>
      <c r="K1032" s="18"/>
      <c r="L1032" s="18" t="s">
        <v>129</v>
      </c>
      <c r="M1032" s="18" t="s">
        <v>129</v>
      </c>
      <c r="N1032" s="18"/>
      <c r="O1032" s="18"/>
      <c r="P1032" s="18"/>
      <c r="Q1032" s="18" t="s">
        <v>149</v>
      </c>
      <c r="R1032" s="18" t="s">
        <v>4604</v>
      </c>
      <c r="S1032" s="18" t="s">
        <v>133</v>
      </c>
      <c r="T1032" s="18" t="s">
        <v>183</v>
      </c>
      <c r="U1032" s="18"/>
      <c r="V1032" s="19" t="s">
        <v>29</v>
      </c>
      <c r="W1032" s="19"/>
      <c r="X1032" s="19"/>
      <c r="Y1032" s="20"/>
      <c r="Z1032" s="19"/>
      <c r="AA1032" s="18" t="str">
        <f aca="false">IF(OR(V1032="Aprobada"),R1032,IF(AND(OR(V1032="Aprobada con ajuste",V1032="Rechazada"),W1032&lt;&gt;""),W1032,""))</f>
        <v/>
      </c>
    </row>
    <row r="1033" customFormat="false" ht="22.35" hidden="false" customHeight="false" outlineLevel="0" collapsed="false">
      <c r="A1033" s="18" t="s">
        <v>4605</v>
      </c>
      <c r="B1033" s="18" t="s">
        <v>64</v>
      </c>
      <c r="C1033" s="18" t="s">
        <v>65</v>
      </c>
      <c r="D1033" s="18" t="s">
        <v>4589</v>
      </c>
      <c r="E1033" s="18" t="n">
        <v>0</v>
      </c>
      <c r="F1033" s="18" t="s">
        <v>4606</v>
      </c>
      <c r="G1033" s="18" t="s">
        <v>128</v>
      </c>
      <c r="H1033" s="18" t="s">
        <v>162</v>
      </c>
      <c r="I1033" s="18"/>
      <c r="J1033" s="18"/>
      <c r="K1033" s="18"/>
      <c r="L1033" s="18" t="s">
        <v>129</v>
      </c>
      <c r="M1033" s="18" t="s">
        <v>129</v>
      </c>
      <c r="N1033" s="18"/>
      <c r="O1033" s="18"/>
      <c r="P1033" s="18"/>
      <c r="Q1033" s="18" t="s">
        <v>149</v>
      </c>
      <c r="R1033" s="18" t="s">
        <v>4607</v>
      </c>
      <c r="S1033" s="18" t="s">
        <v>133</v>
      </c>
      <c r="T1033" s="18" t="s">
        <v>183</v>
      </c>
      <c r="U1033" s="18"/>
      <c r="V1033" s="19" t="s">
        <v>29</v>
      </c>
      <c r="W1033" s="19"/>
      <c r="X1033" s="19"/>
      <c r="Y1033" s="20"/>
      <c r="Z1033" s="19"/>
      <c r="AA1033" s="18" t="str">
        <f aca="false">IF(OR(V1033="Aprobada"),R1033,IF(AND(OR(V1033="Aprobada con ajuste",V1033="Rechazada"),W1033&lt;&gt;""),W1033,""))</f>
        <v/>
      </c>
    </row>
    <row r="1034" customFormat="false" ht="22.35" hidden="false" customHeight="false" outlineLevel="0" collapsed="false">
      <c r="A1034" s="18" t="s">
        <v>4608</v>
      </c>
      <c r="B1034" s="18" t="s">
        <v>64</v>
      </c>
      <c r="C1034" s="18" t="s">
        <v>65</v>
      </c>
      <c r="D1034" s="18" t="s">
        <v>4589</v>
      </c>
      <c r="E1034" s="18" t="n">
        <v>0</v>
      </c>
      <c r="F1034" s="18" t="s">
        <v>4609</v>
      </c>
      <c r="G1034" s="18" t="s">
        <v>128</v>
      </c>
      <c r="H1034" s="18" t="s">
        <v>129</v>
      </c>
      <c r="I1034" s="18"/>
      <c r="J1034" s="18"/>
      <c r="K1034" s="18"/>
      <c r="L1034" s="18" t="s">
        <v>129</v>
      </c>
      <c r="M1034" s="18" t="s">
        <v>129</v>
      </c>
      <c r="N1034" s="18"/>
      <c r="O1034" s="18"/>
      <c r="P1034" s="18"/>
      <c r="Q1034" s="18" t="s">
        <v>149</v>
      </c>
      <c r="R1034" s="18" t="s">
        <v>4610</v>
      </c>
      <c r="S1034" s="18" t="s">
        <v>133</v>
      </c>
      <c r="T1034" s="18" t="s">
        <v>183</v>
      </c>
      <c r="U1034" s="18"/>
      <c r="V1034" s="19" t="s">
        <v>29</v>
      </c>
      <c r="W1034" s="19"/>
      <c r="X1034" s="19"/>
      <c r="Y1034" s="20"/>
      <c r="Z1034" s="19"/>
      <c r="AA1034" s="18" t="str">
        <f aca="false">IF(OR(V1034="Aprobada"),R1034,IF(AND(OR(V1034="Aprobada con ajuste",V1034="Rechazada"),W1034&lt;&gt;""),W1034,""))</f>
        <v/>
      </c>
    </row>
    <row r="1035" customFormat="false" ht="22.35" hidden="false" customHeight="false" outlineLevel="0" collapsed="false">
      <c r="A1035" s="18" t="s">
        <v>4611</v>
      </c>
      <c r="B1035" s="18" t="s">
        <v>64</v>
      </c>
      <c r="C1035" s="18" t="s">
        <v>65</v>
      </c>
      <c r="D1035" s="18" t="s">
        <v>4589</v>
      </c>
      <c r="E1035" s="18" t="n">
        <v>0</v>
      </c>
      <c r="F1035" s="18" t="s">
        <v>4612</v>
      </c>
      <c r="G1035" s="18" t="s">
        <v>128</v>
      </c>
      <c r="H1035" s="18" t="s">
        <v>162</v>
      </c>
      <c r="I1035" s="18"/>
      <c r="J1035" s="18"/>
      <c r="K1035" s="18"/>
      <c r="L1035" s="18" t="s">
        <v>129</v>
      </c>
      <c r="M1035" s="18" t="s">
        <v>129</v>
      </c>
      <c r="N1035" s="18"/>
      <c r="O1035" s="18"/>
      <c r="P1035" s="18"/>
      <c r="Q1035" s="18" t="s">
        <v>149</v>
      </c>
      <c r="R1035" s="18" t="s">
        <v>4613</v>
      </c>
      <c r="S1035" s="18" t="s">
        <v>133</v>
      </c>
      <c r="T1035" s="18" t="s">
        <v>183</v>
      </c>
      <c r="U1035" s="18"/>
      <c r="V1035" s="19" t="s">
        <v>29</v>
      </c>
      <c r="W1035" s="19"/>
      <c r="X1035" s="19"/>
      <c r="Y1035" s="20"/>
      <c r="Z1035" s="19"/>
      <c r="AA1035" s="18" t="str">
        <f aca="false">IF(OR(V1035="Aprobada"),R1035,IF(AND(OR(V1035="Aprobada con ajuste",V1035="Rechazada"),W1035&lt;&gt;""),W1035,""))</f>
        <v/>
      </c>
    </row>
    <row r="1036" customFormat="false" ht="22.35" hidden="false" customHeight="false" outlineLevel="0" collapsed="false">
      <c r="A1036" s="18" t="s">
        <v>4614</v>
      </c>
      <c r="B1036" s="18" t="s">
        <v>64</v>
      </c>
      <c r="C1036" s="18" t="s">
        <v>65</v>
      </c>
      <c r="D1036" s="18" t="s">
        <v>4589</v>
      </c>
      <c r="E1036" s="18" t="n">
        <v>0</v>
      </c>
      <c r="F1036" s="18" t="s">
        <v>4615</v>
      </c>
      <c r="G1036" s="18" t="s">
        <v>161</v>
      </c>
      <c r="H1036" s="18" t="s">
        <v>162</v>
      </c>
      <c r="I1036" s="18"/>
      <c r="J1036" s="18"/>
      <c r="K1036" s="18"/>
      <c r="L1036" s="18" t="s">
        <v>129</v>
      </c>
      <c r="M1036" s="18" t="s">
        <v>129</v>
      </c>
      <c r="N1036" s="18"/>
      <c r="O1036" s="18"/>
      <c r="P1036" s="18"/>
      <c r="Q1036" s="18" t="s">
        <v>149</v>
      </c>
      <c r="R1036" s="18" t="s">
        <v>4616</v>
      </c>
      <c r="S1036" s="18" t="s">
        <v>133</v>
      </c>
      <c r="T1036" s="18" t="s">
        <v>183</v>
      </c>
      <c r="U1036" s="18"/>
      <c r="V1036" s="19" t="s">
        <v>29</v>
      </c>
      <c r="W1036" s="19"/>
      <c r="X1036" s="19"/>
      <c r="Y1036" s="20"/>
      <c r="Z1036" s="19"/>
      <c r="AA1036" s="18" t="str">
        <f aca="false">IF(OR(V1036="Aprobada"),R1036,IF(AND(OR(V1036="Aprobada con ajuste",V1036="Rechazada"),W1036&lt;&gt;""),W1036,""))</f>
        <v/>
      </c>
    </row>
    <row r="1037" customFormat="false" ht="32.8" hidden="false" customHeight="false" outlineLevel="0" collapsed="false">
      <c r="A1037" s="18" t="s">
        <v>4617</v>
      </c>
      <c r="B1037" s="18" t="s">
        <v>64</v>
      </c>
      <c r="C1037" s="18" t="s">
        <v>65</v>
      </c>
      <c r="D1037" s="18" t="s">
        <v>4589</v>
      </c>
      <c r="E1037" s="18" t="n">
        <v>0</v>
      </c>
      <c r="F1037" s="18" t="s">
        <v>185</v>
      </c>
      <c r="G1037" s="18" t="s">
        <v>205</v>
      </c>
      <c r="H1037" s="18" t="s">
        <v>162</v>
      </c>
      <c r="I1037" s="18" t="s">
        <v>298</v>
      </c>
      <c r="J1037" s="18" t="s">
        <v>4618</v>
      </c>
      <c r="K1037" s="18"/>
      <c r="L1037" s="18" t="s">
        <v>162</v>
      </c>
      <c r="M1037" s="18" t="s">
        <v>129</v>
      </c>
      <c r="N1037" s="18"/>
      <c r="O1037" s="18" t="s">
        <v>4619</v>
      </c>
      <c r="P1037" s="18"/>
      <c r="Q1037" s="18" t="s">
        <v>138</v>
      </c>
      <c r="R1037" s="18" t="s">
        <v>4620</v>
      </c>
      <c r="S1037" s="18" t="s">
        <v>140</v>
      </c>
      <c r="T1037" s="18" t="s">
        <v>141</v>
      </c>
      <c r="U1037" s="18"/>
      <c r="V1037" s="19" t="s">
        <v>29</v>
      </c>
      <c r="W1037" s="19"/>
      <c r="X1037" s="19"/>
      <c r="Y1037" s="20"/>
      <c r="Z1037" s="19"/>
      <c r="AA1037" s="18" t="str">
        <f aca="false">IF(OR(V1037="Aprobada"),R1037,IF(AND(OR(V1037="Aprobada con ajuste",V1037="Rechazada"),W1037&lt;&gt;""),W1037,""))</f>
        <v/>
      </c>
    </row>
    <row r="1038" customFormat="false" ht="22.35" hidden="false" customHeight="false" outlineLevel="0" collapsed="false">
      <c r="A1038" s="18" t="s">
        <v>4621</v>
      </c>
      <c r="B1038" s="18" t="s">
        <v>64</v>
      </c>
      <c r="C1038" s="18" t="s">
        <v>65</v>
      </c>
      <c r="D1038" s="18" t="s">
        <v>4589</v>
      </c>
      <c r="E1038" s="18" t="n">
        <v>0</v>
      </c>
      <c r="F1038" s="18" t="s">
        <v>4622</v>
      </c>
      <c r="G1038" s="18" t="s">
        <v>312</v>
      </c>
      <c r="H1038" s="18" t="s">
        <v>162</v>
      </c>
      <c r="I1038" s="18"/>
      <c r="J1038" s="18"/>
      <c r="K1038" s="18"/>
      <c r="L1038" s="18" t="s">
        <v>129</v>
      </c>
      <c r="M1038" s="18" t="s">
        <v>129</v>
      </c>
      <c r="N1038" s="18"/>
      <c r="O1038" s="18"/>
      <c r="P1038" s="18"/>
      <c r="Q1038" s="18" t="s">
        <v>149</v>
      </c>
      <c r="R1038" s="18" t="s">
        <v>4623</v>
      </c>
      <c r="S1038" s="18" t="s">
        <v>140</v>
      </c>
      <c r="T1038" s="18" t="s">
        <v>183</v>
      </c>
      <c r="U1038" s="18" t="s">
        <v>4624</v>
      </c>
      <c r="V1038" s="19" t="s">
        <v>29</v>
      </c>
      <c r="W1038" s="19"/>
      <c r="X1038" s="19"/>
      <c r="Y1038" s="20"/>
      <c r="Z1038" s="19"/>
      <c r="AA1038" s="18" t="str">
        <f aca="false">IF(OR(V1038="Aprobada"),R1038,IF(AND(OR(V1038="Aprobada con ajuste",V1038="Rechazada"),W1038&lt;&gt;""),W1038,""))</f>
        <v/>
      </c>
    </row>
    <row r="1039" customFormat="false" ht="22.35" hidden="false" customHeight="false" outlineLevel="0" collapsed="false">
      <c r="A1039" s="18" t="s">
        <v>4625</v>
      </c>
      <c r="B1039" s="18" t="s">
        <v>64</v>
      </c>
      <c r="C1039" s="18" t="s">
        <v>65</v>
      </c>
      <c r="D1039" s="18" t="s">
        <v>4589</v>
      </c>
      <c r="E1039" s="18" t="n">
        <v>0</v>
      </c>
      <c r="F1039" s="18" t="s">
        <v>4626</v>
      </c>
      <c r="G1039" s="18" t="s">
        <v>337</v>
      </c>
      <c r="H1039" s="18" t="s">
        <v>162</v>
      </c>
      <c r="I1039" s="18"/>
      <c r="J1039" s="18"/>
      <c r="K1039" s="18"/>
      <c r="L1039" s="18" t="s">
        <v>129</v>
      </c>
      <c r="M1039" s="18" t="s">
        <v>129</v>
      </c>
      <c r="N1039" s="18"/>
      <c r="O1039" s="18"/>
      <c r="P1039" s="18"/>
      <c r="Q1039" s="18" t="s">
        <v>149</v>
      </c>
      <c r="R1039" s="18" t="s">
        <v>4627</v>
      </c>
      <c r="S1039" s="18" t="s">
        <v>133</v>
      </c>
      <c r="T1039" s="18" t="s">
        <v>183</v>
      </c>
      <c r="U1039" s="18"/>
      <c r="V1039" s="19" t="s">
        <v>29</v>
      </c>
      <c r="W1039" s="19"/>
      <c r="X1039" s="19"/>
      <c r="Y1039" s="20"/>
      <c r="Z1039" s="19"/>
      <c r="AA1039" s="18" t="str">
        <f aca="false">IF(OR(V1039="Aprobada"),R1039,IF(AND(OR(V1039="Aprobada con ajuste",V1039="Rechazada"),W1039&lt;&gt;""),W1039,""))</f>
        <v/>
      </c>
    </row>
    <row r="1040" customFormat="false" ht="22.35" hidden="false" customHeight="false" outlineLevel="0" collapsed="false">
      <c r="A1040" s="18" t="s">
        <v>4628</v>
      </c>
      <c r="B1040" s="18" t="s">
        <v>64</v>
      </c>
      <c r="C1040" s="18" t="s">
        <v>65</v>
      </c>
      <c r="D1040" s="18" t="s">
        <v>4589</v>
      </c>
      <c r="E1040" s="18" t="n">
        <v>0</v>
      </c>
      <c r="F1040" s="18" t="s">
        <v>2711</v>
      </c>
      <c r="G1040" s="18" t="s">
        <v>312</v>
      </c>
      <c r="H1040" s="18" t="s">
        <v>162</v>
      </c>
      <c r="I1040" s="18"/>
      <c r="J1040" s="18"/>
      <c r="K1040" s="18"/>
      <c r="L1040" s="18" t="s">
        <v>129</v>
      </c>
      <c r="M1040" s="18" t="s">
        <v>129</v>
      </c>
      <c r="N1040" s="18"/>
      <c r="O1040" s="18"/>
      <c r="P1040" s="18"/>
      <c r="Q1040" s="18" t="s">
        <v>149</v>
      </c>
      <c r="R1040" s="18" t="s">
        <v>4629</v>
      </c>
      <c r="S1040" s="18" t="s">
        <v>140</v>
      </c>
      <c r="T1040" s="18" t="s">
        <v>183</v>
      </c>
      <c r="U1040" s="18" t="s">
        <v>4630</v>
      </c>
      <c r="V1040" s="19" t="s">
        <v>29</v>
      </c>
      <c r="W1040" s="19"/>
      <c r="X1040" s="19"/>
      <c r="Y1040" s="20"/>
      <c r="Z1040" s="19"/>
      <c r="AA1040" s="18" t="str">
        <f aca="false">IF(OR(V1040="Aprobada"),R1040,IF(AND(OR(V1040="Aprobada con ajuste",V1040="Rechazada"),W1040&lt;&gt;""),W1040,""))</f>
        <v/>
      </c>
    </row>
    <row r="1041" customFormat="false" ht="22.35" hidden="false" customHeight="false" outlineLevel="0" collapsed="false">
      <c r="A1041" s="18" t="s">
        <v>4631</v>
      </c>
      <c r="B1041" s="18" t="s">
        <v>64</v>
      </c>
      <c r="C1041" s="18" t="s">
        <v>65</v>
      </c>
      <c r="D1041" s="18" t="s">
        <v>4589</v>
      </c>
      <c r="E1041" s="18" t="n">
        <v>0</v>
      </c>
      <c r="F1041" s="18" t="s">
        <v>2716</v>
      </c>
      <c r="G1041" s="18" t="s">
        <v>337</v>
      </c>
      <c r="H1041" s="18" t="s">
        <v>162</v>
      </c>
      <c r="I1041" s="18"/>
      <c r="J1041" s="18"/>
      <c r="K1041" s="18"/>
      <c r="L1041" s="18" t="s">
        <v>129</v>
      </c>
      <c r="M1041" s="18" t="s">
        <v>129</v>
      </c>
      <c r="N1041" s="18"/>
      <c r="O1041" s="18"/>
      <c r="P1041" s="18"/>
      <c r="Q1041" s="18" t="s">
        <v>149</v>
      </c>
      <c r="R1041" s="18" t="s">
        <v>4632</v>
      </c>
      <c r="S1041" s="18" t="s">
        <v>133</v>
      </c>
      <c r="T1041" s="18" t="s">
        <v>183</v>
      </c>
      <c r="U1041" s="18"/>
      <c r="V1041" s="19" t="s">
        <v>29</v>
      </c>
      <c r="W1041" s="19"/>
      <c r="X1041" s="19"/>
      <c r="Y1041" s="20"/>
      <c r="Z1041" s="19"/>
      <c r="AA1041" s="18" t="str">
        <f aca="false">IF(OR(V1041="Aprobada"),R1041,IF(AND(OR(V1041="Aprobada con ajuste",V1041="Rechazada"),W1041&lt;&gt;""),W1041,""))</f>
        <v/>
      </c>
    </row>
    <row r="1042" customFormat="false" ht="22.35" hidden="false" customHeight="false" outlineLevel="0" collapsed="false">
      <c r="A1042" s="18" t="s">
        <v>4633</v>
      </c>
      <c r="B1042" s="18" t="s">
        <v>64</v>
      </c>
      <c r="C1042" s="18" t="s">
        <v>65</v>
      </c>
      <c r="D1042" s="18" t="s">
        <v>4589</v>
      </c>
      <c r="E1042" s="18" t="n">
        <v>0</v>
      </c>
      <c r="F1042" s="18" t="s">
        <v>2732</v>
      </c>
      <c r="G1042" s="18" t="s">
        <v>317</v>
      </c>
      <c r="H1042" s="18" t="s">
        <v>162</v>
      </c>
      <c r="I1042" s="18"/>
      <c r="J1042" s="18"/>
      <c r="K1042" s="18"/>
      <c r="L1042" s="18" t="s">
        <v>129</v>
      </c>
      <c r="M1042" s="18" t="s">
        <v>129</v>
      </c>
      <c r="N1042" s="18"/>
      <c r="O1042" s="18"/>
      <c r="P1042" s="18"/>
      <c r="Q1042" s="18" t="s">
        <v>138</v>
      </c>
      <c r="R1042" s="18" t="s">
        <v>2734</v>
      </c>
      <c r="S1042" s="18" t="s">
        <v>140</v>
      </c>
      <c r="T1042" s="18" t="s">
        <v>141</v>
      </c>
      <c r="U1042" s="18"/>
      <c r="V1042" s="19" t="s">
        <v>29</v>
      </c>
      <c r="W1042" s="19"/>
      <c r="X1042" s="19"/>
      <c r="Y1042" s="20"/>
      <c r="Z1042" s="19"/>
      <c r="AA1042" s="18" t="str">
        <f aca="false">IF(OR(V1042="Aprobada"),R1042,IF(AND(OR(V1042="Aprobada con ajuste",V1042="Rechazada"),W1042&lt;&gt;""),W1042,""))</f>
        <v/>
      </c>
    </row>
    <row r="1043" customFormat="false" ht="22.35" hidden="false" customHeight="false" outlineLevel="0" collapsed="false">
      <c r="A1043" s="18" t="s">
        <v>4634</v>
      </c>
      <c r="B1043" s="18" t="s">
        <v>64</v>
      </c>
      <c r="C1043" s="18" t="s">
        <v>65</v>
      </c>
      <c r="D1043" s="18" t="s">
        <v>4589</v>
      </c>
      <c r="E1043" s="18" t="n">
        <v>0</v>
      </c>
      <c r="F1043" s="18" t="s">
        <v>4635</v>
      </c>
      <c r="G1043" s="18" t="s">
        <v>128</v>
      </c>
      <c r="H1043" s="18" t="s">
        <v>162</v>
      </c>
      <c r="I1043" s="18"/>
      <c r="J1043" s="18"/>
      <c r="K1043" s="18"/>
      <c r="L1043" s="18" t="s">
        <v>129</v>
      </c>
      <c r="M1043" s="18" t="s">
        <v>129</v>
      </c>
      <c r="N1043" s="18"/>
      <c r="O1043" s="18"/>
      <c r="P1043" s="18"/>
      <c r="Q1043" s="18" t="s">
        <v>149</v>
      </c>
      <c r="R1043" s="18" t="s">
        <v>4636</v>
      </c>
      <c r="S1043" s="18" t="s">
        <v>133</v>
      </c>
      <c r="T1043" s="18" t="s">
        <v>4637</v>
      </c>
      <c r="U1043" s="18"/>
      <c r="V1043" s="19" t="s">
        <v>29</v>
      </c>
      <c r="W1043" s="19"/>
      <c r="X1043" s="19"/>
      <c r="Y1043" s="20"/>
      <c r="Z1043" s="19"/>
      <c r="AA1043" s="18" t="str">
        <f aca="false">IF(OR(V1043="Aprobada"),R1043,IF(AND(OR(V1043="Aprobada con ajuste",V1043="Rechazada"),W1043&lt;&gt;""),W1043,""))</f>
        <v/>
      </c>
    </row>
    <row r="1044" customFormat="false" ht="22.35" hidden="false" customHeight="false" outlineLevel="0" collapsed="false">
      <c r="A1044" s="18" t="s">
        <v>4638</v>
      </c>
      <c r="B1044" s="18" t="s">
        <v>64</v>
      </c>
      <c r="C1044" s="18" t="s">
        <v>65</v>
      </c>
      <c r="D1044" s="18" t="s">
        <v>4589</v>
      </c>
      <c r="E1044" s="18" t="n">
        <v>0</v>
      </c>
      <c r="F1044" s="18" t="s">
        <v>4639</v>
      </c>
      <c r="G1044" s="18" t="s">
        <v>337</v>
      </c>
      <c r="H1044" s="18" t="s">
        <v>162</v>
      </c>
      <c r="I1044" s="18"/>
      <c r="J1044" s="18"/>
      <c r="K1044" s="18"/>
      <c r="L1044" s="18" t="s">
        <v>129</v>
      </c>
      <c r="M1044" s="18" t="s">
        <v>129</v>
      </c>
      <c r="N1044" s="18"/>
      <c r="O1044" s="18"/>
      <c r="P1044" s="18"/>
      <c r="Q1044" s="18" t="s">
        <v>138</v>
      </c>
      <c r="R1044" s="18" t="s">
        <v>4640</v>
      </c>
      <c r="S1044" s="18" t="s">
        <v>140</v>
      </c>
      <c r="T1044" s="18" t="s">
        <v>141</v>
      </c>
      <c r="U1044" s="18"/>
      <c r="V1044" s="19" t="s">
        <v>29</v>
      </c>
      <c r="W1044" s="19"/>
      <c r="X1044" s="19"/>
      <c r="Y1044" s="20"/>
      <c r="Z1044" s="19"/>
      <c r="AA1044" s="18" t="str">
        <f aca="false">IF(OR(V1044="Aprobada"),R1044,IF(AND(OR(V1044="Aprobada con ajuste",V1044="Rechazada"),W1044&lt;&gt;""),W1044,""))</f>
        <v/>
      </c>
    </row>
    <row r="1045" customFormat="false" ht="22.35" hidden="false" customHeight="false" outlineLevel="0" collapsed="false">
      <c r="A1045" s="18" t="s">
        <v>4641</v>
      </c>
      <c r="B1045" s="18" t="s">
        <v>64</v>
      </c>
      <c r="C1045" s="18" t="s">
        <v>65</v>
      </c>
      <c r="D1045" s="18" t="s">
        <v>4589</v>
      </c>
      <c r="E1045" s="18" t="n">
        <v>0</v>
      </c>
      <c r="F1045" s="18" t="s">
        <v>2681</v>
      </c>
      <c r="G1045" s="18" t="s">
        <v>317</v>
      </c>
      <c r="H1045" s="18" t="s">
        <v>162</v>
      </c>
      <c r="I1045" s="18"/>
      <c r="J1045" s="18"/>
      <c r="K1045" s="18"/>
      <c r="L1045" s="18" t="s">
        <v>129</v>
      </c>
      <c r="M1045" s="18" t="s">
        <v>129</v>
      </c>
      <c r="N1045" s="18"/>
      <c r="O1045" s="18"/>
      <c r="P1045" s="18"/>
      <c r="Q1045" s="18" t="s">
        <v>138</v>
      </c>
      <c r="R1045" s="18" t="s">
        <v>2683</v>
      </c>
      <c r="S1045" s="18" t="s">
        <v>140</v>
      </c>
      <c r="T1045" s="18" t="s">
        <v>141</v>
      </c>
      <c r="U1045" s="18"/>
      <c r="V1045" s="19" t="s">
        <v>29</v>
      </c>
      <c r="W1045" s="19"/>
      <c r="X1045" s="19"/>
      <c r="Y1045" s="20"/>
      <c r="Z1045" s="19"/>
      <c r="AA1045" s="18" t="str">
        <f aca="false">IF(OR(V1045="Aprobada"),R1045,IF(AND(OR(V1045="Aprobada con ajuste",V1045="Rechazada"),W1045&lt;&gt;""),W1045,""))</f>
        <v/>
      </c>
    </row>
    <row r="1046" customFormat="false" ht="22.35" hidden="false" customHeight="false" outlineLevel="0" collapsed="false">
      <c r="A1046" s="18" t="s">
        <v>4642</v>
      </c>
      <c r="B1046" s="18" t="s">
        <v>64</v>
      </c>
      <c r="C1046" s="18" t="s">
        <v>65</v>
      </c>
      <c r="D1046" s="18" t="s">
        <v>4589</v>
      </c>
      <c r="E1046" s="18" t="n">
        <v>0</v>
      </c>
      <c r="F1046" s="18" t="s">
        <v>679</v>
      </c>
      <c r="G1046" s="18" t="s">
        <v>317</v>
      </c>
      <c r="H1046" s="18" t="s">
        <v>162</v>
      </c>
      <c r="I1046" s="18"/>
      <c r="J1046" s="18"/>
      <c r="K1046" s="18"/>
      <c r="L1046" s="18" t="s">
        <v>129</v>
      </c>
      <c r="M1046" s="18" t="s">
        <v>129</v>
      </c>
      <c r="N1046" s="18"/>
      <c r="O1046" s="18"/>
      <c r="P1046" s="18"/>
      <c r="Q1046" s="18" t="s">
        <v>138</v>
      </c>
      <c r="R1046" s="18" t="s">
        <v>680</v>
      </c>
      <c r="S1046" s="18" t="s">
        <v>140</v>
      </c>
      <c r="T1046" s="18" t="s">
        <v>141</v>
      </c>
      <c r="U1046" s="18"/>
      <c r="V1046" s="19" t="s">
        <v>29</v>
      </c>
      <c r="W1046" s="19"/>
      <c r="X1046" s="19"/>
      <c r="Y1046" s="20"/>
      <c r="Z1046" s="19"/>
      <c r="AA1046" s="18" t="str">
        <f aca="false">IF(OR(V1046="Aprobada"),R1046,IF(AND(OR(V1046="Aprobada con ajuste",V1046="Rechazada"),W1046&lt;&gt;""),W1046,""))</f>
        <v/>
      </c>
    </row>
    <row r="1047" customFormat="false" ht="22.35" hidden="false" customHeight="false" outlineLevel="0" collapsed="false">
      <c r="A1047" s="18" t="s">
        <v>4643</v>
      </c>
      <c r="B1047" s="18" t="s">
        <v>64</v>
      </c>
      <c r="C1047" s="18" t="s">
        <v>65</v>
      </c>
      <c r="D1047" s="18" t="s">
        <v>4589</v>
      </c>
      <c r="E1047" s="18" t="n">
        <v>0</v>
      </c>
      <c r="F1047" s="18" t="s">
        <v>4644</v>
      </c>
      <c r="G1047" s="18" t="s">
        <v>4598</v>
      </c>
      <c r="H1047" s="18" t="s">
        <v>162</v>
      </c>
      <c r="I1047" s="18"/>
      <c r="J1047" s="18"/>
      <c r="K1047" s="18"/>
      <c r="L1047" s="18" t="s">
        <v>129</v>
      </c>
      <c r="M1047" s="18" t="s">
        <v>129</v>
      </c>
      <c r="N1047" s="18"/>
      <c r="O1047" s="18"/>
      <c r="P1047" s="18"/>
      <c r="Q1047" s="18" t="s">
        <v>149</v>
      </c>
      <c r="R1047" s="18" t="s">
        <v>4645</v>
      </c>
      <c r="S1047" s="18" t="s">
        <v>140</v>
      </c>
      <c r="T1047" s="18" t="s">
        <v>183</v>
      </c>
      <c r="U1047" s="18" t="s">
        <v>4646</v>
      </c>
      <c r="V1047" s="19" t="s">
        <v>29</v>
      </c>
      <c r="W1047" s="19"/>
      <c r="X1047" s="19"/>
      <c r="Y1047" s="20"/>
      <c r="Z1047" s="19"/>
      <c r="AA1047" s="18" t="str">
        <f aca="false">IF(OR(V1047="Aprobada"),R1047,IF(AND(OR(V1047="Aprobada con ajuste",V1047="Rechazada"),W1047&lt;&gt;""),W1047,""))</f>
        <v/>
      </c>
    </row>
    <row r="1048" customFormat="false" ht="22.35" hidden="false" customHeight="false" outlineLevel="0" collapsed="false">
      <c r="A1048" s="18" t="s">
        <v>4647</v>
      </c>
      <c r="B1048" s="18" t="s">
        <v>64</v>
      </c>
      <c r="C1048" s="18" t="s">
        <v>65</v>
      </c>
      <c r="D1048" s="18" t="s">
        <v>4589</v>
      </c>
      <c r="E1048" s="18" t="n">
        <v>0</v>
      </c>
      <c r="F1048" s="18" t="s">
        <v>4648</v>
      </c>
      <c r="G1048" s="18" t="s">
        <v>173</v>
      </c>
      <c r="H1048" s="18" t="s">
        <v>162</v>
      </c>
      <c r="I1048" s="18"/>
      <c r="J1048" s="18"/>
      <c r="K1048" s="18"/>
      <c r="L1048" s="18" t="s">
        <v>129</v>
      </c>
      <c r="M1048" s="18" t="s">
        <v>129</v>
      </c>
      <c r="N1048" s="18"/>
      <c r="O1048" s="18" t="s">
        <v>4649</v>
      </c>
      <c r="P1048" s="18"/>
      <c r="Q1048" s="18" t="s">
        <v>138</v>
      </c>
      <c r="R1048" s="18" t="s">
        <v>4650</v>
      </c>
      <c r="S1048" s="18" t="s">
        <v>140</v>
      </c>
      <c r="T1048" s="18" t="s">
        <v>141</v>
      </c>
      <c r="U1048" s="18"/>
      <c r="V1048" s="19" t="s">
        <v>29</v>
      </c>
      <c r="W1048" s="19"/>
      <c r="X1048" s="19"/>
      <c r="Y1048" s="20"/>
      <c r="Z1048" s="19"/>
      <c r="AA1048" s="18" t="str">
        <f aca="false">IF(OR(V1048="Aprobada"),R1048,IF(AND(OR(V1048="Aprobada con ajuste",V1048="Rechazada"),W1048&lt;&gt;""),W1048,""))</f>
        <v/>
      </c>
    </row>
    <row r="1049" customFormat="false" ht="22.35" hidden="false" customHeight="false" outlineLevel="0" collapsed="false">
      <c r="A1049" s="18" t="s">
        <v>4651</v>
      </c>
      <c r="B1049" s="18" t="s">
        <v>64</v>
      </c>
      <c r="C1049" s="18" t="s">
        <v>65</v>
      </c>
      <c r="D1049" s="18" t="s">
        <v>4589</v>
      </c>
      <c r="E1049" s="18" t="n">
        <v>0</v>
      </c>
      <c r="F1049" s="18" t="s">
        <v>4652</v>
      </c>
      <c r="G1049" s="18" t="s">
        <v>651</v>
      </c>
      <c r="H1049" s="18" t="s">
        <v>162</v>
      </c>
      <c r="I1049" s="18"/>
      <c r="J1049" s="18"/>
      <c r="K1049" s="18"/>
      <c r="L1049" s="18" t="s">
        <v>129</v>
      </c>
      <c r="M1049" s="18" t="s">
        <v>129</v>
      </c>
      <c r="N1049" s="18"/>
      <c r="O1049" s="18"/>
      <c r="P1049" s="18"/>
      <c r="Q1049" s="18" t="s">
        <v>149</v>
      </c>
      <c r="R1049" s="18" t="s">
        <v>4653</v>
      </c>
      <c r="S1049" s="18" t="s">
        <v>140</v>
      </c>
      <c r="T1049" s="18" t="s">
        <v>4654</v>
      </c>
      <c r="U1049" s="18" t="s">
        <v>4655</v>
      </c>
      <c r="V1049" s="19" t="s">
        <v>29</v>
      </c>
      <c r="W1049" s="19"/>
      <c r="X1049" s="19"/>
      <c r="Y1049" s="20"/>
      <c r="Z1049" s="19"/>
      <c r="AA1049" s="18" t="str">
        <f aca="false">IF(OR(V1049="Aprobada"),R1049,IF(AND(OR(V1049="Aprobada con ajuste",V1049="Rechazada"),W1049&lt;&gt;""),W1049,""))</f>
        <v/>
      </c>
    </row>
    <row r="1050" customFormat="false" ht="32.8" hidden="false" customHeight="false" outlineLevel="0" collapsed="false">
      <c r="A1050" s="18" t="s">
        <v>4656</v>
      </c>
      <c r="B1050" s="18" t="s">
        <v>64</v>
      </c>
      <c r="C1050" s="18" t="s">
        <v>65</v>
      </c>
      <c r="D1050" s="18" t="s">
        <v>4657</v>
      </c>
      <c r="E1050" s="18" t="n">
        <v>132</v>
      </c>
      <c r="F1050" s="18" t="s">
        <v>4507</v>
      </c>
      <c r="G1050" s="18" t="s">
        <v>4418</v>
      </c>
      <c r="H1050" s="18" t="s">
        <v>129</v>
      </c>
      <c r="I1050" s="18"/>
      <c r="J1050" s="18"/>
      <c r="K1050" s="18"/>
      <c r="L1050" s="18" t="s">
        <v>129</v>
      </c>
      <c r="M1050" s="18" t="s">
        <v>129</v>
      </c>
      <c r="N1050" s="18"/>
      <c r="O1050" s="18"/>
      <c r="P1050" s="18" t="s">
        <v>4658</v>
      </c>
      <c r="Q1050" s="18" t="s">
        <v>131</v>
      </c>
      <c r="R1050" s="18" t="s">
        <v>4659</v>
      </c>
      <c r="S1050" s="18" t="s">
        <v>140</v>
      </c>
      <c r="T1050" s="18" t="s">
        <v>4660</v>
      </c>
      <c r="U1050" s="18" t="s">
        <v>4661</v>
      </c>
      <c r="V1050" s="19" t="s">
        <v>29</v>
      </c>
      <c r="W1050" s="19"/>
      <c r="X1050" s="19"/>
      <c r="Y1050" s="20"/>
      <c r="Z1050" s="19"/>
      <c r="AA1050" s="18" t="str">
        <f aca="false">IF(OR(V1050="Aprobada"),R1050,IF(AND(OR(V1050="Aprobada con ajuste",V1050="Rechazada"),W1050&lt;&gt;""),W1050,""))</f>
        <v/>
      </c>
    </row>
    <row r="1051" customFormat="false" ht="22.35" hidden="false" customHeight="false" outlineLevel="0" collapsed="false">
      <c r="A1051" s="18" t="s">
        <v>4662</v>
      </c>
      <c r="B1051" s="18" t="s">
        <v>64</v>
      </c>
      <c r="C1051" s="18" t="s">
        <v>65</v>
      </c>
      <c r="D1051" s="18" t="s">
        <v>4657</v>
      </c>
      <c r="E1051" s="18" t="n">
        <v>132</v>
      </c>
      <c r="F1051" s="18" t="s">
        <v>160</v>
      </c>
      <c r="G1051" s="18" t="s">
        <v>128</v>
      </c>
      <c r="H1051" s="18" t="s">
        <v>129</v>
      </c>
      <c r="I1051" s="18"/>
      <c r="J1051" s="18"/>
      <c r="K1051" s="18"/>
      <c r="L1051" s="18" t="s">
        <v>129</v>
      </c>
      <c r="M1051" s="18" t="s">
        <v>129</v>
      </c>
      <c r="N1051" s="18"/>
      <c r="O1051" s="18"/>
      <c r="P1051" s="18" t="s">
        <v>4663</v>
      </c>
      <c r="Q1051" s="18" t="s">
        <v>138</v>
      </c>
      <c r="R1051" s="18" t="s">
        <v>4664</v>
      </c>
      <c r="S1051" s="18" t="s">
        <v>140</v>
      </c>
      <c r="T1051" s="18" t="s">
        <v>141</v>
      </c>
      <c r="U1051" s="18"/>
      <c r="V1051" s="19" t="s">
        <v>29</v>
      </c>
      <c r="W1051" s="19"/>
      <c r="X1051" s="19"/>
      <c r="Y1051" s="20"/>
      <c r="Z1051" s="19"/>
      <c r="AA1051" s="18" t="str">
        <f aca="false">IF(OR(V1051="Aprobada"),R1051,IF(AND(OR(V1051="Aprobada con ajuste",V1051="Rechazada"),W1051&lt;&gt;""),W1051,""))</f>
        <v/>
      </c>
    </row>
    <row r="1052" customFormat="false" ht="22.35" hidden="false" customHeight="false" outlineLevel="0" collapsed="false">
      <c r="A1052" s="18" t="s">
        <v>4665</v>
      </c>
      <c r="B1052" s="18" t="s">
        <v>64</v>
      </c>
      <c r="C1052" s="18" t="s">
        <v>65</v>
      </c>
      <c r="D1052" s="18" t="s">
        <v>4657</v>
      </c>
      <c r="E1052" s="18" t="n">
        <v>132</v>
      </c>
      <c r="F1052" s="18" t="s">
        <v>4666</v>
      </c>
      <c r="G1052" s="18" t="s">
        <v>128</v>
      </c>
      <c r="H1052" s="18" t="s">
        <v>162</v>
      </c>
      <c r="I1052" s="18"/>
      <c r="J1052" s="18"/>
      <c r="K1052" s="18"/>
      <c r="L1052" s="18" t="s">
        <v>129</v>
      </c>
      <c r="M1052" s="18" t="s">
        <v>129</v>
      </c>
      <c r="N1052" s="18"/>
      <c r="O1052" s="18"/>
      <c r="P1052" s="18" t="s">
        <v>4667</v>
      </c>
      <c r="Q1052" s="18" t="s">
        <v>149</v>
      </c>
      <c r="R1052" s="18" t="s">
        <v>4668</v>
      </c>
      <c r="S1052" s="18" t="s">
        <v>140</v>
      </c>
      <c r="T1052" s="18" t="s">
        <v>183</v>
      </c>
      <c r="U1052" s="18" t="s">
        <v>4669</v>
      </c>
      <c r="V1052" s="19" t="s">
        <v>29</v>
      </c>
      <c r="W1052" s="19"/>
      <c r="X1052" s="19"/>
      <c r="Y1052" s="20"/>
      <c r="Z1052" s="19"/>
      <c r="AA1052" s="18" t="str">
        <f aca="false">IF(OR(V1052="Aprobada"),R1052,IF(AND(OR(V1052="Aprobada con ajuste",V1052="Rechazada"),W1052&lt;&gt;""),W1052,""))</f>
        <v/>
      </c>
    </row>
    <row r="1053" customFormat="false" ht="22.35" hidden="false" customHeight="false" outlineLevel="0" collapsed="false">
      <c r="A1053" s="18" t="s">
        <v>4670</v>
      </c>
      <c r="B1053" s="18" t="s">
        <v>64</v>
      </c>
      <c r="C1053" s="18" t="s">
        <v>65</v>
      </c>
      <c r="D1053" s="18" t="s">
        <v>4657</v>
      </c>
      <c r="E1053" s="18" t="n">
        <v>132</v>
      </c>
      <c r="F1053" s="18" t="s">
        <v>4527</v>
      </c>
      <c r="G1053" s="18" t="s">
        <v>4418</v>
      </c>
      <c r="H1053" s="18" t="s">
        <v>162</v>
      </c>
      <c r="I1053" s="18"/>
      <c r="J1053" s="18"/>
      <c r="K1053" s="18"/>
      <c r="L1053" s="18" t="s">
        <v>129</v>
      </c>
      <c r="M1053" s="18" t="s">
        <v>129</v>
      </c>
      <c r="N1053" s="18"/>
      <c r="O1053" s="18"/>
      <c r="P1053" s="18" t="s">
        <v>4671</v>
      </c>
      <c r="Q1053" s="18" t="s">
        <v>149</v>
      </c>
      <c r="R1053" s="18" t="s">
        <v>4672</v>
      </c>
      <c r="S1053" s="18" t="s">
        <v>140</v>
      </c>
      <c r="T1053" s="18" t="s">
        <v>183</v>
      </c>
      <c r="U1053" s="18" t="s">
        <v>4673</v>
      </c>
      <c r="V1053" s="19" t="s">
        <v>29</v>
      </c>
      <c r="W1053" s="19"/>
      <c r="X1053" s="19"/>
      <c r="Y1053" s="20"/>
      <c r="Z1053" s="19"/>
      <c r="AA1053" s="18" t="str">
        <f aca="false">IF(OR(V1053="Aprobada"),R1053,IF(AND(OR(V1053="Aprobada con ajuste",V1053="Rechazada"),W1053&lt;&gt;""),W1053,""))</f>
        <v/>
      </c>
    </row>
    <row r="1054" customFormat="false" ht="22.35" hidden="false" customHeight="false" outlineLevel="0" collapsed="false">
      <c r="A1054" s="18" t="s">
        <v>4674</v>
      </c>
      <c r="B1054" s="18" t="s">
        <v>64</v>
      </c>
      <c r="C1054" s="18" t="s">
        <v>65</v>
      </c>
      <c r="D1054" s="18" t="s">
        <v>4657</v>
      </c>
      <c r="E1054" s="18" t="n">
        <v>132</v>
      </c>
      <c r="F1054" s="18" t="s">
        <v>331</v>
      </c>
      <c r="G1054" s="18" t="s">
        <v>317</v>
      </c>
      <c r="H1054" s="18" t="s">
        <v>129</v>
      </c>
      <c r="I1054" s="18"/>
      <c r="J1054" s="18"/>
      <c r="K1054" s="18"/>
      <c r="L1054" s="18" t="s">
        <v>129</v>
      </c>
      <c r="M1054" s="18" t="s">
        <v>129</v>
      </c>
      <c r="N1054" s="18"/>
      <c r="O1054" s="18"/>
      <c r="P1054" s="18" t="s">
        <v>4675</v>
      </c>
      <c r="Q1054" s="18" t="s">
        <v>149</v>
      </c>
      <c r="R1054" s="18" t="s">
        <v>4676</v>
      </c>
      <c r="S1054" s="18" t="s">
        <v>133</v>
      </c>
      <c r="T1054" s="18" t="s">
        <v>169</v>
      </c>
      <c r="U1054" s="18"/>
      <c r="V1054" s="19" t="s">
        <v>29</v>
      </c>
      <c r="W1054" s="19"/>
      <c r="X1054" s="19"/>
      <c r="Y1054" s="20"/>
      <c r="Z1054" s="19"/>
      <c r="AA1054" s="18" t="str">
        <f aca="false">IF(OR(V1054="Aprobada"),R1054,IF(AND(OR(V1054="Aprobada con ajuste",V1054="Rechazada"),W1054&lt;&gt;""),W1054,""))</f>
        <v/>
      </c>
    </row>
    <row r="1055" customFormat="false" ht="22.35" hidden="false" customHeight="false" outlineLevel="0" collapsed="false">
      <c r="A1055" s="18" t="s">
        <v>4677</v>
      </c>
      <c r="B1055" s="18" t="s">
        <v>64</v>
      </c>
      <c r="C1055" s="18" t="s">
        <v>65</v>
      </c>
      <c r="D1055" s="18" t="s">
        <v>4678</v>
      </c>
      <c r="E1055" s="18" t="n">
        <v>31</v>
      </c>
      <c r="F1055" s="18" t="s">
        <v>4679</v>
      </c>
      <c r="G1055" s="18" t="s">
        <v>145</v>
      </c>
      <c r="H1055" s="18" t="s">
        <v>129</v>
      </c>
      <c r="I1055" s="18" t="s">
        <v>146</v>
      </c>
      <c r="J1055" s="18"/>
      <c r="K1055" s="18"/>
      <c r="L1055" s="18" t="s">
        <v>129</v>
      </c>
      <c r="M1055" s="18" t="s">
        <v>129</v>
      </c>
      <c r="N1055" s="18"/>
      <c r="O1055" s="18" t="s">
        <v>4680</v>
      </c>
      <c r="P1055" s="18" t="s">
        <v>4681</v>
      </c>
      <c r="Q1055" s="18" t="s">
        <v>149</v>
      </c>
      <c r="R1055" s="18" t="s">
        <v>4682</v>
      </c>
      <c r="S1055" s="18" t="s">
        <v>133</v>
      </c>
      <c r="T1055" s="18" t="s">
        <v>1105</v>
      </c>
      <c r="U1055" s="18"/>
      <c r="V1055" s="19" t="s">
        <v>29</v>
      </c>
      <c r="W1055" s="19"/>
      <c r="X1055" s="19"/>
      <c r="Y1055" s="20"/>
      <c r="Z1055" s="19"/>
      <c r="AA1055" s="18" t="str">
        <f aca="false">IF(OR(V1055="Aprobada"),R1055,IF(AND(OR(V1055="Aprobada con ajuste",V1055="Rechazada"),W1055&lt;&gt;""),W1055,""))</f>
        <v/>
      </c>
    </row>
    <row r="1056" customFormat="false" ht="22.35" hidden="false" customHeight="false" outlineLevel="0" collapsed="false">
      <c r="A1056" s="18" t="s">
        <v>4683</v>
      </c>
      <c r="B1056" s="18" t="s">
        <v>64</v>
      </c>
      <c r="C1056" s="18" t="s">
        <v>65</v>
      </c>
      <c r="D1056" s="18" t="s">
        <v>4678</v>
      </c>
      <c r="E1056" s="18" t="n">
        <v>31</v>
      </c>
      <c r="F1056" s="18" t="s">
        <v>4684</v>
      </c>
      <c r="G1056" s="18" t="s">
        <v>186</v>
      </c>
      <c r="H1056" s="18" t="s">
        <v>162</v>
      </c>
      <c r="I1056" s="18"/>
      <c r="J1056" s="18"/>
      <c r="K1056" s="18"/>
      <c r="L1056" s="18" t="s">
        <v>129</v>
      </c>
      <c r="M1056" s="18" t="s">
        <v>129</v>
      </c>
      <c r="N1056" s="18"/>
      <c r="O1056" s="18"/>
      <c r="P1056" s="18" t="s">
        <v>4685</v>
      </c>
      <c r="Q1056" s="18" t="s">
        <v>131</v>
      </c>
      <c r="R1056" s="18" t="s">
        <v>4686</v>
      </c>
      <c r="S1056" s="18" t="s">
        <v>133</v>
      </c>
      <c r="T1056" s="18" t="s">
        <v>4687</v>
      </c>
      <c r="U1056" s="18"/>
      <c r="V1056" s="19" t="s">
        <v>29</v>
      </c>
      <c r="W1056" s="19"/>
      <c r="X1056" s="19"/>
      <c r="Y1056" s="20"/>
      <c r="Z1056" s="19"/>
      <c r="AA1056" s="18" t="str">
        <f aca="false">IF(OR(V1056="Aprobada"),R1056,IF(AND(OR(V1056="Aprobada con ajuste",V1056="Rechazada"),W1056&lt;&gt;""),W1056,""))</f>
        <v/>
      </c>
    </row>
    <row r="1057" customFormat="false" ht="22.35" hidden="false" customHeight="false" outlineLevel="0" collapsed="false">
      <c r="A1057" s="18" t="s">
        <v>4688</v>
      </c>
      <c r="B1057" s="18" t="s">
        <v>64</v>
      </c>
      <c r="C1057" s="18" t="s">
        <v>65</v>
      </c>
      <c r="D1057" s="18" t="s">
        <v>4678</v>
      </c>
      <c r="E1057" s="18" t="n">
        <v>31</v>
      </c>
      <c r="F1057" s="18" t="s">
        <v>4689</v>
      </c>
      <c r="G1057" s="18" t="s">
        <v>486</v>
      </c>
      <c r="H1057" s="18" t="s">
        <v>162</v>
      </c>
      <c r="I1057" s="18"/>
      <c r="J1057" s="18"/>
      <c r="K1057" s="18"/>
      <c r="L1057" s="18" t="s">
        <v>129</v>
      </c>
      <c r="M1057" s="18" t="s">
        <v>129</v>
      </c>
      <c r="N1057" s="18"/>
      <c r="O1057" s="18" t="s">
        <v>4690</v>
      </c>
      <c r="P1057" s="18"/>
      <c r="Q1057" s="18" t="s">
        <v>149</v>
      </c>
      <c r="R1057" s="18" t="s">
        <v>4691</v>
      </c>
      <c r="S1057" s="18" t="s">
        <v>133</v>
      </c>
      <c r="T1057" s="18" t="s">
        <v>183</v>
      </c>
      <c r="U1057" s="18"/>
      <c r="V1057" s="19" t="s">
        <v>29</v>
      </c>
      <c r="W1057" s="19"/>
      <c r="X1057" s="19"/>
      <c r="Y1057" s="20"/>
      <c r="Z1057" s="19"/>
      <c r="AA1057" s="18" t="str">
        <f aca="false">IF(OR(V1057="Aprobada"),R1057,IF(AND(OR(V1057="Aprobada con ajuste",V1057="Rechazada"),W1057&lt;&gt;""),W1057,""))</f>
        <v/>
      </c>
    </row>
    <row r="1058" customFormat="false" ht="22.35" hidden="false" customHeight="false" outlineLevel="0" collapsed="false">
      <c r="A1058" s="18" t="s">
        <v>4692</v>
      </c>
      <c r="B1058" s="18" t="s">
        <v>64</v>
      </c>
      <c r="C1058" s="18" t="s">
        <v>65</v>
      </c>
      <c r="D1058" s="18" t="s">
        <v>4678</v>
      </c>
      <c r="E1058" s="18" t="n">
        <v>31</v>
      </c>
      <c r="F1058" s="18" t="s">
        <v>4693</v>
      </c>
      <c r="G1058" s="18" t="s">
        <v>337</v>
      </c>
      <c r="H1058" s="18" t="s">
        <v>162</v>
      </c>
      <c r="I1058" s="18"/>
      <c r="J1058" s="18"/>
      <c r="K1058" s="18"/>
      <c r="L1058" s="18" t="s">
        <v>129</v>
      </c>
      <c r="M1058" s="18" t="s">
        <v>129</v>
      </c>
      <c r="N1058" s="18"/>
      <c r="O1058" s="18"/>
      <c r="P1058" s="18"/>
      <c r="Q1058" s="18" t="s">
        <v>149</v>
      </c>
      <c r="R1058" s="18" t="s">
        <v>4694</v>
      </c>
      <c r="S1058" s="18" t="s">
        <v>133</v>
      </c>
      <c r="T1058" s="18" t="s">
        <v>183</v>
      </c>
      <c r="U1058" s="18"/>
      <c r="V1058" s="19" t="s">
        <v>29</v>
      </c>
      <c r="W1058" s="19"/>
      <c r="X1058" s="19"/>
      <c r="Y1058" s="20"/>
      <c r="Z1058" s="19"/>
      <c r="AA1058" s="18" t="str">
        <f aca="false">IF(OR(V1058="Aprobada"),R1058,IF(AND(OR(V1058="Aprobada con ajuste",V1058="Rechazada"),W1058&lt;&gt;""),W1058,""))</f>
        <v/>
      </c>
    </row>
    <row r="1059" customFormat="false" ht="22.35" hidden="false" customHeight="false" outlineLevel="0" collapsed="false">
      <c r="A1059" s="18" t="s">
        <v>4695</v>
      </c>
      <c r="B1059" s="18" t="s">
        <v>64</v>
      </c>
      <c r="C1059" s="18" t="s">
        <v>65</v>
      </c>
      <c r="D1059" s="18" t="s">
        <v>4678</v>
      </c>
      <c r="E1059" s="18" t="n">
        <v>31</v>
      </c>
      <c r="F1059" s="18" t="s">
        <v>4696</v>
      </c>
      <c r="G1059" s="18" t="s">
        <v>486</v>
      </c>
      <c r="H1059" s="18" t="s">
        <v>162</v>
      </c>
      <c r="I1059" s="18"/>
      <c r="J1059" s="18"/>
      <c r="K1059" s="18"/>
      <c r="L1059" s="18" t="s">
        <v>129</v>
      </c>
      <c r="M1059" s="18" t="s">
        <v>129</v>
      </c>
      <c r="N1059" s="18"/>
      <c r="O1059" s="18"/>
      <c r="P1059" s="18" t="s">
        <v>4697</v>
      </c>
      <c r="Q1059" s="18" t="s">
        <v>149</v>
      </c>
      <c r="R1059" s="18" t="s">
        <v>4698</v>
      </c>
      <c r="S1059" s="18" t="s">
        <v>133</v>
      </c>
      <c r="T1059" s="18" t="s">
        <v>183</v>
      </c>
      <c r="U1059" s="18"/>
      <c r="V1059" s="19" t="s">
        <v>29</v>
      </c>
      <c r="W1059" s="19"/>
      <c r="X1059" s="19"/>
      <c r="Y1059" s="20"/>
      <c r="Z1059" s="19"/>
      <c r="AA1059" s="18" t="str">
        <f aca="false">IF(OR(V1059="Aprobada"),R1059,IF(AND(OR(V1059="Aprobada con ajuste",V1059="Rechazada"),W1059&lt;&gt;""),W1059,""))</f>
        <v/>
      </c>
    </row>
    <row r="1060" customFormat="false" ht="22.35" hidden="false" customHeight="false" outlineLevel="0" collapsed="false">
      <c r="A1060" s="18" t="s">
        <v>4699</v>
      </c>
      <c r="B1060" s="18" t="s">
        <v>64</v>
      </c>
      <c r="C1060" s="18" t="s">
        <v>65</v>
      </c>
      <c r="D1060" s="18" t="s">
        <v>4678</v>
      </c>
      <c r="E1060" s="18" t="n">
        <v>31</v>
      </c>
      <c r="F1060" s="18" t="s">
        <v>4700</v>
      </c>
      <c r="G1060" s="18" t="s">
        <v>337</v>
      </c>
      <c r="H1060" s="18" t="s">
        <v>162</v>
      </c>
      <c r="I1060" s="18"/>
      <c r="J1060" s="18"/>
      <c r="K1060" s="18"/>
      <c r="L1060" s="18" t="s">
        <v>129</v>
      </c>
      <c r="M1060" s="18" t="s">
        <v>129</v>
      </c>
      <c r="N1060" s="18"/>
      <c r="O1060" s="18"/>
      <c r="P1060" s="18" t="s">
        <v>4701</v>
      </c>
      <c r="Q1060" s="18" t="s">
        <v>149</v>
      </c>
      <c r="R1060" s="18" t="s">
        <v>4702</v>
      </c>
      <c r="S1060" s="18" t="s">
        <v>133</v>
      </c>
      <c r="T1060" s="18" t="s">
        <v>183</v>
      </c>
      <c r="U1060" s="18"/>
      <c r="V1060" s="19" t="s">
        <v>29</v>
      </c>
      <c r="W1060" s="19"/>
      <c r="X1060" s="19"/>
      <c r="Y1060" s="20"/>
      <c r="Z1060" s="19"/>
      <c r="AA1060" s="18" t="str">
        <f aca="false">IF(OR(V1060="Aprobada"),R1060,IF(AND(OR(V1060="Aprobada con ajuste",V1060="Rechazada"),W1060&lt;&gt;""),W1060,""))</f>
        <v/>
      </c>
    </row>
    <row r="1061" customFormat="false" ht="22.35" hidden="false" customHeight="false" outlineLevel="0" collapsed="false">
      <c r="A1061" s="18" t="s">
        <v>4703</v>
      </c>
      <c r="B1061" s="18" t="s">
        <v>64</v>
      </c>
      <c r="C1061" s="18" t="s">
        <v>65</v>
      </c>
      <c r="D1061" s="18" t="s">
        <v>4678</v>
      </c>
      <c r="E1061" s="18" t="n">
        <v>31</v>
      </c>
      <c r="F1061" s="18" t="s">
        <v>4704</v>
      </c>
      <c r="G1061" s="18" t="s">
        <v>205</v>
      </c>
      <c r="H1061" s="18" t="s">
        <v>162</v>
      </c>
      <c r="I1061" s="18"/>
      <c r="J1061" s="18"/>
      <c r="K1061" s="18"/>
      <c r="L1061" s="18" t="s">
        <v>129</v>
      </c>
      <c r="M1061" s="18" t="s">
        <v>129</v>
      </c>
      <c r="N1061" s="18"/>
      <c r="O1061" s="18"/>
      <c r="P1061" s="18" t="s">
        <v>4705</v>
      </c>
      <c r="Q1061" s="18" t="s">
        <v>149</v>
      </c>
      <c r="R1061" s="18" t="s">
        <v>4706</v>
      </c>
      <c r="S1061" s="18" t="s">
        <v>133</v>
      </c>
      <c r="T1061" s="18" t="s">
        <v>183</v>
      </c>
      <c r="U1061" s="18"/>
      <c r="V1061" s="19" t="s">
        <v>29</v>
      </c>
      <c r="W1061" s="19"/>
      <c r="X1061" s="19"/>
      <c r="Y1061" s="20"/>
      <c r="Z1061" s="19"/>
      <c r="AA1061" s="18" t="str">
        <f aca="false">IF(OR(V1061="Aprobada"),R1061,IF(AND(OR(V1061="Aprobada con ajuste",V1061="Rechazada"),W1061&lt;&gt;""),W1061,""))</f>
        <v/>
      </c>
    </row>
    <row r="1062" customFormat="false" ht="22.35" hidden="false" customHeight="false" outlineLevel="0" collapsed="false">
      <c r="A1062" s="18" t="s">
        <v>4707</v>
      </c>
      <c r="B1062" s="18" t="s">
        <v>64</v>
      </c>
      <c r="C1062" s="18" t="s">
        <v>65</v>
      </c>
      <c r="D1062" s="18" t="s">
        <v>4678</v>
      </c>
      <c r="E1062" s="18" t="n">
        <v>31</v>
      </c>
      <c r="F1062" s="18" t="s">
        <v>4478</v>
      </c>
      <c r="G1062" s="18" t="s">
        <v>4598</v>
      </c>
      <c r="H1062" s="18" t="s">
        <v>162</v>
      </c>
      <c r="I1062" s="18"/>
      <c r="J1062" s="18"/>
      <c r="K1062" s="18"/>
      <c r="L1062" s="18" t="s">
        <v>129</v>
      </c>
      <c r="M1062" s="18" t="s">
        <v>129</v>
      </c>
      <c r="N1062" s="18"/>
      <c r="O1062" s="18"/>
      <c r="P1062" s="18"/>
      <c r="Q1062" s="18" t="s">
        <v>149</v>
      </c>
      <c r="R1062" s="18" t="s">
        <v>4708</v>
      </c>
      <c r="S1062" s="18" t="s">
        <v>133</v>
      </c>
      <c r="T1062" s="18" t="s">
        <v>183</v>
      </c>
      <c r="U1062" s="18"/>
      <c r="V1062" s="19" t="s">
        <v>29</v>
      </c>
      <c r="W1062" s="19"/>
      <c r="X1062" s="19"/>
      <c r="Y1062" s="20"/>
      <c r="Z1062" s="19"/>
      <c r="AA1062" s="18" t="str">
        <f aca="false">IF(OR(V1062="Aprobada"),R1062,IF(AND(OR(V1062="Aprobada con ajuste",V1062="Rechazada"),W1062&lt;&gt;""),W1062,""))</f>
        <v/>
      </c>
    </row>
    <row r="1063" customFormat="false" ht="22.35" hidden="false" customHeight="false" outlineLevel="0" collapsed="false">
      <c r="A1063" s="18" t="s">
        <v>4709</v>
      </c>
      <c r="B1063" s="18" t="s">
        <v>64</v>
      </c>
      <c r="C1063" s="18" t="s">
        <v>65</v>
      </c>
      <c r="D1063" s="18" t="s">
        <v>4678</v>
      </c>
      <c r="E1063" s="18" t="n">
        <v>31</v>
      </c>
      <c r="F1063" s="18" t="s">
        <v>160</v>
      </c>
      <c r="G1063" s="18" t="s">
        <v>128</v>
      </c>
      <c r="H1063" s="18" t="s">
        <v>162</v>
      </c>
      <c r="I1063" s="18"/>
      <c r="J1063" s="18"/>
      <c r="K1063" s="18"/>
      <c r="L1063" s="18" t="s">
        <v>129</v>
      </c>
      <c r="M1063" s="18" t="s">
        <v>129</v>
      </c>
      <c r="N1063" s="18"/>
      <c r="O1063" s="18"/>
      <c r="P1063" s="18" t="s">
        <v>4710</v>
      </c>
      <c r="Q1063" s="18" t="s">
        <v>138</v>
      </c>
      <c r="R1063" s="18" t="s">
        <v>4711</v>
      </c>
      <c r="S1063" s="18" t="s">
        <v>140</v>
      </c>
      <c r="T1063" s="18" t="s">
        <v>141</v>
      </c>
      <c r="U1063" s="18"/>
      <c r="V1063" s="19" t="s">
        <v>29</v>
      </c>
      <c r="W1063" s="19"/>
      <c r="X1063" s="19"/>
      <c r="Y1063" s="20"/>
      <c r="Z1063" s="19"/>
      <c r="AA1063" s="18" t="str">
        <f aca="false">IF(OR(V1063="Aprobada"),R1063,IF(AND(OR(V1063="Aprobada con ajuste",V1063="Rechazada"),W1063&lt;&gt;""),W1063,""))</f>
        <v/>
      </c>
    </row>
    <row r="1064" customFormat="false" ht="22.35" hidden="false" customHeight="false" outlineLevel="0" collapsed="false">
      <c r="A1064" s="18" t="s">
        <v>4712</v>
      </c>
      <c r="B1064" s="18" t="s">
        <v>64</v>
      </c>
      <c r="C1064" s="18" t="s">
        <v>65</v>
      </c>
      <c r="D1064" s="18" t="s">
        <v>4678</v>
      </c>
      <c r="E1064" s="18" t="n">
        <v>31</v>
      </c>
      <c r="F1064" s="18" t="s">
        <v>4713</v>
      </c>
      <c r="G1064" s="18" t="s">
        <v>128</v>
      </c>
      <c r="H1064" s="18" t="s">
        <v>162</v>
      </c>
      <c r="I1064" s="18"/>
      <c r="J1064" s="18"/>
      <c r="K1064" s="18"/>
      <c r="L1064" s="18" t="s">
        <v>129</v>
      </c>
      <c r="M1064" s="18" t="s">
        <v>129</v>
      </c>
      <c r="N1064" s="18"/>
      <c r="O1064" s="18"/>
      <c r="P1064" s="18" t="s">
        <v>4714</v>
      </c>
      <c r="Q1064" s="18" t="s">
        <v>149</v>
      </c>
      <c r="R1064" s="18" t="s">
        <v>4715</v>
      </c>
      <c r="S1064" s="18" t="s">
        <v>133</v>
      </c>
      <c r="T1064" s="18" t="s">
        <v>183</v>
      </c>
      <c r="U1064" s="18"/>
      <c r="V1064" s="19" t="s">
        <v>29</v>
      </c>
      <c r="W1064" s="19"/>
      <c r="X1064" s="19"/>
      <c r="Y1064" s="20"/>
      <c r="Z1064" s="19"/>
      <c r="AA1064" s="18" t="str">
        <f aca="false">IF(OR(V1064="Aprobada"),R1064,IF(AND(OR(V1064="Aprobada con ajuste",V1064="Rechazada"),W1064&lt;&gt;""),W1064,""))</f>
        <v/>
      </c>
    </row>
    <row r="1065" customFormat="false" ht="22.35" hidden="false" customHeight="false" outlineLevel="0" collapsed="false">
      <c r="A1065" s="18" t="s">
        <v>4716</v>
      </c>
      <c r="B1065" s="18" t="s">
        <v>64</v>
      </c>
      <c r="C1065" s="18" t="s">
        <v>65</v>
      </c>
      <c r="D1065" s="18" t="s">
        <v>4678</v>
      </c>
      <c r="E1065" s="18" t="n">
        <v>31</v>
      </c>
      <c r="F1065" s="18" t="s">
        <v>4717</v>
      </c>
      <c r="G1065" s="18" t="s">
        <v>651</v>
      </c>
      <c r="H1065" s="18" t="s">
        <v>162</v>
      </c>
      <c r="I1065" s="18"/>
      <c r="J1065" s="18"/>
      <c r="K1065" s="18"/>
      <c r="L1065" s="18" t="s">
        <v>129</v>
      </c>
      <c r="M1065" s="18" t="s">
        <v>129</v>
      </c>
      <c r="N1065" s="18"/>
      <c r="O1065" s="18"/>
      <c r="P1065" s="18"/>
      <c r="Q1065" s="18" t="s">
        <v>149</v>
      </c>
      <c r="R1065" s="18" t="s">
        <v>4718</v>
      </c>
      <c r="S1065" s="18" t="s">
        <v>133</v>
      </c>
      <c r="T1065" s="18" t="s">
        <v>183</v>
      </c>
      <c r="U1065" s="18"/>
      <c r="V1065" s="19" t="s">
        <v>29</v>
      </c>
      <c r="W1065" s="19"/>
      <c r="X1065" s="19"/>
      <c r="Y1065" s="20"/>
      <c r="Z1065" s="19"/>
      <c r="AA1065" s="18" t="str">
        <f aca="false">IF(OR(V1065="Aprobada"),R1065,IF(AND(OR(V1065="Aprobada con ajuste",V1065="Rechazada"),W1065&lt;&gt;""),W1065,""))</f>
        <v/>
      </c>
    </row>
    <row r="1066" customFormat="false" ht="22.35" hidden="false" customHeight="false" outlineLevel="0" collapsed="false">
      <c r="A1066" s="18" t="s">
        <v>4719</v>
      </c>
      <c r="B1066" s="18" t="s">
        <v>64</v>
      </c>
      <c r="C1066" s="18" t="s">
        <v>65</v>
      </c>
      <c r="D1066" s="18" t="s">
        <v>4678</v>
      </c>
      <c r="E1066" s="18" t="n">
        <v>31</v>
      </c>
      <c r="F1066" s="18" t="s">
        <v>4720</v>
      </c>
      <c r="G1066" s="18" t="s">
        <v>486</v>
      </c>
      <c r="H1066" s="18" t="s">
        <v>162</v>
      </c>
      <c r="I1066" s="18"/>
      <c r="J1066" s="18"/>
      <c r="K1066" s="18"/>
      <c r="L1066" s="18" t="s">
        <v>129</v>
      </c>
      <c r="M1066" s="18" t="s">
        <v>129</v>
      </c>
      <c r="N1066" s="18"/>
      <c r="O1066" s="18" t="s">
        <v>4721</v>
      </c>
      <c r="P1066" s="18"/>
      <c r="Q1066" s="18" t="s">
        <v>149</v>
      </c>
      <c r="R1066" s="18" t="s">
        <v>4722</v>
      </c>
      <c r="S1066" s="18" t="s">
        <v>140</v>
      </c>
      <c r="T1066" s="18" t="s">
        <v>183</v>
      </c>
      <c r="U1066" s="18" t="s">
        <v>4723</v>
      </c>
      <c r="V1066" s="19" t="s">
        <v>29</v>
      </c>
      <c r="W1066" s="19"/>
      <c r="X1066" s="19"/>
      <c r="Y1066" s="20"/>
      <c r="Z1066" s="19"/>
      <c r="AA1066" s="18" t="str">
        <f aca="false">IF(OR(V1066="Aprobada"),R1066,IF(AND(OR(V1066="Aprobada con ajuste",V1066="Rechazada"),W1066&lt;&gt;""),W1066,""))</f>
        <v/>
      </c>
    </row>
    <row r="1067" customFormat="false" ht="22.35" hidden="false" customHeight="false" outlineLevel="0" collapsed="false">
      <c r="A1067" s="18" t="s">
        <v>4724</v>
      </c>
      <c r="B1067" s="18" t="s">
        <v>64</v>
      </c>
      <c r="C1067" s="18" t="s">
        <v>65</v>
      </c>
      <c r="D1067" s="18" t="s">
        <v>4678</v>
      </c>
      <c r="E1067" s="18" t="n">
        <v>31</v>
      </c>
      <c r="F1067" s="18" t="s">
        <v>4725</v>
      </c>
      <c r="G1067" s="18" t="s">
        <v>651</v>
      </c>
      <c r="H1067" s="18" t="s">
        <v>162</v>
      </c>
      <c r="I1067" s="18"/>
      <c r="J1067" s="18"/>
      <c r="K1067" s="18"/>
      <c r="L1067" s="18" t="s">
        <v>129</v>
      </c>
      <c r="M1067" s="18" t="s">
        <v>129</v>
      </c>
      <c r="N1067" s="18"/>
      <c r="O1067" s="18"/>
      <c r="P1067" s="18"/>
      <c r="Q1067" s="18" t="s">
        <v>149</v>
      </c>
      <c r="R1067" s="18" t="s">
        <v>4726</v>
      </c>
      <c r="S1067" s="18" t="s">
        <v>133</v>
      </c>
      <c r="T1067" s="18" t="s">
        <v>183</v>
      </c>
      <c r="U1067" s="18"/>
      <c r="V1067" s="19" t="s">
        <v>29</v>
      </c>
      <c r="W1067" s="19"/>
      <c r="X1067" s="19"/>
      <c r="Y1067" s="20"/>
      <c r="Z1067" s="19"/>
      <c r="AA1067" s="18" t="str">
        <f aca="false">IF(OR(V1067="Aprobada"),R1067,IF(AND(OR(V1067="Aprobada con ajuste",V1067="Rechazada"),W1067&lt;&gt;""),W1067,""))</f>
        <v/>
      </c>
    </row>
    <row r="1068" customFormat="false" ht="22.35" hidden="false" customHeight="false" outlineLevel="0" collapsed="false">
      <c r="A1068" s="18" t="s">
        <v>4727</v>
      </c>
      <c r="B1068" s="18" t="s">
        <v>64</v>
      </c>
      <c r="C1068" s="18" t="s">
        <v>65</v>
      </c>
      <c r="D1068" s="18" t="s">
        <v>4678</v>
      </c>
      <c r="E1068" s="18" t="n">
        <v>31</v>
      </c>
      <c r="F1068" s="18" t="s">
        <v>4728</v>
      </c>
      <c r="G1068" s="18" t="s">
        <v>312</v>
      </c>
      <c r="H1068" s="18" t="s">
        <v>162</v>
      </c>
      <c r="I1068" s="18"/>
      <c r="J1068" s="18"/>
      <c r="K1068" s="18"/>
      <c r="L1068" s="18" t="s">
        <v>129</v>
      </c>
      <c r="M1068" s="18" t="s">
        <v>129</v>
      </c>
      <c r="N1068" s="18"/>
      <c r="O1068" s="18" t="s">
        <v>4729</v>
      </c>
      <c r="P1068" s="18" t="s">
        <v>4730</v>
      </c>
      <c r="Q1068" s="18" t="s">
        <v>149</v>
      </c>
      <c r="R1068" s="18" t="s">
        <v>4731</v>
      </c>
      <c r="S1068" s="18" t="s">
        <v>140</v>
      </c>
      <c r="T1068" s="18" t="s">
        <v>183</v>
      </c>
      <c r="U1068" s="18" t="s">
        <v>4367</v>
      </c>
      <c r="V1068" s="19" t="s">
        <v>29</v>
      </c>
      <c r="W1068" s="19"/>
      <c r="X1068" s="19"/>
      <c r="Y1068" s="20"/>
      <c r="Z1068" s="19"/>
      <c r="AA1068" s="18" t="str">
        <f aca="false">IF(OR(V1068="Aprobada"),R1068,IF(AND(OR(V1068="Aprobada con ajuste",V1068="Rechazada"),W1068&lt;&gt;""),W1068,""))</f>
        <v/>
      </c>
    </row>
    <row r="1069" customFormat="false" ht="22.35" hidden="false" customHeight="false" outlineLevel="0" collapsed="false">
      <c r="A1069" s="18" t="s">
        <v>4732</v>
      </c>
      <c r="B1069" s="18" t="s">
        <v>64</v>
      </c>
      <c r="C1069" s="18" t="s">
        <v>65</v>
      </c>
      <c r="D1069" s="18" t="s">
        <v>4678</v>
      </c>
      <c r="E1069" s="18" t="n">
        <v>31</v>
      </c>
      <c r="F1069" s="18" t="s">
        <v>4733</v>
      </c>
      <c r="G1069" s="18" t="s">
        <v>337</v>
      </c>
      <c r="H1069" s="18" t="s">
        <v>162</v>
      </c>
      <c r="I1069" s="18"/>
      <c r="J1069" s="18"/>
      <c r="K1069" s="18"/>
      <c r="L1069" s="18" t="s">
        <v>129</v>
      </c>
      <c r="M1069" s="18" t="s">
        <v>129</v>
      </c>
      <c r="N1069" s="18"/>
      <c r="O1069" s="18"/>
      <c r="P1069" s="18" t="s">
        <v>4734</v>
      </c>
      <c r="Q1069" s="18" t="s">
        <v>149</v>
      </c>
      <c r="R1069" s="18" t="s">
        <v>4735</v>
      </c>
      <c r="S1069" s="18" t="s">
        <v>133</v>
      </c>
      <c r="T1069" s="18" t="s">
        <v>183</v>
      </c>
      <c r="U1069" s="18"/>
      <c r="V1069" s="19" t="s">
        <v>29</v>
      </c>
      <c r="W1069" s="19"/>
      <c r="X1069" s="19"/>
      <c r="Y1069" s="20"/>
      <c r="Z1069" s="19"/>
      <c r="AA1069" s="18" t="str">
        <f aca="false">IF(OR(V1069="Aprobada"),R1069,IF(AND(OR(V1069="Aprobada con ajuste",V1069="Rechazada"),W1069&lt;&gt;""),W1069,""))</f>
        <v/>
      </c>
    </row>
    <row r="1070" customFormat="false" ht="22.35" hidden="false" customHeight="false" outlineLevel="0" collapsed="false">
      <c r="A1070" s="18" t="s">
        <v>4736</v>
      </c>
      <c r="B1070" s="18" t="s">
        <v>64</v>
      </c>
      <c r="C1070" s="18" t="s">
        <v>65</v>
      </c>
      <c r="D1070" s="18" t="s">
        <v>4678</v>
      </c>
      <c r="E1070" s="18" t="n">
        <v>31</v>
      </c>
      <c r="F1070" s="18" t="s">
        <v>4737</v>
      </c>
      <c r="G1070" s="18" t="s">
        <v>317</v>
      </c>
      <c r="H1070" s="18" t="s">
        <v>162</v>
      </c>
      <c r="I1070" s="18"/>
      <c r="J1070" s="18"/>
      <c r="K1070" s="18"/>
      <c r="L1070" s="18" t="s">
        <v>129</v>
      </c>
      <c r="M1070" s="18" t="s">
        <v>129</v>
      </c>
      <c r="N1070" s="18"/>
      <c r="O1070" s="18"/>
      <c r="P1070" s="18" t="s">
        <v>4738</v>
      </c>
      <c r="Q1070" s="18" t="s">
        <v>138</v>
      </c>
      <c r="R1070" s="18" t="s">
        <v>4739</v>
      </c>
      <c r="S1070" s="18" t="s">
        <v>140</v>
      </c>
      <c r="T1070" s="18" t="s">
        <v>141</v>
      </c>
      <c r="U1070" s="18"/>
      <c r="V1070" s="19" t="s">
        <v>29</v>
      </c>
      <c r="W1070" s="19"/>
      <c r="X1070" s="19"/>
      <c r="Y1070" s="20"/>
      <c r="Z1070" s="19"/>
      <c r="AA1070" s="18" t="str">
        <f aca="false">IF(OR(V1070="Aprobada"),R1070,IF(AND(OR(V1070="Aprobada con ajuste",V1070="Rechazada"),W1070&lt;&gt;""),W1070,""))</f>
        <v/>
      </c>
    </row>
    <row r="1071" customFormat="false" ht="32.8" hidden="false" customHeight="false" outlineLevel="0" collapsed="false">
      <c r="A1071" s="18" t="s">
        <v>4740</v>
      </c>
      <c r="B1071" s="18" t="s">
        <v>64</v>
      </c>
      <c r="C1071" s="18" t="s">
        <v>65</v>
      </c>
      <c r="D1071" s="18" t="s">
        <v>4678</v>
      </c>
      <c r="E1071" s="18" t="n">
        <v>31</v>
      </c>
      <c r="F1071" s="18" t="s">
        <v>185</v>
      </c>
      <c r="G1071" s="18" t="s">
        <v>186</v>
      </c>
      <c r="H1071" s="18" t="s">
        <v>162</v>
      </c>
      <c r="I1071" s="18"/>
      <c r="J1071" s="18"/>
      <c r="K1071" s="18"/>
      <c r="L1071" s="18" t="s">
        <v>129</v>
      </c>
      <c r="M1071" s="18" t="s">
        <v>129</v>
      </c>
      <c r="N1071" s="18"/>
      <c r="O1071" s="18" t="s">
        <v>4741</v>
      </c>
      <c r="P1071" s="18" t="s">
        <v>4742</v>
      </c>
      <c r="Q1071" s="18" t="s">
        <v>131</v>
      </c>
      <c r="R1071" s="18" t="s">
        <v>4743</v>
      </c>
      <c r="S1071" s="18" t="s">
        <v>140</v>
      </c>
      <c r="T1071" s="18" t="s">
        <v>4744</v>
      </c>
      <c r="U1071" s="18" t="s">
        <v>4745</v>
      </c>
      <c r="V1071" s="19" t="s">
        <v>29</v>
      </c>
      <c r="W1071" s="19"/>
      <c r="X1071" s="19"/>
      <c r="Y1071" s="20"/>
      <c r="Z1071" s="19"/>
      <c r="AA1071" s="18" t="str">
        <f aca="false">IF(OR(V1071="Aprobada"),R1071,IF(AND(OR(V1071="Aprobada con ajuste",V1071="Rechazada"),W1071&lt;&gt;""),W1071,""))</f>
        <v/>
      </c>
    </row>
    <row r="1072" customFormat="false" ht="22.35" hidden="false" customHeight="false" outlineLevel="0" collapsed="false">
      <c r="A1072" s="18" t="s">
        <v>4746</v>
      </c>
      <c r="B1072" s="18" t="s">
        <v>64</v>
      </c>
      <c r="C1072" s="18" t="s">
        <v>65</v>
      </c>
      <c r="D1072" s="18" t="s">
        <v>4678</v>
      </c>
      <c r="E1072" s="18" t="n">
        <v>31</v>
      </c>
      <c r="F1072" s="18" t="s">
        <v>4747</v>
      </c>
      <c r="G1072" s="18" t="s">
        <v>317</v>
      </c>
      <c r="H1072" s="18" t="s">
        <v>162</v>
      </c>
      <c r="I1072" s="18"/>
      <c r="J1072" s="18"/>
      <c r="K1072" s="18"/>
      <c r="L1072" s="18" t="s">
        <v>129</v>
      </c>
      <c r="M1072" s="18" t="s">
        <v>129</v>
      </c>
      <c r="N1072" s="18"/>
      <c r="O1072" s="18" t="s">
        <v>4748</v>
      </c>
      <c r="P1072" s="18"/>
      <c r="Q1072" s="18" t="s">
        <v>138</v>
      </c>
      <c r="R1072" s="18" t="s">
        <v>4749</v>
      </c>
      <c r="S1072" s="18" t="s">
        <v>140</v>
      </c>
      <c r="T1072" s="18" t="s">
        <v>141</v>
      </c>
      <c r="U1072" s="18"/>
      <c r="V1072" s="19" t="s">
        <v>29</v>
      </c>
      <c r="W1072" s="19"/>
      <c r="X1072" s="19"/>
      <c r="Y1072" s="20"/>
      <c r="Z1072" s="19"/>
      <c r="AA1072" s="18" t="str">
        <f aca="false">IF(OR(V1072="Aprobada"),R1072,IF(AND(OR(V1072="Aprobada con ajuste",V1072="Rechazada"),W1072&lt;&gt;""),W1072,""))</f>
        <v/>
      </c>
    </row>
    <row r="1073" customFormat="false" ht="22.35" hidden="false" customHeight="false" outlineLevel="0" collapsed="false">
      <c r="A1073" s="18" t="s">
        <v>4750</v>
      </c>
      <c r="B1073" s="18" t="s">
        <v>64</v>
      </c>
      <c r="C1073" s="18" t="s">
        <v>65</v>
      </c>
      <c r="D1073" s="18" t="s">
        <v>4678</v>
      </c>
      <c r="E1073" s="18" t="n">
        <v>31</v>
      </c>
      <c r="F1073" s="18" t="s">
        <v>326</v>
      </c>
      <c r="G1073" s="18" t="s">
        <v>317</v>
      </c>
      <c r="H1073" s="18" t="s">
        <v>162</v>
      </c>
      <c r="I1073" s="18"/>
      <c r="J1073" s="18"/>
      <c r="K1073" s="18"/>
      <c r="L1073" s="18" t="s">
        <v>129</v>
      </c>
      <c r="M1073" s="18" t="s">
        <v>129</v>
      </c>
      <c r="N1073" s="18"/>
      <c r="O1073" s="18"/>
      <c r="P1073" s="18"/>
      <c r="Q1073" s="18" t="s">
        <v>138</v>
      </c>
      <c r="R1073" s="18" t="s">
        <v>328</v>
      </c>
      <c r="S1073" s="18" t="s">
        <v>140</v>
      </c>
      <c r="T1073" s="18" t="s">
        <v>141</v>
      </c>
      <c r="U1073" s="18"/>
      <c r="V1073" s="19" t="s">
        <v>29</v>
      </c>
      <c r="W1073" s="19"/>
      <c r="X1073" s="19"/>
      <c r="Y1073" s="20"/>
      <c r="Z1073" s="19"/>
      <c r="AA1073" s="18" t="str">
        <f aca="false">IF(OR(V1073="Aprobada"),R1073,IF(AND(OR(V1073="Aprobada con ajuste",V1073="Rechazada"),W1073&lt;&gt;""),W1073,""))</f>
        <v/>
      </c>
    </row>
    <row r="1074" customFormat="false" ht="22.35" hidden="false" customHeight="false" outlineLevel="0" collapsed="false">
      <c r="A1074" s="18" t="s">
        <v>4751</v>
      </c>
      <c r="B1074" s="18" t="s">
        <v>64</v>
      </c>
      <c r="C1074" s="18" t="s">
        <v>65</v>
      </c>
      <c r="D1074" s="18" t="s">
        <v>4678</v>
      </c>
      <c r="E1074" s="18" t="n">
        <v>31</v>
      </c>
      <c r="F1074" s="18" t="s">
        <v>4752</v>
      </c>
      <c r="G1074" s="18" t="s">
        <v>503</v>
      </c>
      <c r="H1074" s="18" t="s">
        <v>162</v>
      </c>
      <c r="I1074" s="18"/>
      <c r="J1074" s="18"/>
      <c r="K1074" s="18"/>
      <c r="L1074" s="18" t="s">
        <v>129</v>
      </c>
      <c r="M1074" s="18" t="s">
        <v>129</v>
      </c>
      <c r="N1074" s="18"/>
      <c r="O1074" s="18"/>
      <c r="P1074" s="18"/>
      <c r="Q1074" s="18" t="s">
        <v>149</v>
      </c>
      <c r="R1074" s="18" t="s">
        <v>4753</v>
      </c>
      <c r="S1074" s="18" t="s">
        <v>140</v>
      </c>
      <c r="T1074" s="18" t="s">
        <v>169</v>
      </c>
      <c r="U1074" s="18" t="s">
        <v>4754</v>
      </c>
      <c r="V1074" s="19" t="s">
        <v>29</v>
      </c>
      <c r="W1074" s="19"/>
      <c r="X1074" s="19"/>
      <c r="Y1074" s="20"/>
      <c r="Z1074" s="19"/>
      <c r="AA1074" s="18" t="str">
        <f aca="false">IF(OR(V1074="Aprobada"),R1074,IF(AND(OR(V1074="Aprobada con ajuste",V1074="Rechazada"),W1074&lt;&gt;""),W1074,""))</f>
        <v/>
      </c>
    </row>
    <row r="1075" customFormat="false" ht="22.35" hidden="false" customHeight="false" outlineLevel="0" collapsed="false">
      <c r="A1075" s="18" t="s">
        <v>4755</v>
      </c>
      <c r="B1075" s="18" t="s">
        <v>64</v>
      </c>
      <c r="C1075" s="18" t="s">
        <v>65</v>
      </c>
      <c r="D1075" s="18" t="s">
        <v>4678</v>
      </c>
      <c r="E1075" s="18" t="n">
        <v>31</v>
      </c>
      <c r="F1075" s="18" t="s">
        <v>4756</v>
      </c>
      <c r="G1075" s="18" t="s">
        <v>503</v>
      </c>
      <c r="H1075" s="18" t="s">
        <v>162</v>
      </c>
      <c r="I1075" s="18"/>
      <c r="J1075" s="18"/>
      <c r="K1075" s="18"/>
      <c r="L1075" s="18" t="s">
        <v>129</v>
      </c>
      <c r="M1075" s="18" t="s">
        <v>129</v>
      </c>
      <c r="N1075" s="18"/>
      <c r="O1075" s="18"/>
      <c r="P1075" s="18"/>
      <c r="Q1075" s="18" t="s">
        <v>149</v>
      </c>
      <c r="R1075" s="18" t="s">
        <v>4757</v>
      </c>
      <c r="S1075" s="18" t="s">
        <v>140</v>
      </c>
      <c r="T1075" s="18" t="s">
        <v>169</v>
      </c>
      <c r="U1075" s="18" t="s">
        <v>4758</v>
      </c>
      <c r="V1075" s="19" t="s">
        <v>29</v>
      </c>
      <c r="W1075" s="19"/>
      <c r="X1075" s="19"/>
      <c r="Y1075" s="20"/>
      <c r="Z1075" s="19"/>
      <c r="AA1075" s="18" t="str">
        <f aca="false">IF(OR(V1075="Aprobada"),R1075,IF(AND(OR(V1075="Aprobada con ajuste",V1075="Rechazada"),W1075&lt;&gt;""),W1075,""))</f>
        <v/>
      </c>
    </row>
    <row r="1076" customFormat="false" ht="22.35" hidden="false" customHeight="false" outlineLevel="0" collapsed="false">
      <c r="A1076" s="18" t="s">
        <v>4759</v>
      </c>
      <c r="B1076" s="18" t="s">
        <v>64</v>
      </c>
      <c r="C1076" s="18" t="s">
        <v>65</v>
      </c>
      <c r="D1076" s="18" t="s">
        <v>4678</v>
      </c>
      <c r="E1076" s="18" t="n">
        <v>31</v>
      </c>
      <c r="F1076" s="18" t="s">
        <v>4760</v>
      </c>
      <c r="G1076" s="18" t="s">
        <v>173</v>
      </c>
      <c r="H1076" s="18" t="s">
        <v>162</v>
      </c>
      <c r="I1076" s="18"/>
      <c r="J1076" s="18"/>
      <c r="K1076" s="18"/>
      <c r="L1076" s="18" t="s">
        <v>129</v>
      </c>
      <c r="M1076" s="18" t="s">
        <v>129</v>
      </c>
      <c r="N1076" s="18"/>
      <c r="O1076" s="18"/>
      <c r="P1076" s="18"/>
      <c r="Q1076" s="18" t="s">
        <v>138</v>
      </c>
      <c r="R1076" s="18" t="s">
        <v>4761</v>
      </c>
      <c r="S1076" s="18" t="s">
        <v>140</v>
      </c>
      <c r="T1076" s="18" t="s">
        <v>141</v>
      </c>
      <c r="U1076" s="18"/>
      <c r="V1076" s="19" t="s">
        <v>29</v>
      </c>
      <c r="W1076" s="19"/>
      <c r="X1076" s="19"/>
      <c r="Y1076" s="20"/>
      <c r="Z1076" s="19"/>
      <c r="AA1076" s="18" t="str">
        <f aca="false">IF(OR(V1076="Aprobada"),R1076,IF(AND(OR(V1076="Aprobada con ajuste",V1076="Rechazada"),W1076&lt;&gt;""),W1076,""))</f>
        <v/>
      </c>
    </row>
    <row r="1077" customFormat="false" ht="22.35" hidden="false" customHeight="false" outlineLevel="0" collapsed="false">
      <c r="A1077" s="18" t="s">
        <v>4762</v>
      </c>
      <c r="B1077" s="18" t="s">
        <v>64</v>
      </c>
      <c r="C1077" s="18" t="s">
        <v>65</v>
      </c>
      <c r="D1077" s="18" t="s">
        <v>4678</v>
      </c>
      <c r="E1077" s="18" t="n">
        <v>31</v>
      </c>
      <c r="F1077" s="18" t="s">
        <v>4763</v>
      </c>
      <c r="G1077" s="18" t="s">
        <v>317</v>
      </c>
      <c r="H1077" s="18" t="s">
        <v>162</v>
      </c>
      <c r="I1077" s="18"/>
      <c r="J1077" s="18"/>
      <c r="K1077" s="18"/>
      <c r="L1077" s="18" t="s">
        <v>129</v>
      </c>
      <c r="M1077" s="18" t="s">
        <v>129</v>
      </c>
      <c r="N1077" s="18"/>
      <c r="O1077" s="18"/>
      <c r="P1077" s="18"/>
      <c r="Q1077" s="18" t="s">
        <v>138</v>
      </c>
      <c r="R1077" s="18" t="s">
        <v>4764</v>
      </c>
      <c r="S1077" s="18" t="s">
        <v>140</v>
      </c>
      <c r="T1077" s="18" t="s">
        <v>141</v>
      </c>
      <c r="U1077" s="18"/>
      <c r="V1077" s="19" t="s">
        <v>29</v>
      </c>
      <c r="W1077" s="19"/>
      <c r="X1077" s="19"/>
      <c r="Y1077" s="20"/>
      <c r="Z1077" s="19"/>
      <c r="AA1077" s="18" t="str">
        <f aca="false">IF(OR(V1077="Aprobada"),R1077,IF(AND(OR(V1077="Aprobada con ajuste",V1077="Rechazada"),W1077&lt;&gt;""),W1077,""))</f>
        <v/>
      </c>
    </row>
    <row r="1078" customFormat="false" ht="22.35" hidden="false" customHeight="false" outlineLevel="0" collapsed="false">
      <c r="A1078" s="18" t="s">
        <v>4765</v>
      </c>
      <c r="B1078" s="18" t="s">
        <v>64</v>
      </c>
      <c r="C1078" s="18" t="s">
        <v>65</v>
      </c>
      <c r="D1078" s="18" t="s">
        <v>4678</v>
      </c>
      <c r="E1078" s="18" t="n">
        <v>31</v>
      </c>
      <c r="F1078" s="18" t="s">
        <v>4766</v>
      </c>
      <c r="G1078" s="18" t="s">
        <v>128</v>
      </c>
      <c r="H1078" s="18" t="s">
        <v>162</v>
      </c>
      <c r="I1078" s="18"/>
      <c r="J1078" s="18"/>
      <c r="K1078" s="18"/>
      <c r="L1078" s="18" t="s">
        <v>129</v>
      </c>
      <c r="M1078" s="18" t="s">
        <v>129</v>
      </c>
      <c r="N1078" s="18"/>
      <c r="O1078" s="18"/>
      <c r="P1078" s="18"/>
      <c r="Q1078" s="18" t="s">
        <v>138</v>
      </c>
      <c r="R1078" s="18" t="s">
        <v>4767</v>
      </c>
      <c r="S1078" s="18" t="s">
        <v>140</v>
      </c>
      <c r="T1078" s="18" t="s">
        <v>141</v>
      </c>
      <c r="U1078" s="18"/>
      <c r="V1078" s="19" t="s">
        <v>29</v>
      </c>
      <c r="W1078" s="19"/>
      <c r="X1078" s="19"/>
      <c r="Y1078" s="20"/>
      <c r="Z1078" s="19"/>
      <c r="AA1078" s="18" t="str">
        <f aca="false">IF(OR(V1078="Aprobada"),R1078,IF(AND(OR(V1078="Aprobada con ajuste",V1078="Rechazada"),W1078&lt;&gt;""),W1078,""))</f>
        <v/>
      </c>
    </row>
    <row r="1079" customFormat="false" ht="22.35" hidden="false" customHeight="false" outlineLevel="0" collapsed="false">
      <c r="A1079" s="18" t="s">
        <v>4768</v>
      </c>
      <c r="B1079" s="18" t="s">
        <v>64</v>
      </c>
      <c r="C1079" s="18" t="s">
        <v>65</v>
      </c>
      <c r="D1079" s="18" t="s">
        <v>4678</v>
      </c>
      <c r="E1079" s="18" t="n">
        <v>31</v>
      </c>
      <c r="F1079" s="18" t="s">
        <v>4769</v>
      </c>
      <c r="G1079" s="18" t="s">
        <v>173</v>
      </c>
      <c r="H1079" s="18" t="s">
        <v>162</v>
      </c>
      <c r="I1079" s="18"/>
      <c r="J1079" s="18"/>
      <c r="K1079" s="18"/>
      <c r="L1079" s="18" t="s">
        <v>129</v>
      </c>
      <c r="M1079" s="18" t="s">
        <v>129</v>
      </c>
      <c r="N1079" s="18"/>
      <c r="O1079" s="18"/>
      <c r="P1079" s="18"/>
      <c r="Q1079" s="18" t="s">
        <v>138</v>
      </c>
      <c r="R1079" s="18" t="s">
        <v>4770</v>
      </c>
      <c r="S1079" s="18" t="s">
        <v>140</v>
      </c>
      <c r="T1079" s="18" t="s">
        <v>141</v>
      </c>
      <c r="U1079" s="18"/>
      <c r="V1079" s="19" t="s">
        <v>29</v>
      </c>
      <c r="W1079" s="19"/>
      <c r="X1079" s="19"/>
      <c r="Y1079" s="20"/>
      <c r="Z1079" s="19"/>
      <c r="AA1079" s="18" t="str">
        <f aca="false">IF(OR(V1079="Aprobada"),R1079,IF(AND(OR(V1079="Aprobada con ajuste",V1079="Rechazada"),W1079&lt;&gt;""),W1079,""))</f>
        <v/>
      </c>
    </row>
    <row r="1080" customFormat="false" ht="22.35" hidden="false" customHeight="false" outlineLevel="0" collapsed="false">
      <c r="A1080" s="18" t="s">
        <v>4771</v>
      </c>
      <c r="B1080" s="18" t="s">
        <v>64</v>
      </c>
      <c r="C1080" s="18" t="s">
        <v>65</v>
      </c>
      <c r="D1080" s="18" t="s">
        <v>4678</v>
      </c>
      <c r="E1080" s="18" t="n">
        <v>31</v>
      </c>
      <c r="F1080" s="18" t="s">
        <v>4772</v>
      </c>
      <c r="G1080" s="18" t="s">
        <v>651</v>
      </c>
      <c r="H1080" s="18" t="s">
        <v>162</v>
      </c>
      <c r="I1080" s="18"/>
      <c r="J1080" s="18"/>
      <c r="K1080" s="18"/>
      <c r="L1080" s="18" t="s">
        <v>129</v>
      </c>
      <c r="M1080" s="18" t="s">
        <v>129</v>
      </c>
      <c r="N1080" s="18"/>
      <c r="O1080" s="18"/>
      <c r="P1080" s="18"/>
      <c r="Q1080" s="18" t="s">
        <v>149</v>
      </c>
      <c r="R1080" s="18" t="s">
        <v>4773</v>
      </c>
      <c r="S1080" s="18" t="s">
        <v>140</v>
      </c>
      <c r="T1080" s="18" t="s">
        <v>4774</v>
      </c>
      <c r="U1080" s="18" t="s">
        <v>4775</v>
      </c>
      <c r="V1080" s="19" t="s">
        <v>29</v>
      </c>
      <c r="W1080" s="19"/>
      <c r="X1080" s="19"/>
      <c r="Y1080" s="20"/>
      <c r="Z1080" s="19"/>
      <c r="AA1080" s="18" t="str">
        <f aca="false">IF(OR(V1080="Aprobada"),R1080,IF(AND(OR(V1080="Aprobada con ajuste",V1080="Rechazada"),W1080&lt;&gt;""),W1080,""))</f>
        <v/>
      </c>
    </row>
    <row r="1081" customFormat="false" ht="32.8" hidden="false" customHeight="false" outlineLevel="0" collapsed="false">
      <c r="A1081" s="18" t="s">
        <v>4776</v>
      </c>
      <c r="B1081" s="18" t="s">
        <v>64</v>
      </c>
      <c r="C1081" s="18" t="s">
        <v>65</v>
      </c>
      <c r="D1081" s="18" t="s">
        <v>4678</v>
      </c>
      <c r="E1081" s="18" t="n">
        <v>31</v>
      </c>
      <c r="F1081" s="18" t="s">
        <v>4777</v>
      </c>
      <c r="G1081" s="18" t="s">
        <v>205</v>
      </c>
      <c r="H1081" s="18" t="s">
        <v>162</v>
      </c>
      <c r="I1081" s="18"/>
      <c r="J1081" s="18"/>
      <c r="K1081" s="18"/>
      <c r="L1081" s="18" t="s">
        <v>129</v>
      </c>
      <c r="M1081" s="18" t="s">
        <v>129</v>
      </c>
      <c r="N1081" s="18"/>
      <c r="O1081" s="18"/>
      <c r="P1081" s="18" t="s">
        <v>4778</v>
      </c>
      <c r="Q1081" s="18" t="s">
        <v>131</v>
      </c>
      <c r="R1081" s="18" t="s">
        <v>4779</v>
      </c>
      <c r="S1081" s="18" t="s">
        <v>140</v>
      </c>
      <c r="T1081" s="18" t="s">
        <v>4780</v>
      </c>
      <c r="U1081" s="18" t="s">
        <v>4781</v>
      </c>
      <c r="V1081" s="19" t="s">
        <v>29</v>
      </c>
      <c r="W1081" s="19"/>
      <c r="X1081" s="19"/>
      <c r="Y1081" s="20"/>
      <c r="Z1081" s="19"/>
      <c r="AA1081" s="18" t="str">
        <f aca="false">IF(OR(V1081="Aprobada"),R1081,IF(AND(OR(V1081="Aprobada con ajuste",V1081="Rechazada"),W1081&lt;&gt;""),W1081,""))</f>
        <v/>
      </c>
    </row>
    <row r="1082" customFormat="false" ht="22.35" hidden="false" customHeight="false" outlineLevel="0" collapsed="false">
      <c r="A1082" s="18" t="s">
        <v>4782</v>
      </c>
      <c r="B1082" s="18" t="s">
        <v>64</v>
      </c>
      <c r="C1082" s="18" t="s">
        <v>65</v>
      </c>
      <c r="D1082" s="18" t="s">
        <v>4678</v>
      </c>
      <c r="E1082" s="18" t="n">
        <v>31</v>
      </c>
      <c r="F1082" s="18" t="s">
        <v>4783</v>
      </c>
      <c r="G1082" s="18" t="s">
        <v>317</v>
      </c>
      <c r="H1082" s="18" t="s">
        <v>162</v>
      </c>
      <c r="I1082" s="18"/>
      <c r="J1082" s="18"/>
      <c r="K1082" s="18"/>
      <c r="L1082" s="18" t="s">
        <v>129</v>
      </c>
      <c r="M1082" s="18" t="s">
        <v>129</v>
      </c>
      <c r="N1082" s="18"/>
      <c r="O1082" s="18"/>
      <c r="P1082" s="18" t="s">
        <v>4784</v>
      </c>
      <c r="Q1082" s="18" t="s">
        <v>138</v>
      </c>
      <c r="R1082" s="18" t="s">
        <v>4785</v>
      </c>
      <c r="S1082" s="18" t="s">
        <v>140</v>
      </c>
      <c r="T1082" s="18" t="s">
        <v>141</v>
      </c>
      <c r="U1082" s="18"/>
      <c r="V1082" s="19" t="s">
        <v>29</v>
      </c>
      <c r="W1082" s="19"/>
      <c r="X1082" s="19"/>
      <c r="Y1082" s="20"/>
      <c r="Z1082" s="19"/>
      <c r="AA1082" s="18" t="str">
        <f aca="false">IF(OR(V1082="Aprobada"),R1082,IF(AND(OR(V1082="Aprobada con ajuste",V1082="Rechazada"),W1082&lt;&gt;""),W1082,""))</f>
        <v/>
      </c>
    </row>
    <row r="1083" customFormat="false" ht="22.35" hidden="false" customHeight="false" outlineLevel="0" collapsed="false">
      <c r="A1083" s="18" t="s">
        <v>4786</v>
      </c>
      <c r="B1083" s="18" t="s">
        <v>64</v>
      </c>
      <c r="C1083" s="18" t="s">
        <v>65</v>
      </c>
      <c r="D1083" s="18" t="s">
        <v>4678</v>
      </c>
      <c r="E1083" s="18" t="n">
        <v>31</v>
      </c>
      <c r="F1083" s="18" t="s">
        <v>4787</v>
      </c>
      <c r="G1083" s="18" t="s">
        <v>317</v>
      </c>
      <c r="H1083" s="18" t="s">
        <v>162</v>
      </c>
      <c r="I1083" s="18"/>
      <c r="J1083" s="18"/>
      <c r="K1083" s="18"/>
      <c r="L1083" s="18" t="s">
        <v>129</v>
      </c>
      <c r="M1083" s="18" t="s">
        <v>129</v>
      </c>
      <c r="N1083" s="18"/>
      <c r="O1083" s="18" t="s">
        <v>4788</v>
      </c>
      <c r="P1083" s="18" t="s">
        <v>4789</v>
      </c>
      <c r="Q1083" s="18" t="s">
        <v>138</v>
      </c>
      <c r="R1083" s="18" t="s">
        <v>4790</v>
      </c>
      <c r="S1083" s="18" t="s">
        <v>140</v>
      </c>
      <c r="T1083" s="18" t="s">
        <v>141</v>
      </c>
      <c r="U1083" s="18"/>
      <c r="V1083" s="19" t="s">
        <v>29</v>
      </c>
      <c r="W1083" s="19"/>
      <c r="X1083" s="19"/>
      <c r="Y1083" s="20"/>
      <c r="Z1083" s="19"/>
      <c r="AA1083" s="18" t="str">
        <f aca="false">IF(OR(V1083="Aprobada"),R1083,IF(AND(OR(V1083="Aprobada con ajuste",V1083="Rechazada"),W1083&lt;&gt;""),W1083,""))</f>
        <v/>
      </c>
    </row>
    <row r="1084" customFormat="false" ht="22.35" hidden="false" customHeight="false" outlineLevel="0" collapsed="false">
      <c r="A1084" s="18" t="s">
        <v>4791</v>
      </c>
      <c r="B1084" s="18" t="s">
        <v>64</v>
      </c>
      <c r="C1084" s="18" t="s">
        <v>65</v>
      </c>
      <c r="D1084" s="18" t="s">
        <v>4678</v>
      </c>
      <c r="E1084" s="18" t="n">
        <v>31</v>
      </c>
      <c r="F1084" s="18" t="s">
        <v>4792</v>
      </c>
      <c r="G1084" s="18" t="s">
        <v>317</v>
      </c>
      <c r="H1084" s="18" t="s">
        <v>162</v>
      </c>
      <c r="I1084" s="18"/>
      <c r="J1084" s="18"/>
      <c r="K1084" s="18"/>
      <c r="L1084" s="18" t="s">
        <v>129</v>
      </c>
      <c r="M1084" s="18" t="s">
        <v>129</v>
      </c>
      <c r="N1084" s="18"/>
      <c r="O1084" s="18"/>
      <c r="P1084" s="18" t="s">
        <v>4793</v>
      </c>
      <c r="Q1084" s="18" t="s">
        <v>138</v>
      </c>
      <c r="R1084" s="18" t="s">
        <v>4794</v>
      </c>
      <c r="S1084" s="18" t="s">
        <v>140</v>
      </c>
      <c r="T1084" s="18" t="s">
        <v>141</v>
      </c>
      <c r="U1084" s="18"/>
      <c r="V1084" s="19" t="s">
        <v>29</v>
      </c>
      <c r="W1084" s="19"/>
      <c r="X1084" s="19"/>
      <c r="Y1084" s="20"/>
      <c r="Z1084" s="19"/>
      <c r="AA1084" s="18" t="str">
        <f aca="false">IF(OR(V1084="Aprobada"),R1084,IF(AND(OR(V1084="Aprobada con ajuste",V1084="Rechazada"),W1084&lt;&gt;""),W1084,""))</f>
        <v/>
      </c>
    </row>
    <row r="1085" customFormat="false" ht="22.35" hidden="false" customHeight="false" outlineLevel="0" collapsed="false">
      <c r="A1085" s="18" t="s">
        <v>4795</v>
      </c>
      <c r="B1085" s="18" t="s">
        <v>64</v>
      </c>
      <c r="C1085" s="18" t="s">
        <v>65</v>
      </c>
      <c r="D1085" s="18" t="s">
        <v>4678</v>
      </c>
      <c r="E1085" s="18" t="n">
        <v>31</v>
      </c>
      <c r="F1085" s="18" t="s">
        <v>886</v>
      </c>
      <c r="G1085" s="18" t="s">
        <v>128</v>
      </c>
      <c r="H1085" s="18" t="s">
        <v>162</v>
      </c>
      <c r="I1085" s="18"/>
      <c r="J1085" s="18"/>
      <c r="K1085" s="18"/>
      <c r="L1085" s="18" t="s">
        <v>129</v>
      </c>
      <c r="M1085" s="18" t="s">
        <v>129</v>
      </c>
      <c r="N1085" s="18"/>
      <c r="O1085" s="18"/>
      <c r="P1085" s="18" t="s">
        <v>4796</v>
      </c>
      <c r="Q1085" s="18" t="s">
        <v>138</v>
      </c>
      <c r="R1085" s="18" t="s">
        <v>1693</v>
      </c>
      <c r="S1085" s="18" t="s">
        <v>140</v>
      </c>
      <c r="T1085" s="18" t="s">
        <v>141</v>
      </c>
      <c r="U1085" s="18"/>
      <c r="V1085" s="19" t="s">
        <v>29</v>
      </c>
      <c r="W1085" s="19"/>
      <c r="X1085" s="19"/>
      <c r="Y1085" s="20"/>
      <c r="Z1085" s="19"/>
      <c r="AA1085" s="18" t="str">
        <f aca="false">IF(OR(V1085="Aprobada"),R1085,IF(AND(OR(V1085="Aprobada con ajuste",V1085="Rechazada"),W1085&lt;&gt;""),W1085,""))</f>
        <v/>
      </c>
    </row>
    <row r="1086" customFormat="false" ht="32.8" hidden="false" customHeight="false" outlineLevel="0" collapsed="false">
      <c r="A1086" s="18" t="s">
        <v>4797</v>
      </c>
      <c r="B1086" s="18" t="s">
        <v>64</v>
      </c>
      <c r="C1086" s="18" t="s">
        <v>65</v>
      </c>
      <c r="D1086" s="18" t="s">
        <v>4678</v>
      </c>
      <c r="E1086" s="18" t="n">
        <v>31</v>
      </c>
      <c r="F1086" s="18" t="s">
        <v>4798</v>
      </c>
      <c r="G1086" s="18" t="s">
        <v>186</v>
      </c>
      <c r="H1086" s="18" t="s">
        <v>162</v>
      </c>
      <c r="I1086" s="18"/>
      <c r="J1086" s="18"/>
      <c r="K1086" s="18"/>
      <c r="L1086" s="18" t="s">
        <v>129</v>
      </c>
      <c r="M1086" s="18" t="s">
        <v>129</v>
      </c>
      <c r="N1086" s="18"/>
      <c r="O1086" s="18"/>
      <c r="P1086" s="18" t="s">
        <v>4799</v>
      </c>
      <c r="Q1086" s="18" t="s">
        <v>131</v>
      </c>
      <c r="R1086" s="18" t="s">
        <v>4800</v>
      </c>
      <c r="S1086" s="18" t="s">
        <v>133</v>
      </c>
      <c r="T1086" s="18" t="s">
        <v>4801</v>
      </c>
      <c r="U1086" s="18"/>
      <c r="V1086" s="19" t="s">
        <v>29</v>
      </c>
      <c r="W1086" s="19"/>
      <c r="X1086" s="19"/>
      <c r="Y1086" s="20"/>
      <c r="Z1086" s="19"/>
      <c r="AA1086" s="18" t="str">
        <f aca="false">IF(OR(V1086="Aprobada"),R1086,IF(AND(OR(V1086="Aprobada con ajuste",V1086="Rechazada"),W1086&lt;&gt;""),W1086,""))</f>
        <v/>
      </c>
    </row>
    <row r="1087" customFormat="false" ht="22.35" hidden="false" customHeight="false" outlineLevel="0" collapsed="false">
      <c r="A1087" s="18" t="s">
        <v>4802</v>
      </c>
      <c r="B1087" s="18" t="s">
        <v>64</v>
      </c>
      <c r="C1087" s="18" t="s">
        <v>65</v>
      </c>
      <c r="D1087" s="18" t="s">
        <v>4678</v>
      </c>
      <c r="E1087" s="18" t="n">
        <v>31</v>
      </c>
      <c r="F1087" s="18" t="s">
        <v>4803</v>
      </c>
      <c r="G1087" s="18" t="s">
        <v>454</v>
      </c>
      <c r="H1087" s="18" t="s">
        <v>162</v>
      </c>
      <c r="I1087" s="18"/>
      <c r="J1087" s="18"/>
      <c r="K1087" s="18"/>
      <c r="L1087" s="18" t="s">
        <v>129</v>
      </c>
      <c r="M1087" s="18" t="s">
        <v>129</v>
      </c>
      <c r="N1087" s="18"/>
      <c r="O1087" s="18"/>
      <c r="P1087" s="18" t="s">
        <v>4804</v>
      </c>
      <c r="Q1087" s="18" t="s">
        <v>149</v>
      </c>
      <c r="R1087" s="18" t="s">
        <v>4805</v>
      </c>
      <c r="S1087" s="18" t="s">
        <v>140</v>
      </c>
      <c r="T1087" s="18" t="s">
        <v>183</v>
      </c>
      <c r="U1087" s="18" t="s">
        <v>4806</v>
      </c>
      <c r="V1087" s="19" t="s">
        <v>29</v>
      </c>
      <c r="W1087" s="19"/>
      <c r="X1087" s="19"/>
      <c r="Y1087" s="20"/>
      <c r="Z1087" s="19"/>
      <c r="AA1087" s="18" t="str">
        <f aca="false">IF(OR(V1087="Aprobada"),R1087,IF(AND(OR(V1087="Aprobada con ajuste",V1087="Rechazada"),W1087&lt;&gt;""),W1087,""))</f>
        <v/>
      </c>
    </row>
    <row r="1088" customFormat="false" ht="22.35" hidden="false" customHeight="false" outlineLevel="0" collapsed="false">
      <c r="A1088" s="18" t="s">
        <v>4807</v>
      </c>
      <c r="B1088" s="18" t="s">
        <v>64</v>
      </c>
      <c r="C1088" s="18" t="s">
        <v>65</v>
      </c>
      <c r="D1088" s="18" t="s">
        <v>4678</v>
      </c>
      <c r="E1088" s="18" t="n">
        <v>31</v>
      </c>
      <c r="F1088" s="18" t="s">
        <v>4808</v>
      </c>
      <c r="G1088" s="18" t="s">
        <v>454</v>
      </c>
      <c r="H1088" s="18" t="s">
        <v>162</v>
      </c>
      <c r="I1088" s="18"/>
      <c r="J1088" s="18"/>
      <c r="K1088" s="18"/>
      <c r="L1088" s="18" t="s">
        <v>129</v>
      </c>
      <c r="M1088" s="18" t="s">
        <v>129</v>
      </c>
      <c r="N1088" s="18"/>
      <c r="O1088" s="18"/>
      <c r="P1088" s="18" t="s">
        <v>4809</v>
      </c>
      <c r="Q1088" s="18" t="s">
        <v>149</v>
      </c>
      <c r="R1088" s="18" t="s">
        <v>4810</v>
      </c>
      <c r="S1088" s="18" t="s">
        <v>140</v>
      </c>
      <c r="T1088" s="18" t="s">
        <v>183</v>
      </c>
      <c r="U1088" s="18" t="s">
        <v>4811</v>
      </c>
      <c r="V1088" s="19" t="s">
        <v>29</v>
      </c>
      <c r="W1088" s="19"/>
      <c r="X1088" s="19"/>
      <c r="Y1088" s="20"/>
      <c r="Z1088" s="19"/>
      <c r="AA1088" s="18" t="str">
        <f aca="false">IF(OR(V1088="Aprobada"),R1088,IF(AND(OR(V1088="Aprobada con ajuste",V1088="Rechazada"),W1088&lt;&gt;""),W1088,""))</f>
        <v/>
      </c>
    </row>
    <row r="1089" customFormat="false" ht="22.35" hidden="false" customHeight="false" outlineLevel="0" collapsed="false">
      <c r="A1089" s="18" t="s">
        <v>4812</v>
      </c>
      <c r="B1089" s="18" t="s">
        <v>64</v>
      </c>
      <c r="C1089" s="18" t="s">
        <v>65</v>
      </c>
      <c r="D1089" s="18" t="s">
        <v>4678</v>
      </c>
      <c r="E1089" s="18" t="n">
        <v>31</v>
      </c>
      <c r="F1089" s="18" t="s">
        <v>2487</v>
      </c>
      <c r="G1089" s="18" t="s">
        <v>205</v>
      </c>
      <c r="H1089" s="18" t="s">
        <v>162</v>
      </c>
      <c r="I1089" s="18"/>
      <c r="J1089" s="18"/>
      <c r="K1089" s="18"/>
      <c r="L1089" s="18" t="s">
        <v>129</v>
      </c>
      <c r="M1089" s="18" t="s">
        <v>129</v>
      </c>
      <c r="N1089" s="18"/>
      <c r="O1089" s="18"/>
      <c r="P1089" s="18" t="s">
        <v>4813</v>
      </c>
      <c r="Q1089" s="18" t="s">
        <v>131</v>
      </c>
      <c r="R1089" s="18" t="s">
        <v>4814</v>
      </c>
      <c r="S1089" s="18" t="s">
        <v>133</v>
      </c>
      <c r="T1089" s="18" t="s">
        <v>4815</v>
      </c>
      <c r="U1089" s="18"/>
      <c r="V1089" s="19" t="s">
        <v>29</v>
      </c>
      <c r="W1089" s="19"/>
      <c r="X1089" s="19"/>
      <c r="Y1089" s="20"/>
      <c r="Z1089" s="19"/>
      <c r="AA1089" s="18" t="str">
        <f aca="false">IF(OR(V1089="Aprobada"),R1089,IF(AND(OR(V1089="Aprobada con ajuste",V1089="Rechazada"),W1089&lt;&gt;""),W1089,""))</f>
        <v/>
      </c>
    </row>
    <row r="1090" customFormat="false" ht="32.8" hidden="false" customHeight="false" outlineLevel="0" collapsed="false">
      <c r="A1090" s="18" t="s">
        <v>4816</v>
      </c>
      <c r="B1090" s="18" t="s">
        <v>64</v>
      </c>
      <c r="C1090" s="18" t="s">
        <v>65</v>
      </c>
      <c r="D1090" s="18" t="s">
        <v>4678</v>
      </c>
      <c r="E1090" s="18" t="n">
        <v>31</v>
      </c>
      <c r="F1090" s="18" t="s">
        <v>4817</v>
      </c>
      <c r="G1090" s="18" t="s">
        <v>186</v>
      </c>
      <c r="H1090" s="18" t="s">
        <v>162</v>
      </c>
      <c r="I1090" s="18"/>
      <c r="J1090" s="18"/>
      <c r="K1090" s="18"/>
      <c r="L1090" s="18" t="s">
        <v>129</v>
      </c>
      <c r="M1090" s="18" t="s">
        <v>129</v>
      </c>
      <c r="N1090" s="18"/>
      <c r="O1090" s="18" t="s">
        <v>4818</v>
      </c>
      <c r="P1090" s="18" t="s">
        <v>4819</v>
      </c>
      <c r="Q1090" s="18" t="s">
        <v>131</v>
      </c>
      <c r="R1090" s="18" t="s">
        <v>4820</v>
      </c>
      <c r="S1090" s="18" t="s">
        <v>133</v>
      </c>
      <c r="T1090" s="18" t="s">
        <v>4821</v>
      </c>
      <c r="U1090" s="18"/>
      <c r="V1090" s="19" t="s">
        <v>29</v>
      </c>
      <c r="W1090" s="19"/>
      <c r="X1090" s="19"/>
      <c r="Y1090" s="20"/>
      <c r="Z1090" s="19"/>
      <c r="AA1090" s="18" t="str">
        <f aca="false">IF(OR(V1090="Aprobada"),R1090,IF(AND(OR(V1090="Aprobada con ajuste",V1090="Rechazada"),W1090&lt;&gt;""),W1090,""))</f>
        <v/>
      </c>
    </row>
    <row r="1091" customFormat="false" ht="32.8" hidden="false" customHeight="false" outlineLevel="0" collapsed="false">
      <c r="A1091" s="18" t="s">
        <v>4822</v>
      </c>
      <c r="B1091" s="18" t="s">
        <v>64</v>
      </c>
      <c r="C1091" s="18" t="s">
        <v>65</v>
      </c>
      <c r="D1091" s="18" t="s">
        <v>4678</v>
      </c>
      <c r="E1091" s="18" t="n">
        <v>31</v>
      </c>
      <c r="F1091" s="18" t="s">
        <v>4823</v>
      </c>
      <c r="G1091" s="18" t="s">
        <v>828</v>
      </c>
      <c r="H1091" s="18" t="s">
        <v>162</v>
      </c>
      <c r="I1091" s="18"/>
      <c r="J1091" s="18"/>
      <c r="K1091" s="18"/>
      <c r="L1091" s="18" t="s">
        <v>129</v>
      </c>
      <c r="M1091" s="18" t="s">
        <v>129</v>
      </c>
      <c r="N1091" s="18"/>
      <c r="O1091" s="18"/>
      <c r="P1091" s="18" t="s">
        <v>4824</v>
      </c>
      <c r="Q1091" s="18" t="s">
        <v>131</v>
      </c>
      <c r="R1091" s="18" t="s">
        <v>4825</v>
      </c>
      <c r="S1091" s="18" t="s">
        <v>133</v>
      </c>
      <c r="T1091" s="18" t="s">
        <v>4826</v>
      </c>
      <c r="U1091" s="18"/>
      <c r="V1091" s="19" t="s">
        <v>29</v>
      </c>
      <c r="W1091" s="19"/>
      <c r="X1091" s="19"/>
      <c r="Y1091" s="20"/>
      <c r="Z1091" s="19"/>
      <c r="AA1091" s="18" t="str">
        <f aca="false">IF(OR(V1091="Aprobada"),R1091,IF(AND(OR(V1091="Aprobada con ajuste",V1091="Rechazada"),W1091&lt;&gt;""),W1091,""))</f>
        <v/>
      </c>
    </row>
    <row r="1092" customFormat="false" ht="22.35" hidden="false" customHeight="false" outlineLevel="0" collapsed="false">
      <c r="A1092" s="18" t="s">
        <v>4827</v>
      </c>
      <c r="B1092" s="18" t="s">
        <v>64</v>
      </c>
      <c r="C1092" s="18" t="s">
        <v>65</v>
      </c>
      <c r="D1092" s="18" t="s">
        <v>4678</v>
      </c>
      <c r="E1092" s="18" t="n">
        <v>31</v>
      </c>
      <c r="F1092" s="18" t="s">
        <v>4828</v>
      </c>
      <c r="G1092" s="18" t="s">
        <v>145</v>
      </c>
      <c r="H1092" s="18" t="s">
        <v>162</v>
      </c>
      <c r="I1092" s="18"/>
      <c r="J1092" s="18"/>
      <c r="K1092" s="18"/>
      <c r="L1092" s="18" t="s">
        <v>129</v>
      </c>
      <c r="M1092" s="18" t="s">
        <v>129</v>
      </c>
      <c r="N1092" s="18"/>
      <c r="O1092" s="18"/>
      <c r="P1092" s="18" t="s">
        <v>4829</v>
      </c>
      <c r="Q1092" s="18" t="s">
        <v>149</v>
      </c>
      <c r="R1092" s="18" t="s">
        <v>4830</v>
      </c>
      <c r="S1092" s="18" t="s">
        <v>140</v>
      </c>
      <c r="T1092" s="18" t="s">
        <v>183</v>
      </c>
      <c r="U1092" s="18" t="s">
        <v>4831</v>
      </c>
      <c r="V1092" s="19" t="s">
        <v>29</v>
      </c>
      <c r="W1092" s="19"/>
      <c r="X1092" s="19"/>
      <c r="Y1092" s="20"/>
      <c r="Z1092" s="19"/>
      <c r="AA1092" s="18" t="str">
        <f aca="false">IF(OR(V1092="Aprobada"),R1092,IF(AND(OR(V1092="Aprobada con ajuste",V1092="Rechazada"),W1092&lt;&gt;""),W1092,""))</f>
        <v/>
      </c>
    </row>
    <row r="1093" customFormat="false" ht="32.8" hidden="false" customHeight="false" outlineLevel="0" collapsed="false">
      <c r="A1093" s="18" t="s">
        <v>4832</v>
      </c>
      <c r="B1093" s="18" t="s">
        <v>64</v>
      </c>
      <c r="C1093" s="18" t="s">
        <v>65</v>
      </c>
      <c r="D1093" s="18" t="s">
        <v>4678</v>
      </c>
      <c r="E1093" s="18" t="n">
        <v>31</v>
      </c>
      <c r="F1093" s="18" t="s">
        <v>4833</v>
      </c>
      <c r="G1093" s="18" t="s">
        <v>186</v>
      </c>
      <c r="H1093" s="18" t="s">
        <v>162</v>
      </c>
      <c r="I1093" s="18"/>
      <c r="J1093" s="18"/>
      <c r="K1093" s="18"/>
      <c r="L1093" s="18" t="s">
        <v>129</v>
      </c>
      <c r="M1093" s="18" t="s">
        <v>129</v>
      </c>
      <c r="N1093" s="18"/>
      <c r="O1093" s="18"/>
      <c r="P1093" s="18" t="s">
        <v>4834</v>
      </c>
      <c r="Q1093" s="18" t="s">
        <v>131</v>
      </c>
      <c r="R1093" s="18" t="s">
        <v>4835</v>
      </c>
      <c r="S1093" s="18" t="s">
        <v>133</v>
      </c>
      <c r="T1093" s="18" t="s">
        <v>4836</v>
      </c>
      <c r="U1093" s="18"/>
      <c r="V1093" s="19" t="s">
        <v>29</v>
      </c>
      <c r="W1093" s="19"/>
      <c r="X1093" s="19"/>
      <c r="Y1093" s="20"/>
      <c r="Z1093" s="19"/>
      <c r="AA1093" s="18" t="str">
        <f aca="false">IF(OR(V1093="Aprobada"),R1093,IF(AND(OR(V1093="Aprobada con ajuste",V1093="Rechazada"),W1093&lt;&gt;""),W1093,""))</f>
        <v/>
      </c>
    </row>
    <row r="1094" customFormat="false" ht="22.35" hidden="false" customHeight="false" outlineLevel="0" collapsed="false">
      <c r="A1094" s="18" t="s">
        <v>4837</v>
      </c>
      <c r="B1094" s="18" t="s">
        <v>64</v>
      </c>
      <c r="C1094" s="18" t="s">
        <v>65</v>
      </c>
      <c r="D1094" s="18" t="s">
        <v>4678</v>
      </c>
      <c r="E1094" s="18" t="n">
        <v>31</v>
      </c>
      <c r="F1094" s="18" t="s">
        <v>4838</v>
      </c>
      <c r="G1094" s="18" t="s">
        <v>128</v>
      </c>
      <c r="H1094" s="18" t="s">
        <v>162</v>
      </c>
      <c r="I1094" s="18"/>
      <c r="J1094" s="18"/>
      <c r="K1094" s="18"/>
      <c r="L1094" s="18" t="s">
        <v>129</v>
      </c>
      <c r="M1094" s="18" t="s">
        <v>129</v>
      </c>
      <c r="N1094" s="18"/>
      <c r="O1094" s="18"/>
      <c r="P1094" s="18" t="s">
        <v>4839</v>
      </c>
      <c r="Q1094" s="18" t="s">
        <v>149</v>
      </c>
      <c r="R1094" s="18" t="s">
        <v>4840</v>
      </c>
      <c r="S1094" s="18" t="s">
        <v>133</v>
      </c>
      <c r="T1094" s="18" t="s">
        <v>183</v>
      </c>
      <c r="U1094" s="18"/>
      <c r="V1094" s="19" t="s">
        <v>29</v>
      </c>
      <c r="W1094" s="19"/>
      <c r="X1094" s="19"/>
      <c r="Y1094" s="20"/>
      <c r="Z1094" s="19"/>
      <c r="AA1094" s="18" t="str">
        <f aca="false">IF(OR(V1094="Aprobada"),R1094,IF(AND(OR(V1094="Aprobada con ajuste",V1094="Rechazada"),W1094&lt;&gt;""),W1094,""))</f>
        <v/>
      </c>
    </row>
    <row r="1095" customFormat="false" ht="22.35" hidden="false" customHeight="false" outlineLevel="0" collapsed="false">
      <c r="A1095" s="18" t="s">
        <v>4841</v>
      </c>
      <c r="B1095" s="18" t="s">
        <v>64</v>
      </c>
      <c r="C1095" s="18" t="s">
        <v>65</v>
      </c>
      <c r="D1095" s="18" t="s">
        <v>4678</v>
      </c>
      <c r="E1095" s="18" t="n">
        <v>31</v>
      </c>
      <c r="F1095" s="18" t="s">
        <v>4842</v>
      </c>
      <c r="G1095" s="18" t="s">
        <v>128</v>
      </c>
      <c r="H1095" s="18" t="s">
        <v>162</v>
      </c>
      <c r="I1095" s="18"/>
      <c r="J1095" s="18"/>
      <c r="K1095" s="18"/>
      <c r="L1095" s="18" t="s">
        <v>129</v>
      </c>
      <c r="M1095" s="18" t="s">
        <v>129</v>
      </c>
      <c r="N1095" s="18"/>
      <c r="O1095" s="18"/>
      <c r="P1095" s="18" t="s">
        <v>4843</v>
      </c>
      <c r="Q1095" s="18" t="s">
        <v>149</v>
      </c>
      <c r="R1095" s="18" t="s">
        <v>4844</v>
      </c>
      <c r="S1095" s="18" t="s">
        <v>133</v>
      </c>
      <c r="T1095" s="18" t="s">
        <v>183</v>
      </c>
      <c r="U1095" s="18"/>
      <c r="V1095" s="19" t="s">
        <v>29</v>
      </c>
      <c r="W1095" s="19"/>
      <c r="X1095" s="19"/>
      <c r="Y1095" s="20"/>
      <c r="Z1095" s="19"/>
      <c r="AA1095" s="18" t="str">
        <f aca="false">IF(OR(V1095="Aprobada"),R1095,IF(AND(OR(V1095="Aprobada con ajuste",V1095="Rechazada"),W1095&lt;&gt;""),W1095,""))</f>
        <v/>
      </c>
    </row>
    <row r="1096" customFormat="false" ht="32.8" hidden="false" customHeight="false" outlineLevel="0" collapsed="false">
      <c r="A1096" s="18" t="s">
        <v>4845</v>
      </c>
      <c r="B1096" s="18" t="s">
        <v>64</v>
      </c>
      <c r="C1096" s="18" t="s">
        <v>65</v>
      </c>
      <c r="D1096" s="18" t="s">
        <v>4678</v>
      </c>
      <c r="E1096" s="18" t="n">
        <v>31</v>
      </c>
      <c r="F1096" s="18" t="s">
        <v>4846</v>
      </c>
      <c r="G1096" s="18" t="s">
        <v>4418</v>
      </c>
      <c r="H1096" s="18" t="s">
        <v>162</v>
      </c>
      <c r="I1096" s="18"/>
      <c r="J1096" s="18"/>
      <c r="K1096" s="18"/>
      <c r="L1096" s="18" t="s">
        <v>129</v>
      </c>
      <c r="M1096" s="18" t="s">
        <v>129</v>
      </c>
      <c r="N1096" s="18"/>
      <c r="O1096" s="18"/>
      <c r="P1096" s="18" t="s">
        <v>4847</v>
      </c>
      <c r="Q1096" s="18" t="s">
        <v>131</v>
      </c>
      <c r="R1096" s="18" t="s">
        <v>4848</v>
      </c>
      <c r="S1096" s="18" t="s">
        <v>133</v>
      </c>
      <c r="T1096" s="18" t="s">
        <v>4849</v>
      </c>
      <c r="U1096" s="18"/>
      <c r="V1096" s="19" t="s">
        <v>29</v>
      </c>
      <c r="W1096" s="19"/>
      <c r="X1096" s="19"/>
      <c r="Y1096" s="20"/>
      <c r="Z1096" s="19"/>
      <c r="AA1096" s="18" t="str">
        <f aca="false">IF(OR(V1096="Aprobada"),R1096,IF(AND(OR(V1096="Aprobada con ajuste",V1096="Rechazada"),W1096&lt;&gt;""),W1096,""))</f>
        <v/>
      </c>
    </row>
    <row r="1097" customFormat="false" ht="22.35" hidden="false" customHeight="false" outlineLevel="0" collapsed="false">
      <c r="A1097" s="18" t="s">
        <v>4850</v>
      </c>
      <c r="B1097" s="18" t="s">
        <v>64</v>
      </c>
      <c r="C1097" s="18" t="s">
        <v>65</v>
      </c>
      <c r="D1097" s="18" t="s">
        <v>4678</v>
      </c>
      <c r="E1097" s="18" t="n">
        <v>31</v>
      </c>
      <c r="F1097" s="18" t="s">
        <v>4851</v>
      </c>
      <c r="G1097" s="18" t="s">
        <v>317</v>
      </c>
      <c r="H1097" s="18" t="s">
        <v>162</v>
      </c>
      <c r="I1097" s="18"/>
      <c r="J1097" s="18"/>
      <c r="K1097" s="18"/>
      <c r="L1097" s="18" t="s">
        <v>129</v>
      </c>
      <c r="M1097" s="18" t="s">
        <v>129</v>
      </c>
      <c r="N1097" s="18"/>
      <c r="O1097" s="18"/>
      <c r="P1097" s="18" t="s">
        <v>4852</v>
      </c>
      <c r="Q1097" s="18" t="s">
        <v>138</v>
      </c>
      <c r="R1097" s="18" t="s">
        <v>4853</v>
      </c>
      <c r="S1097" s="18" t="s">
        <v>140</v>
      </c>
      <c r="T1097" s="18" t="s">
        <v>141</v>
      </c>
      <c r="U1097" s="18"/>
      <c r="V1097" s="19" t="s">
        <v>29</v>
      </c>
      <c r="W1097" s="19"/>
      <c r="X1097" s="19"/>
      <c r="Y1097" s="20"/>
      <c r="Z1097" s="19"/>
      <c r="AA1097" s="18" t="str">
        <f aca="false">IF(OR(V1097="Aprobada"),R1097,IF(AND(OR(V1097="Aprobada con ajuste",V1097="Rechazada"),W1097&lt;&gt;""),W1097,""))</f>
        <v/>
      </c>
    </row>
    <row r="1098" customFormat="false" ht="32.8" hidden="false" customHeight="false" outlineLevel="0" collapsed="false">
      <c r="A1098" s="18" t="s">
        <v>4854</v>
      </c>
      <c r="B1098" s="18" t="s">
        <v>64</v>
      </c>
      <c r="C1098" s="18" t="s">
        <v>65</v>
      </c>
      <c r="D1098" s="18" t="s">
        <v>4678</v>
      </c>
      <c r="E1098" s="18" t="n">
        <v>31</v>
      </c>
      <c r="F1098" s="18" t="s">
        <v>4855</v>
      </c>
      <c r="G1098" s="18" t="s">
        <v>4418</v>
      </c>
      <c r="H1098" s="18" t="s">
        <v>162</v>
      </c>
      <c r="I1098" s="18"/>
      <c r="J1098" s="18"/>
      <c r="K1098" s="18"/>
      <c r="L1098" s="18" t="s">
        <v>129</v>
      </c>
      <c r="M1098" s="18" t="s">
        <v>129</v>
      </c>
      <c r="N1098" s="18"/>
      <c r="O1098" s="18"/>
      <c r="P1098" s="18" t="s">
        <v>4856</v>
      </c>
      <c r="Q1098" s="18" t="s">
        <v>149</v>
      </c>
      <c r="R1098" s="18" t="s">
        <v>4857</v>
      </c>
      <c r="S1098" s="18" t="s">
        <v>133</v>
      </c>
      <c r="T1098" s="18" t="s">
        <v>4858</v>
      </c>
      <c r="U1098" s="18"/>
      <c r="V1098" s="19" t="s">
        <v>29</v>
      </c>
      <c r="W1098" s="19"/>
      <c r="X1098" s="19"/>
      <c r="Y1098" s="20"/>
      <c r="Z1098" s="19"/>
      <c r="AA1098" s="18" t="str">
        <f aca="false">IF(OR(V1098="Aprobada"),R1098,IF(AND(OR(V1098="Aprobada con ajuste",V1098="Rechazada"),W1098&lt;&gt;""),W1098,""))</f>
        <v/>
      </c>
    </row>
    <row r="1099" customFormat="false" ht="22.35" hidden="false" customHeight="false" outlineLevel="0" collapsed="false">
      <c r="A1099" s="18" t="s">
        <v>4859</v>
      </c>
      <c r="B1099" s="18" t="s">
        <v>64</v>
      </c>
      <c r="C1099" s="18" t="s">
        <v>65</v>
      </c>
      <c r="D1099" s="18" t="s">
        <v>4678</v>
      </c>
      <c r="E1099" s="18" t="n">
        <v>31</v>
      </c>
      <c r="F1099" s="18" t="s">
        <v>4860</v>
      </c>
      <c r="G1099" s="18" t="s">
        <v>128</v>
      </c>
      <c r="H1099" s="18" t="s">
        <v>162</v>
      </c>
      <c r="I1099" s="18"/>
      <c r="J1099" s="18"/>
      <c r="K1099" s="18"/>
      <c r="L1099" s="18" t="s">
        <v>129</v>
      </c>
      <c r="M1099" s="18" t="s">
        <v>129</v>
      </c>
      <c r="N1099" s="18"/>
      <c r="O1099" s="18"/>
      <c r="P1099" s="18" t="s">
        <v>4861</v>
      </c>
      <c r="Q1099" s="18" t="s">
        <v>138</v>
      </c>
      <c r="R1099" s="18" t="s">
        <v>4862</v>
      </c>
      <c r="S1099" s="18" t="s">
        <v>140</v>
      </c>
      <c r="T1099" s="18" t="s">
        <v>141</v>
      </c>
      <c r="U1099" s="18"/>
      <c r="V1099" s="19" t="s">
        <v>29</v>
      </c>
      <c r="W1099" s="19"/>
      <c r="X1099" s="19"/>
      <c r="Y1099" s="20"/>
      <c r="Z1099" s="19"/>
      <c r="AA1099" s="18" t="str">
        <f aca="false">IF(OR(V1099="Aprobada"),R1099,IF(AND(OR(V1099="Aprobada con ajuste",V1099="Rechazada"),W1099&lt;&gt;""),W1099,""))</f>
        <v/>
      </c>
    </row>
    <row r="1100" customFormat="false" ht="22.35" hidden="false" customHeight="false" outlineLevel="0" collapsed="false">
      <c r="A1100" s="18" t="s">
        <v>4863</v>
      </c>
      <c r="B1100" s="18" t="s">
        <v>64</v>
      </c>
      <c r="C1100" s="18" t="s">
        <v>65</v>
      </c>
      <c r="D1100" s="18" t="s">
        <v>4678</v>
      </c>
      <c r="E1100" s="18" t="n">
        <v>31</v>
      </c>
      <c r="F1100" s="18" t="s">
        <v>4864</v>
      </c>
      <c r="G1100" s="18" t="s">
        <v>128</v>
      </c>
      <c r="H1100" s="18" t="s">
        <v>162</v>
      </c>
      <c r="I1100" s="18"/>
      <c r="J1100" s="18"/>
      <c r="K1100" s="18"/>
      <c r="L1100" s="18" t="s">
        <v>129</v>
      </c>
      <c r="M1100" s="18" t="s">
        <v>129</v>
      </c>
      <c r="N1100" s="18"/>
      <c r="O1100" s="18"/>
      <c r="P1100" s="18" t="s">
        <v>4865</v>
      </c>
      <c r="Q1100" s="18" t="s">
        <v>149</v>
      </c>
      <c r="R1100" s="18" t="s">
        <v>4866</v>
      </c>
      <c r="S1100" s="18" t="s">
        <v>140</v>
      </c>
      <c r="T1100" s="18" t="s">
        <v>183</v>
      </c>
      <c r="U1100" s="18" t="s">
        <v>4867</v>
      </c>
      <c r="V1100" s="19" t="s">
        <v>29</v>
      </c>
      <c r="W1100" s="19"/>
      <c r="X1100" s="19"/>
      <c r="Y1100" s="20"/>
      <c r="Z1100" s="19"/>
      <c r="AA1100" s="18" t="str">
        <f aca="false">IF(OR(V1100="Aprobada"),R1100,IF(AND(OR(V1100="Aprobada con ajuste",V1100="Rechazada"),W1100&lt;&gt;""),W1100,""))</f>
        <v/>
      </c>
    </row>
    <row r="1101" customFormat="false" ht="43.25" hidden="false" customHeight="false" outlineLevel="0" collapsed="false">
      <c r="A1101" s="18" t="s">
        <v>4868</v>
      </c>
      <c r="B1101" s="18" t="s">
        <v>64</v>
      </c>
      <c r="C1101" s="18" t="s">
        <v>65</v>
      </c>
      <c r="D1101" s="18" t="s">
        <v>4678</v>
      </c>
      <c r="E1101" s="18" t="n">
        <v>31</v>
      </c>
      <c r="F1101" s="18" t="s">
        <v>4869</v>
      </c>
      <c r="G1101" s="18" t="s">
        <v>312</v>
      </c>
      <c r="H1101" s="18" t="s">
        <v>162</v>
      </c>
      <c r="I1101" s="18"/>
      <c r="J1101" s="18"/>
      <c r="K1101" s="18"/>
      <c r="L1101" s="18" t="s">
        <v>129</v>
      </c>
      <c r="M1101" s="18" t="s">
        <v>129</v>
      </c>
      <c r="N1101" s="18"/>
      <c r="O1101" s="18" t="s">
        <v>4870</v>
      </c>
      <c r="P1101" s="18" t="s">
        <v>4871</v>
      </c>
      <c r="Q1101" s="18" t="s">
        <v>131</v>
      </c>
      <c r="R1101" s="18" t="s">
        <v>4872</v>
      </c>
      <c r="S1101" s="18" t="s">
        <v>133</v>
      </c>
      <c r="T1101" s="18" t="s">
        <v>4873</v>
      </c>
      <c r="U1101" s="18"/>
      <c r="V1101" s="19" t="s">
        <v>29</v>
      </c>
      <c r="W1101" s="19"/>
      <c r="X1101" s="19"/>
      <c r="Y1101" s="20"/>
      <c r="Z1101" s="19"/>
      <c r="AA1101" s="18" t="str">
        <f aca="false">IF(OR(V1101="Aprobada"),R1101,IF(AND(OR(V1101="Aprobada con ajuste",V1101="Rechazada"),W1101&lt;&gt;""),W1101,""))</f>
        <v/>
      </c>
    </row>
    <row r="1102" customFormat="false" ht="85.05" hidden="false" customHeight="false" outlineLevel="0" collapsed="false">
      <c r="A1102" s="18" t="s">
        <v>4874</v>
      </c>
      <c r="B1102" s="18" t="s">
        <v>64</v>
      </c>
      <c r="C1102" s="18" t="s">
        <v>65</v>
      </c>
      <c r="D1102" s="18" t="s">
        <v>4875</v>
      </c>
      <c r="E1102" s="18" t="n">
        <v>14558</v>
      </c>
      <c r="F1102" s="18" t="s">
        <v>4507</v>
      </c>
      <c r="G1102" s="18" t="s">
        <v>145</v>
      </c>
      <c r="H1102" s="18" t="s">
        <v>129</v>
      </c>
      <c r="I1102" s="18"/>
      <c r="J1102" s="18"/>
      <c r="K1102" s="18"/>
      <c r="L1102" s="18" t="s">
        <v>129</v>
      </c>
      <c r="M1102" s="18" t="s">
        <v>129</v>
      </c>
      <c r="N1102" s="18"/>
      <c r="O1102" s="18" t="s">
        <v>4876</v>
      </c>
      <c r="P1102" s="18" t="s">
        <v>4877</v>
      </c>
      <c r="Q1102" s="18" t="s">
        <v>131</v>
      </c>
      <c r="R1102" s="18" t="s">
        <v>4878</v>
      </c>
      <c r="S1102" s="18" t="s">
        <v>133</v>
      </c>
      <c r="T1102" s="18" t="s">
        <v>4879</v>
      </c>
      <c r="U1102" s="18"/>
      <c r="V1102" s="19" t="s">
        <v>29</v>
      </c>
      <c r="W1102" s="19"/>
      <c r="X1102" s="19"/>
      <c r="Y1102" s="20"/>
      <c r="Z1102" s="19"/>
      <c r="AA1102" s="18" t="str">
        <f aca="false">IF(OR(V1102="Aprobada"),R1102,IF(AND(OR(V1102="Aprobada con ajuste",V1102="Rechazada"),W1102&lt;&gt;""),W1102,""))</f>
        <v/>
      </c>
    </row>
    <row r="1103" customFormat="false" ht="22.35" hidden="false" customHeight="false" outlineLevel="0" collapsed="false">
      <c r="A1103" s="18" t="s">
        <v>4880</v>
      </c>
      <c r="B1103" s="18" t="s">
        <v>64</v>
      </c>
      <c r="C1103" s="18" t="s">
        <v>65</v>
      </c>
      <c r="D1103" s="18" t="s">
        <v>4875</v>
      </c>
      <c r="E1103" s="18" t="n">
        <v>14558</v>
      </c>
      <c r="F1103" s="18" t="s">
        <v>160</v>
      </c>
      <c r="G1103" s="18" t="s">
        <v>128</v>
      </c>
      <c r="H1103" s="18" t="s">
        <v>129</v>
      </c>
      <c r="I1103" s="18"/>
      <c r="J1103" s="18"/>
      <c r="K1103" s="18"/>
      <c r="L1103" s="18" t="s">
        <v>129</v>
      </c>
      <c r="M1103" s="18" t="s">
        <v>129</v>
      </c>
      <c r="N1103" s="18"/>
      <c r="O1103" s="18"/>
      <c r="P1103" s="18" t="s">
        <v>4881</v>
      </c>
      <c r="Q1103" s="18" t="s">
        <v>138</v>
      </c>
      <c r="R1103" s="18" t="s">
        <v>4882</v>
      </c>
      <c r="S1103" s="18" t="s">
        <v>140</v>
      </c>
      <c r="T1103" s="18" t="s">
        <v>141</v>
      </c>
      <c r="U1103" s="18"/>
      <c r="V1103" s="19" t="s">
        <v>29</v>
      </c>
      <c r="W1103" s="19"/>
      <c r="X1103" s="19"/>
      <c r="Y1103" s="20"/>
      <c r="Z1103" s="19"/>
      <c r="AA1103" s="18" t="str">
        <f aca="false">IF(OR(V1103="Aprobada"),R1103,IF(AND(OR(V1103="Aprobada con ajuste",V1103="Rechazada"),W1103&lt;&gt;""),W1103,""))</f>
        <v/>
      </c>
    </row>
    <row r="1104" customFormat="false" ht="22.35" hidden="false" customHeight="false" outlineLevel="0" collapsed="false">
      <c r="A1104" s="18" t="s">
        <v>4883</v>
      </c>
      <c r="B1104" s="18" t="s">
        <v>64</v>
      </c>
      <c r="C1104" s="18" t="s">
        <v>65</v>
      </c>
      <c r="D1104" s="18" t="s">
        <v>4875</v>
      </c>
      <c r="E1104" s="18" t="n">
        <v>14558</v>
      </c>
      <c r="F1104" s="18" t="s">
        <v>4884</v>
      </c>
      <c r="G1104" s="18" t="s">
        <v>192</v>
      </c>
      <c r="H1104" s="18" t="s">
        <v>162</v>
      </c>
      <c r="I1104" s="18"/>
      <c r="J1104" s="18"/>
      <c r="K1104" s="18"/>
      <c r="L1104" s="18" t="s">
        <v>129</v>
      </c>
      <c r="M1104" s="18" t="s">
        <v>129</v>
      </c>
      <c r="N1104" s="18"/>
      <c r="O1104" s="18"/>
      <c r="P1104" s="18" t="s">
        <v>4885</v>
      </c>
      <c r="Q1104" s="18" t="s">
        <v>149</v>
      </c>
      <c r="R1104" s="18" t="s">
        <v>4886</v>
      </c>
      <c r="S1104" s="18" t="s">
        <v>140</v>
      </c>
      <c r="T1104" s="18" t="s">
        <v>183</v>
      </c>
      <c r="U1104" s="18" t="s">
        <v>4887</v>
      </c>
      <c r="V1104" s="19" t="s">
        <v>29</v>
      </c>
      <c r="W1104" s="19"/>
      <c r="X1104" s="19"/>
      <c r="Y1104" s="20"/>
      <c r="Z1104" s="19"/>
      <c r="AA1104" s="18" t="str">
        <f aca="false">IF(OR(V1104="Aprobada"),R1104,IF(AND(OR(V1104="Aprobada con ajuste",V1104="Rechazada"),W1104&lt;&gt;""),W1104,""))</f>
        <v/>
      </c>
    </row>
    <row r="1105" customFormat="false" ht="22.35" hidden="false" customHeight="false" outlineLevel="0" collapsed="false">
      <c r="A1105" s="18" t="s">
        <v>4888</v>
      </c>
      <c r="B1105" s="18" t="s">
        <v>64</v>
      </c>
      <c r="C1105" s="18" t="s">
        <v>65</v>
      </c>
      <c r="D1105" s="18" t="s">
        <v>4875</v>
      </c>
      <c r="E1105" s="18" t="n">
        <v>14558</v>
      </c>
      <c r="F1105" s="18" t="s">
        <v>4527</v>
      </c>
      <c r="G1105" s="18" t="s">
        <v>180</v>
      </c>
      <c r="H1105" s="18" t="s">
        <v>162</v>
      </c>
      <c r="I1105" s="18"/>
      <c r="J1105" s="18"/>
      <c r="K1105" s="18"/>
      <c r="L1105" s="18" t="s">
        <v>129</v>
      </c>
      <c r="M1105" s="18" t="s">
        <v>129</v>
      </c>
      <c r="N1105" s="18"/>
      <c r="O1105" s="18"/>
      <c r="P1105" s="18" t="s">
        <v>4889</v>
      </c>
      <c r="Q1105" s="18" t="s">
        <v>149</v>
      </c>
      <c r="R1105" s="18" t="s">
        <v>4890</v>
      </c>
      <c r="S1105" s="18" t="s">
        <v>133</v>
      </c>
      <c r="T1105" s="18" t="s">
        <v>169</v>
      </c>
      <c r="U1105" s="18"/>
      <c r="V1105" s="19" t="s">
        <v>29</v>
      </c>
      <c r="W1105" s="19"/>
      <c r="X1105" s="19"/>
      <c r="Y1105" s="20"/>
      <c r="Z1105" s="19"/>
      <c r="AA1105" s="18" t="str">
        <f aca="false">IF(OR(V1105="Aprobada"),R1105,IF(AND(OR(V1105="Aprobada con ajuste",V1105="Rechazada"),W1105&lt;&gt;""),W1105,""))</f>
        <v/>
      </c>
    </row>
    <row r="1106" customFormat="false" ht="32.8" hidden="false" customHeight="false" outlineLevel="0" collapsed="false">
      <c r="A1106" s="18" t="s">
        <v>4891</v>
      </c>
      <c r="B1106" s="18" t="s">
        <v>64</v>
      </c>
      <c r="C1106" s="18" t="s">
        <v>65</v>
      </c>
      <c r="D1106" s="18" t="s">
        <v>4892</v>
      </c>
      <c r="E1106" s="18" t="n">
        <v>100</v>
      </c>
      <c r="F1106" s="18" t="s">
        <v>964</v>
      </c>
      <c r="G1106" s="18" t="s">
        <v>486</v>
      </c>
      <c r="H1106" s="18" t="s">
        <v>129</v>
      </c>
      <c r="I1106" s="18" t="s">
        <v>146</v>
      </c>
      <c r="J1106" s="18"/>
      <c r="K1106" s="18"/>
      <c r="L1106" s="18" t="s">
        <v>129</v>
      </c>
      <c r="M1106" s="18" t="s">
        <v>129</v>
      </c>
      <c r="N1106" s="18"/>
      <c r="O1106" s="18" t="s">
        <v>4893</v>
      </c>
      <c r="P1106" s="18" t="s">
        <v>4894</v>
      </c>
      <c r="Q1106" s="18" t="s">
        <v>149</v>
      </c>
      <c r="R1106" s="18" t="s">
        <v>4895</v>
      </c>
      <c r="S1106" s="18" t="s">
        <v>133</v>
      </c>
      <c r="T1106" s="18" t="s">
        <v>1105</v>
      </c>
      <c r="U1106" s="18"/>
      <c r="V1106" s="19" t="s">
        <v>29</v>
      </c>
      <c r="W1106" s="19"/>
      <c r="X1106" s="19"/>
      <c r="Y1106" s="20"/>
      <c r="Z1106" s="19"/>
      <c r="AA1106" s="18" t="str">
        <f aca="false">IF(OR(V1106="Aprobada"),R1106,IF(AND(OR(V1106="Aprobada con ajuste",V1106="Rechazada"),W1106&lt;&gt;""),W1106,""))</f>
        <v/>
      </c>
    </row>
    <row r="1107" customFormat="false" ht="43.25" hidden="false" customHeight="false" outlineLevel="0" collapsed="false">
      <c r="A1107" s="18" t="s">
        <v>4896</v>
      </c>
      <c r="B1107" s="18" t="s">
        <v>64</v>
      </c>
      <c r="C1107" s="18" t="s">
        <v>65</v>
      </c>
      <c r="D1107" s="18" t="s">
        <v>4892</v>
      </c>
      <c r="E1107" s="18" t="n">
        <v>100</v>
      </c>
      <c r="F1107" s="18" t="s">
        <v>127</v>
      </c>
      <c r="G1107" s="18" t="s">
        <v>205</v>
      </c>
      <c r="H1107" s="18" t="s">
        <v>129</v>
      </c>
      <c r="I1107" s="18" t="s">
        <v>298</v>
      </c>
      <c r="J1107" s="18" t="s">
        <v>4897</v>
      </c>
      <c r="K1107" s="18"/>
      <c r="L1107" s="18" t="s">
        <v>162</v>
      </c>
      <c r="M1107" s="18" t="s">
        <v>129</v>
      </c>
      <c r="N1107" s="18"/>
      <c r="O1107" s="18"/>
      <c r="P1107" s="18" t="s">
        <v>4898</v>
      </c>
      <c r="Q1107" s="18" t="s">
        <v>131</v>
      </c>
      <c r="R1107" s="18" t="s">
        <v>4899</v>
      </c>
      <c r="S1107" s="18" t="s">
        <v>133</v>
      </c>
      <c r="T1107" s="18" t="s">
        <v>4900</v>
      </c>
      <c r="U1107" s="18"/>
      <c r="V1107" s="19" t="s">
        <v>29</v>
      </c>
      <c r="W1107" s="19"/>
      <c r="X1107" s="19"/>
      <c r="Y1107" s="20"/>
      <c r="Z1107" s="19"/>
      <c r="AA1107" s="18" t="str">
        <f aca="false">IF(OR(V1107="Aprobada"),R1107,IF(AND(OR(V1107="Aprobada con ajuste",V1107="Rechazada"),W1107&lt;&gt;""),W1107,""))</f>
        <v/>
      </c>
    </row>
    <row r="1108" customFormat="false" ht="22.35" hidden="false" customHeight="false" outlineLevel="0" collapsed="false">
      <c r="A1108" s="18" t="s">
        <v>4901</v>
      </c>
      <c r="B1108" s="18" t="s">
        <v>64</v>
      </c>
      <c r="C1108" s="18" t="s">
        <v>65</v>
      </c>
      <c r="D1108" s="18" t="s">
        <v>4892</v>
      </c>
      <c r="E1108" s="18" t="n">
        <v>100</v>
      </c>
      <c r="F1108" s="18" t="s">
        <v>4902</v>
      </c>
      <c r="G1108" s="18" t="s">
        <v>173</v>
      </c>
      <c r="H1108" s="18" t="s">
        <v>129</v>
      </c>
      <c r="I1108" s="18"/>
      <c r="J1108" s="18"/>
      <c r="K1108" s="18"/>
      <c r="L1108" s="18" t="s">
        <v>129</v>
      </c>
      <c r="M1108" s="18" t="s">
        <v>129</v>
      </c>
      <c r="N1108" s="18"/>
      <c r="O1108" s="18"/>
      <c r="P1108" s="18" t="s">
        <v>4903</v>
      </c>
      <c r="Q1108" s="18" t="s">
        <v>138</v>
      </c>
      <c r="R1108" s="18" t="s">
        <v>4904</v>
      </c>
      <c r="S1108" s="18" t="s">
        <v>140</v>
      </c>
      <c r="T1108" s="18" t="s">
        <v>141</v>
      </c>
      <c r="U1108" s="18"/>
      <c r="V1108" s="19" t="s">
        <v>29</v>
      </c>
      <c r="W1108" s="19"/>
      <c r="X1108" s="19"/>
      <c r="Y1108" s="20"/>
      <c r="Z1108" s="19"/>
      <c r="AA1108" s="18" t="str">
        <f aca="false">IF(OR(V1108="Aprobada"),R1108,IF(AND(OR(V1108="Aprobada con ajuste",V1108="Rechazada"),W1108&lt;&gt;""),W1108,""))</f>
        <v/>
      </c>
    </row>
    <row r="1109" customFormat="false" ht="22.35" hidden="false" customHeight="false" outlineLevel="0" collapsed="false">
      <c r="A1109" s="18" t="s">
        <v>4905</v>
      </c>
      <c r="B1109" s="18" t="s">
        <v>64</v>
      </c>
      <c r="C1109" s="18" t="s">
        <v>65</v>
      </c>
      <c r="D1109" s="18" t="s">
        <v>4892</v>
      </c>
      <c r="E1109" s="18" t="n">
        <v>100</v>
      </c>
      <c r="F1109" s="18" t="s">
        <v>3427</v>
      </c>
      <c r="G1109" s="18" t="s">
        <v>317</v>
      </c>
      <c r="H1109" s="18" t="s">
        <v>162</v>
      </c>
      <c r="I1109" s="18"/>
      <c r="J1109" s="18"/>
      <c r="K1109" s="18"/>
      <c r="L1109" s="18" t="s">
        <v>129</v>
      </c>
      <c r="M1109" s="18" t="s">
        <v>129</v>
      </c>
      <c r="N1109" s="18"/>
      <c r="O1109" s="18"/>
      <c r="P1109" s="18" t="s">
        <v>4906</v>
      </c>
      <c r="Q1109" s="18" t="s">
        <v>138</v>
      </c>
      <c r="R1109" s="18" t="s">
        <v>3428</v>
      </c>
      <c r="S1109" s="18" t="s">
        <v>140</v>
      </c>
      <c r="T1109" s="18" t="s">
        <v>141</v>
      </c>
      <c r="U1109" s="18"/>
      <c r="V1109" s="19" t="s">
        <v>29</v>
      </c>
      <c r="W1109" s="19"/>
      <c r="X1109" s="19"/>
      <c r="Y1109" s="20"/>
      <c r="Z1109" s="19"/>
      <c r="AA1109" s="18" t="str">
        <f aca="false">IF(OR(V1109="Aprobada"),R1109,IF(AND(OR(V1109="Aprobada con ajuste",V1109="Rechazada"),W1109&lt;&gt;""),W1109,""))</f>
        <v/>
      </c>
    </row>
    <row r="1110" customFormat="false" ht="22.35" hidden="false" customHeight="false" outlineLevel="0" collapsed="false">
      <c r="A1110" s="18" t="s">
        <v>4907</v>
      </c>
      <c r="B1110" s="18" t="s">
        <v>64</v>
      </c>
      <c r="C1110" s="18" t="s">
        <v>65</v>
      </c>
      <c r="D1110" s="18" t="s">
        <v>4892</v>
      </c>
      <c r="E1110" s="18" t="n">
        <v>100</v>
      </c>
      <c r="F1110" s="18" t="s">
        <v>4908</v>
      </c>
      <c r="G1110" s="18" t="s">
        <v>145</v>
      </c>
      <c r="H1110" s="18" t="s">
        <v>162</v>
      </c>
      <c r="I1110" s="18"/>
      <c r="J1110" s="18"/>
      <c r="K1110" s="18"/>
      <c r="L1110" s="18" t="s">
        <v>129</v>
      </c>
      <c r="M1110" s="18" t="s">
        <v>129</v>
      </c>
      <c r="N1110" s="18"/>
      <c r="O1110" s="18"/>
      <c r="P1110" s="18" t="s">
        <v>4909</v>
      </c>
      <c r="Q1110" s="18" t="s">
        <v>149</v>
      </c>
      <c r="R1110" s="18" t="s">
        <v>4910</v>
      </c>
      <c r="S1110" s="18" t="s">
        <v>133</v>
      </c>
      <c r="T1110" s="18" t="s">
        <v>4911</v>
      </c>
      <c r="U1110" s="18"/>
      <c r="V1110" s="19" t="s">
        <v>29</v>
      </c>
      <c r="W1110" s="19"/>
      <c r="X1110" s="19"/>
      <c r="Y1110" s="20"/>
      <c r="Z1110" s="19"/>
      <c r="AA1110" s="18" t="str">
        <f aca="false">IF(OR(V1110="Aprobada"),R1110,IF(AND(OR(V1110="Aprobada con ajuste",V1110="Rechazada"),W1110&lt;&gt;""),W1110,""))</f>
        <v/>
      </c>
    </row>
    <row r="1111" customFormat="false" ht="22.35" hidden="false" customHeight="false" outlineLevel="0" collapsed="false">
      <c r="A1111" s="18" t="s">
        <v>4912</v>
      </c>
      <c r="B1111" s="18" t="s">
        <v>64</v>
      </c>
      <c r="C1111" s="18" t="s">
        <v>65</v>
      </c>
      <c r="D1111" s="18" t="s">
        <v>4892</v>
      </c>
      <c r="E1111" s="18" t="n">
        <v>100</v>
      </c>
      <c r="F1111" s="18" t="s">
        <v>1054</v>
      </c>
      <c r="G1111" s="18" t="s">
        <v>128</v>
      </c>
      <c r="H1111" s="18" t="s">
        <v>162</v>
      </c>
      <c r="I1111" s="18"/>
      <c r="J1111" s="18"/>
      <c r="K1111" s="18"/>
      <c r="L1111" s="18" t="s">
        <v>129</v>
      </c>
      <c r="M1111" s="18" t="s">
        <v>129</v>
      </c>
      <c r="N1111" s="18"/>
      <c r="O1111" s="18"/>
      <c r="P1111" s="18" t="s">
        <v>4913</v>
      </c>
      <c r="Q1111" s="18" t="s">
        <v>138</v>
      </c>
      <c r="R1111" s="18" t="s">
        <v>1056</v>
      </c>
      <c r="S1111" s="18" t="s">
        <v>140</v>
      </c>
      <c r="T1111" s="18" t="s">
        <v>141</v>
      </c>
      <c r="U1111" s="18"/>
      <c r="V1111" s="19" t="s">
        <v>29</v>
      </c>
      <c r="W1111" s="19"/>
      <c r="X1111" s="19"/>
      <c r="Y1111" s="20"/>
      <c r="Z1111" s="19"/>
      <c r="AA1111" s="18" t="str">
        <f aca="false">IF(OR(V1111="Aprobada"),R1111,IF(AND(OR(V1111="Aprobada con ajuste",V1111="Rechazada"),W1111&lt;&gt;""),W1111,""))</f>
        <v/>
      </c>
    </row>
    <row r="1112" customFormat="false" ht="32.8" hidden="false" customHeight="false" outlineLevel="0" collapsed="false">
      <c r="A1112" s="18" t="s">
        <v>4914</v>
      </c>
      <c r="B1112" s="18" t="s">
        <v>64</v>
      </c>
      <c r="C1112" s="18" t="s">
        <v>65</v>
      </c>
      <c r="D1112" s="18" t="s">
        <v>4892</v>
      </c>
      <c r="E1112" s="18" t="n">
        <v>100</v>
      </c>
      <c r="F1112" s="18" t="s">
        <v>4915</v>
      </c>
      <c r="G1112" s="18" t="s">
        <v>180</v>
      </c>
      <c r="H1112" s="18" t="s">
        <v>162</v>
      </c>
      <c r="I1112" s="18"/>
      <c r="J1112" s="18"/>
      <c r="K1112" s="18"/>
      <c r="L1112" s="18" t="s">
        <v>129</v>
      </c>
      <c r="M1112" s="18" t="s">
        <v>129</v>
      </c>
      <c r="N1112" s="18"/>
      <c r="O1112" s="18"/>
      <c r="P1112" s="18" t="s">
        <v>4916</v>
      </c>
      <c r="Q1112" s="18" t="s">
        <v>131</v>
      </c>
      <c r="R1112" s="18" t="s">
        <v>4917</v>
      </c>
      <c r="S1112" s="18" t="s">
        <v>133</v>
      </c>
      <c r="T1112" s="18" t="s">
        <v>4918</v>
      </c>
      <c r="U1112" s="18"/>
      <c r="V1112" s="19" t="s">
        <v>29</v>
      </c>
      <c r="W1112" s="19"/>
      <c r="X1112" s="19"/>
      <c r="Y1112" s="20"/>
      <c r="Z1112" s="19"/>
      <c r="AA1112" s="18" t="str">
        <f aca="false">IF(OR(V1112="Aprobada"),R1112,IF(AND(OR(V1112="Aprobada con ajuste",V1112="Rechazada"),W1112&lt;&gt;""),W1112,""))</f>
        <v/>
      </c>
    </row>
    <row r="1113" customFormat="false" ht="22.35" hidden="false" customHeight="false" outlineLevel="0" collapsed="false">
      <c r="A1113" s="18" t="s">
        <v>4919</v>
      </c>
      <c r="B1113" s="18" t="s">
        <v>64</v>
      </c>
      <c r="C1113" s="18" t="s">
        <v>65</v>
      </c>
      <c r="D1113" s="18" t="s">
        <v>4920</v>
      </c>
      <c r="E1113" s="18" t="n">
        <v>14042</v>
      </c>
      <c r="F1113" s="18" t="s">
        <v>4343</v>
      </c>
      <c r="G1113" s="18" t="s">
        <v>161</v>
      </c>
      <c r="H1113" s="18" t="s">
        <v>129</v>
      </c>
      <c r="I1113" s="18" t="s">
        <v>146</v>
      </c>
      <c r="J1113" s="18"/>
      <c r="K1113" s="18"/>
      <c r="L1113" s="18" t="s">
        <v>129</v>
      </c>
      <c r="M1113" s="18" t="s">
        <v>129</v>
      </c>
      <c r="N1113" s="18"/>
      <c r="O1113" s="18" t="s">
        <v>4921</v>
      </c>
      <c r="P1113" s="18" t="s">
        <v>4922</v>
      </c>
      <c r="Q1113" s="18" t="s">
        <v>149</v>
      </c>
      <c r="R1113" s="18" t="s">
        <v>4923</v>
      </c>
      <c r="S1113" s="18" t="s">
        <v>133</v>
      </c>
      <c r="T1113" s="18" t="s">
        <v>1105</v>
      </c>
      <c r="U1113" s="18"/>
      <c r="V1113" s="19" t="s">
        <v>29</v>
      </c>
      <c r="W1113" s="19"/>
      <c r="X1113" s="19"/>
      <c r="Y1113" s="20"/>
      <c r="Z1113" s="19"/>
      <c r="AA1113" s="18" t="str">
        <f aca="false">IF(OR(V1113="Aprobada"),R1113,IF(AND(OR(V1113="Aprobada con ajuste",V1113="Rechazada"),W1113&lt;&gt;""),W1113,""))</f>
        <v/>
      </c>
    </row>
    <row r="1114" customFormat="false" ht="22.35" hidden="false" customHeight="false" outlineLevel="0" collapsed="false">
      <c r="A1114" s="18" t="s">
        <v>4924</v>
      </c>
      <c r="B1114" s="18" t="s">
        <v>64</v>
      </c>
      <c r="C1114" s="18" t="s">
        <v>65</v>
      </c>
      <c r="D1114" s="18" t="s">
        <v>4920</v>
      </c>
      <c r="E1114" s="18" t="n">
        <v>14042</v>
      </c>
      <c r="F1114" s="18" t="s">
        <v>4478</v>
      </c>
      <c r="G1114" s="18" t="s">
        <v>161</v>
      </c>
      <c r="H1114" s="18" t="s">
        <v>129</v>
      </c>
      <c r="I1114" s="18"/>
      <c r="J1114" s="18"/>
      <c r="K1114" s="18"/>
      <c r="L1114" s="18" t="s">
        <v>129</v>
      </c>
      <c r="M1114" s="18" t="s">
        <v>129</v>
      </c>
      <c r="N1114" s="18"/>
      <c r="O1114" s="18"/>
      <c r="P1114" s="18" t="s">
        <v>4925</v>
      </c>
      <c r="Q1114" s="18" t="s">
        <v>149</v>
      </c>
      <c r="R1114" s="18" t="s">
        <v>4926</v>
      </c>
      <c r="S1114" s="18" t="s">
        <v>133</v>
      </c>
      <c r="T1114" s="18" t="s">
        <v>183</v>
      </c>
      <c r="U1114" s="18"/>
      <c r="V1114" s="19" t="s">
        <v>29</v>
      </c>
      <c r="W1114" s="19"/>
      <c r="X1114" s="19"/>
      <c r="Y1114" s="20"/>
      <c r="Z1114" s="19"/>
      <c r="AA1114" s="18" t="str">
        <f aca="false">IF(OR(V1114="Aprobada"),R1114,IF(AND(OR(V1114="Aprobada con ajuste",V1114="Rechazada"),W1114&lt;&gt;""),W1114,""))</f>
        <v/>
      </c>
    </row>
    <row r="1115" customFormat="false" ht="22.35" hidden="false" customHeight="false" outlineLevel="0" collapsed="false">
      <c r="A1115" s="18" t="s">
        <v>4927</v>
      </c>
      <c r="B1115" s="18" t="s">
        <v>64</v>
      </c>
      <c r="C1115" s="18" t="s">
        <v>65</v>
      </c>
      <c r="D1115" s="18" t="s">
        <v>4920</v>
      </c>
      <c r="E1115" s="18" t="n">
        <v>14042</v>
      </c>
      <c r="F1115" s="18" t="s">
        <v>4928</v>
      </c>
      <c r="G1115" s="18" t="s">
        <v>180</v>
      </c>
      <c r="H1115" s="18" t="s">
        <v>129</v>
      </c>
      <c r="I1115" s="18"/>
      <c r="J1115" s="18"/>
      <c r="K1115" s="18"/>
      <c r="L1115" s="18" t="s">
        <v>129</v>
      </c>
      <c r="M1115" s="18" t="s">
        <v>129</v>
      </c>
      <c r="N1115" s="18"/>
      <c r="O1115" s="18"/>
      <c r="P1115" s="18" t="s">
        <v>4929</v>
      </c>
      <c r="Q1115" s="18" t="s">
        <v>149</v>
      </c>
      <c r="R1115" s="18" t="s">
        <v>4930</v>
      </c>
      <c r="S1115" s="18" t="s">
        <v>133</v>
      </c>
      <c r="T1115" s="18" t="s">
        <v>183</v>
      </c>
      <c r="U1115" s="18"/>
      <c r="V1115" s="19" t="s">
        <v>29</v>
      </c>
      <c r="W1115" s="19"/>
      <c r="X1115" s="19"/>
      <c r="Y1115" s="20"/>
      <c r="Z1115" s="19"/>
      <c r="AA1115" s="18" t="str">
        <f aca="false">IF(OR(V1115="Aprobada"),R1115,IF(AND(OR(V1115="Aprobada con ajuste",V1115="Rechazada"),W1115&lt;&gt;""),W1115,""))</f>
        <v/>
      </c>
    </row>
    <row r="1116" customFormat="false" ht="22.35" hidden="false" customHeight="false" outlineLevel="0" collapsed="false">
      <c r="A1116" s="18" t="s">
        <v>4931</v>
      </c>
      <c r="B1116" s="18" t="s">
        <v>64</v>
      </c>
      <c r="C1116" s="18" t="s">
        <v>65</v>
      </c>
      <c r="D1116" s="18" t="s">
        <v>4920</v>
      </c>
      <c r="E1116" s="18" t="n">
        <v>14042</v>
      </c>
      <c r="F1116" s="18" t="s">
        <v>4932</v>
      </c>
      <c r="G1116" s="18" t="s">
        <v>180</v>
      </c>
      <c r="H1116" s="18" t="s">
        <v>162</v>
      </c>
      <c r="I1116" s="18"/>
      <c r="J1116" s="18"/>
      <c r="K1116" s="18"/>
      <c r="L1116" s="18" t="s">
        <v>129</v>
      </c>
      <c r="M1116" s="18" t="s">
        <v>129</v>
      </c>
      <c r="N1116" s="18"/>
      <c r="O1116" s="18"/>
      <c r="P1116" s="18" t="s">
        <v>4933</v>
      </c>
      <c r="Q1116" s="18" t="s">
        <v>149</v>
      </c>
      <c r="R1116" s="18" t="s">
        <v>4934</v>
      </c>
      <c r="S1116" s="18" t="s">
        <v>133</v>
      </c>
      <c r="T1116" s="18" t="s">
        <v>183</v>
      </c>
      <c r="U1116" s="18"/>
      <c r="V1116" s="19" t="s">
        <v>29</v>
      </c>
      <c r="W1116" s="19"/>
      <c r="X1116" s="19"/>
      <c r="Y1116" s="20"/>
      <c r="Z1116" s="19"/>
      <c r="AA1116" s="18" t="str">
        <f aca="false">IF(OR(V1116="Aprobada"),R1116,IF(AND(OR(V1116="Aprobada con ajuste",V1116="Rechazada"),W1116&lt;&gt;""),W1116,""))</f>
        <v/>
      </c>
    </row>
    <row r="1117" customFormat="false" ht="22.35" hidden="false" customHeight="false" outlineLevel="0" collapsed="false">
      <c r="A1117" s="18" t="s">
        <v>4935</v>
      </c>
      <c r="B1117" s="18" t="s">
        <v>64</v>
      </c>
      <c r="C1117" s="18" t="s">
        <v>65</v>
      </c>
      <c r="D1117" s="18" t="s">
        <v>4920</v>
      </c>
      <c r="E1117" s="18" t="n">
        <v>14042</v>
      </c>
      <c r="F1117" s="18" t="s">
        <v>4936</v>
      </c>
      <c r="G1117" s="18" t="s">
        <v>128</v>
      </c>
      <c r="H1117" s="18" t="s">
        <v>162</v>
      </c>
      <c r="I1117" s="18"/>
      <c r="J1117" s="18"/>
      <c r="K1117" s="18"/>
      <c r="L1117" s="18" t="s">
        <v>129</v>
      </c>
      <c r="M1117" s="18" t="s">
        <v>129</v>
      </c>
      <c r="N1117" s="18"/>
      <c r="O1117" s="18"/>
      <c r="P1117" s="18" t="s">
        <v>4937</v>
      </c>
      <c r="Q1117" s="18" t="s">
        <v>131</v>
      </c>
      <c r="R1117" s="18" t="s">
        <v>4938</v>
      </c>
      <c r="S1117" s="18" t="s">
        <v>133</v>
      </c>
      <c r="T1117" s="18" t="s">
        <v>4939</v>
      </c>
      <c r="U1117" s="18"/>
      <c r="V1117" s="19" t="s">
        <v>29</v>
      </c>
      <c r="W1117" s="19"/>
      <c r="X1117" s="19"/>
      <c r="Y1117" s="20"/>
      <c r="Z1117" s="19"/>
      <c r="AA1117" s="18" t="str">
        <f aca="false">IF(OR(V1117="Aprobada"),R1117,IF(AND(OR(V1117="Aprobada con ajuste",V1117="Rechazada"),W1117&lt;&gt;""),W1117,""))</f>
        <v/>
      </c>
    </row>
    <row r="1118" customFormat="false" ht="22.35" hidden="false" customHeight="false" outlineLevel="0" collapsed="false">
      <c r="A1118" s="18" t="s">
        <v>4940</v>
      </c>
      <c r="B1118" s="18" t="s">
        <v>64</v>
      </c>
      <c r="C1118" s="18" t="s">
        <v>65</v>
      </c>
      <c r="D1118" s="18" t="s">
        <v>4920</v>
      </c>
      <c r="E1118" s="18" t="n">
        <v>14042</v>
      </c>
      <c r="F1118" s="18" t="s">
        <v>4783</v>
      </c>
      <c r="G1118" s="18" t="s">
        <v>317</v>
      </c>
      <c r="H1118" s="18" t="s">
        <v>129</v>
      </c>
      <c r="I1118" s="18"/>
      <c r="J1118" s="18"/>
      <c r="K1118" s="18"/>
      <c r="L1118" s="18" t="s">
        <v>129</v>
      </c>
      <c r="M1118" s="18" t="s">
        <v>129</v>
      </c>
      <c r="N1118" s="18"/>
      <c r="O1118" s="18" t="s">
        <v>4941</v>
      </c>
      <c r="P1118" s="18" t="s">
        <v>4942</v>
      </c>
      <c r="Q1118" s="18" t="s">
        <v>138</v>
      </c>
      <c r="R1118" s="18" t="s">
        <v>4785</v>
      </c>
      <c r="S1118" s="18" t="s">
        <v>140</v>
      </c>
      <c r="T1118" s="18" t="s">
        <v>141</v>
      </c>
      <c r="U1118" s="18"/>
      <c r="V1118" s="19" t="s">
        <v>29</v>
      </c>
      <c r="W1118" s="19"/>
      <c r="X1118" s="19"/>
      <c r="Y1118" s="20"/>
      <c r="Z1118" s="19"/>
      <c r="AA1118" s="18" t="str">
        <f aca="false">IF(OR(V1118="Aprobada"),R1118,IF(AND(OR(V1118="Aprobada con ajuste",V1118="Rechazada"),W1118&lt;&gt;""),W1118,""))</f>
        <v/>
      </c>
    </row>
    <row r="1119" customFormat="false" ht="22.35" hidden="false" customHeight="false" outlineLevel="0" collapsed="false">
      <c r="A1119" s="18" t="s">
        <v>4943</v>
      </c>
      <c r="B1119" s="18" t="s">
        <v>64</v>
      </c>
      <c r="C1119" s="18" t="s">
        <v>65</v>
      </c>
      <c r="D1119" s="18" t="s">
        <v>4920</v>
      </c>
      <c r="E1119" s="18" t="n">
        <v>14042</v>
      </c>
      <c r="F1119" s="18" t="s">
        <v>4944</v>
      </c>
      <c r="G1119" s="18" t="s">
        <v>128</v>
      </c>
      <c r="H1119" s="18" t="s">
        <v>162</v>
      </c>
      <c r="I1119" s="18"/>
      <c r="J1119" s="18"/>
      <c r="K1119" s="18"/>
      <c r="L1119" s="18" t="s">
        <v>129</v>
      </c>
      <c r="M1119" s="18" t="s">
        <v>129</v>
      </c>
      <c r="N1119" s="18"/>
      <c r="O1119" s="18"/>
      <c r="P1119" s="18" t="s">
        <v>4945</v>
      </c>
      <c r="Q1119" s="18" t="s">
        <v>149</v>
      </c>
      <c r="R1119" s="18" t="s">
        <v>4946</v>
      </c>
      <c r="S1119" s="18" t="s">
        <v>133</v>
      </c>
      <c r="T1119" s="18" t="s">
        <v>183</v>
      </c>
      <c r="U1119" s="18"/>
      <c r="V1119" s="19" t="s">
        <v>29</v>
      </c>
      <c r="W1119" s="19"/>
      <c r="X1119" s="19"/>
      <c r="Y1119" s="20"/>
      <c r="Z1119" s="19"/>
      <c r="AA1119" s="18" t="str">
        <f aca="false">IF(OR(V1119="Aprobada"),R1119,IF(AND(OR(V1119="Aprobada con ajuste",V1119="Rechazada"),W1119&lt;&gt;""),W1119,""))</f>
        <v/>
      </c>
    </row>
    <row r="1120" customFormat="false" ht="22.35" hidden="false" customHeight="false" outlineLevel="0" collapsed="false">
      <c r="A1120" s="18" t="s">
        <v>4947</v>
      </c>
      <c r="B1120" s="18" t="s">
        <v>64</v>
      </c>
      <c r="C1120" s="18" t="s">
        <v>65</v>
      </c>
      <c r="D1120" s="18" t="s">
        <v>4920</v>
      </c>
      <c r="E1120" s="18" t="n">
        <v>14042</v>
      </c>
      <c r="F1120" s="18" t="s">
        <v>4948</v>
      </c>
      <c r="G1120" s="18" t="s">
        <v>128</v>
      </c>
      <c r="H1120" s="18" t="s">
        <v>162</v>
      </c>
      <c r="I1120" s="18"/>
      <c r="J1120" s="18"/>
      <c r="K1120" s="18"/>
      <c r="L1120" s="18" t="s">
        <v>129</v>
      </c>
      <c r="M1120" s="18" t="s">
        <v>129</v>
      </c>
      <c r="N1120" s="18"/>
      <c r="O1120" s="18"/>
      <c r="P1120" s="18" t="s">
        <v>4949</v>
      </c>
      <c r="Q1120" s="18" t="s">
        <v>149</v>
      </c>
      <c r="R1120" s="18" t="s">
        <v>4950</v>
      </c>
      <c r="S1120" s="18" t="s">
        <v>133</v>
      </c>
      <c r="T1120" s="18" t="s">
        <v>183</v>
      </c>
      <c r="U1120" s="18"/>
      <c r="V1120" s="19" t="s">
        <v>29</v>
      </c>
      <c r="W1120" s="19"/>
      <c r="X1120" s="19"/>
      <c r="Y1120" s="20"/>
      <c r="Z1120" s="19"/>
      <c r="AA1120" s="18" t="str">
        <f aca="false">IF(OR(V1120="Aprobada"),R1120,IF(AND(OR(V1120="Aprobada con ajuste",V1120="Rechazada"),W1120&lt;&gt;""),W1120,""))</f>
        <v/>
      </c>
    </row>
    <row r="1121" customFormat="false" ht="22.35" hidden="false" customHeight="false" outlineLevel="0" collapsed="false">
      <c r="A1121" s="18" t="s">
        <v>4951</v>
      </c>
      <c r="B1121" s="18" t="s">
        <v>64</v>
      </c>
      <c r="C1121" s="18" t="s">
        <v>65</v>
      </c>
      <c r="D1121" s="18" t="s">
        <v>4920</v>
      </c>
      <c r="E1121" s="18" t="n">
        <v>14042</v>
      </c>
      <c r="F1121" s="18" t="s">
        <v>4952</v>
      </c>
      <c r="G1121" s="18" t="s">
        <v>173</v>
      </c>
      <c r="H1121" s="18" t="s">
        <v>162</v>
      </c>
      <c r="I1121" s="18"/>
      <c r="J1121" s="18"/>
      <c r="K1121" s="18"/>
      <c r="L1121" s="18" t="s">
        <v>129</v>
      </c>
      <c r="M1121" s="18" t="s">
        <v>129</v>
      </c>
      <c r="N1121" s="18"/>
      <c r="O1121" s="18"/>
      <c r="P1121" s="18" t="s">
        <v>4953</v>
      </c>
      <c r="Q1121" s="18" t="s">
        <v>138</v>
      </c>
      <c r="R1121" s="18" t="s">
        <v>4954</v>
      </c>
      <c r="S1121" s="18" t="s">
        <v>140</v>
      </c>
      <c r="T1121" s="18" t="s">
        <v>141</v>
      </c>
      <c r="U1121" s="18"/>
      <c r="V1121" s="19" t="s">
        <v>29</v>
      </c>
      <c r="W1121" s="19"/>
      <c r="X1121" s="19"/>
      <c r="Y1121" s="20"/>
      <c r="Z1121" s="19"/>
      <c r="AA1121" s="18" t="str">
        <f aca="false">IF(OR(V1121="Aprobada"),R1121,IF(AND(OR(V1121="Aprobada con ajuste",V1121="Rechazada"),W1121&lt;&gt;""),W1121,""))</f>
        <v/>
      </c>
    </row>
    <row r="1122" customFormat="false" ht="22.35" hidden="false" customHeight="false" outlineLevel="0" collapsed="false">
      <c r="A1122" s="18" t="s">
        <v>4955</v>
      </c>
      <c r="B1122" s="18" t="s">
        <v>64</v>
      </c>
      <c r="C1122" s="18" t="s">
        <v>65</v>
      </c>
      <c r="D1122" s="18" t="s">
        <v>4920</v>
      </c>
      <c r="E1122" s="18" t="n">
        <v>14042</v>
      </c>
      <c r="F1122" s="18" t="s">
        <v>4956</v>
      </c>
      <c r="G1122" s="18" t="s">
        <v>173</v>
      </c>
      <c r="H1122" s="18" t="s">
        <v>162</v>
      </c>
      <c r="I1122" s="18"/>
      <c r="J1122" s="18"/>
      <c r="K1122" s="18"/>
      <c r="L1122" s="18" t="s">
        <v>129</v>
      </c>
      <c r="M1122" s="18" t="s">
        <v>129</v>
      </c>
      <c r="N1122" s="18"/>
      <c r="O1122" s="18" t="s">
        <v>4957</v>
      </c>
      <c r="P1122" s="18" t="s">
        <v>4958</v>
      </c>
      <c r="Q1122" s="18" t="s">
        <v>138</v>
      </c>
      <c r="R1122" s="18" t="s">
        <v>4959</v>
      </c>
      <c r="S1122" s="18" t="s">
        <v>140</v>
      </c>
      <c r="T1122" s="18" t="s">
        <v>141</v>
      </c>
      <c r="U1122" s="18"/>
      <c r="V1122" s="19" t="s">
        <v>29</v>
      </c>
      <c r="W1122" s="19"/>
      <c r="X1122" s="19"/>
      <c r="Y1122" s="20"/>
      <c r="Z1122" s="19"/>
      <c r="AA1122" s="18" t="str">
        <f aca="false">IF(OR(V1122="Aprobada"),R1122,IF(AND(OR(V1122="Aprobada con ajuste",V1122="Rechazada"),W1122&lt;&gt;""),W1122,""))</f>
        <v/>
      </c>
    </row>
    <row r="1123" customFormat="false" ht="22.35" hidden="false" customHeight="false" outlineLevel="0" collapsed="false">
      <c r="A1123" s="18" t="s">
        <v>4960</v>
      </c>
      <c r="B1123" s="18" t="s">
        <v>64</v>
      </c>
      <c r="C1123" s="18" t="s">
        <v>65</v>
      </c>
      <c r="D1123" s="18" t="s">
        <v>4920</v>
      </c>
      <c r="E1123" s="18" t="n">
        <v>14042</v>
      </c>
      <c r="F1123" s="18" t="s">
        <v>4961</v>
      </c>
      <c r="G1123" s="18" t="s">
        <v>173</v>
      </c>
      <c r="H1123" s="18" t="s">
        <v>162</v>
      </c>
      <c r="I1123" s="18"/>
      <c r="J1123" s="18"/>
      <c r="K1123" s="18"/>
      <c r="L1123" s="18" t="s">
        <v>129</v>
      </c>
      <c r="M1123" s="18" t="s">
        <v>129</v>
      </c>
      <c r="N1123" s="18"/>
      <c r="O1123" s="18" t="s">
        <v>4962</v>
      </c>
      <c r="P1123" s="18" t="s">
        <v>4963</v>
      </c>
      <c r="Q1123" s="18" t="s">
        <v>138</v>
      </c>
      <c r="R1123" s="18" t="s">
        <v>4964</v>
      </c>
      <c r="S1123" s="18" t="s">
        <v>140</v>
      </c>
      <c r="T1123" s="18" t="s">
        <v>141</v>
      </c>
      <c r="U1123" s="18"/>
      <c r="V1123" s="19" t="s">
        <v>29</v>
      </c>
      <c r="W1123" s="19"/>
      <c r="X1123" s="19"/>
      <c r="Y1123" s="20"/>
      <c r="Z1123" s="19"/>
      <c r="AA1123" s="18" t="str">
        <f aca="false">IF(OR(V1123="Aprobada"),R1123,IF(AND(OR(V1123="Aprobada con ajuste",V1123="Rechazada"),W1123&lt;&gt;""),W1123,""))</f>
        <v/>
      </c>
    </row>
    <row r="1124" customFormat="false" ht="22.35" hidden="false" customHeight="false" outlineLevel="0" collapsed="false">
      <c r="A1124" s="18" t="s">
        <v>4965</v>
      </c>
      <c r="B1124" s="18" t="s">
        <v>64</v>
      </c>
      <c r="C1124" s="18" t="s">
        <v>65</v>
      </c>
      <c r="D1124" s="18" t="s">
        <v>4920</v>
      </c>
      <c r="E1124" s="18" t="n">
        <v>14042</v>
      </c>
      <c r="F1124" s="18" t="s">
        <v>4966</v>
      </c>
      <c r="G1124" s="18" t="s">
        <v>173</v>
      </c>
      <c r="H1124" s="18" t="s">
        <v>162</v>
      </c>
      <c r="I1124" s="18"/>
      <c r="J1124" s="18"/>
      <c r="K1124" s="18"/>
      <c r="L1124" s="18" t="s">
        <v>129</v>
      </c>
      <c r="M1124" s="18" t="s">
        <v>129</v>
      </c>
      <c r="N1124" s="18"/>
      <c r="O1124" s="18" t="s">
        <v>4967</v>
      </c>
      <c r="P1124" s="18" t="s">
        <v>4968</v>
      </c>
      <c r="Q1124" s="18" t="s">
        <v>138</v>
      </c>
      <c r="R1124" s="18" t="s">
        <v>4969</v>
      </c>
      <c r="S1124" s="18" t="s">
        <v>140</v>
      </c>
      <c r="T1124" s="18" t="s">
        <v>141</v>
      </c>
      <c r="U1124" s="18"/>
      <c r="V1124" s="19" t="s">
        <v>29</v>
      </c>
      <c r="W1124" s="19"/>
      <c r="X1124" s="19"/>
      <c r="Y1124" s="20"/>
      <c r="Z1124" s="19"/>
      <c r="AA1124" s="18" t="str">
        <f aca="false">IF(OR(V1124="Aprobada"),R1124,IF(AND(OR(V1124="Aprobada con ajuste",V1124="Rechazada"),W1124&lt;&gt;""),W1124,""))</f>
        <v/>
      </c>
    </row>
    <row r="1125" customFormat="false" ht="43.25" hidden="false" customHeight="false" outlineLevel="0" collapsed="false">
      <c r="A1125" s="18" t="s">
        <v>4970</v>
      </c>
      <c r="B1125" s="18" t="s">
        <v>64</v>
      </c>
      <c r="C1125" s="18" t="s">
        <v>65</v>
      </c>
      <c r="D1125" s="18" t="s">
        <v>4920</v>
      </c>
      <c r="E1125" s="18" t="n">
        <v>14042</v>
      </c>
      <c r="F1125" s="18" t="s">
        <v>127</v>
      </c>
      <c r="G1125" s="18" t="s">
        <v>205</v>
      </c>
      <c r="H1125" s="18" t="s">
        <v>162</v>
      </c>
      <c r="I1125" s="18"/>
      <c r="J1125" s="18"/>
      <c r="K1125" s="18"/>
      <c r="L1125" s="18" t="s">
        <v>129</v>
      </c>
      <c r="M1125" s="18" t="s">
        <v>129</v>
      </c>
      <c r="N1125" s="18"/>
      <c r="O1125" s="18" t="s">
        <v>4971</v>
      </c>
      <c r="P1125" s="18" t="s">
        <v>4972</v>
      </c>
      <c r="Q1125" s="18" t="s">
        <v>131</v>
      </c>
      <c r="R1125" s="18" t="s">
        <v>4973</v>
      </c>
      <c r="S1125" s="18" t="s">
        <v>133</v>
      </c>
      <c r="T1125" s="18" t="s">
        <v>4974</v>
      </c>
      <c r="U1125" s="18"/>
      <c r="V1125" s="19" t="s">
        <v>29</v>
      </c>
      <c r="W1125" s="19"/>
      <c r="X1125" s="19"/>
      <c r="Y1125" s="20"/>
      <c r="Z1125" s="19"/>
      <c r="AA1125" s="18" t="str">
        <f aca="false">IF(OR(V1125="Aprobada"),R1125,IF(AND(OR(V1125="Aprobada con ajuste",V1125="Rechazada"),W1125&lt;&gt;""),W1125,""))</f>
        <v/>
      </c>
    </row>
    <row r="1126" customFormat="false" ht="32.8" hidden="false" customHeight="false" outlineLevel="0" collapsed="false">
      <c r="A1126" s="18" t="s">
        <v>4975</v>
      </c>
      <c r="B1126" s="18" t="s">
        <v>64</v>
      </c>
      <c r="C1126" s="18" t="s">
        <v>65</v>
      </c>
      <c r="D1126" s="18" t="s">
        <v>4920</v>
      </c>
      <c r="E1126" s="18" t="n">
        <v>14042</v>
      </c>
      <c r="F1126" s="18" t="s">
        <v>281</v>
      </c>
      <c r="G1126" s="18" t="s">
        <v>486</v>
      </c>
      <c r="H1126" s="18" t="s">
        <v>162</v>
      </c>
      <c r="I1126" s="18"/>
      <c r="J1126" s="18"/>
      <c r="K1126" s="18"/>
      <c r="L1126" s="18" t="s">
        <v>129</v>
      </c>
      <c r="M1126" s="18" t="s">
        <v>129</v>
      </c>
      <c r="N1126" s="18"/>
      <c r="O1126" s="18"/>
      <c r="P1126" s="18" t="s">
        <v>4976</v>
      </c>
      <c r="Q1126" s="18" t="s">
        <v>149</v>
      </c>
      <c r="R1126" s="18" t="s">
        <v>4977</v>
      </c>
      <c r="S1126" s="18" t="s">
        <v>242</v>
      </c>
      <c r="T1126" s="18" t="s">
        <v>183</v>
      </c>
      <c r="U1126" s="18" t="s">
        <v>4978</v>
      </c>
      <c r="V1126" s="19" t="s">
        <v>29</v>
      </c>
      <c r="W1126" s="19"/>
      <c r="X1126" s="19"/>
      <c r="Y1126" s="20"/>
      <c r="Z1126" s="19"/>
      <c r="AA1126" s="18" t="str">
        <f aca="false">IF(OR(V1126="Aprobada"),R1126,IF(AND(OR(V1126="Aprobada con ajuste",V1126="Rechazada"),W1126&lt;&gt;""),W1126,""))</f>
        <v/>
      </c>
    </row>
    <row r="1127" customFormat="false" ht="22.35" hidden="false" customHeight="false" outlineLevel="0" collapsed="false">
      <c r="A1127" s="18" t="s">
        <v>4979</v>
      </c>
      <c r="B1127" s="18" t="s">
        <v>64</v>
      </c>
      <c r="C1127" s="18" t="s">
        <v>65</v>
      </c>
      <c r="D1127" s="18" t="s">
        <v>4920</v>
      </c>
      <c r="E1127" s="18" t="n">
        <v>14042</v>
      </c>
      <c r="F1127" s="18" t="s">
        <v>4980</v>
      </c>
      <c r="G1127" s="18" t="s">
        <v>486</v>
      </c>
      <c r="H1127" s="18" t="s">
        <v>162</v>
      </c>
      <c r="I1127" s="18"/>
      <c r="J1127" s="18"/>
      <c r="K1127" s="18"/>
      <c r="L1127" s="18" t="s">
        <v>129</v>
      </c>
      <c r="M1127" s="18" t="s">
        <v>129</v>
      </c>
      <c r="N1127" s="18"/>
      <c r="O1127" s="18"/>
      <c r="P1127" s="18" t="s">
        <v>4981</v>
      </c>
      <c r="Q1127" s="18" t="s">
        <v>149</v>
      </c>
      <c r="R1127" s="18" t="s">
        <v>4982</v>
      </c>
      <c r="S1127" s="18" t="s">
        <v>140</v>
      </c>
      <c r="T1127" s="18" t="s">
        <v>4983</v>
      </c>
      <c r="U1127" s="18" t="s">
        <v>4984</v>
      </c>
      <c r="V1127" s="19" t="s">
        <v>29</v>
      </c>
      <c r="W1127" s="19"/>
      <c r="X1127" s="19"/>
      <c r="Y1127" s="20"/>
      <c r="Z1127" s="19"/>
      <c r="AA1127" s="18" t="str">
        <f aca="false">IF(OR(V1127="Aprobada"),R1127,IF(AND(OR(V1127="Aprobada con ajuste",V1127="Rechazada"),W1127&lt;&gt;""),W1127,""))</f>
        <v/>
      </c>
    </row>
    <row r="1128" customFormat="false" ht="22.35" hidden="false" customHeight="false" outlineLevel="0" collapsed="false">
      <c r="A1128" s="18" t="s">
        <v>4985</v>
      </c>
      <c r="B1128" s="18" t="s">
        <v>64</v>
      </c>
      <c r="C1128" s="18" t="s">
        <v>65</v>
      </c>
      <c r="D1128" s="18" t="s">
        <v>4920</v>
      </c>
      <c r="E1128" s="18" t="n">
        <v>14042</v>
      </c>
      <c r="F1128" s="18" t="s">
        <v>4986</v>
      </c>
      <c r="G1128" s="18" t="s">
        <v>2190</v>
      </c>
      <c r="H1128" s="18" t="s">
        <v>162</v>
      </c>
      <c r="I1128" s="18"/>
      <c r="J1128" s="18"/>
      <c r="K1128" s="18"/>
      <c r="L1128" s="18" t="s">
        <v>129</v>
      </c>
      <c r="M1128" s="18" t="s">
        <v>129</v>
      </c>
      <c r="N1128" s="18"/>
      <c r="O1128" s="18"/>
      <c r="P1128" s="18" t="s">
        <v>4987</v>
      </c>
      <c r="Q1128" s="18" t="s">
        <v>149</v>
      </c>
      <c r="R1128" s="18" t="s">
        <v>4988</v>
      </c>
      <c r="S1128" s="18" t="s">
        <v>140</v>
      </c>
      <c r="T1128" s="18" t="s">
        <v>183</v>
      </c>
      <c r="U1128" s="18" t="s">
        <v>4989</v>
      </c>
      <c r="V1128" s="19" t="s">
        <v>29</v>
      </c>
      <c r="W1128" s="19"/>
      <c r="X1128" s="19"/>
      <c r="Y1128" s="20"/>
      <c r="Z1128" s="19"/>
      <c r="AA1128" s="18" t="str">
        <f aca="false">IF(OR(V1128="Aprobada"),R1128,IF(AND(OR(V1128="Aprobada con ajuste",V1128="Rechazada"),W1128&lt;&gt;""),W1128,""))</f>
        <v/>
      </c>
    </row>
    <row r="1129" customFormat="false" ht="22.35" hidden="false" customHeight="false" outlineLevel="0" collapsed="false">
      <c r="A1129" s="18" t="s">
        <v>4990</v>
      </c>
      <c r="B1129" s="18" t="s">
        <v>64</v>
      </c>
      <c r="C1129" s="18" t="s">
        <v>65</v>
      </c>
      <c r="D1129" s="18" t="s">
        <v>4920</v>
      </c>
      <c r="E1129" s="18" t="n">
        <v>14042</v>
      </c>
      <c r="F1129" s="18" t="s">
        <v>4991</v>
      </c>
      <c r="G1129" s="18" t="s">
        <v>486</v>
      </c>
      <c r="H1129" s="18" t="s">
        <v>162</v>
      </c>
      <c r="I1129" s="18"/>
      <c r="J1129" s="18"/>
      <c r="K1129" s="18"/>
      <c r="L1129" s="18" t="s">
        <v>129</v>
      </c>
      <c r="M1129" s="18" t="s">
        <v>129</v>
      </c>
      <c r="N1129" s="18"/>
      <c r="O1129" s="18"/>
      <c r="P1129" s="18" t="s">
        <v>4992</v>
      </c>
      <c r="Q1129" s="18" t="s">
        <v>149</v>
      </c>
      <c r="R1129" s="18" t="s">
        <v>4993</v>
      </c>
      <c r="S1129" s="18" t="s">
        <v>133</v>
      </c>
      <c r="T1129" s="18" t="s">
        <v>183</v>
      </c>
      <c r="U1129" s="18"/>
      <c r="V1129" s="19" t="s">
        <v>29</v>
      </c>
      <c r="W1129" s="19"/>
      <c r="X1129" s="19"/>
      <c r="Y1129" s="20"/>
      <c r="Z1129" s="19"/>
      <c r="AA1129" s="18" t="str">
        <f aca="false">IF(OR(V1129="Aprobada"),R1129,IF(AND(OR(V1129="Aprobada con ajuste",V1129="Rechazada"),W1129&lt;&gt;""),W1129,""))</f>
        <v/>
      </c>
    </row>
    <row r="1130" customFormat="false" ht="22.35" hidden="false" customHeight="false" outlineLevel="0" collapsed="false">
      <c r="A1130" s="18" t="s">
        <v>4994</v>
      </c>
      <c r="B1130" s="18" t="s">
        <v>64</v>
      </c>
      <c r="C1130" s="18" t="s">
        <v>65</v>
      </c>
      <c r="D1130" s="18" t="s">
        <v>4920</v>
      </c>
      <c r="E1130" s="18" t="n">
        <v>14042</v>
      </c>
      <c r="F1130" s="18" t="s">
        <v>4995</v>
      </c>
      <c r="G1130" s="18" t="s">
        <v>173</v>
      </c>
      <c r="H1130" s="18" t="s">
        <v>162</v>
      </c>
      <c r="I1130" s="18"/>
      <c r="J1130" s="18"/>
      <c r="K1130" s="18"/>
      <c r="L1130" s="18" t="s">
        <v>129</v>
      </c>
      <c r="M1130" s="18" t="s">
        <v>129</v>
      </c>
      <c r="N1130" s="18"/>
      <c r="O1130" s="18"/>
      <c r="P1130" s="18" t="s">
        <v>4996</v>
      </c>
      <c r="Q1130" s="18" t="s">
        <v>138</v>
      </c>
      <c r="R1130" s="18" t="s">
        <v>4997</v>
      </c>
      <c r="S1130" s="18" t="s">
        <v>140</v>
      </c>
      <c r="T1130" s="18" t="s">
        <v>141</v>
      </c>
      <c r="U1130" s="18"/>
      <c r="V1130" s="19" t="s">
        <v>29</v>
      </c>
      <c r="W1130" s="19"/>
      <c r="X1130" s="19"/>
      <c r="Y1130" s="20"/>
      <c r="Z1130" s="19"/>
      <c r="AA1130" s="18" t="str">
        <f aca="false">IF(OR(V1130="Aprobada"),R1130,IF(AND(OR(V1130="Aprobada con ajuste",V1130="Rechazada"),W1130&lt;&gt;""),W1130,""))</f>
        <v/>
      </c>
    </row>
    <row r="1131" customFormat="false" ht="22.35" hidden="false" customHeight="false" outlineLevel="0" collapsed="false">
      <c r="A1131" s="18" t="s">
        <v>4998</v>
      </c>
      <c r="B1131" s="18" t="s">
        <v>64</v>
      </c>
      <c r="C1131" s="18" t="s">
        <v>65</v>
      </c>
      <c r="D1131" s="18" t="s">
        <v>4920</v>
      </c>
      <c r="E1131" s="18" t="n">
        <v>14042</v>
      </c>
      <c r="F1131" s="18" t="s">
        <v>4291</v>
      </c>
      <c r="G1131" s="18" t="s">
        <v>180</v>
      </c>
      <c r="H1131" s="18" t="s">
        <v>162</v>
      </c>
      <c r="I1131" s="18"/>
      <c r="J1131" s="18"/>
      <c r="K1131" s="18"/>
      <c r="L1131" s="18" t="s">
        <v>129</v>
      </c>
      <c r="M1131" s="18" t="s">
        <v>129</v>
      </c>
      <c r="N1131" s="18"/>
      <c r="O1131" s="18" t="s">
        <v>4999</v>
      </c>
      <c r="P1131" s="18" t="s">
        <v>5000</v>
      </c>
      <c r="Q1131" s="18" t="s">
        <v>149</v>
      </c>
      <c r="R1131" s="18" t="s">
        <v>5001</v>
      </c>
      <c r="S1131" s="18" t="s">
        <v>140</v>
      </c>
      <c r="T1131" s="18" t="s">
        <v>183</v>
      </c>
      <c r="U1131" s="18" t="s">
        <v>5002</v>
      </c>
      <c r="V1131" s="19" t="s">
        <v>29</v>
      </c>
      <c r="W1131" s="19"/>
      <c r="X1131" s="19"/>
      <c r="Y1131" s="20"/>
      <c r="Z1131" s="19"/>
      <c r="AA1131" s="18" t="str">
        <f aca="false">IF(OR(V1131="Aprobada"),R1131,IF(AND(OR(V1131="Aprobada con ajuste",V1131="Rechazada"),W1131&lt;&gt;""),W1131,""))</f>
        <v/>
      </c>
    </row>
    <row r="1132" customFormat="false" ht="22.35" hidden="false" customHeight="false" outlineLevel="0" collapsed="false">
      <c r="A1132" s="18" t="s">
        <v>5003</v>
      </c>
      <c r="B1132" s="18" t="s">
        <v>64</v>
      </c>
      <c r="C1132" s="18" t="s">
        <v>65</v>
      </c>
      <c r="D1132" s="18" t="s">
        <v>4920</v>
      </c>
      <c r="E1132" s="18" t="n">
        <v>14042</v>
      </c>
      <c r="F1132" s="18" t="s">
        <v>2452</v>
      </c>
      <c r="G1132" s="18" t="s">
        <v>205</v>
      </c>
      <c r="H1132" s="18" t="s">
        <v>162</v>
      </c>
      <c r="I1132" s="18"/>
      <c r="J1132" s="18"/>
      <c r="K1132" s="18"/>
      <c r="L1132" s="18" t="s">
        <v>129</v>
      </c>
      <c r="M1132" s="18" t="s">
        <v>129</v>
      </c>
      <c r="N1132" s="18"/>
      <c r="O1132" s="18"/>
      <c r="P1132" s="18" t="s">
        <v>5004</v>
      </c>
      <c r="Q1132" s="18" t="s">
        <v>131</v>
      </c>
      <c r="R1132" s="18" t="s">
        <v>5005</v>
      </c>
      <c r="S1132" s="18" t="s">
        <v>133</v>
      </c>
      <c r="T1132" s="18" t="s">
        <v>5006</v>
      </c>
      <c r="U1132" s="18"/>
      <c r="V1132" s="19" t="s">
        <v>29</v>
      </c>
      <c r="W1132" s="19"/>
      <c r="X1132" s="19"/>
      <c r="Y1132" s="20"/>
      <c r="Z1132" s="19"/>
      <c r="AA1132" s="18" t="str">
        <f aca="false">IF(OR(V1132="Aprobada"),R1132,IF(AND(OR(V1132="Aprobada con ajuste",V1132="Rechazada"),W1132&lt;&gt;""),W1132,""))</f>
        <v/>
      </c>
    </row>
    <row r="1133" customFormat="false" ht="22.35" hidden="false" customHeight="false" outlineLevel="0" collapsed="false">
      <c r="A1133" s="18" t="s">
        <v>5007</v>
      </c>
      <c r="B1133" s="18" t="s">
        <v>64</v>
      </c>
      <c r="C1133" s="18" t="s">
        <v>65</v>
      </c>
      <c r="D1133" s="18" t="s">
        <v>4920</v>
      </c>
      <c r="E1133" s="18" t="n">
        <v>14042</v>
      </c>
      <c r="F1133" s="18" t="s">
        <v>4463</v>
      </c>
      <c r="G1133" s="18" t="s">
        <v>128</v>
      </c>
      <c r="H1133" s="18" t="s">
        <v>162</v>
      </c>
      <c r="I1133" s="18"/>
      <c r="J1133" s="18"/>
      <c r="K1133" s="18"/>
      <c r="L1133" s="18" t="s">
        <v>129</v>
      </c>
      <c r="M1133" s="18" t="s">
        <v>129</v>
      </c>
      <c r="N1133" s="18"/>
      <c r="O1133" s="18"/>
      <c r="P1133" s="18" t="s">
        <v>5008</v>
      </c>
      <c r="Q1133" s="18" t="s">
        <v>149</v>
      </c>
      <c r="R1133" s="18" t="s">
        <v>5009</v>
      </c>
      <c r="S1133" s="18" t="s">
        <v>140</v>
      </c>
      <c r="T1133" s="18" t="s">
        <v>5010</v>
      </c>
      <c r="U1133" s="18" t="s">
        <v>5011</v>
      </c>
      <c r="V1133" s="19" t="s">
        <v>29</v>
      </c>
      <c r="W1133" s="19"/>
      <c r="X1133" s="19"/>
      <c r="Y1133" s="20"/>
      <c r="Z1133" s="19"/>
      <c r="AA1133" s="18" t="str">
        <f aca="false">IF(OR(V1133="Aprobada"),R1133,IF(AND(OR(V1133="Aprobada con ajuste",V1133="Rechazada"),W1133&lt;&gt;""),W1133,""))</f>
        <v/>
      </c>
    </row>
    <row r="1134" customFormat="false" ht="22.35" hidden="false" customHeight="false" outlineLevel="0" collapsed="false">
      <c r="A1134" s="18" t="s">
        <v>5012</v>
      </c>
      <c r="B1134" s="18" t="s">
        <v>64</v>
      </c>
      <c r="C1134" s="18" t="s">
        <v>65</v>
      </c>
      <c r="D1134" s="18" t="s">
        <v>4920</v>
      </c>
      <c r="E1134" s="18" t="n">
        <v>14042</v>
      </c>
      <c r="F1134" s="18" t="s">
        <v>5013</v>
      </c>
      <c r="G1134" s="18" t="s">
        <v>173</v>
      </c>
      <c r="H1134" s="18" t="s">
        <v>162</v>
      </c>
      <c r="I1134" s="18"/>
      <c r="J1134" s="18"/>
      <c r="K1134" s="18"/>
      <c r="L1134" s="18" t="s">
        <v>129</v>
      </c>
      <c r="M1134" s="18" t="s">
        <v>129</v>
      </c>
      <c r="N1134" s="18"/>
      <c r="O1134" s="18"/>
      <c r="P1134" s="18" t="s">
        <v>5014</v>
      </c>
      <c r="Q1134" s="18" t="s">
        <v>138</v>
      </c>
      <c r="R1134" s="18" t="s">
        <v>5015</v>
      </c>
      <c r="S1134" s="18" t="s">
        <v>140</v>
      </c>
      <c r="T1134" s="18" t="s">
        <v>141</v>
      </c>
      <c r="U1134" s="18"/>
      <c r="V1134" s="19" t="s">
        <v>29</v>
      </c>
      <c r="W1134" s="19"/>
      <c r="X1134" s="19"/>
      <c r="Y1134" s="20"/>
      <c r="Z1134" s="19"/>
      <c r="AA1134" s="18" t="str">
        <f aca="false">IF(OR(V1134="Aprobada"),R1134,IF(AND(OR(V1134="Aprobada con ajuste",V1134="Rechazada"),W1134&lt;&gt;""),W1134,""))</f>
        <v/>
      </c>
    </row>
    <row r="1135" customFormat="false" ht="32.8" hidden="false" customHeight="false" outlineLevel="0" collapsed="false">
      <c r="A1135" s="18" t="s">
        <v>5016</v>
      </c>
      <c r="B1135" s="18" t="s">
        <v>64</v>
      </c>
      <c r="C1135" s="18" t="s">
        <v>65</v>
      </c>
      <c r="D1135" s="18" t="s">
        <v>4920</v>
      </c>
      <c r="E1135" s="18" t="n">
        <v>14042</v>
      </c>
      <c r="F1135" s="18" t="s">
        <v>5017</v>
      </c>
      <c r="G1135" s="18" t="s">
        <v>173</v>
      </c>
      <c r="H1135" s="18" t="s">
        <v>162</v>
      </c>
      <c r="I1135" s="18"/>
      <c r="J1135" s="18"/>
      <c r="K1135" s="18"/>
      <c r="L1135" s="18" t="s">
        <v>129</v>
      </c>
      <c r="M1135" s="18" t="s">
        <v>129</v>
      </c>
      <c r="N1135" s="18"/>
      <c r="O1135" s="18"/>
      <c r="P1135" s="18" t="s">
        <v>5018</v>
      </c>
      <c r="Q1135" s="18" t="s">
        <v>131</v>
      </c>
      <c r="R1135" s="18" t="s">
        <v>5019</v>
      </c>
      <c r="S1135" s="18" t="s">
        <v>133</v>
      </c>
      <c r="T1135" s="18" t="s">
        <v>5020</v>
      </c>
      <c r="U1135" s="18"/>
      <c r="V1135" s="19" t="s">
        <v>29</v>
      </c>
      <c r="W1135" s="19"/>
      <c r="X1135" s="19"/>
      <c r="Y1135" s="20"/>
      <c r="Z1135" s="19"/>
      <c r="AA1135" s="18" t="str">
        <f aca="false">IF(OR(V1135="Aprobada"),R1135,IF(AND(OR(V1135="Aprobada con ajuste",V1135="Rechazada"),W1135&lt;&gt;""),W1135,""))</f>
        <v/>
      </c>
    </row>
    <row r="1136" customFormat="false" ht="22.35" hidden="false" customHeight="false" outlineLevel="0" collapsed="false">
      <c r="A1136" s="18" t="s">
        <v>5021</v>
      </c>
      <c r="B1136" s="18" t="s">
        <v>64</v>
      </c>
      <c r="C1136" s="18" t="s">
        <v>65</v>
      </c>
      <c r="D1136" s="18" t="s">
        <v>4920</v>
      </c>
      <c r="E1136" s="18" t="n">
        <v>14042</v>
      </c>
      <c r="F1136" s="18" t="s">
        <v>5022</v>
      </c>
      <c r="G1136" s="18" t="s">
        <v>161</v>
      </c>
      <c r="H1136" s="18" t="s">
        <v>162</v>
      </c>
      <c r="I1136" s="18"/>
      <c r="J1136" s="18"/>
      <c r="K1136" s="18"/>
      <c r="L1136" s="18" t="s">
        <v>129</v>
      </c>
      <c r="M1136" s="18" t="s">
        <v>129</v>
      </c>
      <c r="N1136" s="18"/>
      <c r="O1136" s="18" t="s">
        <v>5023</v>
      </c>
      <c r="P1136" s="18" t="s">
        <v>5024</v>
      </c>
      <c r="Q1136" s="18" t="s">
        <v>149</v>
      </c>
      <c r="R1136" s="18" t="s">
        <v>5025</v>
      </c>
      <c r="S1136" s="18" t="s">
        <v>133</v>
      </c>
      <c r="T1136" s="18" t="s">
        <v>183</v>
      </c>
      <c r="U1136" s="18"/>
      <c r="V1136" s="19" t="s">
        <v>29</v>
      </c>
      <c r="W1136" s="19"/>
      <c r="X1136" s="19"/>
      <c r="Y1136" s="20"/>
      <c r="Z1136" s="19"/>
      <c r="AA1136" s="18" t="str">
        <f aca="false">IF(OR(V1136="Aprobada"),R1136,IF(AND(OR(V1136="Aprobada con ajuste",V1136="Rechazada"),W1136&lt;&gt;""),W1136,""))</f>
        <v/>
      </c>
    </row>
    <row r="1137" customFormat="false" ht="22.35" hidden="false" customHeight="false" outlineLevel="0" collapsed="false">
      <c r="A1137" s="18" t="s">
        <v>5026</v>
      </c>
      <c r="B1137" s="18" t="s">
        <v>64</v>
      </c>
      <c r="C1137" s="18" t="s">
        <v>65</v>
      </c>
      <c r="D1137" s="18" t="s">
        <v>4920</v>
      </c>
      <c r="E1137" s="18" t="n">
        <v>14042</v>
      </c>
      <c r="F1137" s="18" t="s">
        <v>5027</v>
      </c>
      <c r="G1137" s="18" t="s">
        <v>161</v>
      </c>
      <c r="H1137" s="18" t="s">
        <v>162</v>
      </c>
      <c r="I1137" s="18"/>
      <c r="J1137" s="18"/>
      <c r="K1137" s="18"/>
      <c r="L1137" s="18" t="s">
        <v>129</v>
      </c>
      <c r="M1137" s="18" t="s">
        <v>129</v>
      </c>
      <c r="N1137" s="18"/>
      <c r="O1137" s="18" t="s">
        <v>5028</v>
      </c>
      <c r="P1137" s="18" t="s">
        <v>5029</v>
      </c>
      <c r="Q1137" s="18" t="s">
        <v>149</v>
      </c>
      <c r="R1137" s="18" t="s">
        <v>5030</v>
      </c>
      <c r="S1137" s="18" t="s">
        <v>133</v>
      </c>
      <c r="T1137" s="18" t="s">
        <v>183</v>
      </c>
      <c r="U1137" s="18"/>
      <c r="V1137" s="19" t="s">
        <v>29</v>
      </c>
      <c r="W1137" s="19"/>
      <c r="X1137" s="19"/>
      <c r="Y1137" s="20"/>
      <c r="Z1137" s="19"/>
      <c r="AA1137" s="18" t="str">
        <f aca="false">IF(OR(V1137="Aprobada"),R1137,IF(AND(OR(V1137="Aprobada con ajuste",V1137="Rechazada"),W1137&lt;&gt;""),W1137,""))</f>
        <v/>
      </c>
    </row>
    <row r="1138" customFormat="false" ht="32.8" hidden="false" customHeight="false" outlineLevel="0" collapsed="false">
      <c r="A1138" s="18" t="s">
        <v>5031</v>
      </c>
      <c r="B1138" s="18" t="s">
        <v>64</v>
      </c>
      <c r="C1138" s="18" t="s">
        <v>65</v>
      </c>
      <c r="D1138" s="18" t="s">
        <v>4920</v>
      </c>
      <c r="E1138" s="18" t="n">
        <v>14042</v>
      </c>
      <c r="F1138" s="18" t="s">
        <v>5032</v>
      </c>
      <c r="G1138" s="18" t="s">
        <v>486</v>
      </c>
      <c r="H1138" s="18" t="s">
        <v>162</v>
      </c>
      <c r="I1138" s="18"/>
      <c r="J1138" s="18"/>
      <c r="K1138" s="18"/>
      <c r="L1138" s="18" t="s">
        <v>129</v>
      </c>
      <c r="M1138" s="18" t="s">
        <v>129</v>
      </c>
      <c r="N1138" s="18"/>
      <c r="O1138" s="18"/>
      <c r="P1138" s="18" t="s">
        <v>5033</v>
      </c>
      <c r="Q1138" s="18" t="s">
        <v>131</v>
      </c>
      <c r="R1138" s="18" t="s">
        <v>5034</v>
      </c>
      <c r="S1138" s="18" t="s">
        <v>140</v>
      </c>
      <c r="T1138" s="18" t="s">
        <v>5035</v>
      </c>
      <c r="U1138" s="18" t="s">
        <v>5036</v>
      </c>
      <c r="V1138" s="19" t="s">
        <v>29</v>
      </c>
      <c r="W1138" s="19"/>
      <c r="X1138" s="19"/>
      <c r="Y1138" s="20"/>
      <c r="Z1138" s="19"/>
      <c r="AA1138" s="18" t="str">
        <f aca="false">IF(OR(V1138="Aprobada"),R1138,IF(AND(OR(V1138="Aprobada con ajuste",V1138="Rechazada"),W1138&lt;&gt;""),W1138,""))</f>
        <v/>
      </c>
    </row>
    <row r="1139" customFormat="false" ht="22.35" hidden="false" customHeight="false" outlineLevel="0" collapsed="false">
      <c r="A1139" s="18" t="s">
        <v>5037</v>
      </c>
      <c r="B1139" s="18" t="s">
        <v>64</v>
      </c>
      <c r="C1139" s="18" t="s">
        <v>65</v>
      </c>
      <c r="D1139" s="18" t="s">
        <v>4920</v>
      </c>
      <c r="E1139" s="18" t="n">
        <v>14042</v>
      </c>
      <c r="F1139" s="18" t="s">
        <v>5038</v>
      </c>
      <c r="G1139" s="18" t="s">
        <v>180</v>
      </c>
      <c r="H1139" s="18" t="s">
        <v>162</v>
      </c>
      <c r="I1139" s="18"/>
      <c r="J1139" s="18"/>
      <c r="K1139" s="18"/>
      <c r="L1139" s="18" t="s">
        <v>129</v>
      </c>
      <c r="M1139" s="18" t="s">
        <v>129</v>
      </c>
      <c r="N1139" s="18"/>
      <c r="O1139" s="18"/>
      <c r="P1139" s="18" t="s">
        <v>5039</v>
      </c>
      <c r="Q1139" s="18" t="s">
        <v>149</v>
      </c>
      <c r="R1139" s="18" t="s">
        <v>5040</v>
      </c>
      <c r="S1139" s="18" t="s">
        <v>140</v>
      </c>
      <c r="T1139" s="18" t="s">
        <v>183</v>
      </c>
      <c r="U1139" s="18" t="s">
        <v>5041</v>
      </c>
      <c r="V1139" s="19" t="s">
        <v>29</v>
      </c>
      <c r="W1139" s="19"/>
      <c r="X1139" s="19"/>
      <c r="Y1139" s="20"/>
      <c r="Z1139" s="19"/>
      <c r="AA1139" s="18" t="str">
        <f aca="false">IF(OR(V1139="Aprobada"),R1139,IF(AND(OR(V1139="Aprobada con ajuste",V1139="Rechazada"),W1139&lt;&gt;""),W1139,""))</f>
        <v/>
      </c>
    </row>
    <row r="1140" customFormat="false" ht="22.35" hidden="false" customHeight="false" outlineLevel="0" collapsed="false">
      <c r="A1140" s="18" t="s">
        <v>5042</v>
      </c>
      <c r="B1140" s="18" t="s">
        <v>64</v>
      </c>
      <c r="C1140" s="18" t="s">
        <v>65</v>
      </c>
      <c r="D1140" s="18" t="s">
        <v>4920</v>
      </c>
      <c r="E1140" s="18" t="n">
        <v>14042</v>
      </c>
      <c r="F1140" s="18" t="s">
        <v>5043</v>
      </c>
      <c r="G1140" s="18" t="s">
        <v>486</v>
      </c>
      <c r="H1140" s="18" t="s">
        <v>162</v>
      </c>
      <c r="I1140" s="18"/>
      <c r="J1140" s="18"/>
      <c r="K1140" s="18"/>
      <c r="L1140" s="18" t="s">
        <v>129</v>
      </c>
      <c r="M1140" s="18" t="s">
        <v>129</v>
      </c>
      <c r="N1140" s="18"/>
      <c r="O1140" s="18"/>
      <c r="P1140" s="18" t="s">
        <v>5044</v>
      </c>
      <c r="Q1140" s="18" t="s">
        <v>149</v>
      </c>
      <c r="R1140" s="18" t="s">
        <v>5045</v>
      </c>
      <c r="S1140" s="18" t="s">
        <v>140</v>
      </c>
      <c r="T1140" s="18" t="s">
        <v>183</v>
      </c>
      <c r="U1140" s="18" t="s">
        <v>5046</v>
      </c>
      <c r="V1140" s="19" t="s">
        <v>29</v>
      </c>
      <c r="W1140" s="19"/>
      <c r="X1140" s="19"/>
      <c r="Y1140" s="20"/>
      <c r="Z1140" s="19"/>
      <c r="AA1140" s="18" t="str">
        <f aca="false">IF(OR(V1140="Aprobada"),R1140,IF(AND(OR(V1140="Aprobada con ajuste",V1140="Rechazada"),W1140&lt;&gt;""),W1140,""))</f>
        <v/>
      </c>
    </row>
    <row r="1141" customFormat="false" ht="74.6" hidden="false" customHeight="false" outlineLevel="0" collapsed="false">
      <c r="A1141" s="18" t="s">
        <v>5047</v>
      </c>
      <c r="B1141" s="18" t="s">
        <v>64</v>
      </c>
      <c r="C1141" s="18" t="s">
        <v>65</v>
      </c>
      <c r="D1141" s="18" t="s">
        <v>4920</v>
      </c>
      <c r="E1141" s="18" t="n">
        <v>14042</v>
      </c>
      <c r="F1141" s="18" t="s">
        <v>5048</v>
      </c>
      <c r="G1141" s="18" t="s">
        <v>205</v>
      </c>
      <c r="H1141" s="18" t="s">
        <v>129</v>
      </c>
      <c r="I1141" s="18"/>
      <c r="J1141" s="18"/>
      <c r="K1141" s="18"/>
      <c r="L1141" s="18" t="s">
        <v>129</v>
      </c>
      <c r="M1141" s="18" t="s">
        <v>129</v>
      </c>
      <c r="N1141" s="18"/>
      <c r="O1141" s="18" t="s">
        <v>5049</v>
      </c>
      <c r="P1141" s="18" t="s">
        <v>5050</v>
      </c>
      <c r="Q1141" s="18" t="s">
        <v>131</v>
      </c>
      <c r="R1141" s="18" t="s">
        <v>5051</v>
      </c>
      <c r="S1141" s="18" t="s">
        <v>133</v>
      </c>
      <c r="T1141" s="18" t="s">
        <v>5052</v>
      </c>
      <c r="U1141" s="18"/>
      <c r="V1141" s="19" t="s">
        <v>29</v>
      </c>
      <c r="W1141" s="19"/>
      <c r="X1141" s="19"/>
      <c r="Y1141" s="20"/>
      <c r="Z1141" s="19"/>
      <c r="AA1141" s="18" t="str">
        <f aca="false">IF(OR(V1141="Aprobada"),R1141,IF(AND(OR(V1141="Aprobada con ajuste",V1141="Rechazada"),W1141&lt;&gt;""),W1141,""))</f>
        <v/>
      </c>
    </row>
    <row r="1142" customFormat="false" ht="53.7" hidden="false" customHeight="false" outlineLevel="0" collapsed="false">
      <c r="A1142" s="18" t="s">
        <v>5053</v>
      </c>
      <c r="B1142" s="18" t="s">
        <v>64</v>
      </c>
      <c r="C1142" s="18" t="s">
        <v>65</v>
      </c>
      <c r="D1142" s="18" t="s">
        <v>4920</v>
      </c>
      <c r="E1142" s="18" t="n">
        <v>14042</v>
      </c>
      <c r="F1142" s="18" t="s">
        <v>5054</v>
      </c>
      <c r="G1142" s="18" t="s">
        <v>312</v>
      </c>
      <c r="H1142" s="18" t="s">
        <v>162</v>
      </c>
      <c r="I1142" s="18"/>
      <c r="J1142" s="18"/>
      <c r="K1142" s="18"/>
      <c r="L1142" s="18" t="s">
        <v>129</v>
      </c>
      <c r="M1142" s="18" t="s">
        <v>129</v>
      </c>
      <c r="N1142" s="18"/>
      <c r="O1142" s="18" t="s">
        <v>5055</v>
      </c>
      <c r="P1142" s="18" t="s">
        <v>5056</v>
      </c>
      <c r="Q1142" s="18" t="s">
        <v>131</v>
      </c>
      <c r="R1142" s="18" t="s">
        <v>5057</v>
      </c>
      <c r="S1142" s="18" t="s">
        <v>133</v>
      </c>
      <c r="T1142" s="18" t="s">
        <v>5058</v>
      </c>
      <c r="U1142" s="18"/>
      <c r="V1142" s="19" t="s">
        <v>29</v>
      </c>
      <c r="W1142" s="19"/>
      <c r="X1142" s="19"/>
      <c r="Y1142" s="20"/>
      <c r="Z1142" s="19"/>
      <c r="AA1142" s="18" t="str">
        <f aca="false">IF(OR(V1142="Aprobada"),R1142,IF(AND(OR(V1142="Aprobada con ajuste",V1142="Rechazada"),W1142&lt;&gt;""),W1142,""))</f>
        <v/>
      </c>
    </row>
    <row r="1143" customFormat="false" ht="64.15" hidden="false" customHeight="false" outlineLevel="0" collapsed="false">
      <c r="A1143" s="18" t="s">
        <v>5059</v>
      </c>
      <c r="B1143" s="18" t="s">
        <v>64</v>
      </c>
      <c r="C1143" s="18" t="s">
        <v>65</v>
      </c>
      <c r="D1143" s="18" t="s">
        <v>4920</v>
      </c>
      <c r="E1143" s="18" t="n">
        <v>14042</v>
      </c>
      <c r="F1143" s="18" t="s">
        <v>5060</v>
      </c>
      <c r="G1143" s="18" t="s">
        <v>145</v>
      </c>
      <c r="H1143" s="18" t="s">
        <v>162</v>
      </c>
      <c r="I1143" s="18"/>
      <c r="J1143" s="18"/>
      <c r="K1143" s="18"/>
      <c r="L1143" s="18" t="s">
        <v>129</v>
      </c>
      <c r="M1143" s="18" t="s">
        <v>129</v>
      </c>
      <c r="N1143" s="18"/>
      <c r="O1143" s="18"/>
      <c r="P1143" s="18" t="s">
        <v>5061</v>
      </c>
      <c r="Q1143" s="18" t="s">
        <v>131</v>
      </c>
      <c r="R1143" s="18" t="s">
        <v>5062</v>
      </c>
      <c r="S1143" s="18" t="s">
        <v>133</v>
      </c>
      <c r="T1143" s="18" t="s">
        <v>5063</v>
      </c>
      <c r="U1143" s="18"/>
      <c r="V1143" s="19" t="s">
        <v>29</v>
      </c>
      <c r="W1143" s="19"/>
      <c r="X1143" s="19"/>
      <c r="Y1143" s="20"/>
      <c r="Z1143" s="19"/>
      <c r="AA1143" s="18" t="str">
        <f aca="false">IF(OR(V1143="Aprobada"),R1143,IF(AND(OR(V1143="Aprobada con ajuste",V1143="Rechazada"),W1143&lt;&gt;""),W1143,""))</f>
        <v/>
      </c>
    </row>
    <row r="1144" customFormat="false" ht="43.25" hidden="false" customHeight="false" outlineLevel="0" collapsed="false">
      <c r="A1144" s="18" t="s">
        <v>5064</v>
      </c>
      <c r="B1144" s="18" t="s">
        <v>64</v>
      </c>
      <c r="C1144" s="18" t="s">
        <v>65</v>
      </c>
      <c r="D1144" s="18" t="s">
        <v>5065</v>
      </c>
      <c r="E1144" s="18" t="n">
        <v>6</v>
      </c>
      <c r="F1144" s="18" t="s">
        <v>5066</v>
      </c>
      <c r="G1144" s="18" t="s">
        <v>180</v>
      </c>
      <c r="H1144" s="18" t="s">
        <v>162</v>
      </c>
      <c r="I1144" s="18"/>
      <c r="J1144" s="18"/>
      <c r="K1144" s="18"/>
      <c r="L1144" s="18" t="s">
        <v>129</v>
      </c>
      <c r="M1144" s="18" t="s">
        <v>129</v>
      </c>
      <c r="N1144" s="18"/>
      <c r="O1144" s="18"/>
      <c r="P1144" s="18" t="s">
        <v>5067</v>
      </c>
      <c r="Q1144" s="18" t="s">
        <v>131</v>
      </c>
      <c r="R1144" s="18" t="s">
        <v>5068</v>
      </c>
      <c r="S1144" s="18" t="s">
        <v>133</v>
      </c>
      <c r="T1144" s="18" t="s">
        <v>5069</v>
      </c>
      <c r="U1144" s="18"/>
      <c r="V1144" s="19" t="s">
        <v>29</v>
      </c>
      <c r="W1144" s="19"/>
      <c r="X1144" s="19"/>
      <c r="Y1144" s="20"/>
      <c r="Z1144" s="19"/>
      <c r="AA1144" s="18" t="str">
        <f aca="false">IF(OR(V1144="Aprobada"),R1144,IF(AND(OR(V1144="Aprobada con ajuste",V1144="Rechazada"),W1144&lt;&gt;""),W1144,""))</f>
        <v/>
      </c>
    </row>
    <row r="1145" customFormat="false" ht="43.25" hidden="false" customHeight="false" outlineLevel="0" collapsed="false">
      <c r="A1145" s="18" t="s">
        <v>5070</v>
      </c>
      <c r="B1145" s="18" t="s">
        <v>64</v>
      </c>
      <c r="C1145" s="18" t="s">
        <v>65</v>
      </c>
      <c r="D1145" s="18" t="s">
        <v>5065</v>
      </c>
      <c r="E1145" s="18" t="n">
        <v>6</v>
      </c>
      <c r="F1145" s="18" t="s">
        <v>5071</v>
      </c>
      <c r="G1145" s="18" t="s">
        <v>128</v>
      </c>
      <c r="H1145" s="18" t="s">
        <v>129</v>
      </c>
      <c r="I1145" s="18"/>
      <c r="J1145" s="18"/>
      <c r="K1145" s="18"/>
      <c r="L1145" s="18" t="s">
        <v>129</v>
      </c>
      <c r="M1145" s="18" t="s">
        <v>129</v>
      </c>
      <c r="N1145" s="18"/>
      <c r="O1145" s="18"/>
      <c r="P1145" s="18" t="s">
        <v>5072</v>
      </c>
      <c r="Q1145" s="18" t="s">
        <v>131</v>
      </c>
      <c r="R1145" s="18" t="s">
        <v>5073</v>
      </c>
      <c r="S1145" s="18" t="s">
        <v>133</v>
      </c>
      <c r="T1145" s="18" t="s">
        <v>5074</v>
      </c>
      <c r="U1145" s="18"/>
      <c r="V1145" s="19" t="s">
        <v>29</v>
      </c>
      <c r="W1145" s="19"/>
      <c r="X1145" s="19"/>
      <c r="Y1145" s="20"/>
      <c r="Z1145" s="19"/>
      <c r="AA1145" s="18" t="str">
        <f aca="false">IF(OR(V1145="Aprobada"),R1145,IF(AND(OR(V1145="Aprobada con ajuste",V1145="Rechazada"),W1145&lt;&gt;""),W1145,""))</f>
        <v/>
      </c>
    </row>
    <row r="1146" customFormat="false" ht="43.25" hidden="false" customHeight="false" outlineLevel="0" collapsed="false">
      <c r="A1146" s="18" t="s">
        <v>5075</v>
      </c>
      <c r="B1146" s="18" t="s">
        <v>64</v>
      </c>
      <c r="C1146" s="18" t="s">
        <v>65</v>
      </c>
      <c r="D1146" s="18" t="s">
        <v>5065</v>
      </c>
      <c r="E1146" s="18" t="n">
        <v>6</v>
      </c>
      <c r="F1146" s="18" t="s">
        <v>5076</v>
      </c>
      <c r="G1146" s="18" t="s">
        <v>128</v>
      </c>
      <c r="H1146" s="18" t="s">
        <v>162</v>
      </c>
      <c r="I1146" s="18"/>
      <c r="J1146" s="18"/>
      <c r="K1146" s="18"/>
      <c r="L1146" s="18" t="s">
        <v>129</v>
      </c>
      <c r="M1146" s="18" t="s">
        <v>129</v>
      </c>
      <c r="N1146" s="18"/>
      <c r="O1146" s="18"/>
      <c r="P1146" s="18" t="s">
        <v>5077</v>
      </c>
      <c r="Q1146" s="18" t="s">
        <v>131</v>
      </c>
      <c r="R1146" s="18" t="s">
        <v>5078</v>
      </c>
      <c r="S1146" s="18" t="s">
        <v>133</v>
      </c>
      <c r="T1146" s="18" t="s">
        <v>5079</v>
      </c>
      <c r="U1146" s="18"/>
      <c r="V1146" s="19" t="s">
        <v>29</v>
      </c>
      <c r="W1146" s="19"/>
      <c r="X1146" s="19"/>
      <c r="Y1146" s="20"/>
      <c r="Z1146" s="19"/>
      <c r="AA1146" s="18" t="str">
        <f aca="false">IF(OR(V1146="Aprobada"),R1146,IF(AND(OR(V1146="Aprobada con ajuste",V1146="Rechazada"),W1146&lt;&gt;""),W1146,""))</f>
        <v/>
      </c>
    </row>
    <row r="1147" customFormat="false" ht="43.25" hidden="false" customHeight="false" outlineLevel="0" collapsed="false">
      <c r="A1147" s="18" t="s">
        <v>5080</v>
      </c>
      <c r="B1147" s="18" t="s">
        <v>64</v>
      </c>
      <c r="C1147" s="18" t="s">
        <v>65</v>
      </c>
      <c r="D1147" s="18" t="s">
        <v>5065</v>
      </c>
      <c r="E1147" s="18" t="n">
        <v>6</v>
      </c>
      <c r="F1147" s="18" t="s">
        <v>5081</v>
      </c>
      <c r="G1147" s="18" t="s">
        <v>180</v>
      </c>
      <c r="H1147" s="18" t="s">
        <v>129</v>
      </c>
      <c r="I1147" s="18"/>
      <c r="J1147" s="18"/>
      <c r="K1147" s="18"/>
      <c r="L1147" s="18" t="s">
        <v>129</v>
      </c>
      <c r="M1147" s="18" t="s">
        <v>129</v>
      </c>
      <c r="N1147" s="18"/>
      <c r="O1147" s="18"/>
      <c r="P1147" s="18" t="s">
        <v>5082</v>
      </c>
      <c r="Q1147" s="18" t="s">
        <v>131</v>
      </c>
      <c r="R1147" s="18" t="s">
        <v>5083</v>
      </c>
      <c r="S1147" s="18" t="s">
        <v>133</v>
      </c>
      <c r="T1147" s="18" t="s">
        <v>5084</v>
      </c>
      <c r="U1147" s="18"/>
      <c r="V1147" s="19" t="s">
        <v>29</v>
      </c>
      <c r="W1147" s="19"/>
      <c r="X1147" s="19"/>
      <c r="Y1147" s="20"/>
      <c r="Z1147" s="19"/>
      <c r="AA1147" s="18" t="str">
        <f aca="false">IF(OR(V1147="Aprobada"),R1147,IF(AND(OR(V1147="Aprobada con ajuste",V1147="Rechazada"),W1147&lt;&gt;""),W1147,""))</f>
        <v/>
      </c>
    </row>
    <row r="1148" customFormat="false" ht="43.25" hidden="false" customHeight="false" outlineLevel="0" collapsed="false">
      <c r="A1148" s="18" t="s">
        <v>5085</v>
      </c>
      <c r="B1148" s="18" t="s">
        <v>64</v>
      </c>
      <c r="C1148" s="18" t="s">
        <v>65</v>
      </c>
      <c r="D1148" s="18" t="s">
        <v>5065</v>
      </c>
      <c r="E1148" s="18" t="n">
        <v>6</v>
      </c>
      <c r="F1148" s="18" t="s">
        <v>5086</v>
      </c>
      <c r="G1148" s="18" t="s">
        <v>180</v>
      </c>
      <c r="H1148" s="18" t="s">
        <v>162</v>
      </c>
      <c r="I1148" s="18"/>
      <c r="J1148" s="18"/>
      <c r="K1148" s="18"/>
      <c r="L1148" s="18" t="s">
        <v>129</v>
      </c>
      <c r="M1148" s="18" t="s">
        <v>129</v>
      </c>
      <c r="N1148" s="18"/>
      <c r="O1148" s="18"/>
      <c r="P1148" s="18" t="s">
        <v>5087</v>
      </c>
      <c r="Q1148" s="18" t="s">
        <v>131</v>
      </c>
      <c r="R1148" s="18" t="s">
        <v>5088</v>
      </c>
      <c r="S1148" s="18" t="s">
        <v>133</v>
      </c>
      <c r="T1148" s="18" t="s">
        <v>5089</v>
      </c>
      <c r="U1148" s="18"/>
      <c r="V1148" s="19" t="s">
        <v>29</v>
      </c>
      <c r="W1148" s="19"/>
      <c r="X1148" s="19"/>
      <c r="Y1148" s="20"/>
      <c r="Z1148" s="19"/>
      <c r="AA1148" s="18" t="str">
        <f aca="false">IF(OR(V1148="Aprobada"),R1148,IF(AND(OR(V1148="Aprobada con ajuste",V1148="Rechazada"),W1148&lt;&gt;""),W1148,""))</f>
        <v/>
      </c>
    </row>
    <row r="1149" customFormat="false" ht="43.25" hidden="false" customHeight="false" outlineLevel="0" collapsed="false">
      <c r="A1149" s="18" t="s">
        <v>5090</v>
      </c>
      <c r="B1149" s="18" t="s">
        <v>64</v>
      </c>
      <c r="C1149" s="18" t="s">
        <v>65</v>
      </c>
      <c r="D1149" s="18" t="s">
        <v>5065</v>
      </c>
      <c r="E1149" s="18" t="n">
        <v>6</v>
      </c>
      <c r="F1149" s="18" t="s">
        <v>331</v>
      </c>
      <c r="G1149" s="18" t="s">
        <v>137</v>
      </c>
      <c r="H1149" s="18" t="s">
        <v>129</v>
      </c>
      <c r="I1149" s="18"/>
      <c r="J1149" s="18"/>
      <c r="K1149" s="18"/>
      <c r="L1149" s="18" t="s">
        <v>129</v>
      </c>
      <c r="M1149" s="18" t="s">
        <v>129</v>
      </c>
      <c r="N1149" s="18"/>
      <c r="O1149" s="18" t="s">
        <v>5091</v>
      </c>
      <c r="P1149" s="18" t="s">
        <v>5092</v>
      </c>
      <c r="Q1149" s="18" t="s">
        <v>131</v>
      </c>
      <c r="R1149" s="18" t="s">
        <v>5093</v>
      </c>
      <c r="S1149" s="18" t="s">
        <v>133</v>
      </c>
      <c r="T1149" s="18" t="s">
        <v>5094</v>
      </c>
      <c r="U1149" s="18"/>
      <c r="V1149" s="19" t="s">
        <v>29</v>
      </c>
      <c r="W1149" s="19"/>
      <c r="X1149" s="19"/>
      <c r="Y1149" s="20"/>
      <c r="Z1149" s="19"/>
      <c r="AA1149" s="18" t="str">
        <f aca="false">IF(OR(V1149="Aprobada"),R1149,IF(AND(OR(V1149="Aprobada con ajuste",V1149="Rechazada"),W1149&lt;&gt;""),W1149,""))</f>
        <v/>
      </c>
    </row>
    <row r="1150" customFormat="false" ht="32.8" hidden="false" customHeight="false" outlineLevel="0" collapsed="false">
      <c r="A1150" s="18" t="s">
        <v>5095</v>
      </c>
      <c r="B1150" s="18" t="s">
        <v>64</v>
      </c>
      <c r="C1150" s="18" t="s">
        <v>65</v>
      </c>
      <c r="D1150" s="18" t="s">
        <v>5096</v>
      </c>
      <c r="E1150" s="18" t="n">
        <v>157</v>
      </c>
      <c r="F1150" s="18" t="s">
        <v>275</v>
      </c>
      <c r="G1150" s="18" t="s">
        <v>161</v>
      </c>
      <c r="H1150" s="18" t="s">
        <v>129</v>
      </c>
      <c r="I1150" s="18"/>
      <c r="J1150" s="18"/>
      <c r="K1150" s="18"/>
      <c r="L1150" s="18" t="s">
        <v>129</v>
      </c>
      <c r="M1150" s="18" t="s">
        <v>129</v>
      </c>
      <c r="N1150" s="18"/>
      <c r="O1150" s="18"/>
      <c r="P1150" s="18" t="s">
        <v>5097</v>
      </c>
      <c r="Q1150" s="18" t="s">
        <v>131</v>
      </c>
      <c r="R1150" s="18" t="s">
        <v>5098</v>
      </c>
      <c r="S1150" s="18" t="s">
        <v>133</v>
      </c>
      <c r="T1150" s="18" t="s">
        <v>5099</v>
      </c>
      <c r="U1150" s="18"/>
      <c r="V1150" s="19" t="s">
        <v>29</v>
      </c>
      <c r="W1150" s="19"/>
      <c r="X1150" s="19"/>
      <c r="Y1150" s="20"/>
      <c r="Z1150" s="19"/>
      <c r="AA1150" s="18" t="str">
        <f aca="false">IF(OR(V1150="Aprobada"),R1150,IF(AND(OR(V1150="Aprobada con ajuste",V1150="Rechazada"),W1150&lt;&gt;""),W1150,""))</f>
        <v/>
      </c>
    </row>
    <row r="1151" customFormat="false" ht="32.8" hidden="false" customHeight="false" outlineLevel="0" collapsed="false">
      <c r="A1151" s="18" t="s">
        <v>5100</v>
      </c>
      <c r="B1151" s="18" t="s">
        <v>64</v>
      </c>
      <c r="C1151" s="18" t="s">
        <v>65</v>
      </c>
      <c r="D1151" s="18" t="s">
        <v>5096</v>
      </c>
      <c r="E1151" s="18" t="n">
        <v>157</v>
      </c>
      <c r="F1151" s="18" t="s">
        <v>160</v>
      </c>
      <c r="G1151" s="18" t="s">
        <v>128</v>
      </c>
      <c r="H1151" s="18" t="s">
        <v>162</v>
      </c>
      <c r="I1151" s="18"/>
      <c r="J1151" s="18"/>
      <c r="K1151" s="18"/>
      <c r="L1151" s="18" t="s">
        <v>129</v>
      </c>
      <c r="M1151" s="18" t="s">
        <v>129</v>
      </c>
      <c r="N1151" s="18"/>
      <c r="O1151" s="18"/>
      <c r="P1151" s="18" t="s">
        <v>5101</v>
      </c>
      <c r="Q1151" s="18" t="s">
        <v>138</v>
      </c>
      <c r="R1151" s="18" t="s">
        <v>5102</v>
      </c>
      <c r="S1151" s="18" t="s">
        <v>140</v>
      </c>
      <c r="T1151" s="18" t="s">
        <v>141</v>
      </c>
      <c r="U1151" s="18"/>
      <c r="V1151" s="19" t="s">
        <v>29</v>
      </c>
      <c r="W1151" s="19"/>
      <c r="X1151" s="19"/>
      <c r="Y1151" s="20"/>
      <c r="Z1151" s="19"/>
      <c r="AA1151" s="18" t="str">
        <f aca="false">IF(OR(V1151="Aprobada"),R1151,IF(AND(OR(V1151="Aprobada con ajuste",V1151="Rechazada"),W1151&lt;&gt;""),W1151,""))</f>
        <v/>
      </c>
    </row>
    <row r="1152" customFormat="false" ht="32.8" hidden="false" customHeight="false" outlineLevel="0" collapsed="false">
      <c r="A1152" s="18" t="s">
        <v>5103</v>
      </c>
      <c r="B1152" s="18" t="s">
        <v>64</v>
      </c>
      <c r="C1152" s="18" t="s">
        <v>65</v>
      </c>
      <c r="D1152" s="18" t="s">
        <v>5096</v>
      </c>
      <c r="E1152" s="18" t="n">
        <v>157</v>
      </c>
      <c r="F1152" s="18" t="s">
        <v>5104</v>
      </c>
      <c r="G1152" s="18" t="s">
        <v>161</v>
      </c>
      <c r="H1152" s="18" t="s">
        <v>162</v>
      </c>
      <c r="I1152" s="18"/>
      <c r="J1152" s="18"/>
      <c r="K1152" s="18"/>
      <c r="L1152" s="18" t="s">
        <v>129</v>
      </c>
      <c r="M1152" s="18" t="s">
        <v>129</v>
      </c>
      <c r="N1152" s="18"/>
      <c r="O1152" s="18"/>
      <c r="P1152" s="18" t="s">
        <v>5105</v>
      </c>
      <c r="Q1152" s="18" t="s">
        <v>149</v>
      </c>
      <c r="R1152" s="18" t="s">
        <v>3234</v>
      </c>
      <c r="S1152" s="18" t="s">
        <v>133</v>
      </c>
      <c r="T1152" s="18" t="s">
        <v>183</v>
      </c>
      <c r="U1152" s="18"/>
      <c r="V1152" s="19" t="s">
        <v>29</v>
      </c>
      <c r="W1152" s="19"/>
      <c r="X1152" s="19"/>
      <c r="Y1152" s="20"/>
      <c r="Z1152" s="19"/>
      <c r="AA1152" s="18" t="str">
        <f aca="false">IF(OR(V1152="Aprobada"),R1152,IF(AND(OR(V1152="Aprobada con ajuste",V1152="Rechazada"),W1152&lt;&gt;""),W1152,""))</f>
        <v/>
      </c>
    </row>
    <row r="1153" customFormat="false" ht="32.8" hidden="false" customHeight="false" outlineLevel="0" collapsed="false">
      <c r="A1153" s="18" t="s">
        <v>5106</v>
      </c>
      <c r="B1153" s="18" t="s">
        <v>64</v>
      </c>
      <c r="C1153" s="18" t="s">
        <v>65</v>
      </c>
      <c r="D1153" s="18" t="s">
        <v>5096</v>
      </c>
      <c r="E1153" s="18" t="n">
        <v>157</v>
      </c>
      <c r="F1153" s="18" t="s">
        <v>4244</v>
      </c>
      <c r="G1153" s="18" t="s">
        <v>503</v>
      </c>
      <c r="H1153" s="18" t="s">
        <v>162</v>
      </c>
      <c r="I1153" s="18"/>
      <c r="J1153" s="18"/>
      <c r="K1153" s="18"/>
      <c r="L1153" s="18" t="s">
        <v>129</v>
      </c>
      <c r="M1153" s="18" t="s">
        <v>129</v>
      </c>
      <c r="N1153" s="18"/>
      <c r="O1153" s="18"/>
      <c r="P1153" s="18" t="s">
        <v>5107</v>
      </c>
      <c r="Q1153" s="18" t="s">
        <v>131</v>
      </c>
      <c r="R1153" s="18" t="s">
        <v>296</v>
      </c>
      <c r="S1153" s="18" t="s">
        <v>133</v>
      </c>
      <c r="T1153" s="18" t="s">
        <v>5108</v>
      </c>
      <c r="U1153" s="18"/>
      <c r="V1153" s="19" t="s">
        <v>29</v>
      </c>
      <c r="W1153" s="19"/>
      <c r="X1153" s="19"/>
      <c r="Y1153" s="20"/>
      <c r="Z1153" s="19"/>
      <c r="AA1153" s="18" t="str">
        <f aca="false">IF(OR(V1153="Aprobada"),R1153,IF(AND(OR(V1153="Aprobada con ajuste",V1153="Rechazada"),W1153&lt;&gt;""),W1153,""))</f>
        <v/>
      </c>
    </row>
    <row r="1154" customFormat="false" ht="32.8" hidden="false" customHeight="false" outlineLevel="0" collapsed="false">
      <c r="A1154" s="18" t="s">
        <v>5109</v>
      </c>
      <c r="B1154" s="18" t="s">
        <v>64</v>
      </c>
      <c r="C1154" s="18" t="s">
        <v>65</v>
      </c>
      <c r="D1154" s="18" t="s">
        <v>5096</v>
      </c>
      <c r="E1154" s="18" t="n">
        <v>157</v>
      </c>
      <c r="F1154" s="18" t="s">
        <v>5110</v>
      </c>
      <c r="G1154" s="18" t="s">
        <v>486</v>
      </c>
      <c r="H1154" s="18" t="s">
        <v>162</v>
      </c>
      <c r="I1154" s="18"/>
      <c r="J1154" s="18"/>
      <c r="K1154" s="18"/>
      <c r="L1154" s="18" t="s">
        <v>129</v>
      </c>
      <c r="M1154" s="18" t="s">
        <v>129</v>
      </c>
      <c r="N1154" s="18"/>
      <c r="O1154" s="18"/>
      <c r="P1154" s="18" t="s">
        <v>5111</v>
      </c>
      <c r="Q1154" s="18" t="s">
        <v>149</v>
      </c>
      <c r="R1154" s="18" t="s">
        <v>1082</v>
      </c>
      <c r="S1154" s="18" t="s">
        <v>133</v>
      </c>
      <c r="T1154" s="18" t="s">
        <v>183</v>
      </c>
      <c r="U1154" s="18"/>
      <c r="V1154" s="19" t="s">
        <v>29</v>
      </c>
      <c r="W1154" s="19"/>
      <c r="X1154" s="19"/>
      <c r="Y1154" s="20"/>
      <c r="Z1154" s="19"/>
      <c r="AA1154" s="18" t="str">
        <f aca="false">IF(OR(V1154="Aprobada"),R1154,IF(AND(OR(V1154="Aprobada con ajuste",V1154="Rechazada"),W1154&lt;&gt;""),W1154,""))</f>
        <v/>
      </c>
    </row>
    <row r="1155" customFormat="false" ht="32.8" hidden="false" customHeight="false" outlineLevel="0" collapsed="false">
      <c r="A1155" s="18" t="s">
        <v>5112</v>
      </c>
      <c r="B1155" s="18" t="s">
        <v>64</v>
      </c>
      <c r="C1155" s="18" t="s">
        <v>65</v>
      </c>
      <c r="D1155" s="18" t="s">
        <v>5096</v>
      </c>
      <c r="E1155" s="18" t="n">
        <v>157</v>
      </c>
      <c r="F1155" s="18" t="s">
        <v>5113</v>
      </c>
      <c r="G1155" s="18" t="s">
        <v>137</v>
      </c>
      <c r="H1155" s="18" t="s">
        <v>162</v>
      </c>
      <c r="I1155" s="18"/>
      <c r="J1155" s="18"/>
      <c r="K1155" s="18"/>
      <c r="L1155" s="18" t="s">
        <v>129</v>
      </c>
      <c r="M1155" s="18" t="s">
        <v>129</v>
      </c>
      <c r="N1155" s="18"/>
      <c r="O1155" s="18" t="s">
        <v>5114</v>
      </c>
      <c r="P1155" s="18" t="s">
        <v>5115</v>
      </c>
      <c r="Q1155" s="18" t="s">
        <v>131</v>
      </c>
      <c r="R1155" s="18" t="s">
        <v>5116</v>
      </c>
      <c r="S1155" s="18" t="s">
        <v>133</v>
      </c>
      <c r="T1155" s="18" t="s">
        <v>5117</v>
      </c>
      <c r="U1155" s="18"/>
      <c r="V1155" s="19" t="s">
        <v>29</v>
      </c>
      <c r="W1155" s="19"/>
      <c r="X1155" s="19"/>
      <c r="Y1155" s="20"/>
      <c r="Z1155" s="19"/>
      <c r="AA1155" s="18" t="str">
        <f aca="false">IF(OR(V1155="Aprobada"),R1155,IF(AND(OR(V1155="Aprobada con ajuste",V1155="Rechazada"),W1155&lt;&gt;""),W1155,""))</f>
        <v/>
      </c>
    </row>
    <row r="1156" customFormat="false" ht="32.8" hidden="false" customHeight="false" outlineLevel="0" collapsed="false">
      <c r="A1156" s="18" t="s">
        <v>5118</v>
      </c>
      <c r="B1156" s="18" t="s">
        <v>64</v>
      </c>
      <c r="C1156" s="18" t="s">
        <v>65</v>
      </c>
      <c r="D1156" s="18" t="s">
        <v>5096</v>
      </c>
      <c r="E1156" s="18" t="n">
        <v>157</v>
      </c>
      <c r="F1156" s="18" t="s">
        <v>5119</v>
      </c>
      <c r="G1156" s="18" t="s">
        <v>503</v>
      </c>
      <c r="H1156" s="18" t="s">
        <v>162</v>
      </c>
      <c r="I1156" s="18"/>
      <c r="J1156" s="18"/>
      <c r="K1156" s="18"/>
      <c r="L1156" s="18" t="s">
        <v>129</v>
      </c>
      <c r="M1156" s="18" t="s">
        <v>129</v>
      </c>
      <c r="N1156" s="18"/>
      <c r="O1156" s="18"/>
      <c r="P1156" s="18" t="s">
        <v>5120</v>
      </c>
      <c r="Q1156" s="18" t="s">
        <v>149</v>
      </c>
      <c r="R1156" s="18" t="s">
        <v>5121</v>
      </c>
      <c r="S1156" s="18" t="s">
        <v>133</v>
      </c>
      <c r="T1156" s="18" t="s">
        <v>183</v>
      </c>
      <c r="U1156" s="18"/>
      <c r="V1156" s="19" t="s">
        <v>29</v>
      </c>
      <c r="W1156" s="19"/>
      <c r="X1156" s="19"/>
      <c r="Y1156" s="20"/>
      <c r="Z1156" s="19"/>
      <c r="AA1156" s="18" t="str">
        <f aca="false">IF(OR(V1156="Aprobada"),R1156,IF(AND(OR(V1156="Aprobada con ajuste",V1156="Rechazada"),W1156&lt;&gt;""),W1156,""))</f>
        <v/>
      </c>
    </row>
    <row r="1157" customFormat="false" ht="32.8" hidden="false" customHeight="false" outlineLevel="0" collapsed="false">
      <c r="A1157" s="18" t="s">
        <v>5122</v>
      </c>
      <c r="B1157" s="18" t="s">
        <v>64</v>
      </c>
      <c r="C1157" s="18" t="s">
        <v>65</v>
      </c>
      <c r="D1157" s="18" t="s">
        <v>5096</v>
      </c>
      <c r="E1157" s="18" t="n">
        <v>157</v>
      </c>
      <c r="F1157" s="18" t="s">
        <v>4769</v>
      </c>
      <c r="G1157" s="18" t="s">
        <v>173</v>
      </c>
      <c r="H1157" s="18" t="s">
        <v>162</v>
      </c>
      <c r="I1157" s="18"/>
      <c r="J1157" s="18"/>
      <c r="K1157" s="18"/>
      <c r="L1157" s="18" t="s">
        <v>129</v>
      </c>
      <c r="M1157" s="18" t="s">
        <v>129</v>
      </c>
      <c r="N1157" s="18"/>
      <c r="O1157" s="18"/>
      <c r="P1157" s="18" t="s">
        <v>5123</v>
      </c>
      <c r="Q1157" s="18" t="s">
        <v>138</v>
      </c>
      <c r="R1157" s="18" t="s">
        <v>4770</v>
      </c>
      <c r="S1157" s="18" t="s">
        <v>140</v>
      </c>
      <c r="T1157" s="18" t="s">
        <v>141</v>
      </c>
      <c r="U1157" s="18"/>
      <c r="V1157" s="19" t="s">
        <v>29</v>
      </c>
      <c r="W1157" s="19"/>
      <c r="X1157" s="19"/>
      <c r="Y1157" s="20"/>
      <c r="Z1157" s="19"/>
      <c r="AA1157" s="18" t="str">
        <f aca="false">IF(OR(V1157="Aprobada"),R1157,IF(AND(OR(V1157="Aprobada con ajuste",V1157="Rechazada"),W1157&lt;&gt;""),W1157,""))</f>
        <v/>
      </c>
    </row>
    <row r="1158" customFormat="false" ht="32.8" hidden="false" customHeight="false" outlineLevel="0" collapsed="false">
      <c r="A1158" s="18" t="s">
        <v>5124</v>
      </c>
      <c r="B1158" s="18" t="s">
        <v>64</v>
      </c>
      <c r="C1158" s="18" t="s">
        <v>65</v>
      </c>
      <c r="D1158" s="18" t="s">
        <v>5096</v>
      </c>
      <c r="E1158" s="18" t="n">
        <v>157</v>
      </c>
      <c r="F1158" s="18" t="s">
        <v>5125</v>
      </c>
      <c r="G1158" s="18" t="s">
        <v>180</v>
      </c>
      <c r="H1158" s="18" t="s">
        <v>162</v>
      </c>
      <c r="I1158" s="18"/>
      <c r="J1158" s="18"/>
      <c r="K1158" s="18"/>
      <c r="L1158" s="18" t="s">
        <v>129</v>
      </c>
      <c r="M1158" s="18" t="s">
        <v>129</v>
      </c>
      <c r="N1158" s="18"/>
      <c r="O1158" s="18"/>
      <c r="P1158" s="18" t="s">
        <v>5126</v>
      </c>
      <c r="Q1158" s="18" t="s">
        <v>131</v>
      </c>
      <c r="R1158" s="18" t="s">
        <v>5127</v>
      </c>
      <c r="S1158" s="18" t="s">
        <v>140</v>
      </c>
      <c r="T1158" s="18" t="s">
        <v>5128</v>
      </c>
      <c r="U1158" s="18" t="s">
        <v>5129</v>
      </c>
      <c r="V1158" s="19" t="s">
        <v>29</v>
      </c>
      <c r="W1158" s="19"/>
      <c r="X1158" s="19"/>
      <c r="Y1158" s="20"/>
      <c r="Z1158" s="19"/>
      <c r="AA1158" s="18" t="str">
        <f aca="false">IF(OR(V1158="Aprobada"),R1158,IF(AND(OR(V1158="Aprobada con ajuste",V1158="Rechazada"),W1158&lt;&gt;""),W1158,""))</f>
        <v/>
      </c>
    </row>
    <row r="1159" customFormat="false" ht="32.8" hidden="false" customHeight="false" outlineLevel="0" collapsed="false">
      <c r="A1159" s="18" t="s">
        <v>5130</v>
      </c>
      <c r="B1159" s="18" t="s">
        <v>64</v>
      </c>
      <c r="C1159" s="18" t="s">
        <v>65</v>
      </c>
      <c r="D1159" s="18" t="s">
        <v>5096</v>
      </c>
      <c r="E1159" s="18" t="n">
        <v>157</v>
      </c>
      <c r="F1159" s="18" t="s">
        <v>281</v>
      </c>
      <c r="G1159" s="18" t="s">
        <v>145</v>
      </c>
      <c r="H1159" s="18" t="s">
        <v>162</v>
      </c>
      <c r="I1159" s="18"/>
      <c r="J1159" s="18"/>
      <c r="K1159" s="18"/>
      <c r="L1159" s="18" t="s">
        <v>129</v>
      </c>
      <c r="M1159" s="18" t="s">
        <v>129</v>
      </c>
      <c r="N1159" s="18"/>
      <c r="O1159" s="18"/>
      <c r="P1159" s="18" t="s">
        <v>5131</v>
      </c>
      <c r="Q1159" s="18" t="s">
        <v>149</v>
      </c>
      <c r="R1159" s="18" t="s">
        <v>5132</v>
      </c>
      <c r="S1159" s="18" t="s">
        <v>140</v>
      </c>
      <c r="T1159" s="18" t="s">
        <v>169</v>
      </c>
      <c r="U1159" s="18" t="s">
        <v>5133</v>
      </c>
      <c r="V1159" s="19" t="s">
        <v>29</v>
      </c>
      <c r="W1159" s="19"/>
      <c r="X1159" s="19"/>
      <c r="Y1159" s="20"/>
      <c r="Z1159" s="19"/>
      <c r="AA1159" s="18" t="str">
        <f aca="false">IF(OR(V1159="Aprobada"),R1159,IF(AND(OR(V1159="Aprobada con ajuste",V1159="Rechazada"),W1159&lt;&gt;""),W1159,""))</f>
        <v/>
      </c>
    </row>
    <row r="1160" customFormat="false" ht="22.35" hidden="false" customHeight="false" outlineLevel="0" collapsed="false">
      <c r="A1160" s="18" t="s">
        <v>5134</v>
      </c>
      <c r="B1160" s="18" t="s">
        <v>64</v>
      </c>
      <c r="C1160" s="18" t="s">
        <v>65</v>
      </c>
      <c r="D1160" s="18" t="s">
        <v>5135</v>
      </c>
      <c r="E1160" s="18" t="n">
        <v>25</v>
      </c>
      <c r="F1160" s="18" t="s">
        <v>275</v>
      </c>
      <c r="G1160" s="18" t="s">
        <v>180</v>
      </c>
      <c r="H1160" s="18" t="s">
        <v>129</v>
      </c>
      <c r="I1160" s="18"/>
      <c r="J1160" s="18"/>
      <c r="K1160" s="18"/>
      <c r="L1160" s="18" t="s">
        <v>129</v>
      </c>
      <c r="M1160" s="18" t="s">
        <v>129</v>
      </c>
      <c r="N1160" s="18"/>
      <c r="O1160" s="18"/>
      <c r="P1160" s="18" t="s">
        <v>5136</v>
      </c>
      <c r="Q1160" s="18" t="s">
        <v>138</v>
      </c>
      <c r="R1160" s="18" t="s">
        <v>5137</v>
      </c>
      <c r="S1160" s="18" t="s">
        <v>140</v>
      </c>
      <c r="T1160" s="18" t="s">
        <v>141</v>
      </c>
      <c r="U1160" s="18"/>
      <c r="V1160" s="19" t="s">
        <v>29</v>
      </c>
      <c r="W1160" s="19"/>
      <c r="X1160" s="19"/>
      <c r="Y1160" s="20"/>
      <c r="Z1160" s="19"/>
      <c r="AA1160" s="18" t="str">
        <f aca="false">IF(OR(V1160="Aprobada"),R1160,IF(AND(OR(V1160="Aprobada con ajuste",V1160="Rechazada"),W1160&lt;&gt;""),W1160,""))</f>
        <v/>
      </c>
    </row>
    <row r="1161" customFormat="false" ht="22.35" hidden="false" customHeight="false" outlineLevel="0" collapsed="false">
      <c r="A1161" s="18" t="s">
        <v>5138</v>
      </c>
      <c r="B1161" s="18" t="s">
        <v>64</v>
      </c>
      <c r="C1161" s="18" t="s">
        <v>65</v>
      </c>
      <c r="D1161" s="18" t="s">
        <v>5135</v>
      </c>
      <c r="E1161" s="18" t="n">
        <v>25</v>
      </c>
      <c r="F1161" s="18" t="s">
        <v>160</v>
      </c>
      <c r="G1161" s="18" t="s">
        <v>128</v>
      </c>
      <c r="H1161" s="18" t="s">
        <v>162</v>
      </c>
      <c r="I1161" s="18"/>
      <c r="J1161" s="18"/>
      <c r="K1161" s="18"/>
      <c r="L1161" s="18" t="s">
        <v>129</v>
      </c>
      <c r="M1161" s="18" t="s">
        <v>129</v>
      </c>
      <c r="N1161" s="18"/>
      <c r="O1161" s="18"/>
      <c r="P1161" s="18" t="s">
        <v>5139</v>
      </c>
      <c r="Q1161" s="18" t="s">
        <v>138</v>
      </c>
      <c r="R1161" s="18" t="s">
        <v>5140</v>
      </c>
      <c r="S1161" s="18" t="s">
        <v>140</v>
      </c>
      <c r="T1161" s="18" t="s">
        <v>141</v>
      </c>
      <c r="U1161" s="18"/>
      <c r="V1161" s="19" t="s">
        <v>29</v>
      </c>
      <c r="W1161" s="19"/>
      <c r="X1161" s="19"/>
      <c r="Y1161" s="20"/>
      <c r="Z1161" s="19"/>
      <c r="AA1161" s="18" t="str">
        <f aca="false">IF(OR(V1161="Aprobada"),R1161,IF(AND(OR(V1161="Aprobada con ajuste",V1161="Rechazada"),W1161&lt;&gt;""),W1161,""))</f>
        <v/>
      </c>
    </row>
    <row r="1162" customFormat="false" ht="22.35" hidden="false" customHeight="false" outlineLevel="0" collapsed="false">
      <c r="A1162" s="18" t="s">
        <v>5141</v>
      </c>
      <c r="B1162" s="18" t="s">
        <v>64</v>
      </c>
      <c r="C1162" s="18" t="s">
        <v>65</v>
      </c>
      <c r="D1162" s="18" t="s">
        <v>5135</v>
      </c>
      <c r="E1162" s="18" t="n">
        <v>25</v>
      </c>
      <c r="F1162" s="18" t="s">
        <v>4240</v>
      </c>
      <c r="G1162" s="18" t="s">
        <v>128</v>
      </c>
      <c r="H1162" s="18" t="s">
        <v>162</v>
      </c>
      <c r="I1162" s="18"/>
      <c r="J1162" s="18"/>
      <c r="K1162" s="18"/>
      <c r="L1162" s="18" t="s">
        <v>129</v>
      </c>
      <c r="M1162" s="18" t="s">
        <v>129</v>
      </c>
      <c r="N1162" s="18"/>
      <c r="O1162" s="18"/>
      <c r="P1162" s="18" t="s">
        <v>5142</v>
      </c>
      <c r="Q1162" s="18" t="s">
        <v>149</v>
      </c>
      <c r="R1162" s="18" t="s">
        <v>5143</v>
      </c>
      <c r="S1162" s="18" t="s">
        <v>133</v>
      </c>
      <c r="T1162" s="18" t="s">
        <v>183</v>
      </c>
      <c r="U1162" s="18"/>
      <c r="V1162" s="19" t="s">
        <v>29</v>
      </c>
      <c r="W1162" s="19"/>
      <c r="X1162" s="19"/>
      <c r="Y1162" s="20"/>
      <c r="Z1162" s="19"/>
      <c r="AA1162" s="18" t="str">
        <f aca="false">IF(OR(V1162="Aprobada"),R1162,IF(AND(OR(V1162="Aprobada con ajuste",V1162="Rechazada"),W1162&lt;&gt;""),W1162,""))</f>
        <v/>
      </c>
    </row>
    <row r="1163" customFormat="false" ht="22.35" hidden="false" customHeight="false" outlineLevel="0" collapsed="false">
      <c r="A1163" s="18" t="s">
        <v>5144</v>
      </c>
      <c r="B1163" s="18" t="s">
        <v>64</v>
      </c>
      <c r="C1163" s="18" t="s">
        <v>65</v>
      </c>
      <c r="D1163" s="18" t="s">
        <v>5135</v>
      </c>
      <c r="E1163" s="18" t="n">
        <v>25</v>
      </c>
      <c r="F1163" s="18" t="s">
        <v>5104</v>
      </c>
      <c r="G1163" s="18" t="s">
        <v>180</v>
      </c>
      <c r="H1163" s="18" t="s">
        <v>162</v>
      </c>
      <c r="I1163" s="18"/>
      <c r="J1163" s="18"/>
      <c r="K1163" s="18"/>
      <c r="L1163" s="18" t="s">
        <v>129</v>
      </c>
      <c r="M1163" s="18" t="s">
        <v>129</v>
      </c>
      <c r="N1163" s="18"/>
      <c r="O1163" s="18"/>
      <c r="P1163" s="18" t="s">
        <v>5145</v>
      </c>
      <c r="Q1163" s="18" t="s">
        <v>149</v>
      </c>
      <c r="R1163" s="18" t="s">
        <v>3234</v>
      </c>
      <c r="S1163" s="18" t="s">
        <v>133</v>
      </c>
      <c r="T1163" s="18" t="s">
        <v>183</v>
      </c>
      <c r="U1163" s="18"/>
      <c r="V1163" s="19" t="s">
        <v>29</v>
      </c>
      <c r="W1163" s="19"/>
      <c r="X1163" s="19"/>
      <c r="Y1163" s="20"/>
      <c r="Z1163" s="19"/>
      <c r="AA1163" s="18" t="str">
        <f aca="false">IF(OR(V1163="Aprobada"),R1163,IF(AND(OR(V1163="Aprobada con ajuste",V1163="Rechazada"),W1163&lt;&gt;""),W1163,""))</f>
        <v/>
      </c>
    </row>
    <row r="1164" customFormat="false" ht="22.35" hidden="false" customHeight="false" outlineLevel="0" collapsed="false">
      <c r="A1164" s="18" t="s">
        <v>5146</v>
      </c>
      <c r="B1164" s="18" t="s">
        <v>64</v>
      </c>
      <c r="C1164" s="18" t="s">
        <v>65</v>
      </c>
      <c r="D1164" s="18" t="s">
        <v>5135</v>
      </c>
      <c r="E1164" s="18" t="n">
        <v>25</v>
      </c>
      <c r="F1164" s="18" t="s">
        <v>293</v>
      </c>
      <c r="G1164" s="18" t="s">
        <v>294</v>
      </c>
      <c r="H1164" s="18" t="s">
        <v>162</v>
      </c>
      <c r="I1164" s="18"/>
      <c r="J1164" s="18"/>
      <c r="K1164" s="18"/>
      <c r="L1164" s="18" t="s">
        <v>129</v>
      </c>
      <c r="M1164" s="18" t="s">
        <v>129</v>
      </c>
      <c r="N1164" s="18"/>
      <c r="O1164" s="18"/>
      <c r="P1164" s="18" t="s">
        <v>5147</v>
      </c>
      <c r="Q1164" s="18" t="s">
        <v>138</v>
      </c>
      <c r="R1164" s="18" t="s">
        <v>296</v>
      </c>
      <c r="S1164" s="18" t="s">
        <v>140</v>
      </c>
      <c r="T1164" s="18" t="s">
        <v>141</v>
      </c>
      <c r="U1164" s="18"/>
      <c r="V1164" s="19" t="s">
        <v>29</v>
      </c>
      <c r="W1164" s="19"/>
      <c r="X1164" s="19"/>
      <c r="Y1164" s="20"/>
      <c r="Z1164" s="19"/>
      <c r="AA1164" s="18" t="str">
        <f aca="false">IF(OR(V1164="Aprobada"),R1164,IF(AND(OR(V1164="Aprobada con ajuste",V1164="Rechazada"),W1164&lt;&gt;""),W1164,""))</f>
        <v/>
      </c>
    </row>
    <row r="1165" customFormat="false" ht="22.35" hidden="false" customHeight="false" outlineLevel="0" collapsed="false">
      <c r="A1165" s="18" t="s">
        <v>5148</v>
      </c>
      <c r="B1165" s="18" t="s">
        <v>64</v>
      </c>
      <c r="C1165" s="18" t="s">
        <v>65</v>
      </c>
      <c r="D1165" s="18" t="s">
        <v>5135</v>
      </c>
      <c r="E1165" s="18" t="n">
        <v>25</v>
      </c>
      <c r="F1165" s="18" t="s">
        <v>1080</v>
      </c>
      <c r="G1165" s="18" t="s">
        <v>486</v>
      </c>
      <c r="H1165" s="18" t="s">
        <v>162</v>
      </c>
      <c r="I1165" s="18"/>
      <c r="J1165" s="18"/>
      <c r="K1165" s="18"/>
      <c r="L1165" s="18" t="s">
        <v>129</v>
      </c>
      <c r="M1165" s="18" t="s">
        <v>129</v>
      </c>
      <c r="N1165" s="18"/>
      <c r="O1165" s="18"/>
      <c r="P1165" s="18" t="s">
        <v>5149</v>
      </c>
      <c r="Q1165" s="18" t="s">
        <v>138</v>
      </c>
      <c r="R1165" s="18" t="s">
        <v>1082</v>
      </c>
      <c r="S1165" s="18" t="s">
        <v>140</v>
      </c>
      <c r="T1165" s="18" t="s">
        <v>141</v>
      </c>
      <c r="U1165" s="18"/>
      <c r="V1165" s="19" t="s">
        <v>29</v>
      </c>
      <c r="W1165" s="19"/>
      <c r="X1165" s="19"/>
      <c r="Y1165" s="20"/>
      <c r="Z1165" s="19"/>
      <c r="AA1165" s="18" t="str">
        <f aca="false">IF(OR(V1165="Aprobada"),R1165,IF(AND(OR(V1165="Aprobada con ajuste",V1165="Rechazada"),W1165&lt;&gt;""),W1165,""))</f>
        <v/>
      </c>
    </row>
    <row r="1166" customFormat="false" ht="22.35" hidden="false" customHeight="false" outlineLevel="0" collapsed="false">
      <c r="A1166" s="18" t="s">
        <v>5150</v>
      </c>
      <c r="B1166" s="18" t="s">
        <v>64</v>
      </c>
      <c r="C1166" s="18" t="s">
        <v>65</v>
      </c>
      <c r="D1166" s="18" t="s">
        <v>5135</v>
      </c>
      <c r="E1166" s="18" t="n">
        <v>25</v>
      </c>
      <c r="F1166" s="18" t="s">
        <v>5125</v>
      </c>
      <c r="G1166" s="18" t="s">
        <v>454</v>
      </c>
      <c r="H1166" s="18" t="s">
        <v>162</v>
      </c>
      <c r="I1166" s="18"/>
      <c r="J1166" s="18"/>
      <c r="K1166" s="18"/>
      <c r="L1166" s="18" t="s">
        <v>129</v>
      </c>
      <c r="M1166" s="18" t="s">
        <v>129</v>
      </c>
      <c r="N1166" s="18"/>
      <c r="O1166" s="18"/>
      <c r="P1166" s="18" t="s">
        <v>5151</v>
      </c>
      <c r="Q1166" s="18" t="s">
        <v>138</v>
      </c>
      <c r="R1166" s="18" t="s">
        <v>5152</v>
      </c>
      <c r="S1166" s="18" t="s">
        <v>140</v>
      </c>
      <c r="T1166" s="18" t="s">
        <v>141</v>
      </c>
      <c r="U1166" s="18"/>
      <c r="V1166" s="19" t="s">
        <v>29</v>
      </c>
      <c r="W1166" s="19"/>
      <c r="X1166" s="19"/>
      <c r="Y1166" s="20"/>
      <c r="Z1166" s="19"/>
      <c r="AA1166" s="18" t="str">
        <f aca="false">IF(OR(V1166="Aprobada"),R1166,IF(AND(OR(V1166="Aprobada con ajuste",V1166="Rechazada"),W1166&lt;&gt;""),W1166,""))</f>
        <v/>
      </c>
    </row>
    <row r="1167" customFormat="false" ht="22.35" hidden="false" customHeight="false" outlineLevel="0" collapsed="false">
      <c r="A1167" s="18" t="s">
        <v>5153</v>
      </c>
      <c r="B1167" s="18" t="s">
        <v>64</v>
      </c>
      <c r="C1167" s="18" t="s">
        <v>65</v>
      </c>
      <c r="D1167" s="18" t="s">
        <v>5135</v>
      </c>
      <c r="E1167" s="18" t="n">
        <v>25</v>
      </c>
      <c r="F1167" s="18" t="s">
        <v>5113</v>
      </c>
      <c r="G1167" s="18" t="s">
        <v>137</v>
      </c>
      <c r="H1167" s="18" t="s">
        <v>162</v>
      </c>
      <c r="I1167" s="18"/>
      <c r="J1167" s="18"/>
      <c r="K1167" s="18"/>
      <c r="L1167" s="18" t="s">
        <v>129</v>
      </c>
      <c r="M1167" s="18" t="s">
        <v>129</v>
      </c>
      <c r="N1167" s="18"/>
      <c r="O1167" s="18"/>
      <c r="P1167" s="18" t="s">
        <v>5154</v>
      </c>
      <c r="Q1167" s="18" t="s">
        <v>138</v>
      </c>
      <c r="R1167" s="18" t="s">
        <v>5155</v>
      </c>
      <c r="S1167" s="18" t="s">
        <v>140</v>
      </c>
      <c r="T1167" s="18" t="s">
        <v>141</v>
      </c>
      <c r="U1167" s="18"/>
      <c r="V1167" s="19" t="s">
        <v>29</v>
      </c>
      <c r="W1167" s="19"/>
      <c r="X1167" s="19"/>
      <c r="Y1167" s="20"/>
      <c r="Z1167" s="19"/>
      <c r="AA1167" s="18" t="str">
        <f aca="false">IF(OR(V1167="Aprobada"),R1167,IF(AND(OR(V1167="Aprobada con ajuste",V1167="Rechazada"),W1167&lt;&gt;""),W1167,""))</f>
        <v/>
      </c>
    </row>
    <row r="1168" customFormat="false" ht="22.35" hidden="false" customHeight="false" outlineLevel="0" collapsed="false">
      <c r="A1168" s="18" t="s">
        <v>5156</v>
      </c>
      <c r="B1168" s="18" t="s">
        <v>64</v>
      </c>
      <c r="C1168" s="18" t="s">
        <v>65</v>
      </c>
      <c r="D1168" s="18" t="s">
        <v>5157</v>
      </c>
      <c r="E1168" s="18" t="n">
        <v>21</v>
      </c>
      <c r="F1168" s="18" t="s">
        <v>275</v>
      </c>
      <c r="G1168" s="18" t="s">
        <v>180</v>
      </c>
      <c r="H1168" s="18" t="s">
        <v>129</v>
      </c>
      <c r="I1168" s="18"/>
      <c r="J1168" s="18"/>
      <c r="K1168" s="18"/>
      <c r="L1168" s="18" t="s">
        <v>129</v>
      </c>
      <c r="M1168" s="18" t="s">
        <v>129</v>
      </c>
      <c r="N1168" s="18"/>
      <c r="O1168" s="18"/>
      <c r="P1168" s="18" t="s">
        <v>5158</v>
      </c>
      <c r="Q1168" s="18" t="s">
        <v>138</v>
      </c>
      <c r="R1168" s="18" t="s">
        <v>5159</v>
      </c>
      <c r="S1168" s="18" t="s">
        <v>140</v>
      </c>
      <c r="T1168" s="18" t="s">
        <v>141</v>
      </c>
      <c r="U1168" s="18"/>
      <c r="V1168" s="19" t="s">
        <v>29</v>
      </c>
      <c r="W1168" s="19"/>
      <c r="X1168" s="19"/>
      <c r="Y1168" s="20"/>
      <c r="Z1168" s="19"/>
      <c r="AA1168" s="18" t="str">
        <f aca="false">IF(OR(V1168="Aprobada"),R1168,IF(AND(OR(V1168="Aprobada con ajuste",V1168="Rechazada"),W1168&lt;&gt;""),W1168,""))</f>
        <v/>
      </c>
    </row>
    <row r="1169" customFormat="false" ht="32.8" hidden="false" customHeight="false" outlineLevel="0" collapsed="false">
      <c r="A1169" s="18" t="s">
        <v>5160</v>
      </c>
      <c r="B1169" s="18" t="s">
        <v>64</v>
      </c>
      <c r="C1169" s="18" t="s">
        <v>65</v>
      </c>
      <c r="D1169" s="18" t="s">
        <v>5157</v>
      </c>
      <c r="E1169" s="18" t="n">
        <v>21</v>
      </c>
      <c r="F1169" s="18" t="s">
        <v>896</v>
      </c>
      <c r="G1169" s="18" t="s">
        <v>145</v>
      </c>
      <c r="H1169" s="18" t="s">
        <v>162</v>
      </c>
      <c r="I1169" s="18" t="s">
        <v>298</v>
      </c>
      <c r="J1169" s="18" t="s">
        <v>5161</v>
      </c>
      <c r="K1169" s="18"/>
      <c r="L1169" s="18" t="s">
        <v>162</v>
      </c>
      <c r="M1169" s="18" t="s">
        <v>129</v>
      </c>
      <c r="N1169" s="18"/>
      <c r="O1169" s="18" t="s">
        <v>5162</v>
      </c>
      <c r="P1169" s="18" t="s">
        <v>5163</v>
      </c>
      <c r="Q1169" s="18" t="s">
        <v>149</v>
      </c>
      <c r="R1169" s="18" t="s">
        <v>5164</v>
      </c>
      <c r="S1169" s="18" t="s">
        <v>133</v>
      </c>
      <c r="T1169" s="18" t="s">
        <v>4596</v>
      </c>
      <c r="U1169" s="18"/>
      <c r="V1169" s="19" t="s">
        <v>29</v>
      </c>
      <c r="W1169" s="19"/>
      <c r="X1169" s="19"/>
      <c r="Y1169" s="20"/>
      <c r="Z1169" s="19"/>
      <c r="AA1169" s="18" t="str">
        <f aca="false">IF(OR(V1169="Aprobada"),R1169,IF(AND(OR(V1169="Aprobada con ajuste",V1169="Rechazada"),W1169&lt;&gt;""),W1169,""))</f>
        <v/>
      </c>
    </row>
    <row r="1170" customFormat="false" ht="22.35" hidden="false" customHeight="false" outlineLevel="0" collapsed="false">
      <c r="A1170" s="18" t="s">
        <v>5165</v>
      </c>
      <c r="B1170" s="18" t="s">
        <v>64</v>
      </c>
      <c r="C1170" s="18" t="s">
        <v>65</v>
      </c>
      <c r="D1170" s="18" t="s">
        <v>5157</v>
      </c>
      <c r="E1170" s="18" t="n">
        <v>21</v>
      </c>
      <c r="F1170" s="18" t="s">
        <v>160</v>
      </c>
      <c r="G1170" s="18" t="s">
        <v>128</v>
      </c>
      <c r="H1170" s="18" t="s">
        <v>162</v>
      </c>
      <c r="I1170" s="18"/>
      <c r="J1170" s="18"/>
      <c r="K1170" s="18"/>
      <c r="L1170" s="18" t="s">
        <v>129</v>
      </c>
      <c r="M1170" s="18" t="s">
        <v>129</v>
      </c>
      <c r="N1170" s="18"/>
      <c r="O1170" s="18"/>
      <c r="P1170" s="18" t="s">
        <v>5166</v>
      </c>
      <c r="Q1170" s="18" t="s">
        <v>138</v>
      </c>
      <c r="R1170" s="18" t="s">
        <v>5167</v>
      </c>
      <c r="S1170" s="18" t="s">
        <v>140</v>
      </c>
      <c r="T1170" s="18" t="s">
        <v>141</v>
      </c>
      <c r="U1170" s="18"/>
      <c r="V1170" s="19" t="s">
        <v>29</v>
      </c>
      <c r="W1170" s="19"/>
      <c r="X1170" s="19"/>
      <c r="Y1170" s="20"/>
      <c r="Z1170" s="19"/>
      <c r="AA1170" s="18" t="str">
        <f aca="false">IF(OR(V1170="Aprobada"),R1170,IF(AND(OR(V1170="Aprobada con ajuste",V1170="Rechazada"),W1170&lt;&gt;""),W1170,""))</f>
        <v/>
      </c>
    </row>
    <row r="1171" customFormat="false" ht="22.35" hidden="false" customHeight="false" outlineLevel="0" collapsed="false">
      <c r="A1171" s="18" t="s">
        <v>5168</v>
      </c>
      <c r="B1171" s="18" t="s">
        <v>64</v>
      </c>
      <c r="C1171" s="18" t="s">
        <v>65</v>
      </c>
      <c r="D1171" s="18" t="s">
        <v>5157</v>
      </c>
      <c r="E1171" s="18" t="n">
        <v>21</v>
      </c>
      <c r="F1171" s="18" t="s">
        <v>4240</v>
      </c>
      <c r="G1171" s="18" t="s">
        <v>128</v>
      </c>
      <c r="H1171" s="18" t="s">
        <v>162</v>
      </c>
      <c r="I1171" s="18"/>
      <c r="J1171" s="18"/>
      <c r="K1171" s="18"/>
      <c r="L1171" s="18" t="s">
        <v>129</v>
      </c>
      <c r="M1171" s="18" t="s">
        <v>129</v>
      </c>
      <c r="N1171" s="18"/>
      <c r="O1171" s="18"/>
      <c r="P1171" s="18" t="s">
        <v>5169</v>
      </c>
      <c r="Q1171" s="18" t="s">
        <v>149</v>
      </c>
      <c r="R1171" s="18" t="s">
        <v>5143</v>
      </c>
      <c r="S1171" s="18" t="s">
        <v>133</v>
      </c>
      <c r="T1171" s="18" t="s">
        <v>183</v>
      </c>
      <c r="U1171" s="18"/>
      <c r="V1171" s="19" t="s">
        <v>29</v>
      </c>
      <c r="W1171" s="19"/>
      <c r="X1171" s="19"/>
      <c r="Y1171" s="20"/>
      <c r="Z1171" s="19"/>
      <c r="AA1171" s="18" t="str">
        <f aca="false">IF(OR(V1171="Aprobada"),R1171,IF(AND(OR(V1171="Aprobada con ajuste",V1171="Rechazada"),W1171&lt;&gt;""),W1171,""))</f>
        <v/>
      </c>
    </row>
    <row r="1172" customFormat="false" ht="22.35" hidden="false" customHeight="false" outlineLevel="0" collapsed="false">
      <c r="A1172" s="18" t="s">
        <v>5170</v>
      </c>
      <c r="B1172" s="18" t="s">
        <v>64</v>
      </c>
      <c r="C1172" s="18" t="s">
        <v>65</v>
      </c>
      <c r="D1172" s="18" t="s">
        <v>5157</v>
      </c>
      <c r="E1172" s="18" t="n">
        <v>21</v>
      </c>
      <c r="F1172" s="18" t="s">
        <v>293</v>
      </c>
      <c r="G1172" s="18" t="s">
        <v>294</v>
      </c>
      <c r="H1172" s="18" t="s">
        <v>162</v>
      </c>
      <c r="I1172" s="18"/>
      <c r="J1172" s="18"/>
      <c r="K1172" s="18"/>
      <c r="L1172" s="18" t="s">
        <v>129</v>
      </c>
      <c r="M1172" s="18" t="s">
        <v>129</v>
      </c>
      <c r="N1172" s="18"/>
      <c r="O1172" s="18"/>
      <c r="P1172" s="18" t="s">
        <v>5171</v>
      </c>
      <c r="Q1172" s="18" t="s">
        <v>138</v>
      </c>
      <c r="R1172" s="18" t="s">
        <v>296</v>
      </c>
      <c r="S1172" s="18" t="s">
        <v>140</v>
      </c>
      <c r="T1172" s="18" t="s">
        <v>141</v>
      </c>
      <c r="U1172" s="18"/>
      <c r="V1172" s="19" t="s">
        <v>29</v>
      </c>
      <c r="W1172" s="19"/>
      <c r="X1172" s="19"/>
      <c r="Y1172" s="20"/>
      <c r="Z1172" s="19"/>
      <c r="AA1172" s="18" t="str">
        <f aca="false">IF(OR(V1172="Aprobada"),R1172,IF(AND(OR(V1172="Aprobada con ajuste",V1172="Rechazada"),W1172&lt;&gt;""),W1172,""))</f>
        <v/>
      </c>
    </row>
    <row r="1173" customFormat="false" ht="22.35" hidden="false" customHeight="false" outlineLevel="0" collapsed="false">
      <c r="A1173" s="18" t="s">
        <v>5172</v>
      </c>
      <c r="B1173" s="18" t="s">
        <v>64</v>
      </c>
      <c r="C1173" s="18" t="s">
        <v>65</v>
      </c>
      <c r="D1173" s="18" t="s">
        <v>5157</v>
      </c>
      <c r="E1173" s="18" t="n">
        <v>21</v>
      </c>
      <c r="F1173" s="18" t="s">
        <v>1080</v>
      </c>
      <c r="G1173" s="18" t="s">
        <v>486</v>
      </c>
      <c r="H1173" s="18" t="s">
        <v>162</v>
      </c>
      <c r="I1173" s="18"/>
      <c r="J1173" s="18"/>
      <c r="K1173" s="18"/>
      <c r="L1173" s="18" t="s">
        <v>129</v>
      </c>
      <c r="M1173" s="18" t="s">
        <v>129</v>
      </c>
      <c r="N1173" s="18"/>
      <c r="O1173" s="18"/>
      <c r="P1173" s="18" t="s">
        <v>5173</v>
      </c>
      <c r="Q1173" s="18" t="s">
        <v>138</v>
      </c>
      <c r="R1173" s="18" t="s">
        <v>1082</v>
      </c>
      <c r="S1173" s="18" t="s">
        <v>140</v>
      </c>
      <c r="T1173" s="18" t="s">
        <v>141</v>
      </c>
      <c r="U1173" s="18"/>
      <c r="V1173" s="19" t="s">
        <v>29</v>
      </c>
      <c r="W1173" s="19"/>
      <c r="X1173" s="19"/>
      <c r="Y1173" s="20"/>
      <c r="Z1173" s="19"/>
      <c r="AA1173" s="18" t="str">
        <f aca="false">IF(OR(V1173="Aprobada"),R1173,IF(AND(OR(V1173="Aprobada con ajuste",V1173="Rechazada"),W1173&lt;&gt;""),W1173,""))</f>
        <v/>
      </c>
    </row>
    <row r="1174" customFormat="false" ht="22.35" hidden="false" customHeight="false" outlineLevel="0" collapsed="false">
      <c r="A1174" s="18" t="s">
        <v>5174</v>
      </c>
      <c r="B1174" s="18" t="s">
        <v>64</v>
      </c>
      <c r="C1174" s="18" t="s">
        <v>65</v>
      </c>
      <c r="D1174" s="18" t="s">
        <v>5157</v>
      </c>
      <c r="E1174" s="18" t="n">
        <v>21</v>
      </c>
      <c r="F1174" s="18" t="s">
        <v>5125</v>
      </c>
      <c r="G1174" s="18" t="s">
        <v>454</v>
      </c>
      <c r="H1174" s="18" t="s">
        <v>162</v>
      </c>
      <c r="I1174" s="18"/>
      <c r="J1174" s="18"/>
      <c r="K1174" s="18"/>
      <c r="L1174" s="18" t="s">
        <v>129</v>
      </c>
      <c r="M1174" s="18" t="s">
        <v>129</v>
      </c>
      <c r="N1174" s="18"/>
      <c r="O1174" s="18"/>
      <c r="P1174" s="18" t="s">
        <v>5175</v>
      </c>
      <c r="Q1174" s="18" t="s">
        <v>138</v>
      </c>
      <c r="R1174" s="18" t="s">
        <v>5152</v>
      </c>
      <c r="S1174" s="18" t="s">
        <v>140</v>
      </c>
      <c r="T1174" s="18" t="s">
        <v>141</v>
      </c>
      <c r="U1174" s="18"/>
      <c r="V1174" s="19" t="s">
        <v>29</v>
      </c>
      <c r="W1174" s="19"/>
      <c r="X1174" s="19"/>
      <c r="Y1174" s="20"/>
      <c r="Z1174" s="19"/>
      <c r="AA1174" s="18" t="str">
        <f aca="false">IF(OR(V1174="Aprobada"),R1174,IF(AND(OR(V1174="Aprobada con ajuste",V1174="Rechazada"),W1174&lt;&gt;""),W1174,""))</f>
        <v/>
      </c>
    </row>
    <row r="1175" customFormat="false" ht="22.35" hidden="false" customHeight="false" outlineLevel="0" collapsed="false">
      <c r="A1175" s="18" t="s">
        <v>5176</v>
      </c>
      <c r="B1175" s="18" t="s">
        <v>64</v>
      </c>
      <c r="C1175" s="18" t="s">
        <v>65</v>
      </c>
      <c r="D1175" s="18" t="s">
        <v>5157</v>
      </c>
      <c r="E1175" s="18" t="n">
        <v>21</v>
      </c>
      <c r="F1175" s="18" t="s">
        <v>5113</v>
      </c>
      <c r="G1175" s="18" t="s">
        <v>137</v>
      </c>
      <c r="H1175" s="18" t="s">
        <v>162</v>
      </c>
      <c r="I1175" s="18"/>
      <c r="J1175" s="18"/>
      <c r="K1175" s="18"/>
      <c r="L1175" s="18" t="s">
        <v>129</v>
      </c>
      <c r="M1175" s="18" t="s">
        <v>129</v>
      </c>
      <c r="N1175" s="18"/>
      <c r="O1175" s="18"/>
      <c r="P1175" s="18" t="s">
        <v>5177</v>
      </c>
      <c r="Q1175" s="18" t="s">
        <v>138</v>
      </c>
      <c r="R1175" s="18" t="s">
        <v>5155</v>
      </c>
      <c r="S1175" s="18" t="s">
        <v>140</v>
      </c>
      <c r="T1175" s="18" t="s">
        <v>141</v>
      </c>
      <c r="U1175" s="18"/>
      <c r="V1175" s="19" t="s">
        <v>29</v>
      </c>
      <c r="W1175" s="19"/>
      <c r="X1175" s="19"/>
      <c r="Y1175" s="20"/>
      <c r="Z1175" s="19"/>
      <c r="AA1175" s="18" t="str">
        <f aca="false">IF(OR(V1175="Aprobada"),R1175,IF(AND(OR(V1175="Aprobada con ajuste",V1175="Rechazada"),W1175&lt;&gt;""),W1175,""))</f>
        <v/>
      </c>
    </row>
    <row r="1176" customFormat="false" ht="32.8" hidden="false" customHeight="false" outlineLevel="0" collapsed="false">
      <c r="A1176" s="18" t="s">
        <v>5178</v>
      </c>
      <c r="B1176" s="18" t="s">
        <v>64</v>
      </c>
      <c r="C1176" s="18" t="s">
        <v>65</v>
      </c>
      <c r="D1176" s="18" t="s">
        <v>5179</v>
      </c>
      <c r="E1176" s="18" t="n">
        <v>16</v>
      </c>
      <c r="F1176" s="18" t="s">
        <v>160</v>
      </c>
      <c r="G1176" s="18" t="s">
        <v>128</v>
      </c>
      <c r="H1176" s="18" t="s">
        <v>162</v>
      </c>
      <c r="I1176" s="18"/>
      <c r="J1176" s="18"/>
      <c r="K1176" s="18"/>
      <c r="L1176" s="18" t="s">
        <v>129</v>
      </c>
      <c r="M1176" s="18" t="s">
        <v>129</v>
      </c>
      <c r="N1176" s="18"/>
      <c r="O1176" s="18"/>
      <c r="P1176" s="18" t="s">
        <v>5180</v>
      </c>
      <c r="Q1176" s="18" t="s">
        <v>138</v>
      </c>
      <c r="R1176" s="18" t="s">
        <v>5181</v>
      </c>
      <c r="S1176" s="18" t="s">
        <v>140</v>
      </c>
      <c r="T1176" s="18" t="s">
        <v>141</v>
      </c>
      <c r="U1176" s="18"/>
      <c r="V1176" s="19" t="s">
        <v>29</v>
      </c>
      <c r="W1176" s="19"/>
      <c r="X1176" s="19"/>
      <c r="Y1176" s="20"/>
      <c r="Z1176" s="19"/>
      <c r="AA1176" s="18" t="str">
        <f aca="false">IF(OR(V1176="Aprobada"),R1176,IF(AND(OR(V1176="Aprobada con ajuste",V1176="Rechazada"),W1176&lt;&gt;""),W1176,""))</f>
        <v/>
      </c>
    </row>
    <row r="1177" customFormat="false" ht="32.8" hidden="false" customHeight="false" outlineLevel="0" collapsed="false">
      <c r="A1177" s="18" t="s">
        <v>5182</v>
      </c>
      <c r="B1177" s="18" t="s">
        <v>64</v>
      </c>
      <c r="C1177" s="18" t="s">
        <v>65</v>
      </c>
      <c r="D1177" s="18" t="s">
        <v>5179</v>
      </c>
      <c r="E1177" s="18" t="n">
        <v>16</v>
      </c>
      <c r="F1177" s="18" t="s">
        <v>5183</v>
      </c>
      <c r="G1177" s="18" t="s">
        <v>180</v>
      </c>
      <c r="H1177" s="18" t="s">
        <v>162</v>
      </c>
      <c r="I1177" s="18"/>
      <c r="J1177" s="18"/>
      <c r="K1177" s="18"/>
      <c r="L1177" s="18" t="s">
        <v>129</v>
      </c>
      <c r="M1177" s="18" t="s">
        <v>129</v>
      </c>
      <c r="N1177" s="18"/>
      <c r="O1177" s="18"/>
      <c r="P1177" s="18" t="s">
        <v>5184</v>
      </c>
      <c r="Q1177" s="18" t="s">
        <v>149</v>
      </c>
      <c r="R1177" s="18" t="s">
        <v>5185</v>
      </c>
      <c r="S1177" s="18" t="s">
        <v>133</v>
      </c>
      <c r="T1177" s="18" t="s">
        <v>183</v>
      </c>
      <c r="U1177" s="18"/>
      <c r="V1177" s="19" t="s">
        <v>29</v>
      </c>
      <c r="W1177" s="19"/>
      <c r="X1177" s="19"/>
      <c r="Y1177" s="20"/>
      <c r="Z1177" s="19"/>
      <c r="AA1177" s="18" t="str">
        <f aca="false">IF(OR(V1177="Aprobada"),R1177,IF(AND(OR(V1177="Aprobada con ajuste",V1177="Rechazada"),W1177&lt;&gt;""),W1177,""))</f>
        <v/>
      </c>
    </row>
    <row r="1178" customFormat="false" ht="32.8" hidden="false" customHeight="false" outlineLevel="0" collapsed="false">
      <c r="A1178" s="18" t="s">
        <v>5186</v>
      </c>
      <c r="B1178" s="18" t="s">
        <v>64</v>
      </c>
      <c r="C1178" s="18" t="s">
        <v>65</v>
      </c>
      <c r="D1178" s="18" t="s">
        <v>5179</v>
      </c>
      <c r="E1178" s="18" t="n">
        <v>16</v>
      </c>
      <c r="F1178" s="18" t="s">
        <v>5187</v>
      </c>
      <c r="G1178" s="18" t="s">
        <v>584</v>
      </c>
      <c r="H1178" s="18" t="s">
        <v>162</v>
      </c>
      <c r="I1178" s="18"/>
      <c r="J1178" s="18"/>
      <c r="K1178" s="18"/>
      <c r="L1178" s="18" t="s">
        <v>129</v>
      </c>
      <c r="M1178" s="18" t="s">
        <v>129</v>
      </c>
      <c r="N1178" s="18"/>
      <c r="O1178" s="18"/>
      <c r="P1178" s="18" t="s">
        <v>5188</v>
      </c>
      <c r="Q1178" s="18" t="s">
        <v>138</v>
      </c>
      <c r="R1178" s="18" t="s">
        <v>5189</v>
      </c>
      <c r="S1178" s="18" t="s">
        <v>140</v>
      </c>
      <c r="T1178" s="18" t="s">
        <v>141</v>
      </c>
      <c r="U1178" s="18"/>
      <c r="V1178" s="19" t="s">
        <v>29</v>
      </c>
      <c r="W1178" s="19"/>
      <c r="X1178" s="19"/>
      <c r="Y1178" s="20"/>
      <c r="Z1178" s="19"/>
      <c r="AA1178" s="18" t="str">
        <f aca="false">IF(OR(V1178="Aprobada"),R1178,IF(AND(OR(V1178="Aprobada con ajuste",V1178="Rechazada"),W1178&lt;&gt;""),W1178,""))</f>
        <v/>
      </c>
    </row>
    <row r="1179" customFormat="false" ht="32.8" hidden="false" customHeight="false" outlineLevel="0" collapsed="false">
      <c r="A1179" s="18" t="s">
        <v>5190</v>
      </c>
      <c r="B1179" s="18" t="s">
        <v>64</v>
      </c>
      <c r="C1179" s="18" t="s">
        <v>65</v>
      </c>
      <c r="D1179" s="18" t="s">
        <v>5179</v>
      </c>
      <c r="E1179" s="18" t="n">
        <v>16</v>
      </c>
      <c r="F1179" s="18" t="s">
        <v>4235</v>
      </c>
      <c r="G1179" s="18" t="s">
        <v>180</v>
      </c>
      <c r="H1179" s="18" t="s">
        <v>162</v>
      </c>
      <c r="I1179" s="18"/>
      <c r="J1179" s="18"/>
      <c r="K1179" s="18"/>
      <c r="L1179" s="18" t="s">
        <v>129</v>
      </c>
      <c r="M1179" s="18" t="s">
        <v>129</v>
      </c>
      <c r="N1179" s="18"/>
      <c r="O1179" s="18"/>
      <c r="P1179" s="18" t="s">
        <v>5191</v>
      </c>
      <c r="Q1179" s="18" t="s">
        <v>149</v>
      </c>
      <c r="R1179" s="18" t="s">
        <v>5192</v>
      </c>
      <c r="S1179" s="18" t="s">
        <v>133</v>
      </c>
      <c r="T1179" s="18" t="s">
        <v>183</v>
      </c>
      <c r="U1179" s="18"/>
      <c r="V1179" s="19" t="s">
        <v>29</v>
      </c>
      <c r="W1179" s="19"/>
      <c r="X1179" s="19"/>
      <c r="Y1179" s="20"/>
      <c r="Z1179" s="19"/>
      <c r="AA1179" s="18" t="str">
        <f aca="false">IF(OR(V1179="Aprobada"),R1179,IF(AND(OR(V1179="Aprobada con ajuste",V1179="Rechazada"),W1179&lt;&gt;""),W1179,""))</f>
        <v/>
      </c>
    </row>
    <row r="1180" customFormat="false" ht="32.8" hidden="false" customHeight="false" outlineLevel="0" collapsed="false">
      <c r="A1180" s="18" t="s">
        <v>5193</v>
      </c>
      <c r="B1180" s="18" t="s">
        <v>64</v>
      </c>
      <c r="C1180" s="18" t="s">
        <v>65</v>
      </c>
      <c r="D1180" s="18" t="s">
        <v>5179</v>
      </c>
      <c r="E1180" s="18" t="n">
        <v>16</v>
      </c>
      <c r="F1180" s="18" t="s">
        <v>4240</v>
      </c>
      <c r="G1180" s="18" t="s">
        <v>128</v>
      </c>
      <c r="H1180" s="18" t="s">
        <v>162</v>
      </c>
      <c r="I1180" s="18"/>
      <c r="J1180" s="18"/>
      <c r="K1180" s="18"/>
      <c r="L1180" s="18" t="s">
        <v>129</v>
      </c>
      <c r="M1180" s="18" t="s">
        <v>129</v>
      </c>
      <c r="N1180" s="18"/>
      <c r="O1180" s="18"/>
      <c r="P1180" s="18" t="s">
        <v>5194</v>
      </c>
      <c r="Q1180" s="18" t="s">
        <v>149</v>
      </c>
      <c r="R1180" s="18" t="s">
        <v>5195</v>
      </c>
      <c r="S1180" s="18" t="s">
        <v>133</v>
      </c>
      <c r="T1180" s="18" t="s">
        <v>183</v>
      </c>
      <c r="U1180" s="18"/>
      <c r="V1180" s="19" t="s">
        <v>29</v>
      </c>
      <c r="W1180" s="19"/>
      <c r="X1180" s="19"/>
      <c r="Y1180" s="20"/>
      <c r="Z1180" s="19"/>
      <c r="AA1180" s="18" t="str">
        <f aca="false">IF(OR(V1180="Aprobada"),R1180,IF(AND(OR(V1180="Aprobada con ajuste",V1180="Rechazada"),W1180&lt;&gt;""),W1180,""))</f>
        <v/>
      </c>
    </row>
    <row r="1181" customFormat="false" ht="32.8" hidden="false" customHeight="false" outlineLevel="0" collapsed="false">
      <c r="A1181" s="18" t="s">
        <v>5196</v>
      </c>
      <c r="B1181" s="18" t="s">
        <v>64</v>
      </c>
      <c r="C1181" s="18" t="s">
        <v>65</v>
      </c>
      <c r="D1181" s="18" t="s">
        <v>5179</v>
      </c>
      <c r="E1181" s="18" t="n">
        <v>16</v>
      </c>
      <c r="F1181" s="18" t="s">
        <v>4244</v>
      </c>
      <c r="G1181" s="18" t="s">
        <v>503</v>
      </c>
      <c r="H1181" s="18" t="s">
        <v>162</v>
      </c>
      <c r="I1181" s="18"/>
      <c r="J1181" s="18"/>
      <c r="K1181" s="18"/>
      <c r="L1181" s="18" t="s">
        <v>129</v>
      </c>
      <c r="M1181" s="18" t="s">
        <v>129</v>
      </c>
      <c r="N1181" s="18"/>
      <c r="O1181" s="18"/>
      <c r="P1181" s="18" t="s">
        <v>5197</v>
      </c>
      <c r="Q1181" s="18" t="s">
        <v>149</v>
      </c>
      <c r="R1181" s="18" t="s">
        <v>5198</v>
      </c>
      <c r="S1181" s="18" t="s">
        <v>140</v>
      </c>
      <c r="T1181" s="18" t="s">
        <v>183</v>
      </c>
      <c r="U1181" s="18" t="s">
        <v>4247</v>
      </c>
      <c r="V1181" s="19" t="s">
        <v>29</v>
      </c>
      <c r="W1181" s="19"/>
      <c r="X1181" s="19"/>
      <c r="Y1181" s="20"/>
      <c r="Z1181" s="19"/>
      <c r="AA1181" s="18" t="str">
        <f aca="false">IF(OR(V1181="Aprobada"),R1181,IF(AND(OR(V1181="Aprobada con ajuste",V1181="Rechazada"),W1181&lt;&gt;""),W1181,""))</f>
        <v/>
      </c>
    </row>
    <row r="1182" customFormat="false" ht="32.8" hidden="false" customHeight="false" outlineLevel="0" collapsed="false">
      <c r="A1182" s="18" t="s">
        <v>5199</v>
      </c>
      <c r="B1182" s="18" t="s">
        <v>64</v>
      </c>
      <c r="C1182" s="18" t="s">
        <v>65</v>
      </c>
      <c r="D1182" s="18" t="s">
        <v>5179</v>
      </c>
      <c r="E1182" s="18" t="n">
        <v>16</v>
      </c>
      <c r="F1182" s="18" t="s">
        <v>127</v>
      </c>
      <c r="G1182" s="18" t="s">
        <v>486</v>
      </c>
      <c r="H1182" s="18" t="s">
        <v>162</v>
      </c>
      <c r="I1182" s="18"/>
      <c r="J1182" s="18"/>
      <c r="K1182" s="18"/>
      <c r="L1182" s="18" t="s">
        <v>129</v>
      </c>
      <c r="M1182" s="18" t="s">
        <v>129</v>
      </c>
      <c r="N1182" s="18"/>
      <c r="O1182" s="18"/>
      <c r="P1182" s="18" t="s">
        <v>5200</v>
      </c>
      <c r="Q1182" s="18" t="s">
        <v>138</v>
      </c>
      <c r="R1182" s="18" t="s">
        <v>5201</v>
      </c>
      <c r="S1182" s="18" t="s">
        <v>140</v>
      </c>
      <c r="T1182" s="18" t="s">
        <v>141</v>
      </c>
      <c r="U1182" s="18"/>
      <c r="V1182" s="19" t="s">
        <v>29</v>
      </c>
      <c r="W1182" s="19"/>
      <c r="X1182" s="19"/>
      <c r="Y1182" s="20"/>
      <c r="Z1182" s="19"/>
      <c r="AA1182" s="18" t="str">
        <f aca="false">IF(OR(V1182="Aprobada"),R1182,IF(AND(OR(V1182="Aprobada con ajuste",V1182="Rechazada"),W1182&lt;&gt;""),W1182,""))</f>
        <v/>
      </c>
    </row>
    <row r="1183" customFormat="false" ht="32.8" hidden="false" customHeight="false" outlineLevel="0" collapsed="false">
      <c r="A1183" s="18" t="s">
        <v>5202</v>
      </c>
      <c r="B1183" s="18" t="s">
        <v>64</v>
      </c>
      <c r="C1183" s="18" t="s">
        <v>65</v>
      </c>
      <c r="D1183" s="18" t="s">
        <v>5179</v>
      </c>
      <c r="E1183" s="18" t="n">
        <v>16</v>
      </c>
      <c r="F1183" s="18" t="s">
        <v>4777</v>
      </c>
      <c r="G1183" s="18" t="s">
        <v>205</v>
      </c>
      <c r="H1183" s="18" t="s">
        <v>162</v>
      </c>
      <c r="I1183" s="18" t="s">
        <v>298</v>
      </c>
      <c r="J1183" s="18" t="s">
        <v>5203</v>
      </c>
      <c r="K1183" s="18"/>
      <c r="L1183" s="18" t="s">
        <v>162</v>
      </c>
      <c r="M1183" s="18" t="s">
        <v>129</v>
      </c>
      <c r="N1183" s="18"/>
      <c r="O1183" s="18"/>
      <c r="P1183" s="18" t="s">
        <v>5204</v>
      </c>
      <c r="Q1183" s="18" t="s">
        <v>149</v>
      </c>
      <c r="R1183" s="18" t="s">
        <v>5205</v>
      </c>
      <c r="S1183" s="18" t="s">
        <v>133</v>
      </c>
      <c r="T1183" s="18" t="s">
        <v>801</v>
      </c>
      <c r="U1183" s="18"/>
      <c r="V1183" s="19" t="s">
        <v>29</v>
      </c>
      <c r="W1183" s="19"/>
      <c r="X1183" s="19"/>
      <c r="Y1183" s="20"/>
      <c r="Z1183" s="19"/>
      <c r="AA1183" s="18" t="str">
        <f aca="false">IF(OR(V1183="Aprobada"),R1183,IF(AND(OR(V1183="Aprobada con ajuste",V1183="Rechazada"),W1183&lt;&gt;""),W1183,""))</f>
        <v/>
      </c>
    </row>
    <row r="1184" customFormat="false" ht="32.8" hidden="false" customHeight="false" outlineLevel="0" collapsed="false">
      <c r="A1184" s="18" t="s">
        <v>5206</v>
      </c>
      <c r="B1184" s="18" t="s">
        <v>64</v>
      </c>
      <c r="C1184" s="18" t="s">
        <v>65</v>
      </c>
      <c r="D1184" s="18" t="s">
        <v>5179</v>
      </c>
      <c r="E1184" s="18" t="n">
        <v>16</v>
      </c>
      <c r="F1184" s="18" t="s">
        <v>185</v>
      </c>
      <c r="G1184" s="18" t="s">
        <v>145</v>
      </c>
      <c r="H1184" s="18" t="s">
        <v>162</v>
      </c>
      <c r="I1184" s="18" t="s">
        <v>298</v>
      </c>
      <c r="J1184" s="18" t="s">
        <v>5207</v>
      </c>
      <c r="K1184" s="18"/>
      <c r="L1184" s="18" t="s">
        <v>162</v>
      </c>
      <c r="M1184" s="18" t="s">
        <v>129</v>
      </c>
      <c r="N1184" s="18"/>
      <c r="O1184" s="18"/>
      <c r="P1184" s="18" t="s">
        <v>5208</v>
      </c>
      <c r="Q1184" s="18" t="s">
        <v>138</v>
      </c>
      <c r="R1184" s="18" t="s">
        <v>5209</v>
      </c>
      <c r="S1184" s="18" t="s">
        <v>140</v>
      </c>
      <c r="T1184" s="18" t="s">
        <v>141</v>
      </c>
      <c r="U1184" s="18"/>
      <c r="V1184" s="19" t="s">
        <v>29</v>
      </c>
      <c r="W1184" s="19"/>
      <c r="X1184" s="19"/>
      <c r="Y1184" s="20"/>
      <c r="Z1184" s="19"/>
      <c r="AA1184" s="18" t="str">
        <f aca="false">IF(OR(V1184="Aprobada"),R1184,IF(AND(OR(V1184="Aprobada con ajuste",V1184="Rechazada"),W1184&lt;&gt;""),W1184,""))</f>
        <v/>
      </c>
    </row>
    <row r="1185" customFormat="false" ht="22.35" hidden="false" customHeight="false" outlineLevel="0" collapsed="false">
      <c r="A1185" s="18" t="s">
        <v>5210</v>
      </c>
      <c r="B1185" s="18" t="s">
        <v>64</v>
      </c>
      <c r="C1185" s="18" t="s">
        <v>65</v>
      </c>
      <c r="D1185" s="18" t="s">
        <v>5211</v>
      </c>
      <c r="E1185" s="18" t="n">
        <v>2</v>
      </c>
      <c r="F1185" s="18" t="s">
        <v>160</v>
      </c>
      <c r="G1185" s="18" t="s">
        <v>128</v>
      </c>
      <c r="H1185" s="18" t="s">
        <v>129</v>
      </c>
      <c r="I1185" s="18"/>
      <c r="J1185" s="18"/>
      <c r="K1185" s="18"/>
      <c r="L1185" s="18" t="s">
        <v>129</v>
      </c>
      <c r="M1185" s="18" t="s">
        <v>129</v>
      </c>
      <c r="N1185" s="18"/>
      <c r="O1185" s="18"/>
      <c r="P1185" s="18" t="s">
        <v>5212</v>
      </c>
      <c r="Q1185" s="18" t="s">
        <v>138</v>
      </c>
      <c r="R1185" s="18" t="s">
        <v>5213</v>
      </c>
      <c r="S1185" s="18" t="s">
        <v>140</v>
      </c>
      <c r="T1185" s="18" t="s">
        <v>141</v>
      </c>
      <c r="U1185" s="18"/>
      <c r="V1185" s="19" t="s">
        <v>29</v>
      </c>
      <c r="W1185" s="19"/>
      <c r="X1185" s="19"/>
      <c r="Y1185" s="20"/>
      <c r="Z1185" s="19"/>
      <c r="AA1185" s="18" t="str">
        <f aca="false">IF(OR(V1185="Aprobada"),R1185,IF(AND(OR(V1185="Aprobada con ajuste",V1185="Rechazada"),W1185&lt;&gt;""),W1185,""))</f>
        <v/>
      </c>
    </row>
    <row r="1186" customFormat="false" ht="22.35" hidden="false" customHeight="false" outlineLevel="0" collapsed="false">
      <c r="A1186" s="18" t="s">
        <v>5214</v>
      </c>
      <c r="B1186" s="18" t="s">
        <v>64</v>
      </c>
      <c r="C1186" s="18" t="s">
        <v>65</v>
      </c>
      <c r="D1186" s="18" t="s">
        <v>5211</v>
      </c>
      <c r="E1186" s="18" t="n">
        <v>2</v>
      </c>
      <c r="F1186" s="18" t="s">
        <v>5215</v>
      </c>
      <c r="G1186" s="18" t="s">
        <v>128</v>
      </c>
      <c r="H1186" s="18" t="s">
        <v>162</v>
      </c>
      <c r="I1186" s="18"/>
      <c r="J1186" s="18"/>
      <c r="K1186" s="18"/>
      <c r="L1186" s="18" t="s">
        <v>129</v>
      </c>
      <c r="M1186" s="18" t="s">
        <v>129</v>
      </c>
      <c r="N1186" s="18"/>
      <c r="O1186" s="18"/>
      <c r="P1186" s="18" t="s">
        <v>5216</v>
      </c>
      <c r="Q1186" s="18" t="s">
        <v>149</v>
      </c>
      <c r="R1186" s="18" t="s">
        <v>5217</v>
      </c>
      <c r="S1186" s="18" t="s">
        <v>133</v>
      </c>
      <c r="T1186" s="18" t="s">
        <v>183</v>
      </c>
      <c r="U1186" s="18"/>
      <c r="V1186" s="19" t="s">
        <v>29</v>
      </c>
      <c r="W1186" s="19"/>
      <c r="X1186" s="19"/>
      <c r="Y1186" s="20"/>
      <c r="Z1186" s="19"/>
      <c r="AA1186" s="18" t="str">
        <f aca="false">IF(OR(V1186="Aprobada"),R1186,IF(AND(OR(V1186="Aprobada con ajuste",V1186="Rechazada"),W1186&lt;&gt;""),W1186,""))</f>
        <v/>
      </c>
    </row>
    <row r="1187" customFormat="false" ht="22.35" hidden="false" customHeight="false" outlineLevel="0" collapsed="false">
      <c r="A1187" s="18" t="s">
        <v>5218</v>
      </c>
      <c r="B1187" s="18" t="s">
        <v>64</v>
      </c>
      <c r="C1187" s="18" t="s">
        <v>65</v>
      </c>
      <c r="D1187" s="18" t="s">
        <v>5211</v>
      </c>
      <c r="E1187" s="18" t="n">
        <v>2</v>
      </c>
      <c r="F1187" s="18" t="s">
        <v>5219</v>
      </c>
      <c r="G1187" s="18" t="s">
        <v>128</v>
      </c>
      <c r="H1187" s="18" t="s">
        <v>162</v>
      </c>
      <c r="I1187" s="18"/>
      <c r="J1187" s="18"/>
      <c r="K1187" s="18"/>
      <c r="L1187" s="18" t="s">
        <v>129</v>
      </c>
      <c r="M1187" s="18" t="s">
        <v>129</v>
      </c>
      <c r="N1187" s="18"/>
      <c r="O1187" s="18"/>
      <c r="P1187" s="18" t="s">
        <v>5220</v>
      </c>
      <c r="Q1187" s="18" t="s">
        <v>149</v>
      </c>
      <c r="R1187" s="18" t="s">
        <v>5221</v>
      </c>
      <c r="S1187" s="18" t="s">
        <v>133</v>
      </c>
      <c r="T1187" s="18" t="s">
        <v>5222</v>
      </c>
      <c r="U1187" s="18"/>
      <c r="V1187" s="19" t="s">
        <v>29</v>
      </c>
      <c r="W1187" s="19"/>
      <c r="X1187" s="19"/>
      <c r="Y1187" s="20"/>
      <c r="Z1187" s="19"/>
      <c r="AA1187" s="18" t="str">
        <f aca="false">IF(OR(V1187="Aprobada"),R1187,IF(AND(OR(V1187="Aprobada con ajuste",V1187="Rechazada"),W1187&lt;&gt;""),W1187,""))</f>
        <v/>
      </c>
    </row>
    <row r="1188" customFormat="false" ht="22.35" hidden="false" customHeight="false" outlineLevel="0" collapsed="false">
      <c r="A1188" s="18" t="s">
        <v>5223</v>
      </c>
      <c r="B1188" s="18" t="s">
        <v>64</v>
      </c>
      <c r="C1188" s="18" t="s">
        <v>65</v>
      </c>
      <c r="D1188" s="18" t="s">
        <v>5211</v>
      </c>
      <c r="E1188" s="18" t="n">
        <v>2</v>
      </c>
      <c r="F1188" s="18" t="s">
        <v>5187</v>
      </c>
      <c r="G1188" s="18" t="s">
        <v>137</v>
      </c>
      <c r="H1188" s="18" t="s">
        <v>129</v>
      </c>
      <c r="I1188" s="18"/>
      <c r="J1188" s="18"/>
      <c r="K1188" s="18"/>
      <c r="L1188" s="18" t="s">
        <v>129</v>
      </c>
      <c r="M1188" s="18" t="s">
        <v>129</v>
      </c>
      <c r="N1188" s="18"/>
      <c r="O1188" s="18"/>
      <c r="P1188" s="18" t="s">
        <v>5224</v>
      </c>
      <c r="Q1188" s="18" t="s">
        <v>138</v>
      </c>
      <c r="R1188" s="18" t="s">
        <v>5189</v>
      </c>
      <c r="S1188" s="18" t="s">
        <v>140</v>
      </c>
      <c r="T1188" s="18" t="s">
        <v>141</v>
      </c>
      <c r="U1188" s="18"/>
      <c r="V1188" s="19" t="s">
        <v>29</v>
      </c>
      <c r="W1188" s="19"/>
      <c r="X1188" s="19"/>
      <c r="Y1188" s="20"/>
      <c r="Z1188" s="19"/>
      <c r="AA1188" s="18" t="str">
        <f aca="false">IF(OR(V1188="Aprobada"),R1188,IF(AND(OR(V1188="Aprobada con ajuste",V1188="Rechazada"),W1188&lt;&gt;""),W1188,""))</f>
        <v/>
      </c>
    </row>
    <row r="1189" customFormat="false" ht="22.35" hidden="false" customHeight="false" outlineLevel="0" collapsed="false">
      <c r="A1189" s="18" t="s">
        <v>5225</v>
      </c>
      <c r="B1189" s="18" t="s">
        <v>64</v>
      </c>
      <c r="C1189" s="18" t="s">
        <v>65</v>
      </c>
      <c r="D1189" s="18" t="s">
        <v>5211</v>
      </c>
      <c r="E1189" s="18" t="n">
        <v>2</v>
      </c>
      <c r="F1189" s="18" t="s">
        <v>5226</v>
      </c>
      <c r="G1189" s="18" t="s">
        <v>137</v>
      </c>
      <c r="H1189" s="18" t="s">
        <v>162</v>
      </c>
      <c r="I1189" s="18"/>
      <c r="J1189" s="18"/>
      <c r="K1189" s="18"/>
      <c r="L1189" s="18" t="s">
        <v>129</v>
      </c>
      <c r="M1189" s="18" t="s">
        <v>129</v>
      </c>
      <c r="N1189" s="18"/>
      <c r="O1189" s="18"/>
      <c r="P1189" s="18" t="s">
        <v>5227</v>
      </c>
      <c r="Q1189" s="18" t="s">
        <v>138</v>
      </c>
      <c r="R1189" s="18" t="s">
        <v>5228</v>
      </c>
      <c r="S1189" s="18" t="s">
        <v>140</v>
      </c>
      <c r="T1189" s="18" t="s">
        <v>141</v>
      </c>
      <c r="U1189" s="18"/>
      <c r="V1189" s="19" t="s">
        <v>29</v>
      </c>
      <c r="W1189" s="19"/>
      <c r="X1189" s="19"/>
      <c r="Y1189" s="20"/>
      <c r="Z1189" s="19"/>
      <c r="AA1189" s="18" t="str">
        <f aca="false">IF(OR(V1189="Aprobada"),R1189,IF(AND(OR(V1189="Aprobada con ajuste",V1189="Rechazada"),W1189&lt;&gt;""),W1189,""))</f>
        <v/>
      </c>
    </row>
    <row r="1190" customFormat="false" ht="22.35" hidden="false" customHeight="false" outlineLevel="0" collapsed="false">
      <c r="A1190" s="18" t="s">
        <v>5229</v>
      </c>
      <c r="B1190" s="18" t="s">
        <v>64</v>
      </c>
      <c r="C1190" s="18" t="s">
        <v>65</v>
      </c>
      <c r="D1190" s="18" t="s">
        <v>5211</v>
      </c>
      <c r="E1190" s="18" t="n">
        <v>2</v>
      </c>
      <c r="F1190" s="18" t="s">
        <v>5230</v>
      </c>
      <c r="G1190" s="18" t="s">
        <v>180</v>
      </c>
      <c r="H1190" s="18" t="s">
        <v>162</v>
      </c>
      <c r="I1190" s="18"/>
      <c r="J1190" s="18"/>
      <c r="K1190" s="18"/>
      <c r="L1190" s="18" t="s">
        <v>129</v>
      </c>
      <c r="M1190" s="18" t="s">
        <v>129</v>
      </c>
      <c r="N1190" s="18"/>
      <c r="O1190" s="18"/>
      <c r="P1190" s="18" t="s">
        <v>5231</v>
      </c>
      <c r="Q1190" s="18" t="s">
        <v>149</v>
      </c>
      <c r="R1190" s="18" t="s">
        <v>5232</v>
      </c>
      <c r="S1190" s="18" t="s">
        <v>133</v>
      </c>
      <c r="T1190" s="18" t="s">
        <v>183</v>
      </c>
      <c r="U1190" s="18"/>
      <c r="V1190" s="19" t="s">
        <v>29</v>
      </c>
      <c r="W1190" s="19"/>
      <c r="X1190" s="19"/>
      <c r="Y1190" s="20"/>
      <c r="Z1190" s="19"/>
      <c r="AA1190" s="18" t="str">
        <f aca="false">IF(OR(V1190="Aprobada"),R1190,IF(AND(OR(V1190="Aprobada con ajuste",V1190="Rechazada"),W1190&lt;&gt;""),W1190,""))</f>
        <v/>
      </c>
    </row>
    <row r="1191" customFormat="false" ht="43.25" hidden="false" customHeight="false" outlineLevel="0" collapsed="false">
      <c r="A1191" s="18" t="s">
        <v>5233</v>
      </c>
      <c r="B1191" s="18" t="s">
        <v>64</v>
      </c>
      <c r="C1191" s="18" t="s">
        <v>65</v>
      </c>
      <c r="D1191" s="18" t="s">
        <v>5234</v>
      </c>
      <c r="E1191" s="18" t="n">
        <v>91</v>
      </c>
      <c r="F1191" s="18" t="s">
        <v>5235</v>
      </c>
      <c r="G1191" s="18" t="s">
        <v>145</v>
      </c>
      <c r="H1191" s="18" t="s">
        <v>129</v>
      </c>
      <c r="I1191" s="18" t="s">
        <v>146</v>
      </c>
      <c r="J1191" s="18"/>
      <c r="K1191" s="18"/>
      <c r="L1191" s="18" t="s">
        <v>129</v>
      </c>
      <c r="M1191" s="18" t="s">
        <v>129</v>
      </c>
      <c r="N1191" s="18"/>
      <c r="O1191" s="18" t="s">
        <v>5236</v>
      </c>
      <c r="P1191" s="18" t="s">
        <v>5237</v>
      </c>
      <c r="Q1191" s="18" t="s">
        <v>149</v>
      </c>
      <c r="R1191" s="18" t="s">
        <v>5238</v>
      </c>
      <c r="S1191" s="18" t="s">
        <v>133</v>
      </c>
      <c r="T1191" s="18" t="s">
        <v>5239</v>
      </c>
      <c r="U1191" s="18"/>
      <c r="V1191" s="19" t="s">
        <v>29</v>
      </c>
      <c r="W1191" s="19"/>
      <c r="X1191" s="19"/>
      <c r="Y1191" s="20"/>
      <c r="Z1191" s="19"/>
      <c r="AA1191" s="18" t="str">
        <f aca="false">IF(OR(V1191="Aprobada"),R1191,IF(AND(OR(V1191="Aprobada con ajuste",V1191="Rechazada"),W1191&lt;&gt;""),W1191,""))</f>
        <v/>
      </c>
    </row>
    <row r="1192" customFormat="false" ht="53.7" hidden="false" customHeight="false" outlineLevel="0" collapsed="false">
      <c r="A1192" s="18" t="s">
        <v>5240</v>
      </c>
      <c r="B1192" s="18" t="s">
        <v>64</v>
      </c>
      <c r="C1192" s="18" t="s">
        <v>65</v>
      </c>
      <c r="D1192" s="18" t="s">
        <v>5234</v>
      </c>
      <c r="E1192" s="18" t="n">
        <v>91</v>
      </c>
      <c r="F1192" s="18" t="s">
        <v>5241</v>
      </c>
      <c r="G1192" s="18" t="s">
        <v>145</v>
      </c>
      <c r="H1192" s="18" t="s">
        <v>129</v>
      </c>
      <c r="I1192" s="18"/>
      <c r="J1192" s="18"/>
      <c r="K1192" s="18"/>
      <c r="L1192" s="18" t="s">
        <v>129</v>
      </c>
      <c r="M1192" s="18" t="s">
        <v>129</v>
      </c>
      <c r="N1192" s="18"/>
      <c r="O1192" s="18"/>
      <c r="P1192" s="18" t="s">
        <v>5242</v>
      </c>
      <c r="Q1192" s="18" t="s">
        <v>131</v>
      </c>
      <c r="R1192" s="18" t="s">
        <v>5243</v>
      </c>
      <c r="S1192" s="18" t="s">
        <v>133</v>
      </c>
      <c r="T1192" s="18" t="s">
        <v>5244</v>
      </c>
      <c r="U1192" s="18"/>
      <c r="V1192" s="19" t="s">
        <v>29</v>
      </c>
      <c r="W1192" s="19"/>
      <c r="X1192" s="19"/>
      <c r="Y1192" s="20"/>
      <c r="Z1192" s="19"/>
      <c r="AA1192" s="18" t="str">
        <f aca="false">IF(OR(V1192="Aprobada"),R1192,IF(AND(OR(V1192="Aprobada con ajuste",V1192="Rechazada"),W1192&lt;&gt;""),W1192,""))</f>
        <v/>
      </c>
    </row>
    <row r="1193" customFormat="false" ht="43.25" hidden="false" customHeight="false" outlineLevel="0" collapsed="false">
      <c r="A1193" s="18" t="s">
        <v>5245</v>
      </c>
      <c r="B1193" s="18" t="s">
        <v>64</v>
      </c>
      <c r="C1193" s="18" t="s">
        <v>65</v>
      </c>
      <c r="D1193" s="18" t="s">
        <v>5234</v>
      </c>
      <c r="E1193" s="18" t="n">
        <v>91</v>
      </c>
      <c r="F1193" s="18" t="s">
        <v>5246</v>
      </c>
      <c r="G1193" s="18" t="s">
        <v>486</v>
      </c>
      <c r="H1193" s="18" t="s">
        <v>129</v>
      </c>
      <c r="I1193" s="18"/>
      <c r="J1193" s="18"/>
      <c r="K1193" s="18"/>
      <c r="L1193" s="18" t="s">
        <v>129</v>
      </c>
      <c r="M1193" s="18" t="s">
        <v>129</v>
      </c>
      <c r="N1193" s="18"/>
      <c r="O1193" s="18"/>
      <c r="P1193" s="18" t="s">
        <v>5247</v>
      </c>
      <c r="Q1193" s="18" t="s">
        <v>131</v>
      </c>
      <c r="R1193" s="18" t="s">
        <v>5248</v>
      </c>
      <c r="S1193" s="18" t="s">
        <v>140</v>
      </c>
      <c r="T1193" s="18" t="s">
        <v>5249</v>
      </c>
      <c r="U1193" s="18" t="s">
        <v>5250</v>
      </c>
      <c r="V1193" s="19" t="s">
        <v>29</v>
      </c>
      <c r="W1193" s="19"/>
      <c r="X1193" s="19"/>
      <c r="Y1193" s="20"/>
      <c r="Z1193" s="19"/>
      <c r="AA1193" s="18" t="str">
        <f aca="false">IF(OR(V1193="Aprobada"),R1193,IF(AND(OR(V1193="Aprobada con ajuste",V1193="Rechazada"),W1193&lt;&gt;""),W1193,""))</f>
        <v/>
      </c>
    </row>
    <row r="1194" customFormat="false" ht="32.8" hidden="false" customHeight="false" outlineLevel="0" collapsed="false">
      <c r="A1194" s="18" t="s">
        <v>5251</v>
      </c>
      <c r="B1194" s="18" t="s">
        <v>64</v>
      </c>
      <c r="C1194" s="18" t="s">
        <v>65</v>
      </c>
      <c r="D1194" s="18" t="s">
        <v>5234</v>
      </c>
      <c r="E1194" s="18" t="n">
        <v>91</v>
      </c>
      <c r="F1194" s="18" t="s">
        <v>5252</v>
      </c>
      <c r="G1194" s="18" t="s">
        <v>180</v>
      </c>
      <c r="H1194" s="18" t="s">
        <v>129</v>
      </c>
      <c r="I1194" s="18"/>
      <c r="J1194" s="18"/>
      <c r="K1194" s="18"/>
      <c r="L1194" s="18" t="s">
        <v>129</v>
      </c>
      <c r="M1194" s="18" t="s">
        <v>129</v>
      </c>
      <c r="N1194" s="18"/>
      <c r="O1194" s="18"/>
      <c r="P1194" s="18" t="s">
        <v>5253</v>
      </c>
      <c r="Q1194" s="18" t="s">
        <v>149</v>
      </c>
      <c r="R1194" s="18" t="s">
        <v>5254</v>
      </c>
      <c r="S1194" s="18" t="s">
        <v>133</v>
      </c>
      <c r="T1194" s="18" t="s">
        <v>183</v>
      </c>
      <c r="U1194" s="18"/>
      <c r="V1194" s="19" t="s">
        <v>29</v>
      </c>
      <c r="W1194" s="19"/>
      <c r="X1194" s="19"/>
      <c r="Y1194" s="20"/>
      <c r="Z1194" s="19"/>
      <c r="AA1194" s="18" t="str">
        <f aca="false">IF(OR(V1194="Aprobada"),R1194,IF(AND(OR(V1194="Aprobada con ajuste",V1194="Rechazada"),W1194&lt;&gt;""),W1194,""))</f>
        <v/>
      </c>
    </row>
    <row r="1195" customFormat="false" ht="32.8" hidden="false" customHeight="false" outlineLevel="0" collapsed="false">
      <c r="A1195" s="18" t="s">
        <v>5255</v>
      </c>
      <c r="B1195" s="18" t="s">
        <v>64</v>
      </c>
      <c r="C1195" s="18" t="s">
        <v>65</v>
      </c>
      <c r="D1195" s="18" t="s">
        <v>5234</v>
      </c>
      <c r="E1195" s="18" t="n">
        <v>91</v>
      </c>
      <c r="F1195" s="18" t="s">
        <v>5256</v>
      </c>
      <c r="G1195" s="18" t="s">
        <v>180</v>
      </c>
      <c r="H1195" s="18" t="s">
        <v>129</v>
      </c>
      <c r="I1195" s="18"/>
      <c r="J1195" s="18"/>
      <c r="K1195" s="18"/>
      <c r="L1195" s="18" t="s">
        <v>129</v>
      </c>
      <c r="M1195" s="18" t="s">
        <v>129</v>
      </c>
      <c r="N1195" s="18"/>
      <c r="O1195" s="18"/>
      <c r="P1195" s="18" t="s">
        <v>5257</v>
      </c>
      <c r="Q1195" s="18" t="s">
        <v>149</v>
      </c>
      <c r="R1195" s="18" t="s">
        <v>5258</v>
      </c>
      <c r="S1195" s="18" t="s">
        <v>133</v>
      </c>
      <c r="T1195" s="18" t="s">
        <v>169</v>
      </c>
      <c r="U1195" s="18"/>
      <c r="V1195" s="19" t="s">
        <v>29</v>
      </c>
      <c r="W1195" s="19"/>
      <c r="X1195" s="19"/>
      <c r="Y1195" s="20"/>
      <c r="Z1195" s="19"/>
      <c r="AA1195" s="18" t="str">
        <f aca="false">IF(OR(V1195="Aprobada"),R1195,IF(AND(OR(V1195="Aprobada con ajuste",V1195="Rechazada"),W1195&lt;&gt;""),W1195,""))</f>
        <v/>
      </c>
    </row>
    <row r="1196" customFormat="false" ht="64.15" hidden="false" customHeight="false" outlineLevel="0" collapsed="false">
      <c r="A1196" s="18" t="s">
        <v>5259</v>
      </c>
      <c r="B1196" s="18" t="s">
        <v>64</v>
      </c>
      <c r="C1196" s="18" t="s">
        <v>65</v>
      </c>
      <c r="D1196" s="18" t="s">
        <v>5234</v>
      </c>
      <c r="E1196" s="18" t="n">
        <v>91</v>
      </c>
      <c r="F1196" s="18" t="s">
        <v>185</v>
      </c>
      <c r="G1196" s="18" t="s">
        <v>145</v>
      </c>
      <c r="H1196" s="18" t="s">
        <v>129</v>
      </c>
      <c r="I1196" s="18"/>
      <c r="J1196" s="18"/>
      <c r="K1196" s="18"/>
      <c r="L1196" s="18" t="s">
        <v>129</v>
      </c>
      <c r="M1196" s="18" t="s">
        <v>129</v>
      </c>
      <c r="N1196" s="18"/>
      <c r="O1196" s="18"/>
      <c r="P1196" s="18" t="s">
        <v>5260</v>
      </c>
      <c r="Q1196" s="18" t="s">
        <v>131</v>
      </c>
      <c r="R1196" s="18" t="s">
        <v>5261</v>
      </c>
      <c r="S1196" s="18" t="s">
        <v>140</v>
      </c>
      <c r="T1196" s="18" t="s">
        <v>5262</v>
      </c>
      <c r="U1196" s="18" t="s">
        <v>5263</v>
      </c>
      <c r="V1196" s="19" t="s">
        <v>29</v>
      </c>
      <c r="W1196" s="19"/>
      <c r="X1196" s="19"/>
      <c r="Y1196" s="20"/>
      <c r="Z1196" s="19"/>
      <c r="AA1196" s="18" t="str">
        <f aca="false">IF(OR(V1196="Aprobada"),R1196,IF(AND(OR(V1196="Aprobada con ajuste",V1196="Rechazada"),W1196&lt;&gt;""),W1196,""))</f>
        <v/>
      </c>
    </row>
    <row r="1197" customFormat="false" ht="32.8" hidden="false" customHeight="false" outlineLevel="0" collapsed="false">
      <c r="A1197" s="18" t="s">
        <v>5264</v>
      </c>
      <c r="B1197" s="18" t="s">
        <v>64</v>
      </c>
      <c r="C1197" s="18" t="s">
        <v>65</v>
      </c>
      <c r="D1197" s="18" t="s">
        <v>5234</v>
      </c>
      <c r="E1197" s="18" t="n">
        <v>91</v>
      </c>
      <c r="F1197" s="18" t="s">
        <v>4747</v>
      </c>
      <c r="G1197" s="18" t="s">
        <v>317</v>
      </c>
      <c r="H1197" s="18" t="s">
        <v>129</v>
      </c>
      <c r="I1197" s="18"/>
      <c r="J1197" s="18"/>
      <c r="K1197" s="18"/>
      <c r="L1197" s="18" t="s">
        <v>129</v>
      </c>
      <c r="M1197" s="18" t="s">
        <v>129</v>
      </c>
      <c r="N1197" s="18"/>
      <c r="O1197" s="18"/>
      <c r="P1197" s="18" t="s">
        <v>5265</v>
      </c>
      <c r="Q1197" s="18" t="s">
        <v>138</v>
      </c>
      <c r="R1197" s="18" t="s">
        <v>4749</v>
      </c>
      <c r="S1197" s="18" t="s">
        <v>140</v>
      </c>
      <c r="T1197" s="18" t="s">
        <v>141</v>
      </c>
      <c r="U1197" s="18"/>
      <c r="V1197" s="19" t="s">
        <v>29</v>
      </c>
      <c r="W1197" s="19"/>
      <c r="X1197" s="19"/>
      <c r="Y1197" s="20"/>
      <c r="Z1197" s="19"/>
      <c r="AA1197" s="18" t="str">
        <f aca="false">IF(OR(V1197="Aprobada"),R1197,IF(AND(OR(V1197="Aprobada con ajuste",V1197="Rechazada"),W1197&lt;&gt;""),W1197,""))</f>
        <v/>
      </c>
    </row>
    <row r="1198" customFormat="false" ht="32.8" hidden="false" customHeight="false" outlineLevel="0" collapsed="false">
      <c r="A1198" s="18" t="s">
        <v>5266</v>
      </c>
      <c r="B1198" s="18" t="s">
        <v>64</v>
      </c>
      <c r="C1198" s="18" t="s">
        <v>65</v>
      </c>
      <c r="D1198" s="18" t="s">
        <v>5234</v>
      </c>
      <c r="E1198" s="18" t="n">
        <v>91</v>
      </c>
      <c r="F1198" s="18" t="s">
        <v>5267</v>
      </c>
      <c r="G1198" s="18" t="s">
        <v>5268</v>
      </c>
      <c r="H1198" s="18" t="s">
        <v>162</v>
      </c>
      <c r="I1198" s="18"/>
      <c r="J1198" s="18"/>
      <c r="K1198" s="18"/>
      <c r="L1198" s="18" t="s">
        <v>129</v>
      </c>
      <c r="M1198" s="18" t="s">
        <v>129</v>
      </c>
      <c r="N1198" s="18"/>
      <c r="O1198" s="18"/>
      <c r="P1198" s="18" t="s">
        <v>5269</v>
      </c>
      <c r="Q1198" s="18" t="s">
        <v>149</v>
      </c>
      <c r="R1198" s="18" t="s">
        <v>5270</v>
      </c>
      <c r="S1198" s="18" t="s">
        <v>140</v>
      </c>
      <c r="T1198" s="18" t="s">
        <v>183</v>
      </c>
      <c r="U1198" s="18" t="s">
        <v>5271</v>
      </c>
      <c r="V1198" s="19" t="s">
        <v>29</v>
      </c>
      <c r="W1198" s="19"/>
      <c r="X1198" s="19"/>
      <c r="Y1198" s="20"/>
      <c r="Z1198" s="19"/>
      <c r="AA1198" s="18" t="str">
        <f aca="false">IF(OR(V1198="Aprobada"),R1198,IF(AND(OR(V1198="Aprobada con ajuste",V1198="Rechazada"),W1198&lt;&gt;""),W1198,""))</f>
        <v/>
      </c>
    </row>
    <row r="1199" customFormat="false" ht="43.25" hidden="false" customHeight="false" outlineLevel="0" collapsed="false">
      <c r="A1199" s="18" t="s">
        <v>5272</v>
      </c>
      <c r="B1199" s="18" t="s">
        <v>64</v>
      </c>
      <c r="C1199" s="18" t="s">
        <v>65</v>
      </c>
      <c r="D1199" s="18" t="s">
        <v>5234</v>
      </c>
      <c r="E1199" s="18" t="n">
        <v>91</v>
      </c>
      <c r="F1199" s="18" t="s">
        <v>5273</v>
      </c>
      <c r="G1199" s="18" t="s">
        <v>180</v>
      </c>
      <c r="H1199" s="18" t="s">
        <v>162</v>
      </c>
      <c r="I1199" s="18"/>
      <c r="J1199" s="18"/>
      <c r="K1199" s="18"/>
      <c r="L1199" s="18" t="s">
        <v>129</v>
      </c>
      <c r="M1199" s="18" t="s">
        <v>129</v>
      </c>
      <c r="N1199" s="18"/>
      <c r="O1199" s="18"/>
      <c r="P1199" s="18" t="s">
        <v>5274</v>
      </c>
      <c r="Q1199" s="18" t="s">
        <v>131</v>
      </c>
      <c r="R1199" s="18" t="s">
        <v>5275</v>
      </c>
      <c r="S1199" s="18" t="s">
        <v>140</v>
      </c>
      <c r="T1199" s="18" t="s">
        <v>5276</v>
      </c>
      <c r="U1199" s="18" t="s">
        <v>5277</v>
      </c>
      <c r="V1199" s="19" t="s">
        <v>29</v>
      </c>
      <c r="W1199" s="19"/>
      <c r="X1199" s="19"/>
      <c r="Y1199" s="20"/>
      <c r="Z1199" s="19"/>
      <c r="AA1199" s="18" t="str">
        <f aca="false">IF(OR(V1199="Aprobada"),R1199,IF(AND(OR(V1199="Aprobada con ajuste",V1199="Rechazada"),W1199&lt;&gt;""),W1199,""))</f>
        <v/>
      </c>
    </row>
    <row r="1200" customFormat="false" ht="32.8" hidden="false" customHeight="false" outlineLevel="0" collapsed="false">
      <c r="A1200" s="18" t="s">
        <v>5278</v>
      </c>
      <c r="B1200" s="18" t="s">
        <v>64</v>
      </c>
      <c r="C1200" s="18" t="s">
        <v>65</v>
      </c>
      <c r="D1200" s="18" t="s">
        <v>5234</v>
      </c>
      <c r="E1200" s="18" t="n">
        <v>91</v>
      </c>
      <c r="F1200" s="18" t="s">
        <v>5279</v>
      </c>
      <c r="G1200" s="18" t="s">
        <v>317</v>
      </c>
      <c r="H1200" s="18" t="s">
        <v>162</v>
      </c>
      <c r="I1200" s="18"/>
      <c r="J1200" s="18"/>
      <c r="K1200" s="18"/>
      <c r="L1200" s="18" t="s">
        <v>129</v>
      </c>
      <c r="M1200" s="18" t="s">
        <v>129</v>
      </c>
      <c r="N1200" s="18"/>
      <c r="O1200" s="18"/>
      <c r="P1200" s="18" t="s">
        <v>5280</v>
      </c>
      <c r="Q1200" s="18" t="s">
        <v>138</v>
      </c>
      <c r="R1200" s="18" t="s">
        <v>5281</v>
      </c>
      <c r="S1200" s="18" t="s">
        <v>140</v>
      </c>
      <c r="T1200" s="18" t="s">
        <v>141</v>
      </c>
      <c r="U1200" s="18"/>
      <c r="V1200" s="19" t="s">
        <v>29</v>
      </c>
      <c r="W1200" s="19"/>
      <c r="X1200" s="19"/>
      <c r="Y1200" s="20"/>
      <c r="Z1200" s="19"/>
      <c r="AA1200" s="18" t="str">
        <f aca="false">IF(OR(V1200="Aprobada"),R1200,IF(AND(OR(V1200="Aprobada con ajuste",V1200="Rechazada"),W1200&lt;&gt;""),W1200,""))</f>
        <v/>
      </c>
    </row>
    <row r="1201" customFormat="false" ht="32.8" hidden="false" customHeight="false" outlineLevel="0" collapsed="false">
      <c r="A1201" s="18" t="s">
        <v>5282</v>
      </c>
      <c r="B1201" s="18" t="s">
        <v>64</v>
      </c>
      <c r="C1201" s="18" t="s">
        <v>65</v>
      </c>
      <c r="D1201" s="18" t="s">
        <v>5234</v>
      </c>
      <c r="E1201" s="18" t="n">
        <v>91</v>
      </c>
      <c r="F1201" s="18" t="s">
        <v>5283</v>
      </c>
      <c r="G1201" s="18" t="s">
        <v>173</v>
      </c>
      <c r="H1201" s="18" t="s">
        <v>162</v>
      </c>
      <c r="I1201" s="18"/>
      <c r="J1201" s="18"/>
      <c r="K1201" s="18"/>
      <c r="L1201" s="18" t="s">
        <v>129</v>
      </c>
      <c r="M1201" s="18" t="s">
        <v>129</v>
      </c>
      <c r="N1201" s="18"/>
      <c r="O1201" s="18"/>
      <c r="P1201" s="18" t="s">
        <v>5284</v>
      </c>
      <c r="Q1201" s="18" t="s">
        <v>138</v>
      </c>
      <c r="R1201" s="18" t="s">
        <v>5285</v>
      </c>
      <c r="S1201" s="18" t="s">
        <v>140</v>
      </c>
      <c r="T1201" s="18" t="s">
        <v>141</v>
      </c>
      <c r="U1201" s="18"/>
      <c r="V1201" s="19" t="s">
        <v>29</v>
      </c>
      <c r="W1201" s="19"/>
      <c r="X1201" s="19"/>
      <c r="Y1201" s="20"/>
      <c r="Z1201" s="19"/>
      <c r="AA1201" s="18" t="str">
        <f aca="false">IF(OR(V1201="Aprobada"),R1201,IF(AND(OR(V1201="Aprobada con ajuste",V1201="Rechazada"),W1201&lt;&gt;""),W1201,""))</f>
        <v/>
      </c>
    </row>
    <row r="1202" customFormat="false" ht="43.25" hidden="false" customHeight="false" outlineLevel="0" collapsed="false">
      <c r="A1202" s="18" t="s">
        <v>5286</v>
      </c>
      <c r="B1202" s="18" t="s">
        <v>64</v>
      </c>
      <c r="C1202" s="18" t="s">
        <v>65</v>
      </c>
      <c r="D1202" s="18" t="s">
        <v>5234</v>
      </c>
      <c r="E1202" s="18" t="n">
        <v>91</v>
      </c>
      <c r="F1202" s="18" t="s">
        <v>5287</v>
      </c>
      <c r="G1202" s="18" t="s">
        <v>503</v>
      </c>
      <c r="H1202" s="18" t="s">
        <v>162</v>
      </c>
      <c r="I1202" s="18"/>
      <c r="J1202" s="18"/>
      <c r="K1202" s="18"/>
      <c r="L1202" s="18" t="s">
        <v>129</v>
      </c>
      <c r="M1202" s="18" t="s">
        <v>129</v>
      </c>
      <c r="N1202" s="18"/>
      <c r="O1202" s="18"/>
      <c r="P1202" s="18" t="s">
        <v>5288</v>
      </c>
      <c r="Q1202" s="18" t="s">
        <v>149</v>
      </c>
      <c r="R1202" s="18" t="s">
        <v>5289</v>
      </c>
      <c r="S1202" s="18" t="s">
        <v>140</v>
      </c>
      <c r="T1202" s="18" t="s">
        <v>5290</v>
      </c>
      <c r="U1202" s="18" t="s">
        <v>5291</v>
      </c>
      <c r="V1202" s="19" t="s">
        <v>29</v>
      </c>
      <c r="W1202" s="19"/>
      <c r="X1202" s="19"/>
      <c r="Y1202" s="20"/>
      <c r="Z1202" s="19"/>
      <c r="AA1202" s="18" t="str">
        <f aca="false">IF(OR(V1202="Aprobada"),R1202,IF(AND(OR(V1202="Aprobada con ajuste",V1202="Rechazada"),W1202&lt;&gt;""),W1202,""))</f>
        <v/>
      </c>
    </row>
    <row r="1203" customFormat="false" ht="32.8" hidden="false" customHeight="false" outlineLevel="0" collapsed="false">
      <c r="A1203" s="18" t="s">
        <v>5292</v>
      </c>
      <c r="B1203" s="18" t="s">
        <v>64</v>
      </c>
      <c r="C1203" s="18" t="s">
        <v>65</v>
      </c>
      <c r="D1203" s="18" t="s">
        <v>5234</v>
      </c>
      <c r="E1203" s="18" t="n">
        <v>91</v>
      </c>
      <c r="F1203" s="18" t="s">
        <v>5293</v>
      </c>
      <c r="G1203" s="18" t="s">
        <v>180</v>
      </c>
      <c r="H1203" s="18" t="s">
        <v>162</v>
      </c>
      <c r="I1203" s="18"/>
      <c r="J1203" s="18"/>
      <c r="K1203" s="18"/>
      <c r="L1203" s="18" t="s">
        <v>129</v>
      </c>
      <c r="M1203" s="18" t="s">
        <v>129</v>
      </c>
      <c r="N1203" s="18"/>
      <c r="O1203" s="18"/>
      <c r="P1203" s="18" t="s">
        <v>5294</v>
      </c>
      <c r="Q1203" s="18" t="s">
        <v>149</v>
      </c>
      <c r="R1203" s="18" t="s">
        <v>5295</v>
      </c>
      <c r="S1203" s="18" t="s">
        <v>140</v>
      </c>
      <c r="T1203" s="18" t="s">
        <v>183</v>
      </c>
      <c r="U1203" s="18" t="s">
        <v>5296</v>
      </c>
      <c r="V1203" s="19" t="s">
        <v>29</v>
      </c>
      <c r="W1203" s="19"/>
      <c r="X1203" s="19"/>
      <c r="Y1203" s="20"/>
      <c r="Z1203" s="19"/>
      <c r="AA1203" s="18" t="str">
        <f aca="false">IF(OR(V1203="Aprobada"),R1203,IF(AND(OR(V1203="Aprobada con ajuste",V1203="Rechazada"),W1203&lt;&gt;""),W1203,""))</f>
        <v/>
      </c>
    </row>
    <row r="1204" customFormat="false" ht="32.8" hidden="false" customHeight="false" outlineLevel="0" collapsed="false">
      <c r="A1204" s="18" t="s">
        <v>5297</v>
      </c>
      <c r="B1204" s="18" t="s">
        <v>64</v>
      </c>
      <c r="C1204" s="18" t="s">
        <v>65</v>
      </c>
      <c r="D1204" s="18" t="s">
        <v>5234</v>
      </c>
      <c r="E1204" s="18" t="n">
        <v>91</v>
      </c>
      <c r="F1204" s="18" t="s">
        <v>2499</v>
      </c>
      <c r="G1204" s="18" t="s">
        <v>180</v>
      </c>
      <c r="H1204" s="18" t="s">
        <v>162</v>
      </c>
      <c r="I1204" s="18"/>
      <c r="J1204" s="18"/>
      <c r="K1204" s="18"/>
      <c r="L1204" s="18" t="s">
        <v>129</v>
      </c>
      <c r="M1204" s="18" t="s">
        <v>129</v>
      </c>
      <c r="N1204" s="18"/>
      <c r="O1204" s="18"/>
      <c r="P1204" s="18" t="s">
        <v>5298</v>
      </c>
      <c r="Q1204" s="18" t="s">
        <v>149</v>
      </c>
      <c r="R1204" s="18" t="s">
        <v>5299</v>
      </c>
      <c r="S1204" s="18" t="s">
        <v>133</v>
      </c>
      <c r="T1204" s="18" t="s">
        <v>183</v>
      </c>
      <c r="U1204" s="18"/>
      <c r="V1204" s="19" t="s">
        <v>29</v>
      </c>
      <c r="W1204" s="19"/>
      <c r="X1204" s="19"/>
      <c r="Y1204" s="20"/>
      <c r="Z1204" s="19"/>
      <c r="AA1204" s="18" t="str">
        <f aca="false">IF(OR(V1204="Aprobada"),R1204,IF(AND(OR(V1204="Aprobada con ajuste",V1204="Rechazada"),W1204&lt;&gt;""),W1204,""))</f>
        <v/>
      </c>
    </row>
    <row r="1205" customFormat="false" ht="32.8" hidden="false" customHeight="false" outlineLevel="0" collapsed="false">
      <c r="A1205" s="18" t="s">
        <v>5300</v>
      </c>
      <c r="B1205" s="18" t="s">
        <v>64</v>
      </c>
      <c r="C1205" s="18" t="s">
        <v>65</v>
      </c>
      <c r="D1205" s="18" t="s">
        <v>5234</v>
      </c>
      <c r="E1205" s="18" t="n">
        <v>91</v>
      </c>
      <c r="F1205" s="18" t="s">
        <v>5301</v>
      </c>
      <c r="G1205" s="18" t="s">
        <v>4418</v>
      </c>
      <c r="H1205" s="18" t="s">
        <v>162</v>
      </c>
      <c r="I1205" s="18"/>
      <c r="J1205" s="18"/>
      <c r="K1205" s="18"/>
      <c r="L1205" s="18" t="s">
        <v>129</v>
      </c>
      <c r="M1205" s="18" t="s">
        <v>129</v>
      </c>
      <c r="N1205" s="18"/>
      <c r="O1205" s="18"/>
      <c r="P1205" s="18" t="s">
        <v>5302</v>
      </c>
      <c r="Q1205" s="18" t="s">
        <v>149</v>
      </c>
      <c r="R1205" s="18" t="s">
        <v>5303</v>
      </c>
      <c r="S1205" s="18" t="s">
        <v>140</v>
      </c>
      <c r="T1205" s="18" t="s">
        <v>183</v>
      </c>
      <c r="U1205" s="18" t="s">
        <v>5304</v>
      </c>
      <c r="V1205" s="19" t="s">
        <v>29</v>
      </c>
      <c r="W1205" s="19"/>
      <c r="X1205" s="19"/>
      <c r="Y1205" s="20"/>
      <c r="Z1205" s="19"/>
      <c r="AA1205" s="18" t="str">
        <f aca="false">IF(OR(V1205="Aprobada"),R1205,IF(AND(OR(V1205="Aprobada con ajuste",V1205="Rechazada"),W1205&lt;&gt;""),W1205,""))</f>
        <v/>
      </c>
    </row>
    <row r="1206" customFormat="false" ht="32.8" hidden="false" customHeight="false" outlineLevel="0" collapsed="false">
      <c r="A1206" s="18" t="s">
        <v>5305</v>
      </c>
      <c r="B1206" s="18" t="s">
        <v>64</v>
      </c>
      <c r="C1206" s="18" t="s">
        <v>65</v>
      </c>
      <c r="D1206" s="18" t="s">
        <v>5234</v>
      </c>
      <c r="E1206" s="18" t="n">
        <v>91</v>
      </c>
      <c r="F1206" s="18" t="s">
        <v>5306</v>
      </c>
      <c r="G1206" s="18" t="s">
        <v>128</v>
      </c>
      <c r="H1206" s="18" t="s">
        <v>162</v>
      </c>
      <c r="I1206" s="18"/>
      <c r="J1206" s="18"/>
      <c r="K1206" s="18"/>
      <c r="L1206" s="18" t="s">
        <v>129</v>
      </c>
      <c r="M1206" s="18" t="s">
        <v>129</v>
      </c>
      <c r="N1206" s="18"/>
      <c r="O1206" s="18"/>
      <c r="P1206" s="18" t="s">
        <v>5307</v>
      </c>
      <c r="Q1206" s="18" t="s">
        <v>149</v>
      </c>
      <c r="R1206" s="18" t="s">
        <v>5308</v>
      </c>
      <c r="S1206" s="18" t="s">
        <v>140</v>
      </c>
      <c r="T1206" s="18" t="s">
        <v>5309</v>
      </c>
      <c r="U1206" s="18" t="s">
        <v>5310</v>
      </c>
      <c r="V1206" s="19" t="s">
        <v>29</v>
      </c>
      <c r="W1206" s="19"/>
      <c r="X1206" s="19"/>
      <c r="Y1206" s="20"/>
      <c r="Z1206" s="19"/>
      <c r="AA1206" s="18" t="str">
        <f aca="false">IF(OR(V1206="Aprobada"),R1206,IF(AND(OR(V1206="Aprobada con ajuste",V1206="Rechazada"),W1206&lt;&gt;""),W1206,""))</f>
        <v/>
      </c>
    </row>
    <row r="1207" customFormat="false" ht="32.8" hidden="false" customHeight="false" outlineLevel="0" collapsed="false">
      <c r="A1207" s="18" t="s">
        <v>5311</v>
      </c>
      <c r="B1207" s="18" t="s">
        <v>64</v>
      </c>
      <c r="C1207" s="18" t="s">
        <v>65</v>
      </c>
      <c r="D1207" s="18" t="s">
        <v>5234</v>
      </c>
      <c r="E1207" s="18" t="n">
        <v>91</v>
      </c>
      <c r="F1207" s="18" t="s">
        <v>5312</v>
      </c>
      <c r="G1207" s="18" t="s">
        <v>317</v>
      </c>
      <c r="H1207" s="18" t="s">
        <v>162</v>
      </c>
      <c r="I1207" s="18"/>
      <c r="J1207" s="18"/>
      <c r="K1207" s="18"/>
      <c r="L1207" s="18" t="s">
        <v>129</v>
      </c>
      <c r="M1207" s="18" t="s">
        <v>129</v>
      </c>
      <c r="N1207" s="18"/>
      <c r="O1207" s="18"/>
      <c r="P1207" s="18" t="s">
        <v>5313</v>
      </c>
      <c r="Q1207" s="18" t="s">
        <v>138</v>
      </c>
      <c r="R1207" s="18" t="s">
        <v>5314</v>
      </c>
      <c r="S1207" s="18" t="s">
        <v>140</v>
      </c>
      <c r="T1207" s="18" t="s">
        <v>141</v>
      </c>
      <c r="U1207" s="18"/>
      <c r="V1207" s="19" t="s">
        <v>29</v>
      </c>
      <c r="W1207" s="19"/>
      <c r="X1207" s="19"/>
      <c r="Y1207" s="20"/>
      <c r="Z1207" s="19"/>
      <c r="AA1207" s="18" t="str">
        <f aca="false">IF(OR(V1207="Aprobada"),R1207,IF(AND(OR(V1207="Aprobada con ajuste",V1207="Rechazada"),W1207&lt;&gt;""),W1207,""))</f>
        <v/>
      </c>
    </row>
    <row r="1208" customFormat="false" ht="32.8" hidden="false" customHeight="false" outlineLevel="0" collapsed="false">
      <c r="A1208" s="18" t="s">
        <v>5315</v>
      </c>
      <c r="B1208" s="18" t="s">
        <v>64</v>
      </c>
      <c r="C1208" s="18" t="s">
        <v>65</v>
      </c>
      <c r="D1208" s="18" t="s">
        <v>5234</v>
      </c>
      <c r="E1208" s="18" t="n">
        <v>91</v>
      </c>
      <c r="F1208" s="18" t="s">
        <v>5316</v>
      </c>
      <c r="G1208" s="18" t="s">
        <v>180</v>
      </c>
      <c r="H1208" s="18" t="s">
        <v>162</v>
      </c>
      <c r="I1208" s="18"/>
      <c r="J1208" s="18"/>
      <c r="K1208" s="18"/>
      <c r="L1208" s="18" t="s">
        <v>129</v>
      </c>
      <c r="M1208" s="18" t="s">
        <v>129</v>
      </c>
      <c r="N1208" s="18"/>
      <c r="O1208" s="18"/>
      <c r="P1208" s="18" t="s">
        <v>5317</v>
      </c>
      <c r="Q1208" s="18" t="s">
        <v>149</v>
      </c>
      <c r="R1208" s="18" t="s">
        <v>5318</v>
      </c>
      <c r="S1208" s="18" t="s">
        <v>133</v>
      </c>
      <c r="T1208" s="18" t="s">
        <v>183</v>
      </c>
      <c r="U1208" s="18"/>
      <c r="V1208" s="19" t="s">
        <v>29</v>
      </c>
      <c r="W1208" s="19"/>
      <c r="X1208" s="19"/>
      <c r="Y1208" s="20"/>
      <c r="Z1208" s="19"/>
      <c r="AA1208" s="18" t="str">
        <f aca="false">IF(OR(V1208="Aprobada"),R1208,IF(AND(OR(V1208="Aprobada con ajuste",V1208="Rechazada"),W1208&lt;&gt;""),W1208,""))</f>
        <v/>
      </c>
    </row>
    <row r="1209" customFormat="false" ht="32.8" hidden="false" customHeight="false" outlineLevel="0" collapsed="false">
      <c r="A1209" s="18" t="s">
        <v>5319</v>
      </c>
      <c r="B1209" s="18" t="s">
        <v>64</v>
      </c>
      <c r="C1209" s="18" t="s">
        <v>65</v>
      </c>
      <c r="D1209" s="18" t="s">
        <v>5234</v>
      </c>
      <c r="E1209" s="18" t="n">
        <v>91</v>
      </c>
      <c r="F1209" s="18" t="s">
        <v>5320</v>
      </c>
      <c r="G1209" s="18" t="s">
        <v>180</v>
      </c>
      <c r="H1209" s="18" t="s">
        <v>162</v>
      </c>
      <c r="I1209" s="18"/>
      <c r="J1209" s="18"/>
      <c r="K1209" s="18"/>
      <c r="L1209" s="18" t="s">
        <v>129</v>
      </c>
      <c r="M1209" s="18" t="s">
        <v>129</v>
      </c>
      <c r="N1209" s="18"/>
      <c r="O1209" s="18"/>
      <c r="P1209" s="18" t="s">
        <v>5321</v>
      </c>
      <c r="Q1209" s="18" t="s">
        <v>149</v>
      </c>
      <c r="R1209" s="18" t="s">
        <v>5322</v>
      </c>
      <c r="S1209" s="18" t="s">
        <v>133</v>
      </c>
      <c r="T1209" s="18" t="s">
        <v>183</v>
      </c>
      <c r="U1209" s="18"/>
      <c r="V1209" s="19" t="s">
        <v>29</v>
      </c>
      <c r="W1209" s="19"/>
      <c r="X1209" s="19"/>
      <c r="Y1209" s="20"/>
      <c r="Z1209" s="19"/>
      <c r="AA1209" s="18" t="str">
        <f aca="false">IF(OR(V1209="Aprobada"),R1209,IF(AND(OR(V1209="Aprobada con ajuste",V1209="Rechazada"),W1209&lt;&gt;""),W1209,""))</f>
        <v/>
      </c>
    </row>
    <row r="1210" customFormat="false" ht="32.8" hidden="false" customHeight="false" outlineLevel="0" collapsed="false">
      <c r="A1210" s="18" t="s">
        <v>5323</v>
      </c>
      <c r="B1210" s="18" t="s">
        <v>64</v>
      </c>
      <c r="C1210" s="18" t="s">
        <v>65</v>
      </c>
      <c r="D1210" s="18" t="s">
        <v>5234</v>
      </c>
      <c r="E1210" s="18" t="n">
        <v>91</v>
      </c>
      <c r="F1210" s="18" t="s">
        <v>5324</v>
      </c>
      <c r="G1210" s="18" t="s">
        <v>128</v>
      </c>
      <c r="H1210" s="18" t="s">
        <v>162</v>
      </c>
      <c r="I1210" s="18"/>
      <c r="J1210" s="18"/>
      <c r="K1210" s="18"/>
      <c r="L1210" s="18" t="s">
        <v>129</v>
      </c>
      <c r="M1210" s="18" t="s">
        <v>129</v>
      </c>
      <c r="N1210" s="18"/>
      <c r="O1210" s="18"/>
      <c r="P1210" s="18" t="s">
        <v>5325</v>
      </c>
      <c r="Q1210" s="18" t="s">
        <v>149</v>
      </c>
      <c r="R1210" s="18" t="s">
        <v>5326</v>
      </c>
      <c r="S1210" s="18" t="s">
        <v>133</v>
      </c>
      <c r="T1210" s="18" t="s">
        <v>183</v>
      </c>
      <c r="U1210" s="18"/>
      <c r="V1210" s="19" t="s">
        <v>29</v>
      </c>
      <c r="W1210" s="19"/>
      <c r="X1210" s="19"/>
      <c r="Y1210" s="20"/>
      <c r="Z1210" s="19"/>
      <c r="AA1210" s="18" t="str">
        <f aca="false">IF(OR(V1210="Aprobada"),R1210,IF(AND(OR(V1210="Aprobada con ajuste",V1210="Rechazada"),W1210&lt;&gt;""),W1210,""))</f>
        <v/>
      </c>
    </row>
    <row r="1211" customFormat="false" ht="43.25" hidden="false" customHeight="false" outlineLevel="0" collapsed="false">
      <c r="A1211" s="18" t="s">
        <v>5327</v>
      </c>
      <c r="B1211" s="18" t="s">
        <v>64</v>
      </c>
      <c r="C1211" s="18" t="s">
        <v>65</v>
      </c>
      <c r="D1211" s="18" t="s">
        <v>5234</v>
      </c>
      <c r="E1211" s="18" t="n">
        <v>91</v>
      </c>
      <c r="F1211" s="18" t="s">
        <v>5328</v>
      </c>
      <c r="G1211" s="18" t="s">
        <v>128</v>
      </c>
      <c r="H1211" s="18" t="s">
        <v>162</v>
      </c>
      <c r="I1211" s="18"/>
      <c r="J1211" s="18"/>
      <c r="K1211" s="18"/>
      <c r="L1211" s="18" t="s">
        <v>129</v>
      </c>
      <c r="M1211" s="18" t="s">
        <v>129</v>
      </c>
      <c r="N1211" s="18"/>
      <c r="O1211" s="18"/>
      <c r="P1211" s="18" t="s">
        <v>5329</v>
      </c>
      <c r="Q1211" s="18" t="s">
        <v>149</v>
      </c>
      <c r="R1211" s="18" t="s">
        <v>5330</v>
      </c>
      <c r="S1211" s="18" t="s">
        <v>133</v>
      </c>
      <c r="T1211" s="18" t="s">
        <v>183</v>
      </c>
      <c r="U1211" s="18"/>
      <c r="V1211" s="19" t="s">
        <v>29</v>
      </c>
      <c r="W1211" s="19"/>
      <c r="X1211" s="19"/>
      <c r="Y1211" s="20"/>
      <c r="Z1211" s="19"/>
      <c r="AA1211" s="18" t="str">
        <f aca="false">IF(OR(V1211="Aprobada"),R1211,IF(AND(OR(V1211="Aprobada con ajuste",V1211="Rechazada"),W1211&lt;&gt;""),W1211,""))</f>
        <v/>
      </c>
    </row>
    <row r="1212" customFormat="false" ht="32.8" hidden="false" customHeight="false" outlineLevel="0" collapsed="false">
      <c r="A1212" s="18" t="s">
        <v>5331</v>
      </c>
      <c r="B1212" s="18" t="s">
        <v>64</v>
      </c>
      <c r="C1212" s="18" t="s">
        <v>65</v>
      </c>
      <c r="D1212" s="18" t="s">
        <v>5234</v>
      </c>
      <c r="E1212" s="18" t="n">
        <v>91</v>
      </c>
      <c r="F1212" s="18" t="s">
        <v>4443</v>
      </c>
      <c r="G1212" s="18" t="s">
        <v>317</v>
      </c>
      <c r="H1212" s="18" t="s">
        <v>162</v>
      </c>
      <c r="I1212" s="18"/>
      <c r="J1212" s="18"/>
      <c r="K1212" s="18"/>
      <c r="L1212" s="18" t="s">
        <v>129</v>
      </c>
      <c r="M1212" s="18" t="s">
        <v>129</v>
      </c>
      <c r="N1212" s="18"/>
      <c r="O1212" s="18"/>
      <c r="P1212" s="18" t="s">
        <v>5332</v>
      </c>
      <c r="Q1212" s="18" t="s">
        <v>138</v>
      </c>
      <c r="R1212" s="18" t="s">
        <v>4445</v>
      </c>
      <c r="S1212" s="18" t="s">
        <v>140</v>
      </c>
      <c r="T1212" s="18" t="s">
        <v>141</v>
      </c>
      <c r="U1212" s="18"/>
      <c r="V1212" s="19" t="s">
        <v>29</v>
      </c>
      <c r="W1212" s="19"/>
      <c r="X1212" s="19"/>
      <c r="Y1212" s="20"/>
      <c r="Z1212" s="19"/>
      <c r="AA1212" s="18" t="str">
        <f aca="false">IF(OR(V1212="Aprobada"),R1212,IF(AND(OR(V1212="Aprobada con ajuste",V1212="Rechazada"),W1212&lt;&gt;""),W1212,""))</f>
        <v/>
      </c>
    </row>
    <row r="1213" customFormat="false" ht="43.25" hidden="false" customHeight="false" outlineLevel="0" collapsed="false">
      <c r="A1213" s="18" t="s">
        <v>5333</v>
      </c>
      <c r="B1213" s="18" t="s">
        <v>64</v>
      </c>
      <c r="C1213" s="18" t="s">
        <v>65</v>
      </c>
      <c r="D1213" s="18" t="s">
        <v>5234</v>
      </c>
      <c r="E1213" s="18" t="n">
        <v>91</v>
      </c>
      <c r="F1213" s="18" t="s">
        <v>5334</v>
      </c>
      <c r="G1213" s="18" t="s">
        <v>317</v>
      </c>
      <c r="H1213" s="18" t="s">
        <v>162</v>
      </c>
      <c r="I1213" s="18"/>
      <c r="J1213" s="18"/>
      <c r="K1213" s="18"/>
      <c r="L1213" s="18" t="s">
        <v>129</v>
      </c>
      <c r="M1213" s="18" t="s">
        <v>129</v>
      </c>
      <c r="N1213" s="18"/>
      <c r="O1213" s="18"/>
      <c r="P1213" s="18" t="s">
        <v>5335</v>
      </c>
      <c r="Q1213" s="18" t="s">
        <v>138</v>
      </c>
      <c r="R1213" s="18" t="s">
        <v>5336</v>
      </c>
      <c r="S1213" s="18" t="s">
        <v>140</v>
      </c>
      <c r="T1213" s="18" t="s">
        <v>141</v>
      </c>
      <c r="U1213" s="18"/>
      <c r="V1213" s="19" t="s">
        <v>29</v>
      </c>
      <c r="W1213" s="19"/>
      <c r="X1213" s="19"/>
      <c r="Y1213" s="20"/>
      <c r="Z1213" s="19"/>
      <c r="AA1213" s="18" t="str">
        <f aca="false">IF(OR(V1213="Aprobada"),R1213,IF(AND(OR(V1213="Aprobada con ajuste",V1213="Rechazada"),W1213&lt;&gt;""),W1213,""))</f>
        <v/>
      </c>
    </row>
    <row r="1214" customFormat="false" ht="32.8" hidden="false" customHeight="false" outlineLevel="0" collapsed="false">
      <c r="A1214" s="18" t="s">
        <v>5337</v>
      </c>
      <c r="B1214" s="18" t="s">
        <v>64</v>
      </c>
      <c r="C1214" s="18" t="s">
        <v>65</v>
      </c>
      <c r="D1214" s="18" t="s">
        <v>5234</v>
      </c>
      <c r="E1214" s="18" t="n">
        <v>91</v>
      </c>
      <c r="F1214" s="18" t="s">
        <v>5338</v>
      </c>
      <c r="G1214" s="18" t="s">
        <v>828</v>
      </c>
      <c r="H1214" s="18" t="s">
        <v>162</v>
      </c>
      <c r="I1214" s="18"/>
      <c r="J1214" s="18"/>
      <c r="K1214" s="18"/>
      <c r="L1214" s="18" t="s">
        <v>129</v>
      </c>
      <c r="M1214" s="18" t="s">
        <v>129</v>
      </c>
      <c r="N1214" s="18"/>
      <c r="O1214" s="18"/>
      <c r="P1214" s="18" t="s">
        <v>5339</v>
      </c>
      <c r="Q1214" s="18" t="s">
        <v>149</v>
      </c>
      <c r="R1214" s="18" t="s">
        <v>5340</v>
      </c>
      <c r="S1214" s="18" t="s">
        <v>140</v>
      </c>
      <c r="T1214" s="18" t="s">
        <v>183</v>
      </c>
      <c r="U1214" s="18" t="s">
        <v>5341</v>
      </c>
      <c r="V1214" s="19" t="s">
        <v>29</v>
      </c>
      <c r="W1214" s="19"/>
      <c r="X1214" s="19"/>
      <c r="Y1214" s="20"/>
      <c r="Z1214" s="19"/>
      <c r="AA1214" s="18" t="str">
        <f aca="false">IF(OR(V1214="Aprobada"),R1214,IF(AND(OR(V1214="Aprobada con ajuste",V1214="Rechazada"),W1214&lt;&gt;""),W1214,""))</f>
        <v/>
      </c>
    </row>
    <row r="1215" customFormat="false" ht="32.8" hidden="false" customHeight="false" outlineLevel="0" collapsed="false">
      <c r="A1215" s="18" t="s">
        <v>5342</v>
      </c>
      <c r="B1215" s="18" t="s">
        <v>64</v>
      </c>
      <c r="C1215" s="18" t="s">
        <v>65</v>
      </c>
      <c r="D1215" s="18" t="s">
        <v>5234</v>
      </c>
      <c r="E1215" s="18" t="n">
        <v>91</v>
      </c>
      <c r="F1215" s="18" t="s">
        <v>5343</v>
      </c>
      <c r="G1215" s="18" t="s">
        <v>205</v>
      </c>
      <c r="H1215" s="18" t="s">
        <v>162</v>
      </c>
      <c r="I1215" s="18"/>
      <c r="J1215" s="18"/>
      <c r="K1215" s="18"/>
      <c r="L1215" s="18" t="s">
        <v>129</v>
      </c>
      <c r="M1215" s="18" t="s">
        <v>129</v>
      </c>
      <c r="N1215" s="18"/>
      <c r="O1215" s="18"/>
      <c r="P1215" s="18" t="s">
        <v>5344</v>
      </c>
      <c r="Q1215" s="18" t="s">
        <v>149</v>
      </c>
      <c r="R1215" s="18" t="s">
        <v>5345</v>
      </c>
      <c r="S1215" s="18" t="s">
        <v>133</v>
      </c>
      <c r="T1215" s="18" t="s">
        <v>183</v>
      </c>
      <c r="U1215" s="18"/>
      <c r="V1215" s="19" t="s">
        <v>29</v>
      </c>
      <c r="W1215" s="19"/>
      <c r="X1215" s="19"/>
      <c r="Y1215" s="20"/>
      <c r="Z1215" s="19"/>
      <c r="AA1215" s="18" t="str">
        <f aca="false">IF(OR(V1215="Aprobada"),R1215,IF(AND(OR(V1215="Aprobada con ajuste",V1215="Rechazada"),W1215&lt;&gt;""),W1215,""))</f>
        <v/>
      </c>
    </row>
    <row r="1216" customFormat="false" ht="32.8" hidden="false" customHeight="false" outlineLevel="0" collapsed="false">
      <c r="A1216" s="18" t="s">
        <v>5346</v>
      </c>
      <c r="B1216" s="18" t="s">
        <v>64</v>
      </c>
      <c r="C1216" s="18" t="s">
        <v>65</v>
      </c>
      <c r="D1216" s="18" t="s">
        <v>5234</v>
      </c>
      <c r="E1216" s="18" t="n">
        <v>91</v>
      </c>
      <c r="F1216" s="18" t="s">
        <v>5347</v>
      </c>
      <c r="G1216" s="18" t="s">
        <v>828</v>
      </c>
      <c r="H1216" s="18" t="s">
        <v>162</v>
      </c>
      <c r="I1216" s="18"/>
      <c r="J1216" s="18"/>
      <c r="K1216" s="18"/>
      <c r="L1216" s="18" t="s">
        <v>129</v>
      </c>
      <c r="M1216" s="18" t="s">
        <v>129</v>
      </c>
      <c r="N1216" s="18"/>
      <c r="O1216" s="18"/>
      <c r="P1216" s="18" t="s">
        <v>5348</v>
      </c>
      <c r="Q1216" s="18" t="s">
        <v>149</v>
      </c>
      <c r="R1216" s="18" t="s">
        <v>5349</v>
      </c>
      <c r="S1216" s="18" t="s">
        <v>140</v>
      </c>
      <c r="T1216" s="18" t="s">
        <v>183</v>
      </c>
      <c r="U1216" s="18" t="s">
        <v>5341</v>
      </c>
      <c r="V1216" s="19" t="s">
        <v>29</v>
      </c>
      <c r="W1216" s="19"/>
      <c r="X1216" s="19"/>
      <c r="Y1216" s="20"/>
      <c r="Z1216" s="19"/>
      <c r="AA1216" s="18" t="str">
        <f aca="false">IF(OR(V1216="Aprobada"),R1216,IF(AND(OR(V1216="Aprobada con ajuste",V1216="Rechazada"),W1216&lt;&gt;""),W1216,""))</f>
        <v/>
      </c>
    </row>
    <row r="1217" customFormat="false" ht="32.8" hidden="false" customHeight="false" outlineLevel="0" collapsed="false">
      <c r="A1217" s="18" t="s">
        <v>5350</v>
      </c>
      <c r="B1217" s="18" t="s">
        <v>64</v>
      </c>
      <c r="C1217" s="18" t="s">
        <v>65</v>
      </c>
      <c r="D1217" s="18" t="s">
        <v>5234</v>
      </c>
      <c r="E1217" s="18" t="n">
        <v>91</v>
      </c>
      <c r="F1217" s="18" t="s">
        <v>5351</v>
      </c>
      <c r="G1217" s="18" t="s">
        <v>205</v>
      </c>
      <c r="H1217" s="18" t="s">
        <v>162</v>
      </c>
      <c r="I1217" s="18"/>
      <c r="J1217" s="18"/>
      <c r="K1217" s="18"/>
      <c r="L1217" s="18" t="s">
        <v>129</v>
      </c>
      <c r="M1217" s="18" t="s">
        <v>129</v>
      </c>
      <c r="N1217" s="18"/>
      <c r="O1217" s="18"/>
      <c r="P1217" s="18" t="s">
        <v>5352</v>
      </c>
      <c r="Q1217" s="18" t="s">
        <v>149</v>
      </c>
      <c r="R1217" s="18" t="s">
        <v>5353</v>
      </c>
      <c r="S1217" s="18" t="s">
        <v>133</v>
      </c>
      <c r="T1217" s="18" t="s">
        <v>183</v>
      </c>
      <c r="U1217" s="18"/>
      <c r="V1217" s="19" t="s">
        <v>29</v>
      </c>
      <c r="W1217" s="19"/>
      <c r="X1217" s="19"/>
      <c r="Y1217" s="20"/>
      <c r="Z1217" s="19"/>
      <c r="AA1217" s="18" t="str">
        <f aca="false">IF(OR(V1217="Aprobada"),R1217,IF(AND(OR(V1217="Aprobada con ajuste",V1217="Rechazada"),W1217&lt;&gt;""),W1217,""))</f>
        <v/>
      </c>
    </row>
    <row r="1218" customFormat="false" ht="32.8" hidden="false" customHeight="false" outlineLevel="0" collapsed="false">
      <c r="A1218" s="18" t="s">
        <v>5354</v>
      </c>
      <c r="B1218" s="18" t="s">
        <v>64</v>
      </c>
      <c r="C1218" s="18" t="s">
        <v>65</v>
      </c>
      <c r="D1218" s="18" t="s">
        <v>5234</v>
      </c>
      <c r="E1218" s="18" t="n">
        <v>91</v>
      </c>
      <c r="F1218" s="18" t="s">
        <v>5355</v>
      </c>
      <c r="G1218" s="18" t="s">
        <v>486</v>
      </c>
      <c r="H1218" s="18" t="s">
        <v>162</v>
      </c>
      <c r="I1218" s="18"/>
      <c r="J1218" s="18"/>
      <c r="K1218" s="18"/>
      <c r="L1218" s="18" t="s">
        <v>129</v>
      </c>
      <c r="M1218" s="18" t="s">
        <v>129</v>
      </c>
      <c r="N1218" s="18"/>
      <c r="O1218" s="18"/>
      <c r="P1218" s="18" t="s">
        <v>5356</v>
      </c>
      <c r="Q1218" s="18" t="s">
        <v>149</v>
      </c>
      <c r="R1218" s="18" t="s">
        <v>5357</v>
      </c>
      <c r="S1218" s="18" t="s">
        <v>140</v>
      </c>
      <c r="T1218" s="18" t="s">
        <v>169</v>
      </c>
      <c r="U1218" s="18" t="s">
        <v>5358</v>
      </c>
      <c r="V1218" s="19" t="s">
        <v>29</v>
      </c>
      <c r="W1218" s="19"/>
      <c r="X1218" s="19"/>
      <c r="Y1218" s="20"/>
      <c r="Z1218" s="19"/>
      <c r="AA1218" s="18" t="str">
        <f aca="false">IF(OR(V1218="Aprobada"),R1218,IF(AND(OR(V1218="Aprobada con ajuste",V1218="Rechazada"),W1218&lt;&gt;""),W1218,""))</f>
        <v/>
      </c>
    </row>
    <row r="1219" customFormat="false" ht="53.7" hidden="false" customHeight="false" outlineLevel="0" collapsed="false">
      <c r="A1219" s="18" t="s">
        <v>5359</v>
      </c>
      <c r="B1219" s="18" t="s">
        <v>64</v>
      </c>
      <c r="C1219" s="18" t="s">
        <v>65</v>
      </c>
      <c r="D1219" s="18" t="s">
        <v>5234</v>
      </c>
      <c r="E1219" s="18" t="n">
        <v>91</v>
      </c>
      <c r="F1219" s="18" t="s">
        <v>5360</v>
      </c>
      <c r="G1219" s="18" t="s">
        <v>651</v>
      </c>
      <c r="H1219" s="18" t="s">
        <v>162</v>
      </c>
      <c r="I1219" s="18"/>
      <c r="J1219" s="18"/>
      <c r="K1219" s="18"/>
      <c r="L1219" s="18" t="s">
        <v>129</v>
      </c>
      <c r="M1219" s="18" t="s">
        <v>129</v>
      </c>
      <c r="N1219" s="18"/>
      <c r="O1219" s="18"/>
      <c r="P1219" s="18" t="s">
        <v>5361</v>
      </c>
      <c r="Q1219" s="18" t="s">
        <v>131</v>
      </c>
      <c r="R1219" s="18" t="s">
        <v>5362</v>
      </c>
      <c r="S1219" s="18" t="s">
        <v>133</v>
      </c>
      <c r="T1219" s="18" t="s">
        <v>5363</v>
      </c>
      <c r="U1219" s="18"/>
      <c r="V1219" s="19" t="s">
        <v>29</v>
      </c>
      <c r="W1219" s="19"/>
      <c r="X1219" s="19"/>
      <c r="Y1219" s="20"/>
      <c r="Z1219" s="19"/>
      <c r="AA1219" s="18" t="str">
        <f aca="false">IF(OR(V1219="Aprobada"),R1219,IF(AND(OR(V1219="Aprobada con ajuste",V1219="Rechazada"),W1219&lt;&gt;""),W1219,""))</f>
        <v/>
      </c>
    </row>
    <row r="1220" customFormat="false" ht="32.8" hidden="false" customHeight="false" outlineLevel="0" collapsed="false">
      <c r="A1220" s="18" t="s">
        <v>5364</v>
      </c>
      <c r="B1220" s="18" t="s">
        <v>64</v>
      </c>
      <c r="C1220" s="18" t="s">
        <v>65</v>
      </c>
      <c r="D1220" s="18" t="s">
        <v>5234</v>
      </c>
      <c r="E1220" s="18" t="n">
        <v>91</v>
      </c>
      <c r="F1220" s="18" t="s">
        <v>5365</v>
      </c>
      <c r="G1220" s="18" t="s">
        <v>161</v>
      </c>
      <c r="H1220" s="18" t="s">
        <v>162</v>
      </c>
      <c r="I1220" s="18"/>
      <c r="J1220" s="18"/>
      <c r="K1220" s="18"/>
      <c r="L1220" s="18" t="s">
        <v>129</v>
      </c>
      <c r="M1220" s="18" t="s">
        <v>129</v>
      </c>
      <c r="N1220" s="18"/>
      <c r="O1220" s="18"/>
      <c r="P1220" s="18" t="s">
        <v>5366</v>
      </c>
      <c r="Q1220" s="18" t="s">
        <v>131</v>
      </c>
      <c r="R1220" s="18" t="s">
        <v>5367</v>
      </c>
      <c r="S1220" s="18" t="s">
        <v>133</v>
      </c>
      <c r="T1220" s="18" t="s">
        <v>5368</v>
      </c>
      <c r="U1220" s="18"/>
      <c r="V1220" s="19" t="s">
        <v>29</v>
      </c>
      <c r="W1220" s="19"/>
      <c r="X1220" s="19"/>
      <c r="Y1220" s="20"/>
      <c r="Z1220" s="19"/>
      <c r="AA1220" s="18" t="str">
        <f aca="false">IF(OR(V1220="Aprobada"),R1220,IF(AND(OR(V1220="Aprobada con ajuste",V1220="Rechazada"),W1220&lt;&gt;""),W1220,""))</f>
        <v/>
      </c>
    </row>
    <row r="1221" customFormat="false" ht="32.8" hidden="false" customHeight="false" outlineLevel="0" collapsed="false">
      <c r="A1221" s="18" t="s">
        <v>5369</v>
      </c>
      <c r="B1221" s="18" t="s">
        <v>64</v>
      </c>
      <c r="C1221" s="18" t="s">
        <v>65</v>
      </c>
      <c r="D1221" s="18" t="s">
        <v>5234</v>
      </c>
      <c r="E1221" s="18" t="n">
        <v>91</v>
      </c>
      <c r="F1221" s="18" t="s">
        <v>5370</v>
      </c>
      <c r="G1221" s="18" t="s">
        <v>145</v>
      </c>
      <c r="H1221" s="18" t="s">
        <v>162</v>
      </c>
      <c r="I1221" s="18"/>
      <c r="J1221" s="18"/>
      <c r="K1221" s="18"/>
      <c r="L1221" s="18" t="s">
        <v>129</v>
      </c>
      <c r="M1221" s="18" t="s">
        <v>129</v>
      </c>
      <c r="N1221" s="18"/>
      <c r="O1221" s="18"/>
      <c r="P1221" s="18" t="s">
        <v>5371</v>
      </c>
      <c r="Q1221" s="18" t="s">
        <v>149</v>
      </c>
      <c r="R1221" s="18" t="s">
        <v>5372</v>
      </c>
      <c r="S1221" s="18" t="s">
        <v>133</v>
      </c>
      <c r="T1221" s="18" t="s">
        <v>183</v>
      </c>
      <c r="U1221" s="18"/>
      <c r="V1221" s="19" t="s">
        <v>29</v>
      </c>
      <c r="W1221" s="19"/>
      <c r="X1221" s="19"/>
      <c r="Y1221" s="20"/>
      <c r="Z1221" s="19"/>
      <c r="AA1221" s="18" t="str">
        <f aca="false">IF(OR(V1221="Aprobada"),R1221,IF(AND(OR(V1221="Aprobada con ajuste",V1221="Rechazada"),W1221&lt;&gt;""),W1221,""))</f>
        <v/>
      </c>
    </row>
    <row r="1222" customFormat="false" ht="32.8" hidden="false" customHeight="false" outlineLevel="0" collapsed="false">
      <c r="A1222" s="18" t="s">
        <v>5373</v>
      </c>
      <c r="B1222" s="18" t="s">
        <v>64</v>
      </c>
      <c r="C1222" s="18" t="s">
        <v>65</v>
      </c>
      <c r="D1222" s="18" t="s">
        <v>5234</v>
      </c>
      <c r="E1222" s="18" t="n">
        <v>91</v>
      </c>
      <c r="F1222" s="18" t="s">
        <v>5374</v>
      </c>
      <c r="G1222" s="18" t="s">
        <v>180</v>
      </c>
      <c r="H1222" s="18" t="s">
        <v>162</v>
      </c>
      <c r="I1222" s="18"/>
      <c r="J1222" s="18"/>
      <c r="K1222" s="18"/>
      <c r="L1222" s="18" t="s">
        <v>129</v>
      </c>
      <c r="M1222" s="18" t="s">
        <v>129</v>
      </c>
      <c r="N1222" s="18"/>
      <c r="O1222" s="18"/>
      <c r="P1222" s="18" t="s">
        <v>5375</v>
      </c>
      <c r="Q1222" s="18" t="s">
        <v>149</v>
      </c>
      <c r="R1222" s="18" t="s">
        <v>5376</v>
      </c>
      <c r="S1222" s="18" t="s">
        <v>133</v>
      </c>
      <c r="T1222" s="18" t="s">
        <v>183</v>
      </c>
      <c r="U1222" s="18"/>
      <c r="V1222" s="19" t="s">
        <v>29</v>
      </c>
      <c r="W1222" s="19"/>
      <c r="X1222" s="19"/>
      <c r="Y1222" s="20"/>
      <c r="Z1222" s="19"/>
      <c r="AA1222" s="18" t="str">
        <f aca="false">IF(OR(V1222="Aprobada"),R1222,IF(AND(OR(V1222="Aprobada con ajuste",V1222="Rechazada"),W1222&lt;&gt;""),W1222,""))</f>
        <v/>
      </c>
    </row>
    <row r="1223" customFormat="false" ht="32.8" hidden="false" customHeight="false" outlineLevel="0" collapsed="false">
      <c r="A1223" s="18" t="s">
        <v>5377</v>
      </c>
      <c r="B1223" s="18" t="s">
        <v>64</v>
      </c>
      <c r="C1223" s="18" t="s">
        <v>65</v>
      </c>
      <c r="D1223" s="18" t="s">
        <v>5234</v>
      </c>
      <c r="E1223" s="18" t="n">
        <v>91</v>
      </c>
      <c r="F1223" s="18" t="s">
        <v>5378</v>
      </c>
      <c r="G1223" s="18" t="s">
        <v>205</v>
      </c>
      <c r="H1223" s="18" t="s">
        <v>162</v>
      </c>
      <c r="I1223" s="18"/>
      <c r="J1223" s="18"/>
      <c r="K1223" s="18"/>
      <c r="L1223" s="18" t="s">
        <v>129</v>
      </c>
      <c r="M1223" s="18" t="s">
        <v>129</v>
      </c>
      <c r="N1223" s="18"/>
      <c r="O1223" s="18"/>
      <c r="P1223" s="18" t="s">
        <v>5379</v>
      </c>
      <c r="Q1223" s="18" t="s">
        <v>131</v>
      </c>
      <c r="R1223" s="18" t="s">
        <v>5380</v>
      </c>
      <c r="S1223" s="18" t="s">
        <v>133</v>
      </c>
      <c r="T1223" s="18" t="s">
        <v>5381</v>
      </c>
      <c r="U1223" s="18"/>
      <c r="V1223" s="19" t="s">
        <v>29</v>
      </c>
      <c r="W1223" s="19"/>
      <c r="X1223" s="19"/>
      <c r="Y1223" s="20"/>
      <c r="Z1223" s="19"/>
      <c r="AA1223" s="18" t="str">
        <f aca="false">IF(OR(V1223="Aprobada"),R1223,IF(AND(OR(V1223="Aprobada con ajuste",V1223="Rechazada"),W1223&lt;&gt;""),W1223,""))</f>
        <v/>
      </c>
    </row>
    <row r="1224" customFormat="false" ht="32.8" hidden="false" customHeight="false" outlineLevel="0" collapsed="false">
      <c r="A1224" s="18" t="s">
        <v>5382</v>
      </c>
      <c r="B1224" s="18" t="s">
        <v>64</v>
      </c>
      <c r="C1224" s="18" t="s">
        <v>65</v>
      </c>
      <c r="D1224" s="18" t="s">
        <v>5234</v>
      </c>
      <c r="E1224" s="18" t="n">
        <v>91</v>
      </c>
      <c r="F1224" s="18" t="s">
        <v>5383</v>
      </c>
      <c r="G1224" s="18" t="s">
        <v>180</v>
      </c>
      <c r="H1224" s="18" t="s">
        <v>162</v>
      </c>
      <c r="I1224" s="18"/>
      <c r="J1224" s="18"/>
      <c r="K1224" s="18"/>
      <c r="L1224" s="18" t="s">
        <v>129</v>
      </c>
      <c r="M1224" s="18" t="s">
        <v>129</v>
      </c>
      <c r="N1224" s="18"/>
      <c r="O1224" s="18"/>
      <c r="P1224" s="18" t="s">
        <v>5384</v>
      </c>
      <c r="Q1224" s="18" t="s">
        <v>131</v>
      </c>
      <c r="R1224" s="18" t="s">
        <v>5385</v>
      </c>
      <c r="S1224" s="18" t="s">
        <v>140</v>
      </c>
      <c r="T1224" s="18" t="s">
        <v>5386</v>
      </c>
      <c r="U1224" s="18" t="s">
        <v>5387</v>
      </c>
      <c r="V1224" s="19" t="s">
        <v>29</v>
      </c>
      <c r="W1224" s="19"/>
      <c r="X1224" s="19"/>
      <c r="Y1224" s="20"/>
      <c r="Z1224" s="19"/>
      <c r="AA1224" s="18" t="str">
        <f aca="false">IF(OR(V1224="Aprobada"),R1224,IF(AND(OR(V1224="Aprobada con ajuste",V1224="Rechazada"),W1224&lt;&gt;""),W1224,""))</f>
        <v/>
      </c>
    </row>
    <row r="1225" customFormat="false" ht="32.8" hidden="false" customHeight="false" outlineLevel="0" collapsed="false">
      <c r="A1225" s="18" t="s">
        <v>5388</v>
      </c>
      <c r="B1225" s="18" t="s">
        <v>64</v>
      </c>
      <c r="C1225" s="18" t="s">
        <v>65</v>
      </c>
      <c r="D1225" s="18" t="s">
        <v>5234</v>
      </c>
      <c r="E1225" s="18" t="n">
        <v>91</v>
      </c>
      <c r="F1225" s="18" t="s">
        <v>5389</v>
      </c>
      <c r="G1225" s="18" t="s">
        <v>5268</v>
      </c>
      <c r="H1225" s="18" t="s">
        <v>162</v>
      </c>
      <c r="I1225" s="18"/>
      <c r="J1225" s="18"/>
      <c r="K1225" s="18"/>
      <c r="L1225" s="18" t="s">
        <v>129</v>
      </c>
      <c r="M1225" s="18" t="s">
        <v>129</v>
      </c>
      <c r="N1225" s="18"/>
      <c r="O1225" s="18"/>
      <c r="P1225" s="18" t="s">
        <v>5390</v>
      </c>
      <c r="Q1225" s="18" t="s">
        <v>149</v>
      </c>
      <c r="R1225" s="18" t="s">
        <v>5391</v>
      </c>
      <c r="S1225" s="18" t="s">
        <v>140</v>
      </c>
      <c r="T1225" s="18" t="s">
        <v>5392</v>
      </c>
      <c r="U1225" s="18" t="s">
        <v>5393</v>
      </c>
      <c r="V1225" s="19" t="s">
        <v>29</v>
      </c>
      <c r="W1225" s="19"/>
      <c r="X1225" s="19"/>
      <c r="Y1225" s="20"/>
      <c r="Z1225" s="19"/>
      <c r="AA1225" s="18" t="str">
        <f aca="false">IF(OR(V1225="Aprobada"),R1225,IF(AND(OR(V1225="Aprobada con ajuste",V1225="Rechazada"),W1225&lt;&gt;""),W1225,""))</f>
        <v/>
      </c>
    </row>
    <row r="1226" customFormat="false" ht="43.25" hidden="false" customHeight="false" outlineLevel="0" collapsed="false">
      <c r="A1226" s="18" t="s">
        <v>5394</v>
      </c>
      <c r="B1226" s="18" t="s">
        <v>64</v>
      </c>
      <c r="C1226" s="18" t="s">
        <v>65</v>
      </c>
      <c r="D1226" s="18" t="s">
        <v>5234</v>
      </c>
      <c r="E1226" s="18" t="n">
        <v>91</v>
      </c>
      <c r="F1226" s="18" t="s">
        <v>5395</v>
      </c>
      <c r="G1226" s="18" t="s">
        <v>317</v>
      </c>
      <c r="H1226" s="18" t="s">
        <v>162</v>
      </c>
      <c r="I1226" s="18"/>
      <c r="J1226" s="18"/>
      <c r="K1226" s="18"/>
      <c r="L1226" s="18" t="s">
        <v>129</v>
      </c>
      <c r="M1226" s="18" t="s">
        <v>129</v>
      </c>
      <c r="N1226" s="18"/>
      <c r="O1226" s="18"/>
      <c r="P1226" s="18" t="s">
        <v>5396</v>
      </c>
      <c r="Q1226" s="18" t="s">
        <v>138</v>
      </c>
      <c r="R1226" s="18" t="s">
        <v>5397</v>
      </c>
      <c r="S1226" s="18" t="s">
        <v>140</v>
      </c>
      <c r="T1226" s="18" t="s">
        <v>141</v>
      </c>
      <c r="U1226" s="18"/>
      <c r="V1226" s="19" t="s">
        <v>29</v>
      </c>
      <c r="W1226" s="19"/>
      <c r="X1226" s="19"/>
      <c r="Y1226" s="20"/>
      <c r="Z1226" s="19"/>
      <c r="AA1226" s="18" t="str">
        <f aca="false">IF(OR(V1226="Aprobada"),R1226,IF(AND(OR(V1226="Aprobada con ajuste",V1226="Rechazada"),W1226&lt;&gt;""),W1226,""))</f>
        <v/>
      </c>
    </row>
    <row r="1227" customFormat="false" ht="43.25" hidden="false" customHeight="false" outlineLevel="0" collapsed="false">
      <c r="A1227" s="18" t="s">
        <v>5398</v>
      </c>
      <c r="B1227" s="18" t="s">
        <v>64</v>
      </c>
      <c r="C1227" s="18" t="s">
        <v>65</v>
      </c>
      <c r="D1227" s="18" t="s">
        <v>5234</v>
      </c>
      <c r="E1227" s="18" t="n">
        <v>91</v>
      </c>
      <c r="F1227" s="18" t="s">
        <v>5399</v>
      </c>
      <c r="G1227" s="18" t="s">
        <v>128</v>
      </c>
      <c r="H1227" s="18" t="s">
        <v>162</v>
      </c>
      <c r="I1227" s="18"/>
      <c r="J1227" s="18"/>
      <c r="K1227" s="18"/>
      <c r="L1227" s="18" t="s">
        <v>129</v>
      </c>
      <c r="M1227" s="18" t="s">
        <v>129</v>
      </c>
      <c r="N1227" s="18"/>
      <c r="O1227" s="18"/>
      <c r="P1227" s="18" t="s">
        <v>5400</v>
      </c>
      <c r="Q1227" s="18" t="s">
        <v>149</v>
      </c>
      <c r="R1227" s="18" t="s">
        <v>5401</v>
      </c>
      <c r="S1227" s="18" t="s">
        <v>133</v>
      </c>
      <c r="T1227" s="18" t="s">
        <v>183</v>
      </c>
      <c r="U1227" s="18"/>
      <c r="V1227" s="19" t="s">
        <v>29</v>
      </c>
      <c r="W1227" s="19"/>
      <c r="X1227" s="19"/>
      <c r="Y1227" s="20"/>
      <c r="Z1227" s="19"/>
      <c r="AA1227" s="18" t="str">
        <f aca="false">IF(OR(V1227="Aprobada"),R1227,IF(AND(OR(V1227="Aprobada con ajuste",V1227="Rechazada"),W1227&lt;&gt;""),W1227,""))</f>
        <v/>
      </c>
    </row>
    <row r="1228" customFormat="false" ht="32.8" hidden="false" customHeight="false" outlineLevel="0" collapsed="false">
      <c r="A1228" s="18" t="s">
        <v>5402</v>
      </c>
      <c r="B1228" s="18" t="s">
        <v>64</v>
      </c>
      <c r="C1228" s="18" t="s">
        <v>65</v>
      </c>
      <c r="D1228" s="18" t="s">
        <v>5234</v>
      </c>
      <c r="E1228" s="18" t="n">
        <v>91</v>
      </c>
      <c r="F1228" s="18" t="s">
        <v>5403</v>
      </c>
      <c r="G1228" s="18" t="s">
        <v>192</v>
      </c>
      <c r="H1228" s="18" t="s">
        <v>162</v>
      </c>
      <c r="I1228" s="18"/>
      <c r="J1228" s="18"/>
      <c r="K1228" s="18"/>
      <c r="L1228" s="18" t="s">
        <v>129</v>
      </c>
      <c r="M1228" s="18" t="s">
        <v>129</v>
      </c>
      <c r="N1228" s="18"/>
      <c r="O1228" s="18"/>
      <c r="P1228" s="18" t="s">
        <v>5404</v>
      </c>
      <c r="Q1228" s="18" t="s">
        <v>149</v>
      </c>
      <c r="R1228" s="18" t="s">
        <v>5405</v>
      </c>
      <c r="S1228" s="18" t="s">
        <v>242</v>
      </c>
      <c r="T1228" s="18" t="s">
        <v>183</v>
      </c>
      <c r="U1228" s="18" t="s">
        <v>5406</v>
      </c>
      <c r="V1228" s="19" t="s">
        <v>29</v>
      </c>
      <c r="W1228" s="19"/>
      <c r="X1228" s="19"/>
      <c r="Y1228" s="20"/>
      <c r="Z1228" s="19"/>
      <c r="AA1228" s="18" t="str">
        <f aca="false">IF(OR(V1228="Aprobada"),R1228,IF(AND(OR(V1228="Aprobada con ajuste",V1228="Rechazada"),W1228&lt;&gt;""),W1228,""))</f>
        <v/>
      </c>
    </row>
    <row r="1229" customFormat="false" ht="32.8" hidden="false" customHeight="false" outlineLevel="0" collapsed="false">
      <c r="A1229" s="18" t="s">
        <v>5407</v>
      </c>
      <c r="B1229" s="18" t="s">
        <v>64</v>
      </c>
      <c r="C1229" s="18" t="s">
        <v>65</v>
      </c>
      <c r="D1229" s="18" t="s">
        <v>5234</v>
      </c>
      <c r="E1229" s="18" t="n">
        <v>91</v>
      </c>
      <c r="F1229" s="18" t="s">
        <v>341</v>
      </c>
      <c r="G1229" s="18" t="s">
        <v>145</v>
      </c>
      <c r="H1229" s="18" t="s">
        <v>162</v>
      </c>
      <c r="I1229" s="18"/>
      <c r="J1229" s="18"/>
      <c r="K1229" s="18"/>
      <c r="L1229" s="18" t="s">
        <v>129</v>
      </c>
      <c r="M1229" s="18" t="s">
        <v>129</v>
      </c>
      <c r="N1229" s="18"/>
      <c r="O1229" s="18" t="s">
        <v>5408</v>
      </c>
      <c r="P1229" s="18" t="s">
        <v>5409</v>
      </c>
      <c r="Q1229" s="18" t="s">
        <v>131</v>
      </c>
      <c r="R1229" s="18" t="s">
        <v>5410</v>
      </c>
      <c r="S1229" s="18" t="s">
        <v>133</v>
      </c>
      <c r="T1229" s="18" t="s">
        <v>5411</v>
      </c>
      <c r="U1229" s="18"/>
      <c r="V1229" s="19" t="s">
        <v>29</v>
      </c>
      <c r="W1229" s="19"/>
      <c r="X1229" s="19"/>
      <c r="Y1229" s="20"/>
      <c r="Z1229" s="19"/>
      <c r="AA1229" s="18" t="str">
        <f aca="false">IF(OR(V1229="Aprobada"),R1229,IF(AND(OR(V1229="Aprobada con ajuste",V1229="Rechazada"),W1229&lt;&gt;""),W1229,""))</f>
        <v/>
      </c>
    </row>
    <row r="1230" customFormat="false" ht="43.25" hidden="false" customHeight="false" outlineLevel="0" collapsed="false">
      <c r="A1230" s="18" t="s">
        <v>5412</v>
      </c>
      <c r="B1230" s="18" t="s">
        <v>64</v>
      </c>
      <c r="C1230" s="18" t="s">
        <v>65</v>
      </c>
      <c r="D1230" s="18" t="s">
        <v>5234</v>
      </c>
      <c r="E1230" s="18" t="n">
        <v>91</v>
      </c>
      <c r="F1230" s="18" t="s">
        <v>5413</v>
      </c>
      <c r="G1230" s="18" t="s">
        <v>337</v>
      </c>
      <c r="H1230" s="18" t="s">
        <v>162</v>
      </c>
      <c r="I1230" s="18"/>
      <c r="J1230" s="18"/>
      <c r="K1230" s="18"/>
      <c r="L1230" s="18" t="s">
        <v>129</v>
      </c>
      <c r="M1230" s="18" t="s">
        <v>129</v>
      </c>
      <c r="N1230" s="18"/>
      <c r="O1230" s="18" t="s">
        <v>5414</v>
      </c>
      <c r="P1230" s="18" t="s">
        <v>5415</v>
      </c>
      <c r="Q1230" s="18" t="s">
        <v>131</v>
      </c>
      <c r="R1230" s="18" t="s">
        <v>5416</v>
      </c>
      <c r="S1230" s="18" t="s">
        <v>133</v>
      </c>
      <c r="T1230" s="18" t="s">
        <v>5417</v>
      </c>
      <c r="U1230" s="18"/>
      <c r="V1230" s="19" t="s">
        <v>29</v>
      </c>
      <c r="W1230" s="19"/>
      <c r="X1230" s="19"/>
      <c r="Y1230" s="20"/>
      <c r="Z1230" s="19"/>
      <c r="AA1230" s="18" t="str">
        <f aca="false">IF(OR(V1230="Aprobada"),R1230,IF(AND(OR(V1230="Aprobada con ajuste",V1230="Rechazada"),W1230&lt;&gt;""),W1230,""))</f>
        <v/>
      </c>
    </row>
    <row r="1231" customFormat="false" ht="32.8" hidden="false" customHeight="false" outlineLevel="0" collapsed="false">
      <c r="A1231" s="18" t="s">
        <v>5418</v>
      </c>
      <c r="B1231" s="18" t="s">
        <v>64</v>
      </c>
      <c r="C1231" s="18" t="s">
        <v>65</v>
      </c>
      <c r="D1231" s="18" t="s">
        <v>5234</v>
      </c>
      <c r="E1231" s="18" t="n">
        <v>91</v>
      </c>
      <c r="F1231" s="18" t="s">
        <v>5419</v>
      </c>
      <c r="G1231" s="18" t="s">
        <v>128</v>
      </c>
      <c r="H1231" s="18" t="s">
        <v>162</v>
      </c>
      <c r="I1231" s="18"/>
      <c r="J1231" s="18"/>
      <c r="K1231" s="18"/>
      <c r="L1231" s="18" t="s">
        <v>129</v>
      </c>
      <c r="M1231" s="18" t="s">
        <v>129</v>
      </c>
      <c r="N1231" s="18"/>
      <c r="O1231" s="18"/>
      <c r="P1231" s="18" t="s">
        <v>5420</v>
      </c>
      <c r="Q1231" s="18" t="s">
        <v>149</v>
      </c>
      <c r="R1231" s="18" t="s">
        <v>5421</v>
      </c>
      <c r="S1231" s="18" t="s">
        <v>133</v>
      </c>
      <c r="T1231" s="18" t="s">
        <v>183</v>
      </c>
      <c r="U1231" s="18"/>
      <c r="V1231" s="19" t="s">
        <v>29</v>
      </c>
      <c r="W1231" s="19"/>
      <c r="X1231" s="19"/>
      <c r="Y1231" s="20"/>
      <c r="Z1231" s="19"/>
      <c r="AA1231" s="18" t="str">
        <f aca="false">IF(OR(V1231="Aprobada"),R1231,IF(AND(OR(V1231="Aprobada con ajuste",V1231="Rechazada"),W1231&lt;&gt;""),W1231,""))</f>
        <v/>
      </c>
    </row>
    <row r="1232" customFormat="false" ht="43.25" hidden="false" customHeight="false" outlineLevel="0" collapsed="false">
      <c r="A1232" s="18" t="s">
        <v>5422</v>
      </c>
      <c r="B1232" s="18" t="s">
        <v>64</v>
      </c>
      <c r="C1232" s="18" t="s">
        <v>65</v>
      </c>
      <c r="D1232" s="18" t="s">
        <v>5234</v>
      </c>
      <c r="E1232" s="18" t="n">
        <v>91</v>
      </c>
      <c r="F1232" s="18" t="s">
        <v>5423</v>
      </c>
      <c r="G1232" s="18" t="s">
        <v>192</v>
      </c>
      <c r="H1232" s="18" t="s">
        <v>129</v>
      </c>
      <c r="I1232" s="18"/>
      <c r="J1232" s="18"/>
      <c r="K1232" s="18"/>
      <c r="L1232" s="18" t="s">
        <v>129</v>
      </c>
      <c r="M1232" s="18" t="s">
        <v>129</v>
      </c>
      <c r="N1232" s="18"/>
      <c r="O1232" s="18"/>
      <c r="P1232" s="18" t="s">
        <v>5424</v>
      </c>
      <c r="Q1232" s="18" t="s">
        <v>131</v>
      </c>
      <c r="R1232" s="18" t="s">
        <v>5425</v>
      </c>
      <c r="S1232" s="18" t="s">
        <v>133</v>
      </c>
      <c r="T1232" s="18" t="s">
        <v>5426</v>
      </c>
      <c r="U1232" s="18"/>
      <c r="V1232" s="19" t="s">
        <v>29</v>
      </c>
      <c r="W1232" s="19"/>
      <c r="X1232" s="19"/>
      <c r="Y1232" s="20"/>
      <c r="Z1232" s="19"/>
      <c r="AA1232" s="18" t="str">
        <f aca="false">IF(OR(V1232="Aprobada"),R1232,IF(AND(OR(V1232="Aprobada con ajuste",V1232="Rechazada"),W1232&lt;&gt;""),W1232,""))</f>
        <v/>
      </c>
    </row>
    <row r="1233" customFormat="false" ht="43.25" hidden="false" customHeight="false" outlineLevel="0" collapsed="false">
      <c r="A1233" s="18" t="s">
        <v>5427</v>
      </c>
      <c r="B1233" s="18" t="s">
        <v>64</v>
      </c>
      <c r="C1233" s="18" t="s">
        <v>65</v>
      </c>
      <c r="D1233" s="18" t="s">
        <v>5234</v>
      </c>
      <c r="E1233" s="18" t="n">
        <v>91</v>
      </c>
      <c r="F1233" s="18" t="s">
        <v>4869</v>
      </c>
      <c r="G1233" s="18" t="s">
        <v>312</v>
      </c>
      <c r="H1233" s="18" t="s">
        <v>162</v>
      </c>
      <c r="I1233" s="18"/>
      <c r="J1233" s="18"/>
      <c r="K1233" s="18"/>
      <c r="L1233" s="18" t="s">
        <v>129</v>
      </c>
      <c r="M1233" s="18" t="s">
        <v>129</v>
      </c>
      <c r="N1233" s="18"/>
      <c r="O1233" s="18" t="s">
        <v>5428</v>
      </c>
      <c r="P1233" s="18" t="s">
        <v>5429</v>
      </c>
      <c r="Q1233" s="18" t="s">
        <v>131</v>
      </c>
      <c r="R1233" s="18" t="s">
        <v>5430</v>
      </c>
      <c r="S1233" s="18" t="s">
        <v>133</v>
      </c>
      <c r="T1233" s="18" t="s">
        <v>5431</v>
      </c>
      <c r="U1233" s="18"/>
      <c r="V1233" s="19" t="s">
        <v>29</v>
      </c>
      <c r="W1233" s="19"/>
      <c r="X1233" s="19"/>
      <c r="Y1233" s="20"/>
      <c r="Z1233" s="19"/>
      <c r="AA1233" s="18" t="str">
        <f aca="false">IF(OR(V1233="Aprobada"),R1233,IF(AND(OR(V1233="Aprobada con ajuste",V1233="Rechazada"),W1233&lt;&gt;""),W1233,""))</f>
        <v/>
      </c>
    </row>
    <row r="1234" customFormat="false" ht="32.8" hidden="false" customHeight="false" outlineLevel="0" collapsed="false">
      <c r="A1234" s="18" t="s">
        <v>5432</v>
      </c>
      <c r="B1234" s="18" t="s">
        <v>64</v>
      </c>
      <c r="C1234" s="18" t="s">
        <v>65</v>
      </c>
      <c r="D1234" s="18" t="s">
        <v>5433</v>
      </c>
      <c r="E1234" s="18" t="n">
        <v>0</v>
      </c>
      <c r="F1234" s="18" t="s">
        <v>5434</v>
      </c>
      <c r="G1234" s="18" t="s">
        <v>145</v>
      </c>
      <c r="H1234" s="18" t="s">
        <v>129</v>
      </c>
      <c r="I1234" s="18" t="s">
        <v>146</v>
      </c>
      <c r="J1234" s="18"/>
      <c r="K1234" s="18"/>
      <c r="L1234" s="18" t="s">
        <v>129</v>
      </c>
      <c r="M1234" s="18" t="s">
        <v>129</v>
      </c>
      <c r="N1234" s="18"/>
      <c r="O1234" s="18" t="s">
        <v>5435</v>
      </c>
      <c r="P1234" s="18" t="s">
        <v>5436</v>
      </c>
      <c r="Q1234" s="18" t="s">
        <v>149</v>
      </c>
      <c r="R1234" s="18" t="s">
        <v>5437</v>
      </c>
      <c r="S1234" s="18" t="s">
        <v>140</v>
      </c>
      <c r="T1234" s="18" t="s">
        <v>5438</v>
      </c>
      <c r="U1234" s="18" t="s">
        <v>5439</v>
      </c>
      <c r="V1234" s="19" t="s">
        <v>29</v>
      </c>
      <c r="W1234" s="19"/>
      <c r="X1234" s="19"/>
      <c r="Y1234" s="20"/>
      <c r="Z1234" s="19"/>
      <c r="AA1234" s="18" t="str">
        <f aca="false">IF(OR(V1234="Aprobada"),R1234,IF(AND(OR(V1234="Aprobada con ajuste",V1234="Rechazada"),W1234&lt;&gt;""),W1234,""))</f>
        <v/>
      </c>
    </row>
    <row r="1235" customFormat="false" ht="32.8" hidden="false" customHeight="false" outlineLevel="0" collapsed="false">
      <c r="A1235" s="18" t="s">
        <v>5440</v>
      </c>
      <c r="B1235" s="18" t="s">
        <v>64</v>
      </c>
      <c r="C1235" s="18" t="s">
        <v>65</v>
      </c>
      <c r="D1235" s="18" t="s">
        <v>5433</v>
      </c>
      <c r="E1235" s="18" t="n">
        <v>0</v>
      </c>
      <c r="F1235" s="18" t="s">
        <v>5441</v>
      </c>
      <c r="G1235" s="18" t="s">
        <v>145</v>
      </c>
      <c r="H1235" s="18" t="s">
        <v>162</v>
      </c>
      <c r="I1235" s="18"/>
      <c r="J1235" s="18"/>
      <c r="K1235" s="18"/>
      <c r="L1235" s="18" t="s">
        <v>129</v>
      </c>
      <c r="M1235" s="18" t="s">
        <v>129</v>
      </c>
      <c r="N1235" s="18"/>
      <c r="O1235" s="18"/>
      <c r="P1235" s="18" t="s">
        <v>5442</v>
      </c>
      <c r="Q1235" s="18" t="s">
        <v>149</v>
      </c>
      <c r="R1235" s="18" t="s">
        <v>5443</v>
      </c>
      <c r="S1235" s="18" t="s">
        <v>140</v>
      </c>
      <c r="T1235" s="18" t="s">
        <v>183</v>
      </c>
      <c r="U1235" s="18" t="s">
        <v>5444</v>
      </c>
      <c r="V1235" s="19" t="s">
        <v>29</v>
      </c>
      <c r="W1235" s="19"/>
      <c r="X1235" s="19"/>
      <c r="Y1235" s="20"/>
      <c r="Z1235" s="19"/>
      <c r="AA1235" s="18" t="str">
        <f aca="false">IF(OR(V1235="Aprobada"),R1235,IF(AND(OR(V1235="Aprobada con ajuste",V1235="Rechazada"),W1235&lt;&gt;""),W1235,""))</f>
        <v/>
      </c>
    </row>
    <row r="1236" customFormat="false" ht="32.8" hidden="false" customHeight="false" outlineLevel="0" collapsed="false">
      <c r="A1236" s="18" t="s">
        <v>5445</v>
      </c>
      <c r="B1236" s="18" t="s">
        <v>64</v>
      </c>
      <c r="C1236" s="18" t="s">
        <v>65</v>
      </c>
      <c r="D1236" s="18" t="s">
        <v>5433</v>
      </c>
      <c r="E1236" s="18" t="n">
        <v>0</v>
      </c>
      <c r="F1236" s="18" t="s">
        <v>5446</v>
      </c>
      <c r="G1236" s="18" t="s">
        <v>186</v>
      </c>
      <c r="H1236" s="18" t="s">
        <v>162</v>
      </c>
      <c r="I1236" s="18" t="s">
        <v>298</v>
      </c>
      <c r="J1236" s="18" t="s">
        <v>5447</v>
      </c>
      <c r="K1236" s="18"/>
      <c r="L1236" s="18" t="s">
        <v>162</v>
      </c>
      <c r="M1236" s="18" t="s">
        <v>129</v>
      </c>
      <c r="N1236" s="18"/>
      <c r="O1236" s="18"/>
      <c r="P1236" s="18" t="s">
        <v>5448</v>
      </c>
      <c r="Q1236" s="18" t="s">
        <v>149</v>
      </c>
      <c r="R1236" s="18" t="s">
        <v>5449</v>
      </c>
      <c r="S1236" s="18" t="s">
        <v>133</v>
      </c>
      <c r="T1236" s="18" t="s">
        <v>801</v>
      </c>
      <c r="U1236" s="18"/>
      <c r="V1236" s="19" t="s">
        <v>29</v>
      </c>
      <c r="W1236" s="19"/>
      <c r="X1236" s="19"/>
      <c r="Y1236" s="20"/>
      <c r="Z1236" s="19"/>
      <c r="AA1236" s="18" t="str">
        <f aca="false">IF(OR(V1236="Aprobada"),R1236,IF(AND(OR(V1236="Aprobada con ajuste",V1236="Rechazada"),W1236&lt;&gt;""),W1236,""))</f>
        <v/>
      </c>
    </row>
    <row r="1237" customFormat="false" ht="32.8" hidden="false" customHeight="false" outlineLevel="0" collapsed="false">
      <c r="A1237" s="18" t="s">
        <v>5450</v>
      </c>
      <c r="B1237" s="18" t="s">
        <v>64</v>
      </c>
      <c r="C1237" s="18" t="s">
        <v>65</v>
      </c>
      <c r="D1237" s="18" t="s">
        <v>5433</v>
      </c>
      <c r="E1237" s="18" t="n">
        <v>0</v>
      </c>
      <c r="F1237" s="18" t="s">
        <v>4369</v>
      </c>
      <c r="G1237" s="18" t="s">
        <v>4598</v>
      </c>
      <c r="H1237" s="18" t="s">
        <v>129</v>
      </c>
      <c r="I1237" s="18"/>
      <c r="J1237" s="18"/>
      <c r="K1237" s="18"/>
      <c r="L1237" s="18" t="s">
        <v>129</v>
      </c>
      <c r="M1237" s="18" t="s">
        <v>162</v>
      </c>
      <c r="N1237" s="18" t="s">
        <v>3663</v>
      </c>
      <c r="O1237" s="18"/>
      <c r="P1237" s="18" t="s">
        <v>5451</v>
      </c>
      <c r="Q1237" s="18" t="s">
        <v>149</v>
      </c>
      <c r="R1237" s="18" t="s">
        <v>5452</v>
      </c>
      <c r="S1237" s="18" t="s">
        <v>133</v>
      </c>
      <c r="T1237" s="18" t="s">
        <v>858</v>
      </c>
      <c r="U1237" s="18"/>
      <c r="V1237" s="19" t="s">
        <v>29</v>
      </c>
      <c r="W1237" s="19"/>
      <c r="X1237" s="19"/>
      <c r="Y1237" s="20"/>
      <c r="Z1237" s="19"/>
      <c r="AA1237" s="18" t="str">
        <f aca="false">IF(OR(V1237="Aprobada"),R1237,IF(AND(OR(V1237="Aprobada con ajuste",V1237="Rechazada"),W1237&lt;&gt;""),W1237,""))</f>
        <v/>
      </c>
    </row>
    <row r="1238" customFormat="false" ht="32.8" hidden="false" customHeight="false" outlineLevel="0" collapsed="false">
      <c r="A1238" s="18" t="s">
        <v>5453</v>
      </c>
      <c r="B1238" s="18" t="s">
        <v>64</v>
      </c>
      <c r="C1238" s="18" t="s">
        <v>65</v>
      </c>
      <c r="D1238" s="18" t="s">
        <v>5433</v>
      </c>
      <c r="E1238" s="18" t="n">
        <v>0</v>
      </c>
      <c r="F1238" s="18" t="s">
        <v>160</v>
      </c>
      <c r="G1238" s="18" t="s">
        <v>128</v>
      </c>
      <c r="H1238" s="18" t="s">
        <v>129</v>
      </c>
      <c r="I1238" s="18"/>
      <c r="J1238" s="18"/>
      <c r="K1238" s="18"/>
      <c r="L1238" s="18" t="s">
        <v>129</v>
      </c>
      <c r="M1238" s="18" t="s">
        <v>162</v>
      </c>
      <c r="N1238" s="18" t="s">
        <v>3663</v>
      </c>
      <c r="O1238" s="18"/>
      <c r="P1238" s="18" t="s">
        <v>5454</v>
      </c>
      <c r="Q1238" s="18" t="s">
        <v>138</v>
      </c>
      <c r="R1238" s="18" t="s">
        <v>5455</v>
      </c>
      <c r="S1238" s="18" t="s">
        <v>140</v>
      </c>
      <c r="T1238" s="18" t="s">
        <v>141</v>
      </c>
      <c r="U1238" s="18"/>
      <c r="V1238" s="19" t="s">
        <v>29</v>
      </c>
      <c r="W1238" s="19"/>
      <c r="X1238" s="19"/>
      <c r="Y1238" s="20"/>
      <c r="Z1238" s="19"/>
      <c r="AA1238" s="18" t="str">
        <f aca="false">IF(OR(V1238="Aprobada"),R1238,IF(AND(OR(V1238="Aprobada con ajuste",V1238="Rechazada"),W1238&lt;&gt;""),W1238,""))</f>
        <v/>
      </c>
    </row>
    <row r="1239" customFormat="false" ht="32.8" hidden="false" customHeight="false" outlineLevel="0" collapsed="false">
      <c r="A1239" s="18" t="s">
        <v>5456</v>
      </c>
      <c r="B1239" s="18" t="s">
        <v>64</v>
      </c>
      <c r="C1239" s="18" t="s">
        <v>65</v>
      </c>
      <c r="D1239" s="18" t="s">
        <v>5433</v>
      </c>
      <c r="E1239" s="18" t="n">
        <v>0</v>
      </c>
      <c r="F1239" s="18" t="s">
        <v>5457</v>
      </c>
      <c r="G1239" s="18" t="s">
        <v>128</v>
      </c>
      <c r="H1239" s="18" t="s">
        <v>162</v>
      </c>
      <c r="I1239" s="18"/>
      <c r="J1239" s="18"/>
      <c r="K1239" s="18"/>
      <c r="L1239" s="18" t="s">
        <v>129</v>
      </c>
      <c r="M1239" s="18" t="s">
        <v>129</v>
      </c>
      <c r="N1239" s="18"/>
      <c r="O1239" s="18"/>
      <c r="P1239" s="18" t="s">
        <v>5458</v>
      </c>
      <c r="Q1239" s="18" t="s">
        <v>149</v>
      </c>
      <c r="R1239" s="18" t="s">
        <v>5459</v>
      </c>
      <c r="S1239" s="18" t="s">
        <v>133</v>
      </c>
      <c r="T1239" s="18" t="s">
        <v>183</v>
      </c>
      <c r="U1239" s="18"/>
      <c r="V1239" s="19" t="s">
        <v>29</v>
      </c>
      <c r="W1239" s="19"/>
      <c r="X1239" s="19"/>
      <c r="Y1239" s="20"/>
      <c r="Z1239" s="19"/>
      <c r="AA1239" s="18" t="str">
        <f aca="false">IF(OR(V1239="Aprobada"),R1239,IF(AND(OR(V1239="Aprobada con ajuste",V1239="Rechazada"),W1239&lt;&gt;""),W1239,""))</f>
        <v/>
      </c>
    </row>
    <row r="1240" customFormat="false" ht="32.8" hidden="false" customHeight="false" outlineLevel="0" collapsed="false">
      <c r="A1240" s="18" t="s">
        <v>5460</v>
      </c>
      <c r="B1240" s="18" t="s">
        <v>64</v>
      </c>
      <c r="C1240" s="18" t="s">
        <v>65</v>
      </c>
      <c r="D1240" s="18" t="s">
        <v>5433</v>
      </c>
      <c r="E1240" s="18" t="n">
        <v>0</v>
      </c>
      <c r="F1240" s="18" t="s">
        <v>5461</v>
      </c>
      <c r="G1240" s="18" t="s">
        <v>128</v>
      </c>
      <c r="H1240" s="18" t="s">
        <v>162</v>
      </c>
      <c r="I1240" s="18"/>
      <c r="J1240" s="18"/>
      <c r="K1240" s="18"/>
      <c r="L1240" s="18" t="s">
        <v>129</v>
      </c>
      <c r="M1240" s="18" t="s">
        <v>129</v>
      </c>
      <c r="N1240" s="18"/>
      <c r="O1240" s="18"/>
      <c r="P1240" s="18" t="s">
        <v>5462</v>
      </c>
      <c r="Q1240" s="18" t="s">
        <v>149</v>
      </c>
      <c r="R1240" s="18" t="s">
        <v>5463</v>
      </c>
      <c r="S1240" s="18" t="s">
        <v>133</v>
      </c>
      <c r="T1240" s="18" t="s">
        <v>183</v>
      </c>
      <c r="U1240" s="18"/>
      <c r="V1240" s="19" t="s">
        <v>29</v>
      </c>
      <c r="W1240" s="19"/>
      <c r="X1240" s="19"/>
      <c r="Y1240" s="20"/>
      <c r="Z1240" s="19"/>
      <c r="AA1240" s="18" t="str">
        <f aca="false">IF(OR(V1240="Aprobada"),R1240,IF(AND(OR(V1240="Aprobada con ajuste",V1240="Rechazada"),W1240&lt;&gt;""),W1240,""))</f>
        <v/>
      </c>
    </row>
    <row r="1241" customFormat="false" ht="32.8" hidden="false" customHeight="false" outlineLevel="0" collapsed="false">
      <c r="A1241" s="18" t="s">
        <v>5464</v>
      </c>
      <c r="B1241" s="18" t="s">
        <v>64</v>
      </c>
      <c r="C1241" s="18" t="s">
        <v>65</v>
      </c>
      <c r="D1241" s="18" t="s">
        <v>5433</v>
      </c>
      <c r="E1241" s="18" t="n">
        <v>0</v>
      </c>
      <c r="F1241" s="18" t="s">
        <v>5465</v>
      </c>
      <c r="G1241" s="18" t="s">
        <v>337</v>
      </c>
      <c r="H1241" s="18" t="s">
        <v>162</v>
      </c>
      <c r="I1241" s="18"/>
      <c r="J1241" s="18"/>
      <c r="K1241" s="18"/>
      <c r="L1241" s="18" t="s">
        <v>129</v>
      </c>
      <c r="M1241" s="18" t="s">
        <v>129</v>
      </c>
      <c r="N1241" s="18"/>
      <c r="O1241" s="18"/>
      <c r="P1241" s="18" t="s">
        <v>5466</v>
      </c>
      <c r="Q1241" s="18" t="s">
        <v>149</v>
      </c>
      <c r="R1241" s="18" t="s">
        <v>5467</v>
      </c>
      <c r="S1241" s="18" t="s">
        <v>140</v>
      </c>
      <c r="T1241" s="18" t="s">
        <v>183</v>
      </c>
      <c r="U1241" s="18" t="s">
        <v>5468</v>
      </c>
      <c r="V1241" s="19" t="s">
        <v>29</v>
      </c>
      <c r="W1241" s="19"/>
      <c r="X1241" s="19"/>
      <c r="Y1241" s="20"/>
      <c r="Z1241" s="19"/>
      <c r="AA1241" s="18" t="str">
        <f aca="false">IF(OR(V1241="Aprobada"),R1241,IF(AND(OR(V1241="Aprobada con ajuste",V1241="Rechazada"),W1241&lt;&gt;""),W1241,""))</f>
        <v/>
      </c>
    </row>
    <row r="1242" customFormat="false" ht="32.8" hidden="false" customHeight="false" outlineLevel="0" collapsed="false">
      <c r="A1242" s="18" t="s">
        <v>5469</v>
      </c>
      <c r="B1242" s="18" t="s">
        <v>64</v>
      </c>
      <c r="C1242" s="18" t="s">
        <v>65</v>
      </c>
      <c r="D1242" s="18" t="s">
        <v>5433</v>
      </c>
      <c r="E1242" s="18" t="n">
        <v>0</v>
      </c>
      <c r="F1242" s="18" t="s">
        <v>5470</v>
      </c>
      <c r="G1242" s="18" t="s">
        <v>454</v>
      </c>
      <c r="H1242" s="18" t="s">
        <v>162</v>
      </c>
      <c r="I1242" s="18"/>
      <c r="J1242" s="18"/>
      <c r="K1242" s="18"/>
      <c r="L1242" s="18" t="s">
        <v>129</v>
      </c>
      <c r="M1242" s="18" t="s">
        <v>129</v>
      </c>
      <c r="N1242" s="18"/>
      <c r="O1242" s="18"/>
      <c r="P1242" s="18" t="s">
        <v>5471</v>
      </c>
      <c r="Q1242" s="18" t="s">
        <v>149</v>
      </c>
      <c r="R1242" s="18" t="s">
        <v>5472</v>
      </c>
      <c r="S1242" s="18" t="s">
        <v>140</v>
      </c>
      <c r="T1242" s="18" t="s">
        <v>183</v>
      </c>
      <c r="U1242" s="18" t="s">
        <v>5473</v>
      </c>
      <c r="V1242" s="19" t="s">
        <v>29</v>
      </c>
      <c r="W1242" s="19"/>
      <c r="X1242" s="19"/>
      <c r="Y1242" s="20"/>
      <c r="Z1242" s="19"/>
      <c r="AA1242" s="18" t="str">
        <f aca="false">IF(OR(V1242="Aprobada"),R1242,IF(AND(OR(V1242="Aprobada con ajuste",V1242="Rechazada"),W1242&lt;&gt;""),W1242,""))</f>
        <v/>
      </c>
    </row>
    <row r="1243" customFormat="false" ht="32.8" hidden="false" customHeight="false" outlineLevel="0" collapsed="false">
      <c r="A1243" s="18" t="s">
        <v>5474</v>
      </c>
      <c r="B1243" s="18" t="s">
        <v>64</v>
      </c>
      <c r="C1243" s="18" t="s">
        <v>65</v>
      </c>
      <c r="D1243" s="18" t="s">
        <v>5433</v>
      </c>
      <c r="E1243" s="18" t="n">
        <v>0</v>
      </c>
      <c r="F1243" s="18" t="s">
        <v>5475</v>
      </c>
      <c r="G1243" s="18" t="s">
        <v>128</v>
      </c>
      <c r="H1243" s="18" t="s">
        <v>129</v>
      </c>
      <c r="I1243" s="18"/>
      <c r="J1243" s="18"/>
      <c r="K1243" s="18"/>
      <c r="L1243" s="18" t="s">
        <v>129</v>
      </c>
      <c r="M1243" s="18" t="s">
        <v>129</v>
      </c>
      <c r="N1243" s="18"/>
      <c r="O1243" s="18"/>
      <c r="P1243" s="18" t="s">
        <v>5476</v>
      </c>
      <c r="Q1243" s="18" t="s">
        <v>149</v>
      </c>
      <c r="R1243" s="18" t="s">
        <v>5477</v>
      </c>
      <c r="S1243" s="18" t="s">
        <v>133</v>
      </c>
      <c r="T1243" s="18" t="s">
        <v>183</v>
      </c>
      <c r="U1243" s="18"/>
      <c r="V1243" s="19" t="s">
        <v>29</v>
      </c>
      <c r="W1243" s="19"/>
      <c r="X1243" s="19"/>
      <c r="Y1243" s="20"/>
      <c r="Z1243" s="19"/>
      <c r="AA1243" s="18" t="str">
        <f aca="false">IF(OR(V1243="Aprobada"),R1243,IF(AND(OR(V1243="Aprobada con ajuste",V1243="Rechazada"),W1243&lt;&gt;""),W1243,""))</f>
        <v/>
      </c>
    </row>
    <row r="1244" customFormat="false" ht="32.8" hidden="false" customHeight="false" outlineLevel="0" collapsed="false">
      <c r="A1244" s="18" t="s">
        <v>5478</v>
      </c>
      <c r="B1244" s="18" t="s">
        <v>64</v>
      </c>
      <c r="C1244" s="18" t="s">
        <v>65</v>
      </c>
      <c r="D1244" s="18" t="s">
        <v>5433</v>
      </c>
      <c r="E1244" s="18" t="n">
        <v>0</v>
      </c>
      <c r="F1244" s="18" t="s">
        <v>5479</v>
      </c>
      <c r="G1244" s="18" t="s">
        <v>137</v>
      </c>
      <c r="H1244" s="18" t="s">
        <v>129</v>
      </c>
      <c r="I1244" s="18"/>
      <c r="J1244" s="18"/>
      <c r="K1244" s="18"/>
      <c r="L1244" s="18" t="s">
        <v>129</v>
      </c>
      <c r="M1244" s="18" t="s">
        <v>129</v>
      </c>
      <c r="N1244" s="18"/>
      <c r="O1244" s="18" t="s">
        <v>5480</v>
      </c>
      <c r="P1244" s="18" t="s">
        <v>5481</v>
      </c>
      <c r="Q1244" s="18" t="s">
        <v>138</v>
      </c>
      <c r="R1244" s="18" t="s">
        <v>5482</v>
      </c>
      <c r="S1244" s="18" t="s">
        <v>140</v>
      </c>
      <c r="T1244" s="18" t="s">
        <v>141</v>
      </c>
      <c r="U1244" s="18"/>
      <c r="V1244" s="19" t="s">
        <v>29</v>
      </c>
      <c r="W1244" s="19"/>
      <c r="X1244" s="19"/>
      <c r="Y1244" s="20"/>
      <c r="Z1244" s="19"/>
      <c r="AA1244" s="18" t="str">
        <f aca="false">IF(OR(V1244="Aprobada"),R1244,IF(AND(OR(V1244="Aprobada con ajuste",V1244="Rechazada"),W1244&lt;&gt;""),W1244,""))</f>
        <v/>
      </c>
    </row>
    <row r="1245" customFormat="false" ht="32.8" hidden="false" customHeight="false" outlineLevel="0" collapsed="false">
      <c r="A1245" s="18" t="s">
        <v>5483</v>
      </c>
      <c r="B1245" s="18" t="s">
        <v>64</v>
      </c>
      <c r="C1245" s="18" t="s">
        <v>65</v>
      </c>
      <c r="D1245" s="18" t="s">
        <v>5433</v>
      </c>
      <c r="E1245" s="18" t="n">
        <v>0</v>
      </c>
      <c r="F1245" s="18" t="s">
        <v>5484</v>
      </c>
      <c r="G1245" s="18" t="s">
        <v>128</v>
      </c>
      <c r="H1245" s="18" t="s">
        <v>162</v>
      </c>
      <c r="I1245" s="18"/>
      <c r="J1245" s="18"/>
      <c r="K1245" s="18"/>
      <c r="L1245" s="18" t="s">
        <v>129</v>
      </c>
      <c r="M1245" s="18" t="s">
        <v>129</v>
      </c>
      <c r="N1245" s="18"/>
      <c r="O1245" s="18"/>
      <c r="P1245" s="18" t="s">
        <v>5485</v>
      </c>
      <c r="Q1245" s="18" t="s">
        <v>149</v>
      </c>
      <c r="R1245" s="18" t="s">
        <v>5486</v>
      </c>
      <c r="S1245" s="18" t="s">
        <v>140</v>
      </c>
      <c r="T1245" s="18" t="s">
        <v>183</v>
      </c>
      <c r="U1245" s="18" t="s">
        <v>5487</v>
      </c>
      <c r="V1245" s="19" t="s">
        <v>29</v>
      </c>
      <c r="W1245" s="19"/>
      <c r="X1245" s="19"/>
      <c r="Y1245" s="20"/>
      <c r="Z1245" s="19"/>
      <c r="AA1245" s="18" t="str">
        <f aca="false">IF(OR(V1245="Aprobada"),R1245,IF(AND(OR(V1245="Aprobada con ajuste",V1245="Rechazada"),W1245&lt;&gt;""),W1245,""))</f>
        <v/>
      </c>
    </row>
    <row r="1246" customFormat="false" ht="32.8" hidden="false" customHeight="false" outlineLevel="0" collapsed="false">
      <c r="A1246" s="18" t="s">
        <v>5488</v>
      </c>
      <c r="B1246" s="18" t="s">
        <v>64</v>
      </c>
      <c r="C1246" s="18" t="s">
        <v>65</v>
      </c>
      <c r="D1246" s="18" t="s">
        <v>5433</v>
      </c>
      <c r="E1246" s="18" t="n">
        <v>0</v>
      </c>
      <c r="F1246" s="18" t="s">
        <v>5489</v>
      </c>
      <c r="G1246" s="18" t="s">
        <v>486</v>
      </c>
      <c r="H1246" s="18" t="s">
        <v>162</v>
      </c>
      <c r="I1246" s="18"/>
      <c r="J1246" s="18"/>
      <c r="K1246" s="18"/>
      <c r="L1246" s="18" t="s">
        <v>129</v>
      </c>
      <c r="M1246" s="18" t="s">
        <v>129</v>
      </c>
      <c r="N1246" s="18"/>
      <c r="O1246" s="18"/>
      <c r="P1246" s="18" t="s">
        <v>5490</v>
      </c>
      <c r="Q1246" s="18" t="s">
        <v>149</v>
      </c>
      <c r="R1246" s="18" t="s">
        <v>5491</v>
      </c>
      <c r="S1246" s="18" t="s">
        <v>140</v>
      </c>
      <c r="T1246" s="18" t="s">
        <v>183</v>
      </c>
      <c r="U1246" s="18" t="s">
        <v>5492</v>
      </c>
      <c r="V1246" s="19" t="s">
        <v>29</v>
      </c>
      <c r="W1246" s="19"/>
      <c r="X1246" s="19"/>
      <c r="Y1246" s="20"/>
      <c r="Z1246" s="19"/>
      <c r="AA1246" s="18" t="str">
        <f aca="false">IF(OR(V1246="Aprobada"),R1246,IF(AND(OR(V1246="Aprobada con ajuste",V1246="Rechazada"),W1246&lt;&gt;""),W1246,""))</f>
        <v/>
      </c>
    </row>
    <row r="1247" customFormat="false" ht="32.8" hidden="false" customHeight="false" outlineLevel="0" collapsed="false">
      <c r="A1247" s="18" t="s">
        <v>5493</v>
      </c>
      <c r="B1247" s="18" t="s">
        <v>64</v>
      </c>
      <c r="C1247" s="18" t="s">
        <v>65</v>
      </c>
      <c r="D1247" s="18" t="s">
        <v>5433</v>
      </c>
      <c r="E1247" s="18" t="n">
        <v>0</v>
      </c>
      <c r="F1247" s="18" t="s">
        <v>185</v>
      </c>
      <c r="G1247" s="18" t="s">
        <v>186</v>
      </c>
      <c r="H1247" s="18" t="s">
        <v>162</v>
      </c>
      <c r="I1247" s="18" t="s">
        <v>298</v>
      </c>
      <c r="J1247" s="18" t="s">
        <v>5494</v>
      </c>
      <c r="K1247" s="18"/>
      <c r="L1247" s="18" t="s">
        <v>162</v>
      </c>
      <c r="M1247" s="18" t="s">
        <v>162</v>
      </c>
      <c r="N1247" s="18" t="s">
        <v>5495</v>
      </c>
      <c r="O1247" s="18" t="s">
        <v>5496</v>
      </c>
      <c r="P1247" s="18" t="s">
        <v>5497</v>
      </c>
      <c r="Q1247" s="18" t="s">
        <v>138</v>
      </c>
      <c r="R1247" s="18" t="s">
        <v>5498</v>
      </c>
      <c r="S1247" s="18" t="s">
        <v>140</v>
      </c>
      <c r="T1247" s="18" t="s">
        <v>141</v>
      </c>
      <c r="U1247" s="18"/>
      <c r="V1247" s="19" t="s">
        <v>29</v>
      </c>
      <c r="W1247" s="19"/>
      <c r="X1247" s="19"/>
      <c r="Y1247" s="20"/>
      <c r="Z1247" s="19"/>
      <c r="AA1247" s="18" t="str">
        <f aca="false">IF(OR(V1247="Aprobada"),R1247,IF(AND(OR(V1247="Aprobada con ajuste",V1247="Rechazada"),W1247&lt;&gt;""),W1247,""))</f>
        <v/>
      </c>
    </row>
    <row r="1248" customFormat="false" ht="32.8" hidden="false" customHeight="false" outlineLevel="0" collapsed="false">
      <c r="A1248" s="18" t="s">
        <v>5499</v>
      </c>
      <c r="B1248" s="18" t="s">
        <v>64</v>
      </c>
      <c r="C1248" s="18" t="s">
        <v>65</v>
      </c>
      <c r="D1248" s="18" t="s">
        <v>5433</v>
      </c>
      <c r="E1248" s="18" t="n">
        <v>0</v>
      </c>
      <c r="F1248" s="18" t="s">
        <v>5500</v>
      </c>
      <c r="G1248" s="18" t="s">
        <v>503</v>
      </c>
      <c r="H1248" s="18" t="s">
        <v>162</v>
      </c>
      <c r="I1248" s="18" t="s">
        <v>298</v>
      </c>
      <c r="J1248" s="18"/>
      <c r="K1248" s="18"/>
      <c r="L1248" s="18" t="s">
        <v>129</v>
      </c>
      <c r="M1248" s="18" t="s">
        <v>129</v>
      </c>
      <c r="N1248" s="18"/>
      <c r="O1248" s="18"/>
      <c r="P1248" s="18" t="s">
        <v>5501</v>
      </c>
      <c r="Q1248" s="18" t="s">
        <v>149</v>
      </c>
      <c r="R1248" s="18" t="s">
        <v>5502</v>
      </c>
      <c r="S1248" s="18" t="s">
        <v>140</v>
      </c>
      <c r="T1248" s="18" t="s">
        <v>5503</v>
      </c>
      <c r="U1248" s="18" t="s">
        <v>5504</v>
      </c>
      <c r="V1248" s="19" t="s">
        <v>29</v>
      </c>
      <c r="W1248" s="19"/>
      <c r="X1248" s="19"/>
      <c r="Y1248" s="20"/>
      <c r="Z1248" s="19"/>
      <c r="AA1248" s="18" t="str">
        <f aca="false">IF(OR(V1248="Aprobada"),R1248,IF(AND(OR(V1248="Aprobada con ajuste",V1248="Rechazada"),W1248&lt;&gt;""),W1248,""))</f>
        <v/>
      </c>
    </row>
    <row r="1249" customFormat="false" ht="32.8" hidden="false" customHeight="false" outlineLevel="0" collapsed="false">
      <c r="A1249" s="18" t="s">
        <v>5505</v>
      </c>
      <c r="B1249" s="18" t="s">
        <v>64</v>
      </c>
      <c r="C1249" s="18" t="s">
        <v>65</v>
      </c>
      <c r="D1249" s="18" t="s">
        <v>5433</v>
      </c>
      <c r="E1249" s="18" t="n">
        <v>0</v>
      </c>
      <c r="F1249" s="18" t="s">
        <v>5506</v>
      </c>
      <c r="G1249" s="18" t="s">
        <v>317</v>
      </c>
      <c r="H1249" s="18" t="s">
        <v>162</v>
      </c>
      <c r="I1249" s="18"/>
      <c r="J1249" s="18"/>
      <c r="K1249" s="18"/>
      <c r="L1249" s="18" t="s">
        <v>129</v>
      </c>
      <c r="M1249" s="18" t="s">
        <v>129</v>
      </c>
      <c r="N1249" s="18"/>
      <c r="O1249" s="18"/>
      <c r="P1249" s="18" t="s">
        <v>5507</v>
      </c>
      <c r="Q1249" s="18" t="s">
        <v>138</v>
      </c>
      <c r="R1249" s="18" t="s">
        <v>5508</v>
      </c>
      <c r="S1249" s="18" t="s">
        <v>140</v>
      </c>
      <c r="T1249" s="18" t="s">
        <v>141</v>
      </c>
      <c r="U1249" s="18"/>
      <c r="V1249" s="19" t="s">
        <v>29</v>
      </c>
      <c r="W1249" s="19"/>
      <c r="X1249" s="19"/>
      <c r="Y1249" s="20"/>
      <c r="Z1249" s="19"/>
      <c r="AA1249" s="18" t="str">
        <f aca="false">IF(OR(V1249="Aprobada"),R1249,IF(AND(OR(V1249="Aprobada con ajuste",V1249="Rechazada"),W1249&lt;&gt;""),W1249,""))</f>
        <v/>
      </c>
    </row>
    <row r="1250" customFormat="false" ht="32.8" hidden="false" customHeight="false" outlineLevel="0" collapsed="false">
      <c r="A1250" s="18" t="s">
        <v>5509</v>
      </c>
      <c r="B1250" s="18" t="s">
        <v>64</v>
      </c>
      <c r="C1250" s="18" t="s">
        <v>65</v>
      </c>
      <c r="D1250" s="18" t="s">
        <v>5433</v>
      </c>
      <c r="E1250" s="18" t="n">
        <v>0</v>
      </c>
      <c r="F1250" s="18" t="s">
        <v>5510</v>
      </c>
      <c r="G1250" s="18" t="s">
        <v>137</v>
      </c>
      <c r="H1250" s="18" t="s">
        <v>162</v>
      </c>
      <c r="I1250" s="18"/>
      <c r="J1250" s="18"/>
      <c r="K1250" s="18"/>
      <c r="L1250" s="18" t="s">
        <v>129</v>
      </c>
      <c r="M1250" s="18" t="s">
        <v>129</v>
      </c>
      <c r="N1250" s="18"/>
      <c r="O1250" s="18"/>
      <c r="P1250" s="18" t="s">
        <v>5511</v>
      </c>
      <c r="Q1250" s="18" t="s">
        <v>138</v>
      </c>
      <c r="R1250" s="18" t="s">
        <v>5512</v>
      </c>
      <c r="S1250" s="18" t="s">
        <v>140</v>
      </c>
      <c r="T1250" s="18" t="s">
        <v>141</v>
      </c>
      <c r="U1250" s="18"/>
      <c r="V1250" s="19" t="s">
        <v>29</v>
      </c>
      <c r="W1250" s="19"/>
      <c r="X1250" s="19"/>
      <c r="Y1250" s="20"/>
      <c r="Z1250" s="19"/>
      <c r="AA1250" s="18" t="str">
        <f aca="false">IF(OR(V1250="Aprobada"),R1250,IF(AND(OR(V1250="Aprobada con ajuste",V1250="Rechazada"),W1250&lt;&gt;""),W1250,""))</f>
        <v/>
      </c>
    </row>
    <row r="1251" customFormat="false" ht="32.8" hidden="false" customHeight="false" outlineLevel="0" collapsed="false">
      <c r="A1251" s="18" t="s">
        <v>5513</v>
      </c>
      <c r="B1251" s="18" t="s">
        <v>64</v>
      </c>
      <c r="C1251" s="18" t="s">
        <v>65</v>
      </c>
      <c r="D1251" s="18" t="s">
        <v>5433</v>
      </c>
      <c r="E1251" s="18" t="n">
        <v>0</v>
      </c>
      <c r="F1251" s="18" t="s">
        <v>5514</v>
      </c>
      <c r="G1251" s="18" t="s">
        <v>205</v>
      </c>
      <c r="H1251" s="18" t="s">
        <v>162</v>
      </c>
      <c r="I1251" s="18" t="s">
        <v>298</v>
      </c>
      <c r="J1251" s="18" t="s">
        <v>5515</v>
      </c>
      <c r="K1251" s="18"/>
      <c r="L1251" s="18" t="s">
        <v>162</v>
      </c>
      <c r="M1251" s="18" t="s">
        <v>129</v>
      </c>
      <c r="N1251" s="18"/>
      <c r="O1251" s="18"/>
      <c r="P1251" s="18" t="s">
        <v>5516</v>
      </c>
      <c r="Q1251" s="18" t="s">
        <v>149</v>
      </c>
      <c r="R1251" s="18" t="s">
        <v>5517</v>
      </c>
      <c r="S1251" s="18" t="s">
        <v>133</v>
      </c>
      <c r="T1251" s="18" t="s">
        <v>801</v>
      </c>
      <c r="U1251" s="18"/>
      <c r="V1251" s="19" t="s">
        <v>29</v>
      </c>
      <c r="W1251" s="19"/>
      <c r="X1251" s="19"/>
      <c r="Y1251" s="20"/>
      <c r="Z1251" s="19"/>
      <c r="AA1251" s="18" t="str">
        <f aca="false">IF(OR(V1251="Aprobada"),R1251,IF(AND(OR(V1251="Aprobada con ajuste",V1251="Rechazada"),W1251&lt;&gt;""),W1251,""))</f>
        <v/>
      </c>
    </row>
    <row r="1252" customFormat="false" ht="32.8" hidden="false" customHeight="false" outlineLevel="0" collapsed="false">
      <c r="A1252" s="18" t="s">
        <v>5518</v>
      </c>
      <c r="B1252" s="18" t="s">
        <v>64</v>
      </c>
      <c r="C1252" s="18" t="s">
        <v>65</v>
      </c>
      <c r="D1252" s="18" t="s">
        <v>5433</v>
      </c>
      <c r="E1252" s="18" t="n">
        <v>0</v>
      </c>
      <c r="F1252" s="18" t="s">
        <v>5519</v>
      </c>
      <c r="G1252" s="18" t="s">
        <v>128</v>
      </c>
      <c r="H1252" s="18" t="s">
        <v>162</v>
      </c>
      <c r="I1252" s="18"/>
      <c r="J1252" s="18"/>
      <c r="K1252" s="18"/>
      <c r="L1252" s="18" t="s">
        <v>129</v>
      </c>
      <c r="M1252" s="18" t="s">
        <v>129</v>
      </c>
      <c r="N1252" s="18"/>
      <c r="O1252" s="18"/>
      <c r="P1252" s="18" t="s">
        <v>5520</v>
      </c>
      <c r="Q1252" s="18" t="s">
        <v>149</v>
      </c>
      <c r="R1252" s="18" t="s">
        <v>5521</v>
      </c>
      <c r="S1252" s="18" t="s">
        <v>140</v>
      </c>
      <c r="T1252" s="18" t="s">
        <v>183</v>
      </c>
      <c r="U1252" s="18" t="s">
        <v>5522</v>
      </c>
      <c r="V1252" s="19" t="s">
        <v>29</v>
      </c>
      <c r="W1252" s="19"/>
      <c r="X1252" s="19"/>
      <c r="Y1252" s="20"/>
      <c r="Z1252" s="19"/>
      <c r="AA1252" s="18" t="str">
        <f aca="false">IF(OR(V1252="Aprobada"),R1252,IF(AND(OR(V1252="Aprobada con ajuste",V1252="Rechazada"),W1252&lt;&gt;""),W1252,""))</f>
        <v/>
      </c>
    </row>
    <row r="1253" customFormat="false" ht="22.35" hidden="false" customHeight="false" outlineLevel="0" collapsed="false">
      <c r="A1253" s="18" t="s">
        <v>5523</v>
      </c>
      <c r="B1253" s="18" t="s">
        <v>64</v>
      </c>
      <c r="C1253" s="18" t="s">
        <v>65</v>
      </c>
      <c r="D1253" s="18" t="s">
        <v>5524</v>
      </c>
      <c r="E1253" s="18" t="n">
        <v>0</v>
      </c>
      <c r="F1253" s="18" t="s">
        <v>1744</v>
      </c>
      <c r="G1253" s="18" t="s">
        <v>486</v>
      </c>
      <c r="H1253" s="18" t="s">
        <v>129</v>
      </c>
      <c r="I1253" s="18"/>
      <c r="J1253" s="18"/>
      <c r="K1253" s="18"/>
      <c r="L1253" s="18" t="s">
        <v>129</v>
      </c>
      <c r="M1253" s="18" t="s">
        <v>129</v>
      </c>
      <c r="N1253" s="18"/>
      <c r="O1253" s="18"/>
      <c r="P1253" s="18"/>
      <c r="Q1253" s="18" t="s">
        <v>149</v>
      </c>
      <c r="R1253" s="18" t="s">
        <v>5525</v>
      </c>
      <c r="S1253" s="18" t="s">
        <v>140</v>
      </c>
      <c r="T1253" s="18" t="s">
        <v>183</v>
      </c>
      <c r="U1253" s="18" t="s">
        <v>5526</v>
      </c>
      <c r="V1253" s="19" t="s">
        <v>29</v>
      </c>
      <c r="W1253" s="19"/>
      <c r="X1253" s="19"/>
      <c r="Y1253" s="20"/>
      <c r="Z1253" s="19"/>
      <c r="AA1253" s="18" t="str">
        <f aca="false">IF(OR(V1253="Aprobada"),R1253,IF(AND(OR(V1253="Aprobada con ajuste",V1253="Rechazada"),W1253&lt;&gt;""),W1253,""))</f>
        <v/>
      </c>
    </row>
    <row r="1254" customFormat="false" ht="22.35" hidden="false" customHeight="false" outlineLevel="0" collapsed="false">
      <c r="A1254" s="18" t="s">
        <v>5527</v>
      </c>
      <c r="B1254" s="18" t="s">
        <v>64</v>
      </c>
      <c r="C1254" s="18" t="s">
        <v>65</v>
      </c>
      <c r="D1254" s="18" t="s">
        <v>5524</v>
      </c>
      <c r="E1254" s="18" t="n">
        <v>0</v>
      </c>
      <c r="F1254" s="18" t="s">
        <v>160</v>
      </c>
      <c r="G1254" s="18" t="s">
        <v>128</v>
      </c>
      <c r="H1254" s="18" t="s">
        <v>162</v>
      </c>
      <c r="I1254" s="18"/>
      <c r="J1254" s="18"/>
      <c r="K1254" s="18"/>
      <c r="L1254" s="18" t="s">
        <v>129</v>
      </c>
      <c r="M1254" s="18" t="s">
        <v>129</v>
      </c>
      <c r="N1254" s="18"/>
      <c r="O1254" s="18"/>
      <c r="P1254" s="18"/>
      <c r="Q1254" s="18" t="s">
        <v>138</v>
      </c>
      <c r="R1254" s="18" t="s">
        <v>5528</v>
      </c>
      <c r="S1254" s="18" t="s">
        <v>140</v>
      </c>
      <c r="T1254" s="18" t="s">
        <v>141</v>
      </c>
      <c r="U1254" s="18"/>
      <c r="V1254" s="19" t="s">
        <v>29</v>
      </c>
      <c r="W1254" s="19"/>
      <c r="X1254" s="19"/>
      <c r="Y1254" s="20"/>
      <c r="Z1254" s="19"/>
      <c r="AA1254" s="18" t="str">
        <f aca="false">IF(OR(V1254="Aprobada"),R1254,IF(AND(OR(V1254="Aprobada con ajuste",V1254="Rechazada"),W1254&lt;&gt;""),W1254,""))</f>
        <v/>
      </c>
    </row>
    <row r="1255" customFormat="false" ht="22.35" hidden="false" customHeight="false" outlineLevel="0" collapsed="false">
      <c r="A1255" s="18" t="s">
        <v>5529</v>
      </c>
      <c r="B1255" s="18" t="s">
        <v>64</v>
      </c>
      <c r="C1255" s="18" t="s">
        <v>65</v>
      </c>
      <c r="D1255" s="18" t="s">
        <v>5524</v>
      </c>
      <c r="E1255" s="18" t="n">
        <v>0</v>
      </c>
      <c r="F1255" s="18" t="s">
        <v>5530</v>
      </c>
      <c r="G1255" s="18" t="s">
        <v>186</v>
      </c>
      <c r="H1255" s="18" t="s">
        <v>162</v>
      </c>
      <c r="I1255" s="18"/>
      <c r="J1255" s="18"/>
      <c r="K1255" s="18"/>
      <c r="L1255" s="18" t="s">
        <v>129</v>
      </c>
      <c r="M1255" s="18" t="s">
        <v>129</v>
      </c>
      <c r="N1255" s="18"/>
      <c r="O1255" s="18"/>
      <c r="P1255" s="18"/>
      <c r="Q1255" s="18" t="s">
        <v>149</v>
      </c>
      <c r="R1255" s="18" t="s">
        <v>5531</v>
      </c>
      <c r="S1255" s="18" t="s">
        <v>133</v>
      </c>
      <c r="T1255" s="18" t="s">
        <v>183</v>
      </c>
      <c r="U1255" s="18"/>
      <c r="V1255" s="19" t="s">
        <v>29</v>
      </c>
      <c r="W1255" s="19"/>
      <c r="X1255" s="19"/>
      <c r="Y1255" s="20"/>
      <c r="Z1255" s="19"/>
      <c r="AA1255" s="18" t="str">
        <f aca="false">IF(OR(V1255="Aprobada"),R1255,IF(AND(OR(V1255="Aprobada con ajuste",V1255="Rechazada"),W1255&lt;&gt;""),W1255,""))</f>
        <v/>
      </c>
    </row>
    <row r="1256" customFormat="false" ht="22.35" hidden="false" customHeight="false" outlineLevel="0" collapsed="false">
      <c r="A1256" s="18" t="s">
        <v>5532</v>
      </c>
      <c r="B1256" s="18" t="s">
        <v>64</v>
      </c>
      <c r="C1256" s="18" t="s">
        <v>65</v>
      </c>
      <c r="D1256" s="18" t="s">
        <v>5524</v>
      </c>
      <c r="E1256" s="18" t="n">
        <v>0</v>
      </c>
      <c r="F1256" s="18" t="s">
        <v>5533</v>
      </c>
      <c r="G1256" s="18" t="s">
        <v>186</v>
      </c>
      <c r="H1256" s="18" t="s">
        <v>162</v>
      </c>
      <c r="I1256" s="18"/>
      <c r="J1256" s="18"/>
      <c r="K1256" s="18"/>
      <c r="L1256" s="18" t="s">
        <v>129</v>
      </c>
      <c r="M1256" s="18" t="s">
        <v>129</v>
      </c>
      <c r="N1256" s="18"/>
      <c r="O1256" s="18"/>
      <c r="P1256" s="18"/>
      <c r="Q1256" s="18" t="s">
        <v>149</v>
      </c>
      <c r="R1256" s="18" t="s">
        <v>5534</v>
      </c>
      <c r="S1256" s="18" t="s">
        <v>133</v>
      </c>
      <c r="T1256" s="18" t="s">
        <v>183</v>
      </c>
      <c r="U1256" s="18"/>
      <c r="V1256" s="19" t="s">
        <v>29</v>
      </c>
      <c r="W1256" s="19"/>
      <c r="X1256" s="19"/>
      <c r="Y1256" s="20"/>
      <c r="Z1256" s="19"/>
      <c r="AA1256" s="18" t="str">
        <f aca="false">IF(OR(V1256="Aprobada"),R1256,IF(AND(OR(V1256="Aprobada con ajuste",V1256="Rechazada"),W1256&lt;&gt;""),W1256,""))</f>
        <v/>
      </c>
    </row>
    <row r="1257" customFormat="false" ht="22.35" hidden="false" customHeight="false" outlineLevel="0" collapsed="false">
      <c r="A1257" s="18" t="s">
        <v>5535</v>
      </c>
      <c r="B1257" s="18" t="s">
        <v>64</v>
      </c>
      <c r="C1257" s="18" t="s">
        <v>65</v>
      </c>
      <c r="D1257" s="18" t="s">
        <v>5524</v>
      </c>
      <c r="E1257" s="18" t="n">
        <v>0</v>
      </c>
      <c r="F1257" s="18" t="s">
        <v>1738</v>
      </c>
      <c r="G1257" s="18" t="s">
        <v>337</v>
      </c>
      <c r="H1257" s="18" t="s">
        <v>162</v>
      </c>
      <c r="I1257" s="18"/>
      <c r="J1257" s="18"/>
      <c r="K1257" s="18"/>
      <c r="L1257" s="18" t="s">
        <v>129</v>
      </c>
      <c r="M1257" s="18" t="s">
        <v>129</v>
      </c>
      <c r="N1257" s="18"/>
      <c r="O1257" s="18"/>
      <c r="P1257" s="18"/>
      <c r="Q1257" s="18" t="s">
        <v>149</v>
      </c>
      <c r="R1257" s="18" t="s">
        <v>1739</v>
      </c>
      <c r="S1257" s="18" t="s">
        <v>133</v>
      </c>
      <c r="T1257" s="18" t="s">
        <v>183</v>
      </c>
      <c r="U1257" s="18"/>
      <c r="V1257" s="19" t="s">
        <v>29</v>
      </c>
      <c r="W1257" s="19"/>
      <c r="X1257" s="19"/>
      <c r="Y1257" s="20"/>
      <c r="Z1257" s="19"/>
      <c r="AA1257" s="18" t="str">
        <f aca="false">IF(OR(V1257="Aprobada"),R1257,IF(AND(OR(V1257="Aprobada con ajuste",V1257="Rechazada"),W1257&lt;&gt;""),W1257,""))</f>
        <v/>
      </c>
    </row>
    <row r="1258" customFormat="false" ht="22.35" hidden="false" customHeight="false" outlineLevel="0" collapsed="false">
      <c r="A1258" s="18" t="s">
        <v>5536</v>
      </c>
      <c r="B1258" s="18" t="s">
        <v>64</v>
      </c>
      <c r="C1258" s="18" t="s">
        <v>65</v>
      </c>
      <c r="D1258" s="18" t="s">
        <v>5524</v>
      </c>
      <c r="E1258" s="18" t="n">
        <v>0</v>
      </c>
      <c r="F1258" s="18" t="s">
        <v>331</v>
      </c>
      <c r="G1258" s="18" t="s">
        <v>317</v>
      </c>
      <c r="H1258" s="18" t="s">
        <v>162</v>
      </c>
      <c r="I1258" s="18"/>
      <c r="J1258" s="18"/>
      <c r="K1258" s="18"/>
      <c r="L1258" s="18" t="s">
        <v>129</v>
      </c>
      <c r="M1258" s="18" t="s">
        <v>129</v>
      </c>
      <c r="N1258" s="18"/>
      <c r="O1258" s="18"/>
      <c r="P1258" s="18"/>
      <c r="Q1258" s="18" t="s">
        <v>149</v>
      </c>
      <c r="R1258" s="18" t="s">
        <v>5537</v>
      </c>
      <c r="S1258" s="18" t="s">
        <v>133</v>
      </c>
      <c r="T1258" s="18" t="s">
        <v>5503</v>
      </c>
      <c r="U1258" s="18"/>
      <c r="V1258" s="19" t="s">
        <v>29</v>
      </c>
      <c r="W1258" s="19"/>
      <c r="X1258" s="19"/>
      <c r="Y1258" s="20"/>
      <c r="Z1258" s="19"/>
      <c r="AA1258" s="18" t="str">
        <f aca="false">IF(OR(V1258="Aprobada"),R1258,IF(AND(OR(V1258="Aprobada con ajuste",V1258="Rechazada"),W1258&lt;&gt;""),W1258,""))</f>
        <v/>
      </c>
    </row>
    <row r="1259" customFormat="false" ht="32.8" hidden="false" customHeight="false" outlineLevel="0" collapsed="false">
      <c r="A1259" s="18" t="s">
        <v>5538</v>
      </c>
      <c r="B1259" s="18" t="s">
        <v>64</v>
      </c>
      <c r="C1259" s="18" t="s">
        <v>65</v>
      </c>
      <c r="D1259" s="18" t="s">
        <v>5539</v>
      </c>
      <c r="E1259" s="18" t="n">
        <v>3</v>
      </c>
      <c r="F1259" s="18" t="s">
        <v>3176</v>
      </c>
      <c r="G1259" s="18" t="s">
        <v>128</v>
      </c>
      <c r="H1259" s="18" t="s">
        <v>129</v>
      </c>
      <c r="I1259" s="18"/>
      <c r="J1259" s="18"/>
      <c r="K1259" s="18"/>
      <c r="L1259" s="18" t="s">
        <v>129</v>
      </c>
      <c r="M1259" s="18" t="s">
        <v>129</v>
      </c>
      <c r="N1259" s="18"/>
      <c r="O1259" s="18"/>
      <c r="P1259" s="18" t="s">
        <v>5540</v>
      </c>
      <c r="Q1259" s="18" t="s">
        <v>131</v>
      </c>
      <c r="R1259" s="18" t="s">
        <v>5541</v>
      </c>
      <c r="S1259" s="18" t="s">
        <v>133</v>
      </c>
      <c r="T1259" s="18" t="s">
        <v>5542</v>
      </c>
      <c r="U1259" s="18"/>
      <c r="V1259" s="19" t="s">
        <v>29</v>
      </c>
      <c r="W1259" s="19"/>
      <c r="X1259" s="19"/>
      <c r="Y1259" s="20"/>
      <c r="Z1259" s="19"/>
      <c r="AA1259" s="18" t="str">
        <f aca="false">IF(OR(V1259="Aprobada"),R1259,IF(AND(OR(V1259="Aprobada con ajuste",V1259="Rechazada"),W1259&lt;&gt;""),W1259,""))</f>
        <v/>
      </c>
    </row>
    <row r="1260" customFormat="false" ht="32.8" hidden="false" customHeight="false" outlineLevel="0" collapsed="false">
      <c r="A1260" s="18" t="s">
        <v>5543</v>
      </c>
      <c r="B1260" s="18" t="s">
        <v>64</v>
      </c>
      <c r="C1260" s="18" t="s">
        <v>65</v>
      </c>
      <c r="D1260" s="18" t="s">
        <v>5539</v>
      </c>
      <c r="E1260" s="18" t="n">
        <v>3</v>
      </c>
      <c r="F1260" s="18" t="s">
        <v>4581</v>
      </c>
      <c r="G1260" s="18" t="s">
        <v>312</v>
      </c>
      <c r="H1260" s="18" t="s">
        <v>162</v>
      </c>
      <c r="I1260" s="18"/>
      <c r="J1260" s="18"/>
      <c r="K1260" s="18"/>
      <c r="L1260" s="18" t="s">
        <v>129</v>
      </c>
      <c r="M1260" s="18" t="s">
        <v>129</v>
      </c>
      <c r="N1260" s="18"/>
      <c r="O1260" s="18"/>
      <c r="P1260" s="18" t="s">
        <v>5544</v>
      </c>
      <c r="Q1260" s="18" t="s">
        <v>131</v>
      </c>
      <c r="R1260" s="18" t="s">
        <v>5545</v>
      </c>
      <c r="S1260" s="18" t="s">
        <v>133</v>
      </c>
      <c r="T1260" s="18" t="s">
        <v>5546</v>
      </c>
      <c r="U1260" s="18"/>
      <c r="V1260" s="19" t="s">
        <v>29</v>
      </c>
      <c r="W1260" s="19"/>
      <c r="X1260" s="19"/>
      <c r="Y1260" s="20"/>
      <c r="Z1260" s="19"/>
      <c r="AA1260" s="18" t="str">
        <f aca="false">IF(OR(V1260="Aprobada"),R1260,IF(AND(OR(V1260="Aprobada con ajuste",V1260="Rechazada"),W1260&lt;&gt;""),W1260,""))</f>
        <v/>
      </c>
    </row>
    <row r="1261" customFormat="false" ht="32.8" hidden="false" customHeight="false" outlineLevel="0" collapsed="false">
      <c r="A1261" s="18" t="s">
        <v>5547</v>
      </c>
      <c r="B1261" s="18" t="s">
        <v>64</v>
      </c>
      <c r="C1261" s="18" t="s">
        <v>65</v>
      </c>
      <c r="D1261" s="18" t="s">
        <v>5539</v>
      </c>
      <c r="E1261" s="18" t="n">
        <v>3</v>
      </c>
      <c r="F1261" s="18" t="s">
        <v>4585</v>
      </c>
      <c r="G1261" s="18" t="s">
        <v>180</v>
      </c>
      <c r="H1261" s="18" t="s">
        <v>162</v>
      </c>
      <c r="I1261" s="18"/>
      <c r="J1261" s="18"/>
      <c r="K1261" s="18"/>
      <c r="L1261" s="18" t="s">
        <v>129</v>
      </c>
      <c r="M1261" s="18" t="s">
        <v>129</v>
      </c>
      <c r="N1261" s="18"/>
      <c r="O1261" s="18"/>
      <c r="P1261" s="18" t="s">
        <v>5548</v>
      </c>
      <c r="Q1261" s="18" t="s">
        <v>131</v>
      </c>
      <c r="R1261" s="18" t="s">
        <v>5549</v>
      </c>
      <c r="S1261" s="18" t="s">
        <v>133</v>
      </c>
      <c r="T1261" s="18" t="s">
        <v>5550</v>
      </c>
      <c r="U1261" s="18"/>
      <c r="V1261" s="19" t="s">
        <v>29</v>
      </c>
      <c r="W1261" s="19"/>
      <c r="X1261" s="19"/>
      <c r="Y1261" s="20"/>
      <c r="Z1261" s="19"/>
      <c r="AA1261" s="18" t="str">
        <f aca="false">IF(OR(V1261="Aprobada"),R1261,IF(AND(OR(V1261="Aprobada con ajuste",V1261="Rechazada"),W1261&lt;&gt;""),W1261,""))</f>
        <v/>
      </c>
    </row>
    <row r="1262" customFormat="false" ht="22.35" hidden="false" customHeight="false" outlineLevel="0" collapsed="false">
      <c r="A1262" s="18" t="s">
        <v>5551</v>
      </c>
      <c r="B1262" s="18" t="s">
        <v>64</v>
      </c>
      <c r="C1262" s="18" t="s">
        <v>65</v>
      </c>
      <c r="D1262" s="18" t="s">
        <v>5552</v>
      </c>
      <c r="E1262" s="18" t="n">
        <v>4</v>
      </c>
      <c r="F1262" s="18" t="s">
        <v>676</v>
      </c>
      <c r="G1262" s="18" t="s">
        <v>145</v>
      </c>
      <c r="H1262" s="18" t="s">
        <v>129</v>
      </c>
      <c r="I1262" s="18"/>
      <c r="J1262" s="18"/>
      <c r="K1262" s="18"/>
      <c r="L1262" s="18" t="s">
        <v>129</v>
      </c>
      <c r="M1262" s="18" t="s">
        <v>129</v>
      </c>
      <c r="N1262" s="18"/>
      <c r="O1262" s="18"/>
      <c r="P1262" s="18" t="s">
        <v>5553</v>
      </c>
      <c r="Q1262" s="18" t="s">
        <v>138</v>
      </c>
      <c r="R1262" s="18" t="s">
        <v>677</v>
      </c>
      <c r="S1262" s="18" t="s">
        <v>140</v>
      </c>
      <c r="T1262" s="18" t="s">
        <v>141</v>
      </c>
      <c r="U1262" s="18"/>
      <c r="V1262" s="19" t="s">
        <v>29</v>
      </c>
      <c r="W1262" s="19"/>
      <c r="X1262" s="19"/>
      <c r="Y1262" s="20"/>
      <c r="Z1262" s="19"/>
      <c r="AA1262" s="18" t="str">
        <f aca="false">IF(OR(V1262="Aprobada"),R1262,IF(AND(OR(V1262="Aprobada con ajuste",V1262="Rechazada"),W1262&lt;&gt;""),W1262,""))</f>
        <v/>
      </c>
    </row>
    <row r="1263" customFormat="false" ht="22.35" hidden="false" customHeight="false" outlineLevel="0" collapsed="false">
      <c r="A1263" s="18" t="s">
        <v>5554</v>
      </c>
      <c r="B1263" s="18" t="s">
        <v>64</v>
      </c>
      <c r="C1263" s="18" t="s">
        <v>65</v>
      </c>
      <c r="D1263" s="18" t="s">
        <v>5552</v>
      </c>
      <c r="E1263" s="18" t="n">
        <v>4</v>
      </c>
      <c r="F1263" s="18" t="s">
        <v>4291</v>
      </c>
      <c r="G1263" s="18" t="s">
        <v>486</v>
      </c>
      <c r="H1263" s="18" t="s">
        <v>129</v>
      </c>
      <c r="I1263" s="18"/>
      <c r="J1263" s="18"/>
      <c r="K1263" s="18"/>
      <c r="L1263" s="18" t="s">
        <v>129</v>
      </c>
      <c r="M1263" s="18" t="s">
        <v>129</v>
      </c>
      <c r="N1263" s="18"/>
      <c r="O1263" s="18" t="s">
        <v>5555</v>
      </c>
      <c r="P1263" s="18" t="s">
        <v>5556</v>
      </c>
      <c r="Q1263" s="18" t="s">
        <v>149</v>
      </c>
      <c r="R1263" s="18" t="s">
        <v>5557</v>
      </c>
      <c r="S1263" s="18" t="s">
        <v>140</v>
      </c>
      <c r="T1263" s="18" t="s">
        <v>5558</v>
      </c>
      <c r="U1263" s="18" t="s">
        <v>5559</v>
      </c>
      <c r="V1263" s="19" t="s">
        <v>29</v>
      </c>
      <c r="W1263" s="19"/>
      <c r="X1263" s="19"/>
      <c r="Y1263" s="20"/>
      <c r="Z1263" s="19"/>
      <c r="AA1263" s="18" t="str">
        <f aca="false">IF(OR(V1263="Aprobada"),R1263,IF(AND(OR(V1263="Aprobada con ajuste",V1263="Rechazada"),W1263&lt;&gt;""),W1263,""))</f>
        <v/>
      </c>
    </row>
    <row r="1264" customFormat="false" ht="32.8" hidden="false" customHeight="false" outlineLevel="0" collapsed="false">
      <c r="A1264" s="18" t="s">
        <v>5560</v>
      </c>
      <c r="B1264" s="18" t="s">
        <v>64</v>
      </c>
      <c r="C1264" s="18" t="s">
        <v>65</v>
      </c>
      <c r="D1264" s="18" t="s">
        <v>5552</v>
      </c>
      <c r="E1264" s="18" t="n">
        <v>4</v>
      </c>
      <c r="F1264" s="18" t="s">
        <v>1749</v>
      </c>
      <c r="G1264" s="18" t="s">
        <v>145</v>
      </c>
      <c r="H1264" s="18" t="s">
        <v>162</v>
      </c>
      <c r="I1264" s="18"/>
      <c r="J1264" s="18"/>
      <c r="K1264" s="18"/>
      <c r="L1264" s="18" t="s">
        <v>129</v>
      </c>
      <c r="M1264" s="18" t="s">
        <v>129</v>
      </c>
      <c r="N1264" s="18"/>
      <c r="O1264" s="18" t="s">
        <v>5561</v>
      </c>
      <c r="P1264" s="18" t="s">
        <v>5562</v>
      </c>
      <c r="Q1264" s="18" t="s">
        <v>131</v>
      </c>
      <c r="R1264" s="18" t="s">
        <v>5563</v>
      </c>
      <c r="S1264" s="18" t="s">
        <v>133</v>
      </c>
      <c r="T1264" s="18" t="s">
        <v>5564</v>
      </c>
      <c r="U1264" s="18"/>
      <c r="V1264" s="19" t="s">
        <v>29</v>
      </c>
      <c r="W1264" s="19"/>
      <c r="X1264" s="19"/>
      <c r="Y1264" s="20"/>
      <c r="Z1264" s="19"/>
      <c r="AA1264" s="18" t="str">
        <f aca="false">IF(OR(V1264="Aprobada"),R1264,IF(AND(OR(V1264="Aprobada con ajuste",V1264="Rechazada"),W1264&lt;&gt;""),W1264,""))</f>
        <v/>
      </c>
    </row>
    <row r="1265" customFormat="false" ht="22.35" hidden="false" customHeight="false" outlineLevel="0" collapsed="false">
      <c r="A1265" s="18" t="s">
        <v>5565</v>
      </c>
      <c r="B1265" s="18" t="s">
        <v>64</v>
      </c>
      <c r="C1265" s="18" t="s">
        <v>65</v>
      </c>
      <c r="D1265" s="18" t="s">
        <v>5552</v>
      </c>
      <c r="E1265" s="18" t="n">
        <v>4</v>
      </c>
      <c r="F1265" s="18" t="s">
        <v>4478</v>
      </c>
      <c r="G1265" s="18" t="s">
        <v>161</v>
      </c>
      <c r="H1265" s="18" t="s">
        <v>129</v>
      </c>
      <c r="I1265" s="18"/>
      <c r="J1265" s="18"/>
      <c r="K1265" s="18"/>
      <c r="L1265" s="18" t="s">
        <v>129</v>
      </c>
      <c r="M1265" s="18" t="s">
        <v>129</v>
      </c>
      <c r="N1265" s="18"/>
      <c r="O1265" s="18"/>
      <c r="P1265" s="18" t="s">
        <v>5566</v>
      </c>
      <c r="Q1265" s="18" t="s">
        <v>149</v>
      </c>
      <c r="R1265" s="18" t="s">
        <v>5567</v>
      </c>
      <c r="S1265" s="18" t="s">
        <v>133</v>
      </c>
      <c r="T1265" s="18" t="s">
        <v>858</v>
      </c>
      <c r="U1265" s="18"/>
      <c r="V1265" s="19" t="s">
        <v>29</v>
      </c>
      <c r="W1265" s="19"/>
      <c r="X1265" s="19"/>
      <c r="Y1265" s="20"/>
      <c r="Z1265" s="19"/>
      <c r="AA1265" s="18" t="str">
        <f aca="false">IF(OR(V1265="Aprobada"),R1265,IF(AND(OR(V1265="Aprobada con ajuste",V1265="Rechazada"),W1265&lt;&gt;""),W1265,""))</f>
        <v/>
      </c>
    </row>
    <row r="1266" customFormat="false" ht="22.35" hidden="false" customHeight="false" outlineLevel="0" collapsed="false">
      <c r="A1266" s="18" t="s">
        <v>5568</v>
      </c>
      <c r="B1266" s="18" t="s">
        <v>64</v>
      </c>
      <c r="C1266" s="18" t="s">
        <v>65</v>
      </c>
      <c r="D1266" s="18" t="s">
        <v>5552</v>
      </c>
      <c r="E1266" s="18" t="n">
        <v>4</v>
      </c>
      <c r="F1266" s="18" t="s">
        <v>5569</v>
      </c>
      <c r="G1266" s="18" t="s">
        <v>4598</v>
      </c>
      <c r="H1266" s="18" t="s">
        <v>129</v>
      </c>
      <c r="I1266" s="18"/>
      <c r="J1266" s="18"/>
      <c r="K1266" s="18"/>
      <c r="L1266" s="18" t="s">
        <v>129</v>
      </c>
      <c r="M1266" s="18" t="s">
        <v>129</v>
      </c>
      <c r="N1266" s="18"/>
      <c r="O1266" s="18"/>
      <c r="P1266" s="18" t="s">
        <v>5570</v>
      </c>
      <c r="Q1266" s="18" t="s">
        <v>149</v>
      </c>
      <c r="R1266" s="18" t="s">
        <v>5571</v>
      </c>
      <c r="S1266" s="18" t="s">
        <v>133</v>
      </c>
      <c r="T1266" s="18" t="s">
        <v>183</v>
      </c>
      <c r="U1266" s="18"/>
      <c r="V1266" s="19" t="s">
        <v>29</v>
      </c>
      <c r="W1266" s="19"/>
      <c r="X1266" s="19"/>
      <c r="Y1266" s="20"/>
      <c r="Z1266" s="19"/>
      <c r="AA1266" s="18" t="str">
        <f aca="false">IF(OR(V1266="Aprobada"),R1266,IF(AND(OR(V1266="Aprobada con ajuste",V1266="Rechazada"),W1266&lt;&gt;""),W1266,""))</f>
        <v/>
      </c>
    </row>
    <row r="1267" customFormat="false" ht="22.35" hidden="false" customHeight="false" outlineLevel="0" collapsed="false">
      <c r="A1267" s="18" t="s">
        <v>5572</v>
      </c>
      <c r="B1267" s="18" t="s">
        <v>64</v>
      </c>
      <c r="C1267" s="18" t="s">
        <v>65</v>
      </c>
      <c r="D1267" s="18" t="s">
        <v>5552</v>
      </c>
      <c r="E1267" s="18" t="n">
        <v>4</v>
      </c>
      <c r="F1267" s="18" t="s">
        <v>4915</v>
      </c>
      <c r="G1267" s="18" t="s">
        <v>454</v>
      </c>
      <c r="H1267" s="18" t="s">
        <v>162</v>
      </c>
      <c r="I1267" s="18"/>
      <c r="J1267" s="18"/>
      <c r="K1267" s="18"/>
      <c r="L1267" s="18" t="s">
        <v>129</v>
      </c>
      <c r="M1267" s="18" t="s">
        <v>129</v>
      </c>
      <c r="N1267" s="18"/>
      <c r="O1267" s="18"/>
      <c r="P1267" s="18" t="s">
        <v>5573</v>
      </c>
      <c r="Q1267" s="18" t="s">
        <v>149</v>
      </c>
      <c r="R1267" s="18" t="s">
        <v>5574</v>
      </c>
      <c r="S1267" s="18" t="s">
        <v>133</v>
      </c>
      <c r="T1267" s="18" t="s">
        <v>183</v>
      </c>
      <c r="U1267" s="18"/>
      <c r="V1267" s="19" t="s">
        <v>29</v>
      </c>
      <c r="W1267" s="19"/>
      <c r="X1267" s="19"/>
      <c r="Y1267" s="20"/>
      <c r="Z1267" s="19"/>
      <c r="AA1267" s="18" t="str">
        <f aca="false">IF(OR(V1267="Aprobada"),R1267,IF(AND(OR(V1267="Aprobada con ajuste",V1267="Rechazada"),W1267&lt;&gt;""),W1267,""))</f>
        <v/>
      </c>
    </row>
    <row r="1268" customFormat="false" ht="32.8" hidden="false" customHeight="false" outlineLevel="0" collapsed="false">
      <c r="A1268" s="18" t="s">
        <v>5575</v>
      </c>
      <c r="B1268" s="18" t="s">
        <v>64</v>
      </c>
      <c r="C1268" s="18" t="s">
        <v>65</v>
      </c>
      <c r="D1268" s="18" t="s">
        <v>5552</v>
      </c>
      <c r="E1268" s="18" t="n">
        <v>4</v>
      </c>
      <c r="F1268" s="18" t="s">
        <v>3176</v>
      </c>
      <c r="G1268" s="18" t="s">
        <v>128</v>
      </c>
      <c r="H1268" s="18" t="s">
        <v>129</v>
      </c>
      <c r="I1268" s="18"/>
      <c r="J1268" s="18"/>
      <c r="K1268" s="18"/>
      <c r="L1268" s="18" t="s">
        <v>129</v>
      </c>
      <c r="M1268" s="18" t="s">
        <v>129</v>
      </c>
      <c r="N1268" s="18"/>
      <c r="O1268" s="18"/>
      <c r="P1268" s="18" t="s">
        <v>5576</v>
      </c>
      <c r="Q1268" s="18" t="s">
        <v>149</v>
      </c>
      <c r="R1268" s="18" t="s">
        <v>5577</v>
      </c>
      <c r="S1268" s="18" t="s">
        <v>133</v>
      </c>
      <c r="T1268" s="18" t="s">
        <v>5578</v>
      </c>
      <c r="U1268" s="18"/>
      <c r="V1268" s="19" t="s">
        <v>29</v>
      </c>
      <c r="W1268" s="19"/>
      <c r="X1268" s="19"/>
      <c r="Y1268" s="20"/>
      <c r="Z1268" s="19"/>
      <c r="AA1268" s="18" t="str">
        <f aca="false">IF(OR(V1268="Aprobada"),R1268,IF(AND(OR(V1268="Aprobada con ajuste",V1268="Rechazada"),W1268&lt;&gt;""),W1268,""))</f>
        <v/>
      </c>
    </row>
    <row r="1269" customFormat="false" ht="32.8" hidden="false" customHeight="false" outlineLevel="0" collapsed="false">
      <c r="A1269" s="18" t="s">
        <v>5579</v>
      </c>
      <c r="B1269" s="18" t="s">
        <v>64</v>
      </c>
      <c r="C1269" s="18" t="s">
        <v>65</v>
      </c>
      <c r="D1269" s="18" t="s">
        <v>5552</v>
      </c>
      <c r="E1269" s="18" t="n">
        <v>4</v>
      </c>
      <c r="F1269" s="18" t="s">
        <v>5580</v>
      </c>
      <c r="G1269" s="18" t="s">
        <v>128</v>
      </c>
      <c r="H1269" s="18" t="s">
        <v>162</v>
      </c>
      <c r="I1269" s="18"/>
      <c r="J1269" s="18"/>
      <c r="K1269" s="18"/>
      <c r="L1269" s="18" t="s">
        <v>129</v>
      </c>
      <c r="M1269" s="18" t="s">
        <v>129</v>
      </c>
      <c r="N1269" s="18"/>
      <c r="O1269" s="18"/>
      <c r="P1269" s="18" t="s">
        <v>5581</v>
      </c>
      <c r="Q1269" s="18" t="s">
        <v>131</v>
      </c>
      <c r="R1269" s="18" t="s">
        <v>5582</v>
      </c>
      <c r="S1269" s="18" t="s">
        <v>133</v>
      </c>
      <c r="T1269" s="18" t="s">
        <v>5583</v>
      </c>
      <c r="U1269" s="18"/>
      <c r="V1269" s="19" t="s">
        <v>29</v>
      </c>
      <c r="W1269" s="19"/>
      <c r="X1269" s="19"/>
      <c r="Y1269" s="20"/>
      <c r="Z1269" s="19"/>
      <c r="AA1269" s="18" t="str">
        <f aca="false">IF(OR(V1269="Aprobada"),R1269,IF(AND(OR(V1269="Aprobada con ajuste",V1269="Rechazada"),W1269&lt;&gt;""),W1269,""))</f>
        <v/>
      </c>
    </row>
    <row r="1270" customFormat="false" ht="32.8" hidden="false" customHeight="false" outlineLevel="0" collapsed="false">
      <c r="A1270" s="18" t="s">
        <v>5584</v>
      </c>
      <c r="B1270" s="18" t="s">
        <v>64</v>
      </c>
      <c r="C1270" s="18" t="s">
        <v>65</v>
      </c>
      <c r="D1270" s="18" t="s">
        <v>5552</v>
      </c>
      <c r="E1270" s="18" t="n">
        <v>4</v>
      </c>
      <c r="F1270" s="18" t="s">
        <v>5585</v>
      </c>
      <c r="G1270" s="18" t="s">
        <v>454</v>
      </c>
      <c r="H1270" s="18" t="s">
        <v>162</v>
      </c>
      <c r="I1270" s="18"/>
      <c r="J1270" s="18"/>
      <c r="K1270" s="18"/>
      <c r="L1270" s="18" t="s">
        <v>129</v>
      </c>
      <c r="M1270" s="18" t="s">
        <v>129</v>
      </c>
      <c r="N1270" s="18"/>
      <c r="O1270" s="18"/>
      <c r="P1270" s="18" t="s">
        <v>5586</v>
      </c>
      <c r="Q1270" s="18" t="s">
        <v>149</v>
      </c>
      <c r="R1270" s="18" t="s">
        <v>5587</v>
      </c>
      <c r="S1270" s="18" t="s">
        <v>140</v>
      </c>
      <c r="T1270" s="18" t="s">
        <v>183</v>
      </c>
      <c r="U1270" s="18" t="s">
        <v>5588</v>
      </c>
      <c r="V1270" s="19" t="s">
        <v>29</v>
      </c>
      <c r="W1270" s="19"/>
      <c r="X1270" s="19"/>
      <c r="Y1270" s="20"/>
      <c r="Z1270" s="19"/>
      <c r="AA1270" s="18" t="str">
        <f aca="false">IF(OR(V1270="Aprobada"),R1270,IF(AND(OR(V1270="Aprobada con ajuste",V1270="Rechazada"),W1270&lt;&gt;""),W1270,""))</f>
        <v/>
      </c>
    </row>
    <row r="1271" customFormat="false" ht="32.8" hidden="false" customHeight="false" outlineLevel="0" collapsed="false">
      <c r="A1271" s="18" t="s">
        <v>5589</v>
      </c>
      <c r="B1271" s="18" t="s">
        <v>64</v>
      </c>
      <c r="C1271" s="18" t="s">
        <v>65</v>
      </c>
      <c r="D1271" s="18" t="s">
        <v>5552</v>
      </c>
      <c r="E1271" s="18" t="n">
        <v>4</v>
      </c>
      <c r="F1271" s="18" t="s">
        <v>5590</v>
      </c>
      <c r="G1271" s="18" t="s">
        <v>145</v>
      </c>
      <c r="H1271" s="18" t="s">
        <v>162</v>
      </c>
      <c r="I1271" s="18"/>
      <c r="J1271" s="18"/>
      <c r="K1271" s="18"/>
      <c r="L1271" s="18" t="s">
        <v>129</v>
      </c>
      <c r="M1271" s="18" t="s">
        <v>129</v>
      </c>
      <c r="N1271" s="18"/>
      <c r="O1271" s="18"/>
      <c r="P1271" s="18" t="s">
        <v>5591</v>
      </c>
      <c r="Q1271" s="18" t="s">
        <v>131</v>
      </c>
      <c r="R1271" s="18" t="s">
        <v>5592</v>
      </c>
      <c r="S1271" s="18" t="s">
        <v>133</v>
      </c>
      <c r="T1271" s="18" t="s">
        <v>5593</v>
      </c>
      <c r="U1271" s="18"/>
      <c r="V1271" s="19" t="s">
        <v>29</v>
      </c>
      <c r="W1271" s="19"/>
      <c r="X1271" s="19"/>
      <c r="Y1271" s="20"/>
      <c r="Z1271" s="19"/>
      <c r="AA1271" s="18" t="str">
        <f aca="false">IF(OR(V1271="Aprobada"),R1271,IF(AND(OR(V1271="Aprobada con ajuste",V1271="Rechazada"),W1271&lt;&gt;""),W1271,""))</f>
        <v/>
      </c>
    </row>
    <row r="1272" customFormat="false" ht="22.35" hidden="false" customHeight="false" outlineLevel="0" collapsed="false">
      <c r="A1272" s="18" t="s">
        <v>5594</v>
      </c>
      <c r="B1272" s="18" t="s">
        <v>64</v>
      </c>
      <c r="C1272" s="18" t="s">
        <v>65</v>
      </c>
      <c r="D1272" s="18" t="s">
        <v>5552</v>
      </c>
      <c r="E1272" s="18" t="n">
        <v>4</v>
      </c>
      <c r="F1272" s="18" t="s">
        <v>185</v>
      </c>
      <c r="G1272" s="18" t="s">
        <v>186</v>
      </c>
      <c r="H1272" s="18" t="s">
        <v>162</v>
      </c>
      <c r="I1272" s="18"/>
      <c r="J1272" s="18"/>
      <c r="K1272" s="18"/>
      <c r="L1272" s="18" t="s">
        <v>129</v>
      </c>
      <c r="M1272" s="18" t="s">
        <v>129</v>
      </c>
      <c r="N1272" s="18"/>
      <c r="O1272" s="18"/>
      <c r="P1272" s="18" t="s">
        <v>5595</v>
      </c>
      <c r="Q1272" s="18" t="s">
        <v>138</v>
      </c>
      <c r="R1272" s="18" t="s">
        <v>5596</v>
      </c>
      <c r="S1272" s="18" t="s">
        <v>140</v>
      </c>
      <c r="T1272" s="18" t="s">
        <v>141</v>
      </c>
      <c r="U1272" s="18"/>
      <c r="V1272" s="19" t="s">
        <v>29</v>
      </c>
      <c r="W1272" s="19"/>
      <c r="X1272" s="19"/>
      <c r="Y1272" s="20"/>
      <c r="Z1272" s="19"/>
      <c r="AA1272" s="18" t="str">
        <f aca="false">IF(OR(V1272="Aprobada"),R1272,IF(AND(OR(V1272="Aprobada con ajuste",V1272="Rechazada"),W1272&lt;&gt;""),W1272,""))</f>
        <v/>
      </c>
    </row>
    <row r="1273" customFormat="false" ht="22.35" hidden="false" customHeight="false" outlineLevel="0" collapsed="false">
      <c r="A1273" s="18" t="s">
        <v>5597</v>
      </c>
      <c r="B1273" s="18" t="s">
        <v>64</v>
      </c>
      <c r="C1273" s="18" t="s">
        <v>65</v>
      </c>
      <c r="D1273" s="18" t="s">
        <v>5552</v>
      </c>
      <c r="E1273" s="18" t="n">
        <v>4</v>
      </c>
      <c r="F1273" s="18" t="s">
        <v>3424</v>
      </c>
      <c r="G1273" s="18" t="s">
        <v>317</v>
      </c>
      <c r="H1273" s="18" t="s">
        <v>162</v>
      </c>
      <c r="I1273" s="18"/>
      <c r="J1273" s="18"/>
      <c r="K1273" s="18"/>
      <c r="L1273" s="18" t="s">
        <v>129</v>
      </c>
      <c r="M1273" s="18" t="s">
        <v>129</v>
      </c>
      <c r="N1273" s="18"/>
      <c r="O1273" s="18" t="s">
        <v>5598</v>
      </c>
      <c r="P1273" s="18" t="s">
        <v>5599</v>
      </c>
      <c r="Q1273" s="18" t="s">
        <v>138</v>
      </c>
      <c r="R1273" s="18" t="s">
        <v>3425</v>
      </c>
      <c r="S1273" s="18" t="s">
        <v>140</v>
      </c>
      <c r="T1273" s="18" t="s">
        <v>141</v>
      </c>
      <c r="U1273" s="18"/>
      <c r="V1273" s="19" t="s">
        <v>29</v>
      </c>
      <c r="W1273" s="19"/>
      <c r="X1273" s="19"/>
      <c r="Y1273" s="20"/>
      <c r="Z1273" s="19"/>
      <c r="AA1273" s="18" t="str">
        <f aca="false">IF(OR(V1273="Aprobada"),R1273,IF(AND(OR(V1273="Aprobada con ajuste",V1273="Rechazada"),W1273&lt;&gt;""),W1273,""))</f>
        <v/>
      </c>
    </row>
    <row r="1274" customFormat="false" ht="32.8" hidden="false" customHeight="false" outlineLevel="0" collapsed="false">
      <c r="A1274" s="18" t="s">
        <v>5600</v>
      </c>
      <c r="B1274" s="18" t="s">
        <v>64</v>
      </c>
      <c r="C1274" s="18" t="s">
        <v>65</v>
      </c>
      <c r="D1274" s="18" t="s">
        <v>5552</v>
      </c>
      <c r="E1274" s="18" t="n">
        <v>4</v>
      </c>
      <c r="F1274" s="18" t="s">
        <v>5601</v>
      </c>
      <c r="G1274" s="18" t="s">
        <v>192</v>
      </c>
      <c r="H1274" s="18" t="s">
        <v>162</v>
      </c>
      <c r="I1274" s="18"/>
      <c r="J1274" s="18"/>
      <c r="K1274" s="18"/>
      <c r="L1274" s="18" t="s">
        <v>129</v>
      </c>
      <c r="M1274" s="18" t="s">
        <v>129</v>
      </c>
      <c r="N1274" s="18"/>
      <c r="O1274" s="18"/>
      <c r="P1274" s="18" t="s">
        <v>5602</v>
      </c>
      <c r="Q1274" s="18" t="s">
        <v>131</v>
      </c>
      <c r="R1274" s="18" t="s">
        <v>5603</v>
      </c>
      <c r="S1274" s="18" t="s">
        <v>133</v>
      </c>
      <c r="T1274" s="18" t="s">
        <v>5604</v>
      </c>
      <c r="U1274" s="18"/>
      <c r="V1274" s="19" t="s">
        <v>29</v>
      </c>
      <c r="W1274" s="19"/>
      <c r="X1274" s="19"/>
      <c r="Y1274" s="20"/>
      <c r="Z1274" s="19"/>
      <c r="AA1274" s="18" t="str">
        <f aca="false">IF(OR(V1274="Aprobada"),R1274,IF(AND(OR(V1274="Aprobada con ajuste",V1274="Rechazada"),W1274&lt;&gt;""),W1274,""))</f>
        <v/>
      </c>
    </row>
    <row r="1275" customFormat="false" ht="32.8" hidden="false" customHeight="false" outlineLevel="0" collapsed="false">
      <c r="A1275" s="18" t="s">
        <v>5605</v>
      </c>
      <c r="B1275" s="18" t="s">
        <v>64</v>
      </c>
      <c r="C1275" s="18" t="s">
        <v>65</v>
      </c>
      <c r="D1275" s="18" t="s">
        <v>5552</v>
      </c>
      <c r="E1275" s="18" t="n">
        <v>4</v>
      </c>
      <c r="F1275" s="18" t="s">
        <v>4343</v>
      </c>
      <c r="G1275" s="18" t="s">
        <v>454</v>
      </c>
      <c r="H1275" s="18" t="s">
        <v>162</v>
      </c>
      <c r="I1275" s="18"/>
      <c r="J1275" s="18"/>
      <c r="K1275" s="18"/>
      <c r="L1275" s="18" t="s">
        <v>129</v>
      </c>
      <c r="M1275" s="18" t="s">
        <v>129</v>
      </c>
      <c r="N1275" s="18"/>
      <c r="O1275" s="18"/>
      <c r="P1275" s="18" t="s">
        <v>5606</v>
      </c>
      <c r="Q1275" s="18" t="s">
        <v>131</v>
      </c>
      <c r="R1275" s="18" t="s">
        <v>5607</v>
      </c>
      <c r="S1275" s="18" t="s">
        <v>133</v>
      </c>
      <c r="T1275" s="18" t="s">
        <v>5608</v>
      </c>
      <c r="U1275" s="18"/>
      <c r="V1275" s="19" t="s">
        <v>29</v>
      </c>
      <c r="W1275" s="19"/>
      <c r="X1275" s="19"/>
      <c r="Y1275" s="20"/>
      <c r="Z1275" s="19"/>
      <c r="AA1275" s="18" t="str">
        <f aca="false">IF(OR(V1275="Aprobada"),R1275,IF(AND(OR(V1275="Aprobada con ajuste",V1275="Rechazada"),W1275&lt;&gt;""),W1275,""))</f>
        <v/>
      </c>
    </row>
    <row r="1276" customFormat="false" ht="22.35" hidden="false" customHeight="false" outlineLevel="0" collapsed="false">
      <c r="A1276" s="18" t="s">
        <v>5609</v>
      </c>
      <c r="B1276" s="18" t="s">
        <v>64</v>
      </c>
      <c r="C1276" s="18" t="s">
        <v>65</v>
      </c>
      <c r="D1276" s="18" t="s">
        <v>5610</v>
      </c>
      <c r="E1276" s="18" t="n">
        <v>9</v>
      </c>
      <c r="F1276" s="18" t="s">
        <v>5611</v>
      </c>
      <c r="G1276" s="18" t="s">
        <v>205</v>
      </c>
      <c r="H1276" s="18" t="s">
        <v>129</v>
      </c>
      <c r="I1276" s="18" t="s">
        <v>146</v>
      </c>
      <c r="J1276" s="18"/>
      <c r="K1276" s="18"/>
      <c r="L1276" s="18" t="s">
        <v>129</v>
      </c>
      <c r="M1276" s="18" t="s">
        <v>129</v>
      </c>
      <c r="N1276" s="18"/>
      <c r="O1276" s="18" t="s">
        <v>5612</v>
      </c>
      <c r="P1276" s="18" t="s">
        <v>5613</v>
      </c>
      <c r="Q1276" s="18" t="s">
        <v>149</v>
      </c>
      <c r="R1276" s="18" t="s">
        <v>5614</v>
      </c>
      <c r="S1276" s="18" t="s">
        <v>133</v>
      </c>
      <c r="T1276" s="18" t="s">
        <v>5438</v>
      </c>
      <c r="U1276" s="18"/>
      <c r="V1276" s="19" t="s">
        <v>29</v>
      </c>
      <c r="W1276" s="19"/>
      <c r="X1276" s="19"/>
      <c r="Y1276" s="20"/>
      <c r="Z1276" s="19"/>
      <c r="AA1276" s="18" t="str">
        <f aca="false">IF(OR(V1276="Aprobada"),R1276,IF(AND(OR(V1276="Aprobada con ajuste",V1276="Rechazada"),W1276&lt;&gt;""),W1276,""))</f>
        <v/>
      </c>
    </row>
    <row r="1277" customFormat="false" ht="22.35" hidden="false" customHeight="false" outlineLevel="0" collapsed="false">
      <c r="A1277" s="18" t="s">
        <v>5615</v>
      </c>
      <c r="B1277" s="18" t="s">
        <v>64</v>
      </c>
      <c r="C1277" s="18" t="s">
        <v>65</v>
      </c>
      <c r="D1277" s="18" t="s">
        <v>5610</v>
      </c>
      <c r="E1277" s="18" t="n">
        <v>9</v>
      </c>
      <c r="F1277" s="18" t="s">
        <v>275</v>
      </c>
      <c r="G1277" s="18" t="s">
        <v>454</v>
      </c>
      <c r="H1277" s="18" t="s">
        <v>129</v>
      </c>
      <c r="I1277" s="18"/>
      <c r="J1277" s="18"/>
      <c r="K1277" s="18"/>
      <c r="L1277" s="18" t="s">
        <v>129</v>
      </c>
      <c r="M1277" s="18" t="s">
        <v>129</v>
      </c>
      <c r="N1277" s="18"/>
      <c r="O1277" s="18"/>
      <c r="P1277" s="18" t="s">
        <v>5616</v>
      </c>
      <c r="Q1277" s="18" t="s">
        <v>138</v>
      </c>
      <c r="R1277" s="18" t="s">
        <v>5617</v>
      </c>
      <c r="S1277" s="18" t="s">
        <v>140</v>
      </c>
      <c r="T1277" s="18" t="s">
        <v>141</v>
      </c>
      <c r="U1277" s="18"/>
      <c r="V1277" s="19" t="s">
        <v>29</v>
      </c>
      <c r="W1277" s="19"/>
      <c r="X1277" s="19"/>
      <c r="Y1277" s="20"/>
      <c r="Z1277" s="19"/>
      <c r="AA1277" s="18" t="str">
        <f aca="false">IF(OR(V1277="Aprobada"),R1277,IF(AND(OR(V1277="Aprobada con ajuste",V1277="Rechazada"),W1277&lt;&gt;""),W1277,""))</f>
        <v/>
      </c>
    </row>
    <row r="1278" customFormat="false" ht="22.35" hidden="false" customHeight="false" outlineLevel="0" collapsed="false">
      <c r="A1278" s="18" t="s">
        <v>5618</v>
      </c>
      <c r="B1278" s="18" t="s">
        <v>64</v>
      </c>
      <c r="C1278" s="18" t="s">
        <v>65</v>
      </c>
      <c r="D1278" s="18" t="s">
        <v>5610</v>
      </c>
      <c r="E1278" s="18" t="n">
        <v>9</v>
      </c>
      <c r="F1278" s="18" t="s">
        <v>160</v>
      </c>
      <c r="G1278" s="18" t="s">
        <v>128</v>
      </c>
      <c r="H1278" s="18" t="s">
        <v>162</v>
      </c>
      <c r="I1278" s="18"/>
      <c r="J1278" s="18"/>
      <c r="K1278" s="18"/>
      <c r="L1278" s="18" t="s">
        <v>129</v>
      </c>
      <c r="M1278" s="18" t="s">
        <v>129</v>
      </c>
      <c r="N1278" s="18"/>
      <c r="O1278" s="18"/>
      <c r="P1278" s="18" t="s">
        <v>5619</v>
      </c>
      <c r="Q1278" s="18" t="s">
        <v>138</v>
      </c>
      <c r="R1278" s="18" t="s">
        <v>5620</v>
      </c>
      <c r="S1278" s="18" t="s">
        <v>140</v>
      </c>
      <c r="T1278" s="18" t="s">
        <v>141</v>
      </c>
      <c r="U1278" s="18"/>
      <c r="V1278" s="19" t="s">
        <v>29</v>
      </c>
      <c r="W1278" s="19"/>
      <c r="X1278" s="19"/>
      <c r="Y1278" s="20"/>
      <c r="Z1278" s="19"/>
      <c r="AA1278" s="18" t="str">
        <f aca="false">IF(OR(V1278="Aprobada"),R1278,IF(AND(OR(V1278="Aprobada con ajuste",V1278="Rechazada"),W1278&lt;&gt;""),W1278,""))</f>
        <v/>
      </c>
    </row>
    <row r="1279" customFormat="false" ht="22.35" hidden="false" customHeight="false" outlineLevel="0" collapsed="false">
      <c r="A1279" s="18" t="s">
        <v>5621</v>
      </c>
      <c r="B1279" s="18" t="s">
        <v>64</v>
      </c>
      <c r="C1279" s="18" t="s">
        <v>65</v>
      </c>
      <c r="D1279" s="18" t="s">
        <v>5610</v>
      </c>
      <c r="E1279" s="18" t="n">
        <v>9</v>
      </c>
      <c r="F1279" s="18" t="s">
        <v>172</v>
      </c>
      <c r="G1279" s="18" t="s">
        <v>173</v>
      </c>
      <c r="H1279" s="18" t="s">
        <v>162</v>
      </c>
      <c r="I1279" s="18"/>
      <c r="J1279" s="18"/>
      <c r="K1279" s="18"/>
      <c r="L1279" s="18" t="s">
        <v>129</v>
      </c>
      <c r="M1279" s="18" t="s">
        <v>129</v>
      </c>
      <c r="N1279" s="18"/>
      <c r="O1279" s="18"/>
      <c r="P1279" s="18" t="s">
        <v>5622</v>
      </c>
      <c r="Q1279" s="18" t="s">
        <v>138</v>
      </c>
      <c r="R1279" s="18" t="s">
        <v>176</v>
      </c>
      <c r="S1279" s="18" t="s">
        <v>140</v>
      </c>
      <c r="T1279" s="18" t="s">
        <v>141</v>
      </c>
      <c r="U1279" s="18"/>
      <c r="V1279" s="19" t="s">
        <v>29</v>
      </c>
      <c r="W1279" s="19"/>
      <c r="X1279" s="19"/>
      <c r="Y1279" s="20"/>
      <c r="Z1279" s="19"/>
      <c r="AA1279" s="18" t="str">
        <f aca="false">IF(OR(V1279="Aprobada"),R1279,IF(AND(OR(V1279="Aprobada con ajuste",V1279="Rechazada"),W1279&lt;&gt;""),W1279,""))</f>
        <v/>
      </c>
    </row>
    <row r="1280" customFormat="false" ht="22.35" hidden="false" customHeight="false" outlineLevel="0" collapsed="false">
      <c r="A1280" s="18" t="s">
        <v>5623</v>
      </c>
      <c r="B1280" s="18" t="s">
        <v>64</v>
      </c>
      <c r="C1280" s="18" t="s">
        <v>65</v>
      </c>
      <c r="D1280" s="18" t="s">
        <v>5610</v>
      </c>
      <c r="E1280" s="18" t="n">
        <v>9</v>
      </c>
      <c r="F1280" s="18" t="s">
        <v>5624</v>
      </c>
      <c r="G1280" s="18" t="s">
        <v>192</v>
      </c>
      <c r="H1280" s="18" t="s">
        <v>129</v>
      </c>
      <c r="I1280" s="18"/>
      <c r="J1280" s="18"/>
      <c r="K1280" s="18"/>
      <c r="L1280" s="18" t="s">
        <v>129</v>
      </c>
      <c r="M1280" s="18" t="s">
        <v>129</v>
      </c>
      <c r="N1280" s="18"/>
      <c r="O1280" s="18"/>
      <c r="P1280" s="18" t="s">
        <v>5625</v>
      </c>
      <c r="Q1280" s="18" t="s">
        <v>149</v>
      </c>
      <c r="R1280" s="18" t="s">
        <v>5626</v>
      </c>
      <c r="S1280" s="18" t="s">
        <v>133</v>
      </c>
      <c r="T1280" s="18" t="s">
        <v>5503</v>
      </c>
      <c r="U1280" s="18"/>
      <c r="V1280" s="19" t="s">
        <v>29</v>
      </c>
      <c r="W1280" s="19"/>
      <c r="X1280" s="19"/>
      <c r="Y1280" s="20"/>
      <c r="Z1280" s="19"/>
      <c r="AA1280" s="18" t="str">
        <f aca="false">IF(OR(V1280="Aprobada"),R1280,IF(AND(OR(V1280="Aprobada con ajuste",V1280="Rechazada"),W1280&lt;&gt;""),W1280,""))</f>
        <v/>
      </c>
    </row>
    <row r="1281" customFormat="false" ht="22.35" hidden="false" customHeight="false" outlineLevel="0" collapsed="false">
      <c r="A1281" s="18" t="s">
        <v>5627</v>
      </c>
      <c r="B1281" s="18" t="s">
        <v>64</v>
      </c>
      <c r="C1281" s="18" t="s">
        <v>65</v>
      </c>
      <c r="D1281" s="18" t="s">
        <v>5628</v>
      </c>
      <c r="E1281" s="18" t="n">
        <v>10</v>
      </c>
      <c r="F1281" s="18" t="s">
        <v>1922</v>
      </c>
      <c r="G1281" s="18" t="s">
        <v>5268</v>
      </c>
      <c r="H1281" s="18" t="s">
        <v>129</v>
      </c>
      <c r="I1281" s="18"/>
      <c r="J1281" s="18"/>
      <c r="K1281" s="18"/>
      <c r="L1281" s="18" t="s">
        <v>129</v>
      </c>
      <c r="M1281" s="18" t="s">
        <v>129</v>
      </c>
      <c r="N1281" s="18"/>
      <c r="O1281" s="18"/>
      <c r="P1281" s="18" t="s">
        <v>5629</v>
      </c>
      <c r="Q1281" s="18" t="s">
        <v>149</v>
      </c>
      <c r="R1281" s="18" t="s">
        <v>5630</v>
      </c>
      <c r="S1281" s="18" t="s">
        <v>133</v>
      </c>
      <c r="T1281" s="18" t="s">
        <v>183</v>
      </c>
      <c r="U1281" s="18"/>
      <c r="V1281" s="19" t="s">
        <v>29</v>
      </c>
      <c r="W1281" s="19"/>
      <c r="X1281" s="19"/>
      <c r="Y1281" s="20"/>
      <c r="Z1281" s="19"/>
      <c r="AA1281" s="18" t="str">
        <f aca="false">IF(OR(V1281="Aprobada"),R1281,IF(AND(OR(V1281="Aprobada con ajuste",V1281="Rechazada"),W1281&lt;&gt;""),W1281,""))</f>
        <v/>
      </c>
    </row>
    <row r="1282" customFormat="false" ht="22.35" hidden="false" customHeight="false" outlineLevel="0" collapsed="false">
      <c r="A1282" s="18" t="s">
        <v>5631</v>
      </c>
      <c r="B1282" s="18" t="s">
        <v>64</v>
      </c>
      <c r="C1282" s="18" t="s">
        <v>65</v>
      </c>
      <c r="D1282" s="18" t="s">
        <v>5628</v>
      </c>
      <c r="E1282" s="18" t="n">
        <v>10</v>
      </c>
      <c r="F1282" s="18" t="s">
        <v>5632</v>
      </c>
      <c r="G1282" s="18" t="s">
        <v>317</v>
      </c>
      <c r="H1282" s="18" t="s">
        <v>129</v>
      </c>
      <c r="I1282" s="18"/>
      <c r="J1282" s="18"/>
      <c r="K1282" s="18"/>
      <c r="L1282" s="18" t="s">
        <v>129</v>
      </c>
      <c r="M1282" s="18" t="s">
        <v>129</v>
      </c>
      <c r="N1282" s="18"/>
      <c r="O1282" s="18"/>
      <c r="P1282" s="18" t="s">
        <v>5633</v>
      </c>
      <c r="Q1282" s="18" t="s">
        <v>138</v>
      </c>
      <c r="R1282" s="18" t="s">
        <v>5634</v>
      </c>
      <c r="S1282" s="18" t="s">
        <v>140</v>
      </c>
      <c r="T1282" s="18" t="s">
        <v>141</v>
      </c>
      <c r="U1282" s="18"/>
      <c r="V1282" s="19" t="s">
        <v>29</v>
      </c>
      <c r="W1282" s="19"/>
      <c r="X1282" s="19"/>
      <c r="Y1282" s="20"/>
      <c r="Z1282" s="19"/>
      <c r="AA1282" s="18" t="str">
        <f aca="false">IF(OR(V1282="Aprobada"),R1282,IF(AND(OR(V1282="Aprobada con ajuste",V1282="Rechazada"),W1282&lt;&gt;""),W1282,""))</f>
        <v/>
      </c>
    </row>
    <row r="1283" customFormat="false" ht="22.35" hidden="false" customHeight="false" outlineLevel="0" collapsed="false">
      <c r="A1283" s="18" t="s">
        <v>5635</v>
      </c>
      <c r="B1283" s="18" t="s">
        <v>64</v>
      </c>
      <c r="C1283" s="18" t="s">
        <v>65</v>
      </c>
      <c r="D1283" s="18" t="s">
        <v>5628</v>
      </c>
      <c r="E1283" s="18" t="n">
        <v>10</v>
      </c>
      <c r="F1283" s="18" t="s">
        <v>5636</v>
      </c>
      <c r="G1283" s="18" t="s">
        <v>128</v>
      </c>
      <c r="H1283" s="18" t="s">
        <v>162</v>
      </c>
      <c r="I1283" s="18"/>
      <c r="J1283" s="18"/>
      <c r="K1283" s="18"/>
      <c r="L1283" s="18" t="s">
        <v>129</v>
      </c>
      <c r="M1283" s="18" t="s">
        <v>129</v>
      </c>
      <c r="N1283" s="18"/>
      <c r="O1283" s="18"/>
      <c r="P1283" s="18" t="s">
        <v>5637</v>
      </c>
      <c r="Q1283" s="18" t="s">
        <v>149</v>
      </c>
      <c r="R1283" s="18" t="s">
        <v>5638</v>
      </c>
      <c r="S1283" s="18" t="s">
        <v>133</v>
      </c>
      <c r="T1283" s="18" t="s">
        <v>858</v>
      </c>
      <c r="U1283" s="18"/>
      <c r="V1283" s="19" t="s">
        <v>29</v>
      </c>
      <c r="W1283" s="19"/>
      <c r="X1283" s="19"/>
      <c r="Y1283" s="20"/>
      <c r="Z1283" s="19"/>
      <c r="AA1283" s="18" t="str">
        <f aca="false">IF(OR(V1283="Aprobada"),R1283,IF(AND(OR(V1283="Aprobada con ajuste",V1283="Rechazada"),W1283&lt;&gt;""),W1283,""))</f>
        <v/>
      </c>
    </row>
    <row r="1284" customFormat="false" ht="43.25" hidden="false" customHeight="false" outlineLevel="0" collapsed="false">
      <c r="A1284" s="18" t="s">
        <v>5639</v>
      </c>
      <c r="B1284" s="18" t="s">
        <v>64</v>
      </c>
      <c r="C1284" s="18" t="s">
        <v>65</v>
      </c>
      <c r="D1284" s="18" t="s">
        <v>5628</v>
      </c>
      <c r="E1284" s="18" t="n">
        <v>10</v>
      </c>
      <c r="F1284" s="18" t="s">
        <v>341</v>
      </c>
      <c r="G1284" s="18" t="s">
        <v>145</v>
      </c>
      <c r="H1284" s="18" t="s">
        <v>162</v>
      </c>
      <c r="I1284" s="18"/>
      <c r="J1284" s="18"/>
      <c r="K1284" s="18"/>
      <c r="L1284" s="18" t="s">
        <v>129</v>
      </c>
      <c r="M1284" s="18" t="s">
        <v>129</v>
      </c>
      <c r="N1284" s="18"/>
      <c r="O1284" s="18"/>
      <c r="P1284" s="18" t="s">
        <v>5640</v>
      </c>
      <c r="Q1284" s="18" t="s">
        <v>131</v>
      </c>
      <c r="R1284" s="18" t="s">
        <v>5641</v>
      </c>
      <c r="S1284" s="18" t="s">
        <v>133</v>
      </c>
      <c r="T1284" s="18" t="s">
        <v>5642</v>
      </c>
      <c r="U1284" s="18"/>
      <c r="V1284" s="19" t="s">
        <v>29</v>
      </c>
      <c r="W1284" s="19"/>
      <c r="X1284" s="19"/>
      <c r="Y1284" s="20"/>
      <c r="Z1284" s="19"/>
      <c r="AA1284" s="18" t="str">
        <f aca="false">IF(OR(V1284="Aprobada"),R1284,IF(AND(OR(V1284="Aprobada con ajuste",V1284="Rechazada"),W1284&lt;&gt;""),W1284,""))</f>
        <v/>
      </c>
    </row>
    <row r="1285" customFormat="false" ht="22.35" hidden="false" customHeight="false" outlineLevel="0" collapsed="false">
      <c r="A1285" s="18" t="s">
        <v>5643</v>
      </c>
      <c r="B1285" s="18" t="s">
        <v>64</v>
      </c>
      <c r="C1285" s="18" t="s">
        <v>65</v>
      </c>
      <c r="D1285" s="18" t="s">
        <v>5628</v>
      </c>
      <c r="E1285" s="18" t="n">
        <v>10</v>
      </c>
      <c r="F1285" s="18" t="s">
        <v>886</v>
      </c>
      <c r="G1285" s="18" t="s">
        <v>128</v>
      </c>
      <c r="H1285" s="18" t="s">
        <v>162</v>
      </c>
      <c r="I1285" s="18"/>
      <c r="J1285" s="18"/>
      <c r="K1285" s="18"/>
      <c r="L1285" s="18" t="s">
        <v>129</v>
      </c>
      <c r="M1285" s="18" t="s">
        <v>129</v>
      </c>
      <c r="N1285" s="18"/>
      <c r="O1285" s="18"/>
      <c r="P1285" s="18" t="s">
        <v>5644</v>
      </c>
      <c r="Q1285" s="18" t="s">
        <v>138</v>
      </c>
      <c r="R1285" s="18" t="s">
        <v>1693</v>
      </c>
      <c r="S1285" s="18" t="s">
        <v>140</v>
      </c>
      <c r="T1285" s="18" t="s">
        <v>141</v>
      </c>
      <c r="U1285" s="18"/>
      <c r="V1285" s="19" t="s">
        <v>29</v>
      </c>
      <c r="W1285" s="19"/>
      <c r="X1285" s="19"/>
      <c r="Y1285" s="20"/>
      <c r="Z1285" s="19"/>
      <c r="AA1285" s="18" t="str">
        <f aca="false">IF(OR(V1285="Aprobada"),R1285,IF(AND(OR(V1285="Aprobada con ajuste",V1285="Rechazada"),W1285&lt;&gt;""),W1285,""))</f>
        <v/>
      </c>
    </row>
    <row r="1286" customFormat="false" ht="22.35" hidden="false" customHeight="false" outlineLevel="0" collapsed="false">
      <c r="A1286" s="18" t="s">
        <v>5645</v>
      </c>
      <c r="B1286" s="18" t="s">
        <v>64</v>
      </c>
      <c r="C1286" s="18" t="s">
        <v>65</v>
      </c>
      <c r="D1286" s="18" t="s">
        <v>5628</v>
      </c>
      <c r="E1286" s="18" t="n">
        <v>10</v>
      </c>
      <c r="F1286" s="18" t="s">
        <v>5646</v>
      </c>
      <c r="G1286" s="18" t="s">
        <v>5268</v>
      </c>
      <c r="H1286" s="18" t="s">
        <v>162</v>
      </c>
      <c r="I1286" s="18"/>
      <c r="J1286" s="18"/>
      <c r="K1286" s="18"/>
      <c r="L1286" s="18" t="s">
        <v>129</v>
      </c>
      <c r="M1286" s="18" t="s">
        <v>129</v>
      </c>
      <c r="N1286" s="18"/>
      <c r="O1286" s="18"/>
      <c r="P1286" s="18" t="s">
        <v>5647</v>
      </c>
      <c r="Q1286" s="18" t="s">
        <v>149</v>
      </c>
      <c r="R1286" s="18" t="s">
        <v>5648</v>
      </c>
      <c r="S1286" s="18" t="s">
        <v>133</v>
      </c>
      <c r="T1286" s="18" t="s">
        <v>183</v>
      </c>
      <c r="U1286" s="18"/>
      <c r="V1286" s="19" t="s">
        <v>29</v>
      </c>
      <c r="W1286" s="19"/>
      <c r="X1286" s="19"/>
      <c r="Y1286" s="20"/>
      <c r="Z1286" s="19"/>
      <c r="AA1286" s="18" t="str">
        <f aca="false">IF(OR(V1286="Aprobada"),R1286,IF(AND(OR(V1286="Aprobada con ajuste",V1286="Rechazada"),W1286&lt;&gt;""),W1286,""))</f>
        <v/>
      </c>
    </row>
    <row r="1287" customFormat="false" ht="22.35" hidden="false" customHeight="false" outlineLevel="0" collapsed="false">
      <c r="A1287" s="18" t="s">
        <v>5649</v>
      </c>
      <c r="B1287" s="18" t="s">
        <v>64</v>
      </c>
      <c r="C1287" s="18" t="s">
        <v>65</v>
      </c>
      <c r="D1287" s="18" t="s">
        <v>5628</v>
      </c>
      <c r="E1287" s="18" t="n">
        <v>10</v>
      </c>
      <c r="F1287" s="18" t="s">
        <v>5650</v>
      </c>
      <c r="G1287" s="18" t="s">
        <v>5268</v>
      </c>
      <c r="H1287" s="18" t="s">
        <v>162</v>
      </c>
      <c r="I1287" s="18"/>
      <c r="J1287" s="18"/>
      <c r="K1287" s="18"/>
      <c r="L1287" s="18" t="s">
        <v>129</v>
      </c>
      <c r="M1287" s="18" t="s">
        <v>129</v>
      </c>
      <c r="N1287" s="18"/>
      <c r="O1287" s="18"/>
      <c r="P1287" s="18" t="s">
        <v>5651</v>
      </c>
      <c r="Q1287" s="18" t="s">
        <v>149</v>
      </c>
      <c r="R1287" s="18" t="s">
        <v>5652</v>
      </c>
      <c r="S1287" s="18" t="s">
        <v>133</v>
      </c>
      <c r="T1287" s="18" t="s">
        <v>183</v>
      </c>
      <c r="U1287" s="18"/>
      <c r="V1287" s="19" t="s">
        <v>29</v>
      </c>
      <c r="W1287" s="19"/>
      <c r="X1287" s="19"/>
      <c r="Y1287" s="20"/>
      <c r="Z1287" s="19"/>
      <c r="AA1287" s="18" t="str">
        <f aca="false">IF(OR(V1287="Aprobada"),R1287,IF(AND(OR(V1287="Aprobada con ajuste",V1287="Rechazada"),W1287&lt;&gt;""),W1287,""))</f>
        <v/>
      </c>
    </row>
    <row r="1288" customFormat="false" ht="22.35" hidden="false" customHeight="false" outlineLevel="0" collapsed="false">
      <c r="A1288" s="18" t="s">
        <v>5653</v>
      </c>
      <c r="B1288" s="18" t="s">
        <v>64</v>
      </c>
      <c r="C1288" s="18" t="s">
        <v>65</v>
      </c>
      <c r="D1288" s="18" t="s">
        <v>5628</v>
      </c>
      <c r="E1288" s="18" t="n">
        <v>10</v>
      </c>
      <c r="F1288" s="18" t="s">
        <v>5654</v>
      </c>
      <c r="G1288" s="18" t="s">
        <v>5268</v>
      </c>
      <c r="H1288" s="18" t="s">
        <v>162</v>
      </c>
      <c r="I1288" s="18"/>
      <c r="J1288" s="18"/>
      <c r="K1288" s="18"/>
      <c r="L1288" s="18" t="s">
        <v>129</v>
      </c>
      <c r="M1288" s="18" t="s">
        <v>129</v>
      </c>
      <c r="N1288" s="18"/>
      <c r="O1288" s="18"/>
      <c r="P1288" s="18" t="s">
        <v>5655</v>
      </c>
      <c r="Q1288" s="18" t="s">
        <v>149</v>
      </c>
      <c r="R1288" s="18" t="s">
        <v>5656</v>
      </c>
      <c r="S1288" s="18" t="s">
        <v>133</v>
      </c>
      <c r="T1288" s="18" t="s">
        <v>183</v>
      </c>
      <c r="U1288" s="18"/>
      <c r="V1288" s="19" t="s">
        <v>29</v>
      </c>
      <c r="W1288" s="19"/>
      <c r="X1288" s="19"/>
      <c r="Y1288" s="20"/>
      <c r="Z1288" s="19"/>
      <c r="AA1288" s="18" t="str">
        <f aca="false">IF(OR(V1288="Aprobada"),R1288,IF(AND(OR(V1288="Aprobada con ajuste",V1288="Rechazada"),W1288&lt;&gt;""),W1288,""))</f>
        <v/>
      </c>
    </row>
    <row r="1289" customFormat="false" ht="32.8" hidden="false" customHeight="false" outlineLevel="0" collapsed="false">
      <c r="A1289" s="18" t="s">
        <v>5657</v>
      </c>
      <c r="B1289" s="18" t="s">
        <v>64</v>
      </c>
      <c r="C1289" s="18" t="s">
        <v>65</v>
      </c>
      <c r="D1289" s="18" t="s">
        <v>5658</v>
      </c>
      <c r="E1289" s="18" t="n">
        <v>24</v>
      </c>
      <c r="F1289" s="18" t="s">
        <v>275</v>
      </c>
      <c r="G1289" s="18" t="s">
        <v>180</v>
      </c>
      <c r="H1289" s="18" t="s">
        <v>129</v>
      </c>
      <c r="I1289" s="18"/>
      <c r="J1289" s="18"/>
      <c r="K1289" s="18"/>
      <c r="L1289" s="18" t="s">
        <v>129</v>
      </c>
      <c r="M1289" s="18" t="s">
        <v>129</v>
      </c>
      <c r="N1289" s="18"/>
      <c r="O1289" s="18"/>
      <c r="P1289" s="18" t="s">
        <v>5659</v>
      </c>
      <c r="Q1289" s="18" t="s">
        <v>131</v>
      </c>
      <c r="R1289" s="18" t="s">
        <v>5660</v>
      </c>
      <c r="S1289" s="18" t="s">
        <v>133</v>
      </c>
      <c r="T1289" s="18" t="s">
        <v>5661</v>
      </c>
      <c r="U1289" s="18"/>
      <c r="V1289" s="19" t="s">
        <v>29</v>
      </c>
      <c r="W1289" s="19"/>
      <c r="X1289" s="19"/>
      <c r="Y1289" s="20"/>
      <c r="Z1289" s="19"/>
      <c r="AA1289" s="18" t="str">
        <f aca="false">IF(OR(V1289="Aprobada"),R1289,IF(AND(OR(V1289="Aprobada con ajuste",V1289="Rechazada"),W1289&lt;&gt;""),W1289,""))</f>
        <v/>
      </c>
    </row>
    <row r="1290" customFormat="false" ht="22.35" hidden="false" customHeight="false" outlineLevel="0" collapsed="false">
      <c r="A1290" s="18" t="s">
        <v>5662</v>
      </c>
      <c r="B1290" s="18" t="s">
        <v>64</v>
      </c>
      <c r="C1290" s="18" t="s">
        <v>65</v>
      </c>
      <c r="D1290" s="18" t="s">
        <v>5658</v>
      </c>
      <c r="E1290" s="18" t="n">
        <v>24</v>
      </c>
      <c r="F1290" s="18" t="s">
        <v>160</v>
      </c>
      <c r="G1290" s="18" t="s">
        <v>128</v>
      </c>
      <c r="H1290" s="18" t="s">
        <v>162</v>
      </c>
      <c r="I1290" s="18"/>
      <c r="J1290" s="18"/>
      <c r="K1290" s="18"/>
      <c r="L1290" s="18" t="s">
        <v>129</v>
      </c>
      <c r="M1290" s="18" t="s">
        <v>129</v>
      </c>
      <c r="N1290" s="18"/>
      <c r="O1290" s="18"/>
      <c r="P1290" s="18" t="s">
        <v>5663</v>
      </c>
      <c r="Q1290" s="18" t="s">
        <v>138</v>
      </c>
      <c r="R1290" s="18" t="s">
        <v>5664</v>
      </c>
      <c r="S1290" s="18" t="s">
        <v>140</v>
      </c>
      <c r="T1290" s="18" t="s">
        <v>141</v>
      </c>
      <c r="U1290" s="18"/>
      <c r="V1290" s="19" t="s">
        <v>29</v>
      </c>
      <c r="W1290" s="19"/>
      <c r="X1290" s="19"/>
      <c r="Y1290" s="20"/>
      <c r="Z1290" s="19"/>
      <c r="AA1290" s="18" t="str">
        <f aca="false">IF(OR(V1290="Aprobada"),R1290,IF(AND(OR(V1290="Aprobada con ajuste",V1290="Rechazada"),W1290&lt;&gt;""),W1290,""))</f>
        <v/>
      </c>
    </row>
    <row r="1291" customFormat="false" ht="43.25" hidden="false" customHeight="false" outlineLevel="0" collapsed="false">
      <c r="A1291" s="18" t="s">
        <v>5665</v>
      </c>
      <c r="B1291" s="18" t="s">
        <v>64</v>
      </c>
      <c r="C1291" s="18" t="s">
        <v>65</v>
      </c>
      <c r="D1291" s="18" t="s">
        <v>5658</v>
      </c>
      <c r="E1291" s="18" t="n">
        <v>24</v>
      </c>
      <c r="F1291" s="18" t="s">
        <v>5666</v>
      </c>
      <c r="G1291" s="18" t="s">
        <v>145</v>
      </c>
      <c r="H1291" s="18" t="s">
        <v>129</v>
      </c>
      <c r="I1291" s="18"/>
      <c r="J1291" s="18"/>
      <c r="K1291" s="18"/>
      <c r="L1291" s="18" t="s">
        <v>129</v>
      </c>
      <c r="M1291" s="18" t="s">
        <v>129</v>
      </c>
      <c r="N1291" s="18"/>
      <c r="O1291" s="18" t="s">
        <v>5667</v>
      </c>
      <c r="P1291" s="18" t="s">
        <v>5668</v>
      </c>
      <c r="Q1291" s="18" t="s">
        <v>131</v>
      </c>
      <c r="R1291" s="18" t="s">
        <v>5669</v>
      </c>
      <c r="S1291" s="18" t="s">
        <v>133</v>
      </c>
      <c r="T1291" s="18" t="s">
        <v>5670</v>
      </c>
      <c r="U1291" s="18"/>
      <c r="V1291" s="19" t="s">
        <v>29</v>
      </c>
      <c r="W1291" s="19"/>
      <c r="X1291" s="19"/>
      <c r="Y1291" s="20"/>
      <c r="Z1291" s="19"/>
      <c r="AA1291" s="18" t="str">
        <f aca="false">IF(OR(V1291="Aprobada"),R1291,IF(AND(OR(V1291="Aprobada con ajuste",V1291="Rechazada"),W1291&lt;&gt;""),W1291,""))</f>
        <v/>
      </c>
    </row>
    <row r="1292" customFormat="false" ht="32.8" hidden="false" customHeight="false" outlineLevel="0" collapsed="false">
      <c r="A1292" s="18" t="s">
        <v>5671</v>
      </c>
      <c r="B1292" s="18" t="s">
        <v>64</v>
      </c>
      <c r="C1292" s="18" t="s">
        <v>65</v>
      </c>
      <c r="D1292" s="18" t="s">
        <v>5658</v>
      </c>
      <c r="E1292" s="18" t="n">
        <v>24</v>
      </c>
      <c r="F1292" s="18" t="s">
        <v>5672</v>
      </c>
      <c r="G1292" s="18" t="s">
        <v>5673</v>
      </c>
      <c r="H1292" s="18" t="s">
        <v>129</v>
      </c>
      <c r="I1292" s="18"/>
      <c r="J1292" s="18"/>
      <c r="K1292" s="18"/>
      <c r="L1292" s="18" t="s">
        <v>129</v>
      </c>
      <c r="M1292" s="18" t="s">
        <v>129</v>
      </c>
      <c r="N1292" s="18"/>
      <c r="O1292" s="18"/>
      <c r="P1292" s="18" t="s">
        <v>5674</v>
      </c>
      <c r="Q1292" s="18" t="s">
        <v>131</v>
      </c>
      <c r="R1292" s="18" t="s">
        <v>5675</v>
      </c>
      <c r="S1292" s="18" t="s">
        <v>140</v>
      </c>
      <c r="T1292" s="18" t="s">
        <v>5676</v>
      </c>
      <c r="U1292" s="18" t="s">
        <v>5677</v>
      </c>
      <c r="V1292" s="19" t="s">
        <v>29</v>
      </c>
      <c r="W1292" s="19"/>
      <c r="X1292" s="19"/>
      <c r="Y1292" s="20"/>
      <c r="Z1292" s="19"/>
      <c r="AA1292" s="18" t="str">
        <f aca="false">IF(OR(V1292="Aprobada"),R1292,IF(AND(OR(V1292="Aprobada con ajuste",V1292="Rechazada"),W1292&lt;&gt;""),W1292,""))</f>
        <v/>
      </c>
    </row>
    <row r="1293" customFormat="false" ht="32.8" hidden="false" customHeight="false" outlineLevel="0" collapsed="false">
      <c r="A1293" s="18" t="s">
        <v>5678</v>
      </c>
      <c r="B1293" s="18" t="s">
        <v>64</v>
      </c>
      <c r="C1293" s="18" t="s">
        <v>65</v>
      </c>
      <c r="D1293" s="18" t="s">
        <v>5658</v>
      </c>
      <c r="E1293" s="18" t="n">
        <v>24</v>
      </c>
      <c r="F1293" s="18" t="s">
        <v>5679</v>
      </c>
      <c r="G1293" s="18" t="s">
        <v>205</v>
      </c>
      <c r="H1293" s="18" t="s">
        <v>162</v>
      </c>
      <c r="I1293" s="18"/>
      <c r="J1293" s="18"/>
      <c r="K1293" s="18"/>
      <c r="L1293" s="18" t="s">
        <v>129</v>
      </c>
      <c r="M1293" s="18" t="s">
        <v>129</v>
      </c>
      <c r="N1293" s="18"/>
      <c r="O1293" s="18"/>
      <c r="P1293" s="18" t="s">
        <v>5680</v>
      </c>
      <c r="Q1293" s="18" t="s">
        <v>131</v>
      </c>
      <c r="R1293" s="18" t="s">
        <v>5681</v>
      </c>
      <c r="S1293" s="18" t="s">
        <v>133</v>
      </c>
      <c r="T1293" s="18" t="s">
        <v>5682</v>
      </c>
      <c r="U1293" s="18"/>
      <c r="V1293" s="19" t="s">
        <v>29</v>
      </c>
      <c r="W1293" s="19"/>
      <c r="X1293" s="19"/>
      <c r="Y1293" s="20"/>
      <c r="Z1293" s="19"/>
      <c r="AA1293" s="18" t="str">
        <f aca="false">IF(OR(V1293="Aprobada"),R1293,IF(AND(OR(V1293="Aprobada con ajuste",V1293="Rechazada"),W1293&lt;&gt;""),W1293,""))</f>
        <v/>
      </c>
    </row>
    <row r="1294" customFormat="false" ht="32.8" hidden="false" customHeight="false" outlineLevel="0" collapsed="false">
      <c r="A1294" s="18" t="s">
        <v>5683</v>
      </c>
      <c r="B1294" s="18" t="s">
        <v>64</v>
      </c>
      <c r="C1294" s="18" t="s">
        <v>65</v>
      </c>
      <c r="D1294" s="18" t="s">
        <v>5658</v>
      </c>
      <c r="E1294" s="18" t="n">
        <v>24</v>
      </c>
      <c r="F1294" s="18" t="s">
        <v>2414</v>
      </c>
      <c r="G1294" s="18" t="s">
        <v>137</v>
      </c>
      <c r="H1294" s="18" t="s">
        <v>129</v>
      </c>
      <c r="I1294" s="18"/>
      <c r="J1294" s="18"/>
      <c r="K1294" s="18"/>
      <c r="L1294" s="18" t="s">
        <v>129</v>
      </c>
      <c r="M1294" s="18" t="s">
        <v>129</v>
      </c>
      <c r="N1294" s="18"/>
      <c r="O1294" s="18"/>
      <c r="P1294" s="18" t="s">
        <v>5684</v>
      </c>
      <c r="Q1294" s="18" t="s">
        <v>131</v>
      </c>
      <c r="R1294" s="18" t="s">
        <v>5685</v>
      </c>
      <c r="S1294" s="18" t="s">
        <v>133</v>
      </c>
      <c r="T1294" s="18" t="s">
        <v>5686</v>
      </c>
      <c r="U1294" s="18"/>
      <c r="V1294" s="19" t="s">
        <v>29</v>
      </c>
      <c r="W1294" s="19"/>
      <c r="X1294" s="19"/>
      <c r="Y1294" s="20"/>
      <c r="Z1294" s="19"/>
      <c r="AA1294" s="18" t="str">
        <f aca="false">IF(OR(V1294="Aprobada"),R1294,IF(AND(OR(V1294="Aprobada con ajuste",V1294="Rechazada"),W1294&lt;&gt;""),W1294,""))</f>
        <v/>
      </c>
    </row>
    <row r="1295" customFormat="false" ht="22.35" hidden="false" customHeight="false" outlineLevel="0" collapsed="false">
      <c r="A1295" s="18" t="s">
        <v>5687</v>
      </c>
      <c r="B1295" s="18" t="s">
        <v>64</v>
      </c>
      <c r="C1295" s="18" t="s">
        <v>65</v>
      </c>
      <c r="D1295" s="18" t="s">
        <v>5658</v>
      </c>
      <c r="E1295" s="18" t="n">
        <v>24</v>
      </c>
      <c r="F1295" s="18" t="s">
        <v>2418</v>
      </c>
      <c r="G1295" s="18" t="s">
        <v>137</v>
      </c>
      <c r="H1295" s="18" t="s">
        <v>129</v>
      </c>
      <c r="I1295" s="18"/>
      <c r="J1295" s="18"/>
      <c r="K1295" s="18"/>
      <c r="L1295" s="18" t="s">
        <v>129</v>
      </c>
      <c r="M1295" s="18" t="s">
        <v>129</v>
      </c>
      <c r="N1295" s="18"/>
      <c r="O1295" s="18"/>
      <c r="P1295" s="18" t="s">
        <v>5688</v>
      </c>
      <c r="Q1295" s="18" t="s">
        <v>138</v>
      </c>
      <c r="R1295" s="18" t="s">
        <v>2420</v>
      </c>
      <c r="S1295" s="18" t="s">
        <v>140</v>
      </c>
      <c r="T1295" s="18" t="s">
        <v>141</v>
      </c>
      <c r="U1295" s="18"/>
      <c r="V1295" s="19" t="s">
        <v>29</v>
      </c>
      <c r="W1295" s="19"/>
      <c r="X1295" s="19"/>
      <c r="Y1295" s="20"/>
      <c r="Z1295" s="19"/>
      <c r="AA1295" s="18" t="str">
        <f aca="false">IF(OR(V1295="Aprobada"),R1295,IF(AND(OR(V1295="Aprobada con ajuste",V1295="Rechazada"),W1295&lt;&gt;""),W1295,""))</f>
        <v/>
      </c>
    </row>
    <row r="1296" customFormat="false" ht="22.35" hidden="false" customHeight="false" outlineLevel="0" collapsed="false">
      <c r="A1296" s="18" t="s">
        <v>5689</v>
      </c>
      <c r="B1296" s="18" t="s">
        <v>64</v>
      </c>
      <c r="C1296" s="18" t="s">
        <v>65</v>
      </c>
      <c r="D1296" s="18" t="s">
        <v>5658</v>
      </c>
      <c r="E1296" s="18" t="n">
        <v>24</v>
      </c>
      <c r="F1296" s="18" t="s">
        <v>5690</v>
      </c>
      <c r="G1296" s="18" t="s">
        <v>205</v>
      </c>
      <c r="H1296" s="18" t="s">
        <v>162</v>
      </c>
      <c r="I1296" s="18"/>
      <c r="J1296" s="18"/>
      <c r="K1296" s="18"/>
      <c r="L1296" s="18" t="s">
        <v>129</v>
      </c>
      <c r="M1296" s="18" t="s">
        <v>129</v>
      </c>
      <c r="N1296" s="18"/>
      <c r="O1296" s="18"/>
      <c r="P1296" s="18" t="s">
        <v>5691</v>
      </c>
      <c r="Q1296" s="18" t="s">
        <v>149</v>
      </c>
      <c r="R1296" s="18" t="s">
        <v>5692</v>
      </c>
      <c r="S1296" s="18" t="s">
        <v>140</v>
      </c>
      <c r="T1296" s="18" t="s">
        <v>5503</v>
      </c>
      <c r="U1296" s="18" t="s">
        <v>5693</v>
      </c>
      <c r="V1296" s="19" t="s">
        <v>29</v>
      </c>
      <c r="W1296" s="19"/>
      <c r="X1296" s="19"/>
      <c r="Y1296" s="20"/>
      <c r="Z1296" s="19"/>
      <c r="AA1296" s="18" t="str">
        <f aca="false">IF(OR(V1296="Aprobada"),R1296,IF(AND(OR(V1296="Aprobada con ajuste",V1296="Rechazada"),W1296&lt;&gt;""),W1296,""))</f>
        <v/>
      </c>
    </row>
    <row r="1297" customFormat="false" ht="43.25" hidden="false" customHeight="false" outlineLevel="0" collapsed="false">
      <c r="A1297" s="18" t="s">
        <v>5694</v>
      </c>
      <c r="B1297" s="18" t="s">
        <v>64</v>
      </c>
      <c r="C1297" s="18" t="s">
        <v>65</v>
      </c>
      <c r="D1297" s="18" t="s">
        <v>5658</v>
      </c>
      <c r="E1297" s="18" t="n">
        <v>24</v>
      </c>
      <c r="F1297" s="18" t="s">
        <v>4337</v>
      </c>
      <c r="G1297" s="18" t="s">
        <v>312</v>
      </c>
      <c r="H1297" s="18" t="s">
        <v>162</v>
      </c>
      <c r="I1297" s="18"/>
      <c r="J1297" s="18"/>
      <c r="K1297" s="18"/>
      <c r="L1297" s="18" t="s">
        <v>129</v>
      </c>
      <c r="M1297" s="18" t="s">
        <v>129</v>
      </c>
      <c r="N1297" s="18"/>
      <c r="O1297" s="18"/>
      <c r="P1297" s="18" t="s">
        <v>5695</v>
      </c>
      <c r="Q1297" s="18" t="s">
        <v>131</v>
      </c>
      <c r="R1297" s="18" t="s">
        <v>5696</v>
      </c>
      <c r="S1297" s="18" t="s">
        <v>140</v>
      </c>
      <c r="T1297" s="18" t="s">
        <v>5697</v>
      </c>
      <c r="U1297" s="18" t="s">
        <v>5698</v>
      </c>
      <c r="V1297" s="19" t="s">
        <v>29</v>
      </c>
      <c r="W1297" s="19"/>
      <c r="X1297" s="19"/>
      <c r="Y1297" s="20"/>
      <c r="Z1297" s="19"/>
      <c r="AA1297" s="18" t="str">
        <f aca="false">IF(OR(V1297="Aprobada"),R1297,IF(AND(OR(V1297="Aprobada con ajuste",V1297="Rechazada"),W1297&lt;&gt;""),W1297,""))</f>
        <v/>
      </c>
    </row>
    <row r="1298" customFormat="false" ht="32.8" hidden="false" customHeight="false" outlineLevel="0" collapsed="false">
      <c r="A1298" s="18" t="s">
        <v>5699</v>
      </c>
      <c r="B1298" s="18" t="s">
        <v>64</v>
      </c>
      <c r="C1298" s="18" t="s">
        <v>65</v>
      </c>
      <c r="D1298" s="18" t="s">
        <v>5658</v>
      </c>
      <c r="E1298" s="18" t="n">
        <v>24</v>
      </c>
      <c r="F1298" s="18" t="s">
        <v>5700</v>
      </c>
      <c r="G1298" s="18" t="s">
        <v>454</v>
      </c>
      <c r="H1298" s="18" t="s">
        <v>162</v>
      </c>
      <c r="I1298" s="18"/>
      <c r="J1298" s="18"/>
      <c r="K1298" s="18"/>
      <c r="L1298" s="18" t="s">
        <v>129</v>
      </c>
      <c r="M1298" s="18" t="s">
        <v>129</v>
      </c>
      <c r="N1298" s="18"/>
      <c r="O1298" s="18"/>
      <c r="P1298" s="18" t="s">
        <v>5701</v>
      </c>
      <c r="Q1298" s="18" t="s">
        <v>131</v>
      </c>
      <c r="R1298" s="18" t="s">
        <v>5702</v>
      </c>
      <c r="S1298" s="18" t="s">
        <v>133</v>
      </c>
      <c r="T1298" s="18" t="s">
        <v>5703</v>
      </c>
      <c r="U1298" s="18"/>
      <c r="V1298" s="19" t="s">
        <v>29</v>
      </c>
      <c r="W1298" s="19"/>
      <c r="X1298" s="19"/>
      <c r="Y1298" s="20"/>
      <c r="Z1298" s="19"/>
      <c r="AA1298" s="18" t="str">
        <f aca="false">IF(OR(V1298="Aprobada"),R1298,IF(AND(OR(V1298="Aprobada con ajuste",V1298="Rechazada"),W1298&lt;&gt;""),W1298,""))</f>
        <v/>
      </c>
    </row>
    <row r="1299" customFormat="false" ht="32.8" hidden="false" customHeight="false" outlineLevel="0" collapsed="false">
      <c r="A1299" s="18" t="s">
        <v>5704</v>
      </c>
      <c r="B1299" s="18" t="s">
        <v>64</v>
      </c>
      <c r="C1299" s="18" t="s">
        <v>65</v>
      </c>
      <c r="D1299" s="18" t="s">
        <v>5658</v>
      </c>
      <c r="E1299" s="18" t="n">
        <v>24</v>
      </c>
      <c r="F1299" s="18" t="s">
        <v>185</v>
      </c>
      <c r="G1299" s="18" t="s">
        <v>205</v>
      </c>
      <c r="H1299" s="18" t="s">
        <v>162</v>
      </c>
      <c r="I1299" s="18"/>
      <c r="J1299" s="18"/>
      <c r="K1299" s="18"/>
      <c r="L1299" s="18" t="s">
        <v>129</v>
      </c>
      <c r="M1299" s="18" t="s">
        <v>129</v>
      </c>
      <c r="N1299" s="18"/>
      <c r="O1299" s="18" t="s">
        <v>5705</v>
      </c>
      <c r="P1299" s="18" t="s">
        <v>5706</v>
      </c>
      <c r="Q1299" s="18" t="s">
        <v>131</v>
      </c>
      <c r="R1299" s="18" t="s">
        <v>5707</v>
      </c>
      <c r="S1299" s="18" t="s">
        <v>133</v>
      </c>
      <c r="T1299" s="18" t="s">
        <v>5708</v>
      </c>
      <c r="U1299" s="18"/>
      <c r="V1299" s="19" t="s">
        <v>29</v>
      </c>
      <c r="W1299" s="19"/>
      <c r="X1299" s="19"/>
      <c r="Y1299" s="20"/>
      <c r="Z1299" s="19"/>
      <c r="AA1299" s="18" t="str">
        <f aca="false">IF(OR(V1299="Aprobada"),R1299,IF(AND(OR(V1299="Aprobada con ajuste",V1299="Rechazada"),W1299&lt;&gt;""),W1299,""))</f>
        <v/>
      </c>
    </row>
    <row r="1300" customFormat="false" ht="22.35" hidden="false" customHeight="false" outlineLevel="0" collapsed="false">
      <c r="A1300" s="18" t="s">
        <v>5709</v>
      </c>
      <c r="B1300" s="18" t="s">
        <v>64</v>
      </c>
      <c r="C1300" s="18" t="s">
        <v>65</v>
      </c>
      <c r="D1300" s="18" t="s">
        <v>5658</v>
      </c>
      <c r="E1300" s="18" t="n">
        <v>24</v>
      </c>
      <c r="F1300" s="18" t="s">
        <v>4777</v>
      </c>
      <c r="G1300" s="18" t="s">
        <v>205</v>
      </c>
      <c r="H1300" s="18" t="s">
        <v>162</v>
      </c>
      <c r="I1300" s="18"/>
      <c r="J1300" s="18"/>
      <c r="K1300" s="18"/>
      <c r="L1300" s="18" t="s">
        <v>129</v>
      </c>
      <c r="M1300" s="18" t="s">
        <v>129</v>
      </c>
      <c r="N1300" s="18"/>
      <c r="O1300" s="18"/>
      <c r="P1300" s="18" t="s">
        <v>5710</v>
      </c>
      <c r="Q1300" s="18" t="s">
        <v>149</v>
      </c>
      <c r="R1300" s="18" t="s">
        <v>5711</v>
      </c>
      <c r="S1300" s="18" t="s">
        <v>140</v>
      </c>
      <c r="T1300" s="18" t="s">
        <v>5503</v>
      </c>
      <c r="U1300" s="18" t="s">
        <v>5712</v>
      </c>
      <c r="V1300" s="19" t="s">
        <v>29</v>
      </c>
      <c r="W1300" s="19"/>
      <c r="X1300" s="19"/>
      <c r="Y1300" s="20"/>
      <c r="Z1300" s="19"/>
      <c r="AA1300" s="18" t="str">
        <f aca="false">IF(OR(V1300="Aprobada"),R1300,IF(AND(OR(V1300="Aprobada con ajuste",V1300="Rechazada"),W1300&lt;&gt;""),W1300,""))</f>
        <v/>
      </c>
    </row>
    <row r="1301" customFormat="false" ht="22.35" hidden="false" customHeight="false" outlineLevel="0" collapsed="false">
      <c r="A1301" s="18" t="s">
        <v>5713</v>
      </c>
      <c r="B1301" s="18" t="s">
        <v>64</v>
      </c>
      <c r="C1301" s="18" t="s">
        <v>65</v>
      </c>
      <c r="D1301" s="18" t="s">
        <v>5658</v>
      </c>
      <c r="E1301" s="18" t="n">
        <v>24</v>
      </c>
      <c r="F1301" s="18" t="s">
        <v>5714</v>
      </c>
      <c r="G1301" s="18" t="s">
        <v>145</v>
      </c>
      <c r="H1301" s="18" t="s">
        <v>162</v>
      </c>
      <c r="I1301" s="18"/>
      <c r="J1301" s="18"/>
      <c r="K1301" s="18"/>
      <c r="L1301" s="18" t="s">
        <v>129</v>
      </c>
      <c r="M1301" s="18" t="s">
        <v>129</v>
      </c>
      <c r="N1301" s="18"/>
      <c r="O1301" s="18"/>
      <c r="P1301" s="18" t="s">
        <v>5715</v>
      </c>
      <c r="Q1301" s="18" t="s">
        <v>149</v>
      </c>
      <c r="R1301" s="18" t="s">
        <v>5716</v>
      </c>
      <c r="S1301" s="18" t="s">
        <v>140</v>
      </c>
      <c r="T1301" s="18" t="s">
        <v>5503</v>
      </c>
      <c r="U1301" s="18" t="s">
        <v>5717</v>
      </c>
      <c r="V1301" s="19" t="s">
        <v>29</v>
      </c>
      <c r="W1301" s="19"/>
      <c r="X1301" s="19"/>
      <c r="Y1301" s="20"/>
      <c r="Z1301" s="19"/>
      <c r="AA1301" s="18" t="str">
        <f aca="false">IF(OR(V1301="Aprobada"),R1301,IF(AND(OR(V1301="Aprobada con ajuste",V1301="Rechazada"),W1301&lt;&gt;""),W1301,""))</f>
        <v/>
      </c>
    </row>
    <row r="1302" customFormat="false" ht="22.35" hidden="false" customHeight="false" outlineLevel="0" collapsed="false">
      <c r="A1302" s="18" t="s">
        <v>5718</v>
      </c>
      <c r="B1302" s="18" t="s">
        <v>64</v>
      </c>
      <c r="C1302" s="18" t="s">
        <v>65</v>
      </c>
      <c r="D1302" s="18" t="s">
        <v>5658</v>
      </c>
      <c r="E1302" s="18" t="n">
        <v>24</v>
      </c>
      <c r="F1302" s="18" t="s">
        <v>5719</v>
      </c>
      <c r="G1302" s="18" t="s">
        <v>584</v>
      </c>
      <c r="H1302" s="18" t="s">
        <v>162</v>
      </c>
      <c r="I1302" s="18"/>
      <c r="J1302" s="18"/>
      <c r="K1302" s="18"/>
      <c r="L1302" s="18" t="s">
        <v>129</v>
      </c>
      <c r="M1302" s="18" t="s">
        <v>129</v>
      </c>
      <c r="N1302" s="18"/>
      <c r="O1302" s="18" t="s">
        <v>5720</v>
      </c>
      <c r="P1302" s="18" t="s">
        <v>5721</v>
      </c>
      <c r="Q1302" s="18" t="s">
        <v>149</v>
      </c>
      <c r="R1302" s="18" t="s">
        <v>5722</v>
      </c>
      <c r="S1302" s="18" t="s">
        <v>133</v>
      </c>
      <c r="T1302" s="18" t="s">
        <v>183</v>
      </c>
      <c r="U1302" s="18"/>
      <c r="V1302" s="19" t="s">
        <v>29</v>
      </c>
      <c r="W1302" s="19"/>
      <c r="X1302" s="19"/>
      <c r="Y1302" s="20"/>
      <c r="Z1302" s="19"/>
      <c r="AA1302" s="18" t="str">
        <f aca="false">IF(OR(V1302="Aprobada"),R1302,IF(AND(OR(V1302="Aprobada con ajuste",V1302="Rechazada"),W1302&lt;&gt;""),W1302,""))</f>
        <v/>
      </c>
    </row>
    <row r="1303" customFormat="false" ht="22.35" hidden="false" customHeight="false" outlineLevel="0" collapsed="false">
      <c r="A1303" s="18" t="s">
        <v>5723</v>
      </c>
      <c r="B1303" s="18" t="s">
        <v>64</v>
      </c>
      <c r="C1303" s="18" t="s">
        <v>65</v>
      </c>
      <c r="D1303" s="18" t="s">
        <v>5658</v>
      </c>
      <c r="E1303" s="18" t="n">
        <v>24</v>
      </c>
      <c r="F1303" s="18" t="s">
        <v>5724</v>
      </c>
      <c r="G1303" s="18" t="s">
        <v>180</v>
      </c>
      <c r="H1303" s="18" t="s">
        <v>162</v>
      </c>
      <c r="I1303" s="18"/>
      <c r="J1303" s="18"/>
      <c r="K1303" s="18"/>
      <c r="L1303" s="18" t="s">
        <v>129</v>
      </c>
      <c r="M1303" s="18" t="s">
        <v>129</v>
      </c>
      <c r="N1303" s="18"/>
      <c r="O1303" s="18"/>
      <c r="P1303" s="18" t="s">
        <v>5725</v>
      </c>
      <c r="Q1303" s="18" t="s">
        <v>149</v>
      </c>
      <c r="R1303" s="18" t="s">
        <v>5726</v>
      </c>
      <c r="S1303" s="18" t="s">
        <v>140</v>
      </c>
      <c r="T1303" s="18" t="s">
        <v>183</v>
      </c>
      <c r="U1303" s="18" t="s">
        <v>4673</v>
      </c>
      <c r="V1303" s="19" t="s">
        <v>29</v>
      </c>
      <c r="W1303" s="19"/>
      <c r="X1303" s="19"/>
      <c r="Y1303" s="20"/>
      <c r="Z1303" s="19"/>
      <c r="AA1303" s="18" t="str">
        <f aca="false">IF(OR(V1303="Aprobada"),R1303,IF(AND(OR(V1303="Aprobada con ajuste",V1303="Rechazada"),W1303&lt;&gt;""),W1303,""))</f>
        <v/>
      </c>
    </row>
    <row r="1304" customFormat="false" ht="22.35" hidden="false" customHeight="false" outlineLevel="0" collapsed="false">
      <c r="A1304" s="18" t="s">
        <v>5727</v>
      </c>
      <c r="B1304" s="18" t="s">
        <v>64</v>
      </c>
      <c r="C1304" s="18" t="s">
        <v>65</v>
      </c>
      <c r="D1304" s="18" t="s">
        <v>5658</v>
      </c>
      <c r="E1304" s="18" t="n">
        <v>24</v>
      </c>
      <c r="F1304" s="18" t="s">
        <v>5728</v>
      </c>
      <c r="G1304" s="18" t="s">
        <v>128</v>
      </c>
      <c r="H1304" s="18" t="s">
        <v>162</v>
      </c>
      <c r="I1304" s="18"/>
      <c r="J1304" s="18"/>
      <c r="K1304" s="18"/>
      <c r="L1304" s="18" t="s">
        <v>129</v>
      </c>
      <c r="M1304" s="18" t="s">
        <v>129</v>
      </c>
      <c r="N1304" s="18"/>
      <c r="O1304" s="18"/>
      <c r="P1304" s="18" t="s">
        <v>5729</v>
      </c>
      <c r="Q1304" s="18" t="s">
        <v>149</v>
      </c>
      <c r="R1304" s="18" t="s">
        <v>5730</v>
      </c>
      <c r="S1304" s="18" t="s">
        <v>133</v>
      </c>
      <c r="T1304" s="18" t="s">
        <v>183</v>
      </c>
      <c r="U1304" s="18"/>
      <c r="V1304" s="19" t="s">
        <v>29</v>
      </c>
      <c r="W1304" s="19"/>
      <c r="X1304" s="19"/>
      <c r="Y1304" s="20"/>
      <c r="Z1304" s="19"/>
      <c r="AA1304" s="18" t="str">
        <f aca="false">IF(OR(V1304="Aprobada"),R1304,IF(AND(OR(V1304="Aprobada con ajuste",V1304="Rechazada"),W1304&lt;&gt;""),W1304,""))</f>
        <v/>
      </c>
    </row>
    <row r="1305" customFormat="false" ht="32.8" hidden="false" customHeight="false" outlineLevel="0" collapsed="false">
      <c r="A1305" s="18" t="s">
        <v>5731</v>
      </c>
      <c r="B1305" s="18" t="s">
        <v>64</v>
      </c>
      <c r="C1305" s="18" t="s">
        <v>65</v>
      </c>
      <c r="D1305" s="18" t="s">
        <v>5732</v>
      </c>
      <c r="E1305" s="18" t="n">
        <v>24</v>
      </c>
      <c r="F1305" s="18" t="s">
        <v>5733</v>
      </c>
      <c r="G1305" s="18" t="s">
        <v>5673</v>
      </c>
      <c r="H1305" s="18" t="s">
        <v>129</v>
      </c>
      <c r="I1305" s="18"/>
      <c r="J1305" s="18"/>
      <c r="K1305" s="18"/>
      <c r="L1305" s="18" t="s">
        <v>129</v>
      </c>
      <c r="M1305" s="18" t="s">
        <v>129</v>
      </c>
      <c r="N1305" s="18"/>
      <c r="O1305" s="18"/>
      <c r="P1305" s="18" t="s">
        <v>5734</v>
      </c>
      <c r="Q1305" s="18" t="s">
        <v>131</v>
      </c>
      <c r="R1305" s="18" t="s">
        <v>5735</v>
      </c>
      <c r="S1305" s="18" t="s">
        <v>133</v>
      </c>
      <c r="T1305" s="18" t="s">
        <v>5736</v>
      </c>
      <c r="U1305" s="18"/>
      <c r="V1305" s="19" t="s">
        <v>29</v>
      </c>
      <c r="W1305" s="19"/>
      <c r="X1305" s="19"/>
      <c r="Y1305" s="20"/>
      <c r="Z1305" s="19"/>
      <c r="AA1305" s="18" t="str">
        <f aca="false">IF(OR(V1305="Aprobada"),R1305,IF(AND(OR(V1305="Aprobada con ajuste",V1305="Rechazada"),W1305&lt;&gt;""),W1305,""))</f>
        <v/>
      </c>
    </row>
    <row r="1306" customFormat="false" ht="32.8" hidden="false" customHeight="false" outlineLevel="0" collapsed="false">
      <c r="A1306" s="18" t="s">
        <v>5737</v>
      </c>
      <c r="B1306" s="18" t="s">
        <v>64</v>
      </c>
      <c r="C1306" s="18" t="s">
        <v>65</v>
      </c>
      <c r="D1306" s="18" t="s">
        <v>5732</v>
      </c>
      <c r="E1306" s="18" t="n">
        <v>24</v>
      </c>
      <c r="F1306" s="18" t="s">
        <v>5500</v>
      </c>
      <c r="G1306" s="18" t="s">
        <v>5738</v>
      </c>
      <c r="H1306" s="18" t="s">
        <v>162</v>
      </c>
      <c r="I1306" s="18"/>
      <c r="J1306" s="18"/>
      <c r="K1306" s="18"/>
      <c r="L1306" s="18" t="s">
        <v>129</v>
      </c>
      <c r="M1306" s="18" t="s">
        <v>129</v>
      </c>
      <c r="N1306" s="18"/>
      <c r="O1306" s="18"/>
      <c r="P1306" s="18" t="s">
        <v>5739</v>
      </c>
      <c r="Q1306" s="18" t="s">
        <v>131</v>
      </c>
      <c r="R1306" s="18" t="s">
        <v>5740</v>
      </c>
      <c r="S1306" s="18" t="s">
        <v>133</v>
      </c>
      <c r="T1306" s="18" t="s">
        <v>5741</v>
      </c>
      <c r="U1306" s="18"/>
      <c r="V1306" s="19" t="s">
        <v>29</v>
      </c>
      <c r="W1306" s="19"/>
      <c r="X1306" s="19"/>
      <c r="Y1306" s="20"/>
      <c r="Z1306" s="19"/>
      <c r="AA1306" s="18" t="str">
        <f aca="false">IF(OR(V1306="Aprobada"),R1306,IF(AND(OR(V1306="Aprobada con ajuste",V1306="Rechazada"),W1306&lt;&gt;""),W1306,""))</f>
        <v/>
      </c>
    </row>
    <row r="1307" customFormat="false" ht="32.8" hidden="false" customHeight="false" outlineLevel="0" collapsed="false">
      <c r="A1307" s="18" t="s">
        <v>5742</v>
      </c>
      <c r="B1307" s="18" t="s">
        <v>64</v>
      </c>
      <c r="C1307" s="18" t="s">
        <v>65</v>
      </c>
      <c r="D1307" s="18" t="s">
        <v>5732</v>
      </c>
      <c r="E1307" s="18" t="n">
        <v>24</v>
      </c>
      <c r="F1307" s="18" t="s">
        <v>886</v>
      </c>
      <c r="G1307" s="18" t="s">
        <v>128</v>
      </c>
      <c r="H1307" s="18" t="s">
        <v>162</v>
      </c>
      <c r="I1307" s="18"/>
      <c r="J1307" s="18"/>
      <c r="K1307" s="18"/>
      <c r="L1307" s="18" t="s">
        <v>129</v>
      </c>
      <c r="M1307" s="18" t="s">
        <v>129</v>
      </c>
      <c r="N1307" s="18"/>
      <c r="O1307" s="18"/>
      <c r="P1307" s="18" t="s">
        <v>5743</v>
      </c>
      <c r="Q1307" s="18" t="s">
        <v>131</v>
      </c>
      <c r="R1307" s="18" t="s">
        <v>5744</v>
      </c>
      <c r="S1307" s="18" t="s">
        <v>133</v>
      </c>
      <c r="T1307" s="18" t="s">
        <v>5745</v>
      </c>
      <c r="U1307" s="18"/>
      <c r="V1307" s="19" t="s">
        <v>29</v>
      </c>
      <c r="W1307" s="19"/>
      <c r="X1307" s="19"/>
      <c r="Y1307" s="20"/>
      <c r="Z1307" s="19"/>
      <c r="AA1307" s="18" t="str">
        <f aca="false">IF(OR(V1307="Aprobada"),R1307,IF(AND(OR(V1307="Aprobada con ajuste",V1307="Rechazada"),W1307&lt;&gt;""),W1307,""))</f>
        <v/>
      </c>
    </row>
    <row r="1308" customFormat="false" ht="32.8" hidden="false" customHeight="false" outlineLevel="0" collapsed="false">
      <c r="A1308" s="18" t="s">
        <v>5746</v>
      </c>
      <c r="B1308" s="18" t="s">
        <v>64</v>
      </c>
      <c r="C1308" s="18" t="s">
        <v>65</v>
      </c>
      <c r="D1308" s="18" t="s">
        <v>5732</v>
      </c>
      <c r="E1308" s="18" t="n">
        <v>24</v>
      </c>
      <c r="F1308" s="18" t="s">
        <v>5747</v>
      </c>
      <c r="G1308" s="18" t="s">
        <v>128</v>
      </c>
      <c r="H1308" s="18" t="s">
        <v>162</v>
      </c>
      <c r="I1308" s="18"/>
      <c r="J1308" s="18"/>
      <c r="K1308" s="18"/>
      <c r="L1308" s="18" t="s">
        <v>129</v>
      </c>
      <c r="M1308" s="18" t="s">
        <v>129</v>
      </c>
      <c r="N1308" s="18"/>
      <c r="O1308" s="18"/>
      <c r="P1308" s="18" t="s">
        <v>5748</v>
      </c>
      <c r="Q1308" s="18" t="s">
        <v>131</v>
      </c>
      <c r="R1308" s="18" t="s">
        <v>5749</v>
      </c>
      <c r="S1308" s="18" t="s">
        <v>133</v>
      </c>
      <c r="T1308" s="18" t="s">
        <v>5750</v>
      </c>
      <c r="U1308" s="18"/>
      <c r="V1308" s="19" t="s">
        <v>29</v>
      </c>
      <c r="W1308" s="19"/>
      <c r="X1308" s="19"/>
      <c r="Y1308" s="20"/>
      <c r="Z1308" s="19"/>
      <c r="AA1308" s="18" t="str">
        <f aca="false">IF(OR(V1308="Aprobada"),R1308,IF(AND(OR(V1308="Aprobada con ajuste",V1308="Rechazada"),W1308&lt;&gt;""),W1308,""))</f>
        <v/>
      </c>
    </row>
    <row r="1309" customFormat="false" ht="32.8" hidden="false" customHeight="false" outlineLevel="0" collapsed="false">
      <c r="A1309" s="18" t="s">
        <v>5751</v>
      </c>
      <c r="B1309" s="18" t="s">
        <v>64</v>
      </c>
      <c r="C1309" s="18" t="s">
        <v>65</v>
      </c>
      <c r="D1309" s="18" t="s">
        <v>5732</v>
      </c>
      <c r="E1309" s="18" t="n">
        <v>24</v>
      </c>
      <c r="F1309" s="18" t="s">
        <v>5752</v>
      </c>
      <c r="G1309" s="18" t="s">
        <v>312</v>
      </c>
      <c r="H1309" s="18" t="s">
        <v>162</v>
      </c>
      <c r="I1309" s="18"/>
      <c r="J1309" s="18"/>
      <c r="K1309" s="18"/>
      <c r="L1309" s="18" t="s">
        <v>129</v>
      </c>
      <c r="M1309" s="18" t="s">
        <v>129</v>
      </c>
      <c r="N1309" s="18"/>
      <c r="O1309" s="18"/>
      <c r="P1309" s="18" t="s">
        <v>5753</v>
      </c>
      <c r="Q1309" s="18" t="s">
        <v>131</v>
      </c>
      <c r="R1309" s="18" t="s">
        <v>5754</v>
      </c>
      <c r="S1309" s="18" t="s">
        <v>133</v>
      </c>
      <c r="T1309" s="18" t="s">
        <v>5755</v>
      </c>
      <c r="U1309" s="18"/>
      <c r="V1309" s="19" t="s">
        <v>29</v>
      </c>
      <c r="W1309" s="19"/>
      <c r="X1309" s="19"/>
      <c r="Y1309" s="20"/>
      <c r="Z1309" s="19"/>
      <c r="AA1309" s="18" t="str">
        <f aca="false">IF(OR(V1309="Aprobada"),R1309,IF(AND(OR(V1309="Aprobada con ajuste",V1309="Rechazada"),W1309&lt;&gt;""),W1309,""))</f>
        <v/>
      </c>
    </row>
    <row r="1310" customFormat="false" ht="22.35" hidden="false" customHeight="false" outlineLevel="0" collapsed="false">
      <c r="A1310" s="18" t="s">
        <v>5756</v>
      </c>
      <c r="B1310" s="18" t="s">
        <v>64</v>
      </c>
      <c r="C1310" s="18" t="s">
        <v>65</v>
      </c>
      <c r="D1310" s="18" t="s">
        <v>5757</v>
      </c>
      <c r="E1310" s="18" t="n">
        <v>0</v>
      </c>
      <c r="F1310" s="18" t="s">
        <v>1918</v>
      </c>
      <c r="G1310" s="18" t="s">
        <v>128</v>
      </c>
      <c r="H1310" s="18" t="s">
        <v>129</v>
      </c>
      <c r="I1310" s="18"/>
      <c r="J1310" s="18"/>
      <c r="K1310" s="18"/>
      <c r="L1310" s="18" t="s">
        <v>129</v>
      </c>
      <c r="M1310" s="18" t="s">
        <v>129</v>
      </c>
      <c r="N1310" s="18"/>
      <c r="O1310" s="18"/>
      <c r="P1310" s="18" t="s">
        <v>5758</v>
      </c>
      <c r="Q1310" s="18" t="s">
        <v>149</v>
      </c>
      <c r="R1310" s="18" t="s">
        <v>5759</v>
      </c>
      <c r="S1310" s="18" t="s">
        <v>133</v>
      </c>
      <c r="T1310" s="18" t="s">
        <v>183</v>
      </c>
      <c r="U1310" s="18"/>
      <c r="V1310" s="19" t="s">
        <v>29</v>
      </c>
      <c r="W1310" s="19"/>
      <c r="X1310" s="19"/>
      <c r="Y1310" s="20"/>
      <c r="Z1310" s="19"/>
      <c r="AA1310" s="18" t="str">
        <f aca="false">IF(OR(V1310="Aprobada"),R1310,IF(AND(OR(V1310="Aprobada con ajuste",V1310="Rechazada"),W1310&lt;&gt;""),W1310,""))</f>
        <v/>
      </c>
    </row>
    <row r="1311" customFormat="false" ht="32.8" hidden="false" customHeight="false" outlineLevel="0" collapsed="false">
      <c r="A1311" s="18" t="s">
        <v>5760</v>
      </c>
      <c r="B1311" s="18" t="s">
        <v>64</v>
      </c>
      <c r="C1311" s="18" t="s">
        <v>65</v>
      </c>
      <c r="D1311" s="18" t="s">
        <v>5757</v>
      </c>
      <c r="E1311" s="18" t="n">
        <v>0</v>
      </c>
      <c r="F1311" s="18" t="s">
        <v>1734</v>
      </c>
      <c r="G1311" s="18" t="s">
        <v>312</v>
      </c>
      <c r="H1311" s="18" t="s">
        <v>162</v>
      </c>
      <c r="I1311" s="18"/>
      <c r="J1311" s="18"/>
      <c r="K1311" s="18"/>
      <c r="L1311" s="18" t="s">
        <v>129</v>
      </c>
      <c r="M1311" s="18" t="s">
        <v>129</v>
      </c>
      <c r="N1311" s="18"/>
      <c r="O1311" s="18"/>
      <c r="P1311" s="18" t="s">
        <v>5761</v>
      </c>
      <c r="Q1311" s="18" t="s">
        <v>149</v>
      </c>
      <c r="R1311" s="18" t="s">
        <v>5762</v>
      </c>
      <c r="S1311" s="18" t="s">
        <v>140</v>
      </c>
      <c r="T1311" s="18" t="s">
        <v>5763</v>
      </c>
      <c r="U1311" s="18" t="s">
        <v>5764</v>
      </c>
      <c r="V1311" s="19" t="s">
        <v>29</v>
      </c>
      <c r="W1311" s="19"/>
      <c r="X1311" s="19"/>
      <c r="Y1311" s="20"/>
      <c r="Z1311" s="19"/>
      <c r="AA1311" s="18" t="str">
        <f aca="false">IF(OR(V1311="Aprobada"),R1311,IF(AND(OR(V1311="Aprobada con ajuste",V1311="Rechazada"),W1311&lt;&gt;""),W1311,""))</f>
        <v/>
      </c>
    </row>
    <row r="1312" customFormat="false" ht="22.35" hidden="false" customHeight="false" outlineLevel="0" collapsed="false">
      <c r="A1312" s="18" t="s">
        <v>5765</v>
      </c>
      <c r="B1312" s="18" t="s">
        <v>64</v>
      </c>
      <c r="C1312" s="18" t="s">
        <v>65</v>
      </c>
      <c r="D1312" s="18" t="s">
        <v>5766</v>
      </c>
      <c r="E1312" s="18" t="n">
        <v>14</v>
      </c>
      <c r="F1312" s="18" t="s">
        <v>4369</v>
      </c>
      <c r="G1312" s="18" t="s">
        <v>337</v>
      </c>
      <c r="H1312" s="18" t="s">
        <v>129</v>
      </c>
      <c r="I1312" s="18"/>
      <c r="J1312" s="18"/>
      <c r="K1312" s="18"/>
      <c r="L1312" s="18" t="s">
        <v>129</v>
      </c>
      <c r="M1312" s="18" t="s">
        <v>129</v>
      </c>
      <c r="N1312" s="18"/>
      <c r="O1312" s="18"/>
      <c r="P1312" s="18" t="s">
        <v>5767</v>
      </c>
      <c r="Q1312" s="18" t="s">
        <v>149</v>
      </c>
      <c r="R1312" s="18" t="s">
        <v>5768</v>
      </c>
      <c r="S1312" s="18" t="s">
        <v>133</v>
      </c>
      <c r="T1312" s="18" t="s">
        <v>183</v>
      </c>
      <c r="U1312" s="18"/>
      <c r="V1312" s="19" t="s">
        <v>29</v>
      </c>
      <c r="W1312" s="19"/>
      <c r="X1312" s="19"/>
      <c r="Y1312" s="20"/>
      <c r="Z1312" s="19"/>
      <c r="AA1312" s="18" t="str">
        <f aca="false">IF(OR(V1312="Aprobada"),R1312,IF(AND(OR(V1312="Aprobada con ajuste",V1312="Rechazada"),W1312&lt;&gt;""),W1312,""))</f>
        <v/>
      </c>
    </row>
    <row r="1313" customFormat="false" ht="22.35" hidden="false" customHeight="false" outlineLevel="0" collapsed="false">
      <c r="A1313" s="18" t="s">
        <v>5769</v>
      </c>
      <c r="B1313" s="18" t="s">
        <v>64</v>
      </c>
      <c r="C1313" s="18" t="s">
        <v>65</v>
      </c>
      <c r="D1313" s="18" t="s">
        <v>5766</v>
      </c>
      <c r="E1313" s="18" t="n">
        <v>14</v>
      </c>
      <c r="F1313" s="18" t="s">
        <v>5770</v>
      </c>
      <c r="G1313" s="18" t="s">
        <v>128</v>
      </c>
      <c r="H1313" s="18" t="s">
        <v>129</v>
      </c>
      <c r="I1313" s="18"/>
      <c r="J1313" s="18"/>
      <c r="K1313" s="18"/>
      <c r="L1313" s="18" t="s">
        <v>129</v>
      </c>
      <c r="M1313" s="18" t="s">
        <v>129</v>
      </c>
      <c r="N1313" s="18"/>
      <c r="O1313" s="18"/>
      <c r="P1313" s="18" t="s">
        <v>5771</v>
      </c>
      <c r="Q1313" s="18" t="s">
        <v>149</v>
      </c>
      <c r="R1313" s="18" t="s">
        <v>5195</v>
      </c>
      <c r="S1313" s="18" t="s">
        <v>133</v>
      </c>
      <c r="T1313" s="18" t="s">
        <v>858</v>
      </c>
      <c r="U1313" s="18"/>
      <c r="V1313" s="19" t="s">
        <v>29</v>
      </c>
      <c r="W1313" s="19"/>
      <c r="X1313" s="19"/>
      <c r="Y1313" s="20"/>
      <c r="Z1313" s="19"/>
      <c r="AA1313" s="18" t="str">
        <f aca="false">IF(OR(V1313="Aprobada"),R1313,IF(AND(OR(V1313="Aprobada con ajuste",V1313="Rechazada"),W1313&lt;&gt;""),W1313,""))</f>
        <v/>
      </c>
    </row>
    <row r="1314" customFormat="false" ht="22.35" hidden="false" customHeight="false" outlineLevel="0" collapsed="false">
      <c r="A1314" s="18" t="s">
        <v>5772</v>
      </c>
      <c r="B1314" s="18" t="s">
        <v>64</v>
      </c>
      <c r="C1314" s="18" t="s">
        <v>65</v>
      </c>
      <c r="D1314" s="18" t="s">
        <v>5766</v>
      </c>
      <c r="E1314" s="18" t="n">
        <v>14</v>
      </c>
      <c r="F1314" s="18" t="s">
        <v>287</v>
      </c>
      <c r="G1314" s="18" t="s">
        <v>180</v>
      </c>
      <c r="H1314" s="18" t="s">
        <v>162</v>
      </c>
      <c r="I1314" s="18"/>
      <c r="J1314" s="18"/>
      <c r="K1314" s="18"/>
      <c r="L1314" s="18" t="s">
        <v>129</v>
      </c>
      <c r="M1314" s="18" t="s">
        <v>129</v>
      </c>
      <c r="N1314" s="18"/>
      <c r="O1314" s="18"/>
      <c r="P1314" s="18" t="s">
        <v>5773</v>
      </c>
      <c r="Q1314" s="18" t="s">
        <v>149</v>
      </c>
      <c r="R1314" s="18" t="s">
        <v>2799</v>
      </c>
      <c r="S1314" s="18" t="s">
        <v>140</v>
      </c>
      <c r="T1314" s="18" t="s">
        <v>858</v>
      </c>
      <c r="U1314" s="18" t="s">
        <v>5774</v>
      </c>
      <c r="V1314" s="19" t="s">
        <v>29</v>
      </c>
      <c r="W1314" s="19"/>
      <c r="X1314" s="19"/>
      <c r="Y1314" s="20"/>
      <c r="Z1314" s="19"/>
      <c r="AA1314" s="18" t="str">
        <f aca="false">IF(OR(V1314="Aprobada"),R1314,IF(AND(OR(V1314="Aprobada con ajuste",V1314="Rechazada"),W1314&lt;&gt;""),W1314,""))</f>
        <v/>
      </c>
    </row>
    <row r="1315" customFormat="false" ht="22.35" hidden="false" customHeight="false" outlineLevel="0" collapsed="false">
      <c r="A1315" s="18" t="s">
        <v>5775</v>
      </c>
      <c r="B1315" s="18" t="s">
        <v>64</v>
      </c>
      <c r="C1315" s="18" t="s">
        <v>65</v>
      </c>
      <c r="D1315" s="18" t="s">
        <v>5766</v>
      </c>
      <c r="E1315" s="18" t="n">
        <v>14</v>
      </c>
      <c r="F1315" s="18" t="s">
        <v>1087</v>
      </c>
      <c r="G1315" s="18" t="s">
        <v>180</v>
      </c>
      <c r="H1315" s="18" t="s">
        <v>162</v>
      </c>
      <c r="I1315" s="18"/>
      <c r="J1315" s="18"/>
      <c r="K1315" s="18"/>
      <c r="L1315" s="18" t="s">
        <v>129</v>
      </c>
      <c r="M1315" s="18" t="s">
        <v>129</v>
      </c>
      <c r="N1315" s="18"/>
      <c r="O1315" s="18"/>
      <c r="P1315" s="18" t="s">
        <v>5776</v>
      </c>
      <c r="Q1315" s="18" t="s">
        <v>149</v>
      </c>
      <c r="R1315" s="18" t="s">
        <v>5777</v>
      </c>
      <c r="S1315" s="18" t="s">
        <v>140</v>
      </c>
      <c r="T1315" s="18" t="s">
        <v>858</v>
      </c>
      <c r="U1315" s="18" t="s">
        <v>4673</v>
      </c>
      <c r="V1315" s="19" t="s">
        <v>29</v>
      </c>
      <c r="W1315" s="19"/>
      <c r="X1315" s="19"/>
      <c r="Y1315" s="20"/>
      <c r="Z1315" s="19"/>
      <c r="AA1315" s="18" t="str">
        <f aca="false">IF(OR(V1315="Aprobada"),R1315,IF(AND(OR(V1315="Aprobada con ajuste",V1315="Rechazada"),W1315&lt;&gt;""),W1315,""))</f>
        <v/>
      </c>
    </row>
    <row r="1316" customFormat="false" ht="22.35" hidden="false" customHeight="false" outlineLevel="0" collapsed="false">
      <c r="A1316" s="18" t="s">
        <v>5778</v>
      </c>
      <c r="B1316" s="18" t="s">
        <v>64</v>
      </c>
      <c r="C1316" s="18" t="s">
        <v>65</v>
      </c>
      <c r="D1316" s="18" t="s">
        <v>5779</v>
      </c>
      <c r="E1316" s="18" t="n">
        <v>4</v>
      </c>
      <c r="F1316" s="18" t="s">
        <v>275</v>
      </c>
      <c r="G1316" s="18" t="s">
        <v>180</v>
      </c>
      <c r="H1316" s="18" t="s">
        <v>129</v>
      </c>
      <c r="I1316" s="18"/>
      <c r="J1316" s="18"/>
      <c r="K1316" s="18"/>
      <c r="L1316" s="18" t="s">
        <v>129</v>
      </c>
      <c r="M1316" s="18" t="s">
        <v>129</v>
      </c>
      <c r="N1316" s="18"/>
      <c r="O1316" s="18"/>
      <c r="P1316" s="18" t="s">
        <v>5780</v>
      </c>
      <c r="Q1316" s="18" t="s">
        <v>138</v>
      </c>
      <c r="R1316" s="18" t="s">
        <v>5781</v>
      </c>
      <c r="S1316" s="18" t="s">
        <v>140</v>
      </c>
      <c r="T1316" s="18" t="s">
        <v>141</v>
      </c>
      <c r="U1316" s="18"/>
      <c r="V1316" s="19" t="s">
        <v>29</v>
      </c>
      <c r="W1316" s="19"/>
      <c r="X1316" s="19"/>
      <c r="Y1316" s="20"/>
      <c r="Z1316" s="19"/>
      <c r="AA1316" s="18" t="str">
        <f aca="false">IF(OR(V1316="Aprobada"),R1316,IF(AND(OR(V1316="Aprobada con ajuste",V1316="Rechazada"),W1316&lt;&gt;""),W1316,""))</f>
        <v/>
      </c>
    </row>
    <row r="1317" customFormat="false" ht="22.35" hidden="false" customHeight="false" outlineLevel="0" collapsed="false">
      <c r="A1317" s="18" t="s">
        <v>5782</v>
      </c>
      <c r="B1317" s="18" t="s">
        <v>64</v>
      </c>
      <c r="C1317" s="18" t="s">
        <v>65</v>
      </c>
      <c r="D1317" s="18" t="s">
        <v>5779</v>
      </c>
      <c r="E1317" s="18" t="n">
        <v>4</v>
      </c>
      <c r="F1317" s="18" t="s">
        <v>160</v>
      </c>
      <c r="G1317" s="18" t="s">
        <v>128</v>
      </c>
      <c r="H1317" s="18" t="s">
        <v>162</v>
      </c>
      <c r="I1317" s="18"/>
      <c r="J1317" s="18"/>
      <c r="K1317" s="18"/>
      <c r="L1317" s="18" t="s">
        <v>129</v>
      </c>
      <c r="M1317" s="18" t="s">
        <v>129</v>
      </c>
      <c r="N1317" s="18"/>
      <c r="O1317" s="18"/>
      <c r="P1317" s="18" t="s">
        <v>5783</v>
      </c>
      <c r="Q1317" s="18" t="s">
        <v>138</v>
      </c>
      <c r="R1317" s="18" t="s">
        <v>5784</v>
      </c>
      <c r="S1317" s="18" t="s">
        <v>140</v>
      </c>
      <c r="T1317" s="18" t="s">
        <v>141</v>
      </c>
      <c r="U1317" s="18"/>
      <c r="V1317" s="19" t="s">
        <v>29</v>
      </c>
      <c r="W1317" s="19"/>
      <c r="X1317" s="19"/>
      <c r="Y1317" s="20"/>
      <c r="Z1317" s="19"/>
      <c r="AA1317" s="18" t="str">
        <f aca="false">IF(OR(V1317="Aprobada"),R1317,IF(AND(OR(V1317="Aprobada con ajuste",V1317="Rechazada"),W1317&lt;&gt;""),W1317,""))</f>
        <v/>
      </c>
    </row>
    <row r="1318" customFormat="false" ht="32.8" hidden="false" customHeight="false" outlineLevel="0" collapsed="false">
      <c r="A1318" s="18" t="s">
        <v>5785</v>
      </c>
      <c r="B1318" s="18" t="s">
        <v>64</v>
      </c>
      <c r="C1318" s="18" t="s">
        <v>65</v>
      </c>
      <c r="D1318" s="18" t="s">
        <v>5779</v>
      </c>
      <c r="E1318" s="18" t="n">
        <v>4</v>
      </c>
      <c r="F1318" s="18" t="s">
        <v>5500</v>
      </c>
      <c r="G1318" s="18" t="s">
        <v>503</v>
      </c>
      <c r="H1318" s="18" t="s">
        <v>129</v>
      </c>
      <c r="I1318" s="18" t="s">
        <v>298</v>
      </c>
      <c r="J1318" s="18"/>
      <c r="K1318" s="18"/>
      <c r="L1318" s="18" t="s">
        <v>129</v>
      </c>
      <c r="M1318" s="18" t="s">
        <v>129</v>
      </c>
      <c r="N1318" s="18"/>
      <c r="O1318" s="18"/>
      <c r="P1318" s="18" t="s">
        <v>5786</v>
      </c>
      <c r="Q1318" s="18" t="s">
        <v>149</v>
      </c>
      <c r="R1318" s="18" t="s">
        <v>5787</v>
      </c>
      <c r="S1318" s="18" t="s">
        <v>133</v>
      </c>
      <c r="T1318" s="18" t="s">
        <v>5788</v>
      </c>
      <c r="U1318" s="18"/>
      <c r="V1318" s="19" t="s">
        <v>29</v>
      </c>
      <c r="W1318" s="19"/>
      <c r="X1318" s="19"/>
      <c r="Y1318" s="20"/>
      <c r="Z1318" s="19"/>
      <c r="AA1318" s="18" t="str">
        <f aca="false">IF(OR(V1318="Aprobada"),R1318,IF(AND(OR(V1318="Aprobada con ajuste",V1318="Rechazada"),W1318&lt;&gt;""),W1318,""))</f>
        <v/>
      </c>
    </row>
    <row r="1319" customFormat="false" ht="22.35" hidden="false" customHeight="false" outlineLevel="0" collapsed="false">
      <c r="A1319" s="18" t="s">
        <v>5789</v>
      </c>
      <c r="B1319" s="18" t="s">
        <v>64</v>
      </c>
      <c r="C1319" s="18" t="s">
        <v>65</v>
      </c>
      <c r="D1319" s="18" t="s">
        <v>5779</v>
      </c>
      <c r="E1319" s="18" t="n">
        <v>4</v>
      </c>
      <c r="F1319" s="18" t="s">
        <v>4240</v>
      </c>
      <c r="G1319" s="18" t="s">
        <v>128</v>
      </c>
      <c r="H1319" s="18" t="s">
        <v>162</v>
      </c>
      <c r="I1319" s="18"/>
      <c r="J1319" s="18"/>
      <c r="K1319" s="18"/>
      <c r="L1319" s="18" t="s">
        <v>129</v>
      </c>
      <c r="M1319" s="18" t="s">
        <v>129</v>
      </c>
      <c r="N1319" s="18"/>
      <c r="O1319" s="18"/>
      <c r="P1319" s="18" t="s">
        <v>5790</v>
      </c>
      <c r="Q1319" s="18" t="s">
        <v>149</v>
      </c>
      <c r="R1319" s="18" t="s">
        <v>5791</v>
      </c>
      <c r="S1319" s="18" t="s">
        <v>133</v>
      </c>
      <c r="T1319" s="18" t="s">
        <v>183</v>
      </c>
      <c r="U1319" s="18"/>
      <c r="V1319" s="19" t="s">
        <v>29</v>
      </c>
      <c r="W1319" s="19"/>
      <c r="X1319" s="19"/>
      <c r="Y1319" s="20"/>
      <c r="Z1319" s="19"/>
      <c r="AA1319" s="18" t="str">
        <f aca="false">IF(OR(V1319="Aprobada"),R1319,IF(AND(OR(V1319="Aprobada con ajuste",V1319="Rechazada"),W1319&lt;&gt;""),W1319,""))</f>
        <v/>
      </c>
    </row>
    <row r="1320" customFormat="false" ht="22.35" hidden="false" customHeight="false" outlineLevel="0" collapsed="false">
      <c r="A1320" s="18" t="s">
        <v>5792</v>
      </c>
      <c r="B1320" s="18" t="s">
        <v>64</v>
      </c>
      <c r="C1320" s="18" t="s">
        <v>65</v>
      </c>
      <c r="D1320" s="18" t="s">
        <v>5779</v>
      </c>
      <c r="E1320" s="18" t="n">
        <v>4</v>
      </c>
      <c r="F1320" s="18" t="s">
        <v>4235</v>
      </c>
      <c r="G1320" s="18" t="s">
        <v>180</v>
      </c>
      <c r="H1320" s="18" t="s">
        <v>162</v>
      </c>
      <c r="I1320" s="18"/>
      <c r="J1320" s="18"/>
      <c r="K1320" s="18"/>
      <c r="L1320" s="18" t="s">
        <v>129</v>
      </c>
      <c r="M1320" s="18" t="s">
        <v>129</v>
      </c>
      <c r="N1320" s="18"/>
      <c r="O1320" s="18"/>
      <c r="P1320" s="18" t="s">
        <v>5793</v>
      </c>
      <c r="Q1320" s="18" t="s">
        <v>149</v>
      </c>
      <c r="R1320" s="18" t="s">
        <v>5794</v>
      </c>
      <c r="S1320" s="18" t="s">
        <v>133</v>
      </c>
      <c r="T1320" s="18" t="s">
        <v>183</v>
      </c>
      <c r="U1320" s="18"/>
      <c r="V1320" s="19" t="s">
        <v>29</v>
      </c>
      <c r="W1320" s="19"/>
      <c r="X1320" s="19"/>
      <c r="Y1320" s="20"/>
      <c r="Z1320" s="19"/>
      <c r="AA1320" s="18" t="str">
        <f aca="false">IF(OR(V1320="Aprobada"),R1320,IF(AND(OR(V1320="Aprobada con ajuste",V1320="Rechazada"),W1320&lt;&gt;""),W1320,""))</f>
        <v/>
      </c>
    </row>
    <row r="1321" customFormat="false" ht="22.35" hidden="false" customHeight="false" outlineLevel="0" collapsed="false">
      <c r="A1321" s="18" t="s">
        <v>5795</v>
      </c>
      <c r="B1321" s="18" t="s">
        <v>64</v>
      </c>
      <c r="C1321" s="18" t="s">
        <v>65</v>
      </c>
      <c r="D1321" s="18" t="s">
        <v>5779</v>
      </c>
      <c r="E1321" s="18" t="n">
        <v>4</v>
      </c>
      <c r="F1321" s="18" t="s">
        <v>5796</v>
      </c>
      <c r="G1321" s="18" t="s">
        <v>486</v>
      </c>
      <c r="H1321" s="18" t="s">
        <v>162</v>
      </c>
      <c r="I1321" s="18"/>
      <c r="J1321" s="18"/>
      <c r="K1321" s="18"/>
      <c r="L1321" s="18" t="s">
        <v>129</v>
      </c>
      <c r="M1321" s="18" t="s">
        <v>129</v>
      </c>
      <c r="N1321" s="18"/>
      <c r="O1321" s="18"/>
      <c r="P1321" s="18" t="s">
        <v>5797</v>
      </c>
      <c r="Q1321" s="18" t="s">
        <v>149</v>
      </c>
      <c r="R1321" s="18" t="s">
        <v>5798</v>
      </c>
      <c r="S1321" s="18" t="s">
        <v>133</v>
      </c>
      <c r="T1321" s="18" t="s">
        <v>183</v>
      </c>
      <c r="U1321" s="18"/>
      <c r="V1321" s="19" t="s">
        <v>29</v>
      </c>
      <c r="W1321" s="19"/>
      <c r="X1321" s="19"/>
      <c r="Y1321" s="20"/>
      <c r="Z1321" s="19"/>
      <c r="AA1321" s="18" t="str">
        <f aca="false">IF(OR(V1321="Aprobada"),R1321,IF(AND(OR(V1321="Aprobada con ajuste",V1321="Rechazada"),W1321&lt;&gt;""),W1321,""))</f>
        <v/>
      </c>
    </row>
    <row r="1322" customFormat="false" ht="22.35" hidden="false" customHeight="false" outlineLevel="0" collapsed="false">
      <c r="A1322" s="18" t="s">
        <v>5799</v>
      </c>
      <c r="B1322" s="18" t="s">
        <v>64</v>
      </c>
      <c r="C1322" s="18" t="s">
        <v>65</v>
      </c>
      <c r="D1322" s="18" t="s">
        <v>5800</v>
      </c>
      <c r="E1322" s="18" t="n">
        <v>22</v>
      </c>
      <c r="F1322" s="18" t="s">
        <v>611</v>
      </c>
      <c r="G1322" s="18" t="s">
        <v>145</v>
      </c>
      <c r="H1322" s="18" t="s">
        <v>129</v>
      </c>
      <c r="I1322" s="18" t="s">
        <v>146</v>
      </c>
      <c r="J1322" s="18"/>
      <c r="K1322" s="18"/>
      <c r="L1322" s="18" t="s">
        <v>129</v>
      </c>
      <c r="M1322" s="18" t="s">
        <v>129</v>
      </c>
      <c r="N1322" s="18"/>
      <c r="O1322" s="18" t="s">
        <v>5801</v>
      </c>
      <c r="P1322" s="18" t="s">
        <v>5802</v>
      </c>
      <c r="Q1322" s="18" t="s">
        <v>138</v>
      </c>
      <c r="R1322" s="18" t="s">
        <v>5803</v>
      </c>
      <c r="S1322" s="18" t="s">
        <v>140</v>
      </c>
      <c r="T1322" s="18" t="s">
        <v>141</v>
      </c>
      <c r="U1322" s="18"/>
      <c r="V1322" s="19" t="s">
        <v>29</v>
      </c>
      <c r="W1322" s="19"/>
      <c r="X1322" s="19"/>
      <c r="Y1322" s="20"/>
      <c r="Z1322" s="19"/>
      <c r="AA1322" s="18" t="str">
        <f aca="false">IF(OR(V1322="Aprobada"),R1322,IF(AND(OR(V1322="Aprobada con ajuste",V1322="Rechazada"),W1322&lt;&gt;""),W1322,""))</f>
        <v/>
      </c>
    </row>
    <row r="1323" customFormat="false" ht="22.35" hidden="false" customHeight="false" outlineLevel="0" collapsed="false">
      <c r="A1323" s="18" t="s">
        <v>5804</v>
      </c>
      <c r="B1323" s="18" t="s">
        <v>64</v>
      </c>
      <c r="C1323" s="18" t="s">
        <v>65</v>
      </c>
      <c r="D1323" s="18" t="s">
        <v>5800</v>
      </c>
      <c r="E1323" s="18" t="n">
        <v>22</v>
      </c>
      <c r="F1323" s="18" t="s">
        <v>4369</v>
      </c>
      <c r="G1323" s="18" t="s">
        <v>180</v>
      </c>
      <c r="H1323" s="18" t="s">
        <v>129</v>
      </c>
      <c r="I1323" s="18"/>
      <c r="J1323" s="18"/>
      <c r="K1323" s="18"/>
      <c r="L1323" s="18" t="s">
        <v>129</v>
      </c>
      <c r="M1323" s="18" t="s">
        <v>129</v>
      </c>
      <c r="N1323" s="18"/>
      <c r="O1323" s="18"/>
      <c r="P1323" s="18" t="s">
        <v>5805</v>
      </c>
      <c r="Q1323" s="18" t="s">
        <v>149</v>
      </c>
      <c r="R1323" s="18" t="s">
        <v>5806</v>
      </c>
      <c r="S1323" s="18" t="s">
        <v>133</v>
      </c>
      <c r="T1323" s="18" t="s">
        <v>858</v>
      </c>
      <c r="U1323" s="18"/>
      <c r="V1323" s="19" t="s">
        <v>29</v>
      </c>
      <c r="W1323" s="19"/>
      <c r="X1323" s="19"/>
      <c r="Y1323" s="20"/>
      <c r="Z1323" s="19"/>
      <c r="AA1323" s="18" t="str">
        <f aca="false">IF(OR(V1323="Aprobada"),R1323,IF(AND(OR(V1323="Aprobada con ajuste",V1323="Rechazada"),W1323&lt;&gt;""),W1323,""))</f>
        <v/>
      </c>
    </row>
    <row r="1324" customFormat="false" ht="22.35" hidden="false" customHeight="false" outlineLevel="0" collapsed="false">
      <c r="A1324" s="18" t="s">
        <v>5807</v>
      </c>
      <c r="B1324" s="18" t="s">
        <v>64</v>
      </c>
      <c r="C1324" s="18" t="s">
        <v>65</v>
      </c>
      <c r="D1324" s="18" t="s">
        <v>5800</v>
      </c>
      <c r="E1324" s="18" t="n">
        <v>22</v>
      </c>
      <c r="F1324" s="18" t="s">
        <v>160</v>
      </c>
      <c r="G1324" s="18" t="s">
        <v>128</v>
      </c>
      <c r="H1324" s="18" t="s">
        <v>162</v>
      </c>
      <c r="I1324" s="18"/>
      <c r="J1324" s="18"/>
      <c r="K1324" s="18"/>
      <c r="L1324" s="18" t="s">
        <v>129</v>
      </c>
      <c r="M1324" s="18" t="s">
        <v>129</v>
      </c>
      <c r="N1324" s="18"/>
      <c r="O1324" s="18"/>
      <c r="P1324" s="18" t="s">
        <v>5808</v>
      </c>
      <c r="Q1324" s="18" t="s">
        <v>138</v>
      </c>
      <c r="R1324" s="18" t="s">
        <v>5809</v>
      </c>
      <c r="S1324" s="18" t="s">
        <v>140</v>
      </c>
      <c r="T1324" s="18" t="s">
        <v>141</v>
      </c>
      <c r="U1324" s="18"/>
      <c r="V1324" s="19" t="s">
        <v>29</v>
      </c>
      <c r="W1324" s="19"/>
      <c r="X1324" s="19"/>
      <c r="Y1324" s="20"/>
      <c r="Z1324" s="19"/>
      <c r="AA1324" s="18" t="str">
        <f aca="false">IF(OR(V1324="Aprobada"),R1324,IF(AND(OR(V1324="Aprobada con ajuste",V1324="Rechazada"),W1324&lt;&gt;""),W1324,""))</f>
        <v/>
      </c>
    </row>
    <row r="1325" customFormat="false" ht="64.15" hidden="false" customHeight="false" outlineLevel="0" collapsed="false">
      <c r="A1325" s="18" t="s">
        <v>5810</v>
      </c>
      <c r="B1325" s="18" t="s">
        <v>64</v>
      </c>
      <c r="C1325" s="18" t="s">
        <v>65</v>
      </c>
      <c r="D1325" s="18" t="s">
        <v>5800</v>
      </c>
      <c r="E1325" s="18" t="n">
        <v>22</v>
      </c>
      <c r="F1325" s="18" t="s">
        <v>341</v>
      </c>
      <c r="G1325" s="18" t="s">
        <v>145</v>
      </c>
      <c r="H1325" s="18" t="s">
        <v>129</v>
      </c>
      <c r="I1325" s="18" t="s">
        <v>298</v>
      </c>
      <c r="J1325" s="18" t="s">
        <v>5811</v>
      </c>
      <c r="K1325" s="18"/>
      <c r="L1325" s="18" t="s">
        <v>162</v>
      </c>
      <c r="M1325" s="18" t="s">
        <v>129</v>
      </c>
      <c r="N1325" s="18"/>
      <c r="O1325" s="18"/>
      <c r="P1325" s="18" t="s">
        <v>5812</v>
      </c>
      <c r="Q1325" s="18" t="s">
        <v>131</v>
      </c>
      <c r="R1325" s="18" t="s">
        <v>5813</v>
      </c>
      <c r="S1325" s="18" t="s">
        <v>133</v>
      </c>
      <c r="T1325" s="18" t="s">
        <v>801</v>
      </c>
      <c r="U1325" s="18"/>
      <c r="V1325" s="19" t="s">
        <v>29</v>
      </c>
      <c r="W1325" s="19"/>
      <c r="X1325" s="19"/>
      <c r="Y1325" s="20"/>
      <c r="Z1325" s="19"/>
      <c r="AA1325" s="18" t="str">
        <f aca="false">IF(OR(V1325="Aprobada"),R1325,IF(AND(OR(V1325="Aprobada con ajuste",V1325="Rechazada"),W1325&lt;&gt;""),W1325,""))</f>
        <v/>
      </c>
    </row>
    <row r="1326" customFormat="false" ht="22.35" hidden="false" customHeight="false" outlineLevel="0" collapsed="false">
      <c r="A1326" s="18" t="s">
        <v>5814</v>
      </c>
      <c r="B1326" s="18" t="s">
        <v>64</v>
      </c>
      <c r="C1326" s="18" t="s">
        <v>65</v>
      </c>
      <c r="D1326" s="18" t="s">
        <v>5800</v>
      </c>
      <c r="E1326" s="18" t="n">
        <v>22</v>
      </c>
      <c r="F1326" s="18" t="s">
        <v>5815</v>
      </c>
      <c r="G1326" s="18" t="s">
        <v>312</v>
      </c>
      <c r="H1326" s="18" t="s">
        <v>162</v>
      </c>
      <c r="I1326" s="18"/>
      <c r="J1326" s="18"/>
      <c r="K1326" s="18"/>
      <c r="L1326" s="18" t="s">
        <v>129</v>
      </c>
      <c r="M1326" s="18" t="s">
        <v>129</v>
      </c>
      <c r="N1326" s="18"/>
      <c r="O1326" s="18" t="s">
        <v>5816</v>
      </c>
      <c r="P1326" s="18" t="s">
        <v>5817</v>
      </c>
      <c r="Q1326" s="18" t="s">
        <v>149</v>
      </c>
      <c r="R1326" s="18" t="s">
        <v>5818</v>
      </c>
      <c r="S1326" s="18" t="s">
        <v>140</v>
      </c>
      <c r="T1326" s="18" t="s">
        <v>5819</v>
      </c>
      <c r="U1326" s="18" t="s">
        <v>5820</v>
      </c>
      <c r="V1326" s="19" t="s">
        <v>29</v>
      </c>
      <c r="W1326" s="19"/>
      <c r="X1326" s="19"/>
      <c r="Y1326" s="20"/>
      <c r="Z1326" s="19"/>
      <c r="AA1326" s="18" t="str">
        <f aca="false">IF(OR(V1326="Aprobada"),R1326,IF(AND(OR(V1326="Aprobada con ajuste",V1326="Rechazada"),W1326&lt;&gt;""),W1326,""))</f>
        <v/>
      </c>
    </row>
    <row r="1327" customFormat="false" ht="22.35" hidden="false" customHeight="false" outlineLevel="0" collapsed="false">
      <c r="A1327" s="18" t="s">
        <v>5821</v>
      </c>
      <c r="B1327" s="18" t="s">
        <v>64</v>
      </c>
      <c r="C1327" s="18" t="s">
        <v>65</v>
      </c>
      <c r="D1327" s="18" t="s">
        <v>5800</v>
      </c>
      <c r="E1327" s="18" t="n">
        <v>22</v>
      </c>
      <c r="F1327" s="18" t="s">
        <v>4337</v>
      </c>
      <c r="G1327" s="18" t="s">
        <v>312</v>
      </c>
      <c r="H1327" s="18" t="s">
        <v>162</v>
      </c>
      <c r="I1327" s="18"/>
      <c r="J1327" s="18"/>
      <c r="K1327" s="18"/>
      <c r="L1327" s="18" t="s">
        <v>129</v>
      </c>
      <c r="M1327" s="18" t="s">
        <v>129</v>
      </c>
      <c r="N1327" s="18"/>
      <c r="O1327" s="18"/>
      <c r="P1327" s="18" t="s">
        <v>5822</v>
      </c>
      <c r="Q1327" s="18" t="s">
        <v>131</v>
      </c>
      <c r="R1327" s="18" t="s">
        <v>5823</v>
      </c>
      <c r="S1327" s="18" t="s">
        <v>133</v>
      </c>
      <c r="T1327" s="18" t="s">
        <v>5824</v>
      </c>
      <c r="U1327" s="18"/>
      <c r="V1327" s="19" t="s">
        <v>29</v>
      </c>
      <c r="W1327" s="19"/>
      <c r="X1327" s="19"/>
      <c r="Y1327" s="20"/>
      <c r="Z1327" s="19"/>
      <c r="AA1327" s="18" t="str">
        <f aca="false">IF(OR(V1327="Aprobada"),R1327,IF(AND(OR(V1327="Aprobada con ajuste",V1327="Rechazada"),W1327&lt;&gt;""),W1327,""))</f>
        <v/>
      </c>
    </row>
    <row r="1328" customFormat="false" ht="22.35" hidden="false" customHeight="false" outlineLevel="0" collapsed="false">
      <c r="A1328" s="18" t="s">
        <v>5825</v>
      </c>
      <c r="B1328" s="18" t="s">
        <v>64</v>
      </c>
      <c r="C1328" s="18" t="s">
        <v>65</v>
      </c>
      <c r="D1328" s="18" t="s">
        <v>5800</v>
      </c>
      <c r="E1328" s="18" t="n">
        <v>22</v>
      </c>
      <c r="F1328" s="18" t="s">
        <v>2414</v>
      </c>
      <c r="G1328" s="18" t="s">
        <v>137</v>
      </c>
      <c r="H1328" s="18" t="s">
        <v>129</v>
      </c>
      <c r="I1328" s="18"/>
      <c r="J1328" s="18"/>
      <c r="K1328" s="18"/>
      <c r="L1328" s="18" t="s">
        <v>129</v>
      </c>
      <c r="M1328" s="18" t="s">
        <v>129</v>
      </c>
      <c r="N1328" s="18"/>
      <c r="O1328" s="18"/>
      <c r="P1328" s="18" t="s">
        <v>5826</v>
      </c>
      <c r="Q1328" s="18" t="s">
        <v>131</v>
      </c>
      <c r="R1328" s="18" t="s">
        <v>5827</v>
      </c>
      <c r="S1328" s="18" t="s">
        <v>133</v>
      </c>
      <c r="T1328" s="18" t="s">
        <v>5828</v>
      </c>
      <c r="U1328" s="18"/>
      <c r="V1328" s="19" t="s">
        <v>29</v>
      </c>
      <c r="W1328" s="19"/>
      <c r="X1328" s="19"/>
      <c r="Y1328" s="20"/>
      <c r="Z1328" s="19"/>
      <c r="AA1328" s="18" t="str">
        <f aca="false">IF(OR(V1328="Aprobada"),R1328,IF(AND(OR(V1328="Aprobada con ajuste",V1328="Rechazada"),W1328&lt;&gt;""),W1328,""))</f>
        <v/>
      </c>
    </row>
    <row r="1329" customFormat="false" ht="22.35" hidden="false" customHeight="false" outlineLevel="0" collapsed="false">
      <c r="A1329" s="18" t="s">
        <v>5829</v>
      </c>
      <c r="B1329" s="18" t="s">
        <v>64</v>
      </c>
      <c r="C1329" s="18" t="s">
        <v>65</v>
      </c>
      <c r="D1329" s="18" t="s">
        <v>5800</v>
      </c>
      <c r="E1329" s="18" t="n">
        <v>22</v>
      </c>
      <c r="F1329" s="18" t="s">
        <v>5830</v>
      </c>
      <c r="G1329" s="18" t="s">
        <v>137</v>
      </c>
      <c r="H1329" s="18" t="s">
        <v>129</v>
      </c>
      <c r="I1329" s="18"/>
      <c r="J1329" s="18"/>
      <c r="K1329" s="18"/>
      <c r="L1329" s="18" t="s">
        <v>129</v>
      </c>
      <c r="M1329" s="18" t="s">
        <v>129</v>
      </c>
      <c r="N1329" s="18"/>
      <c r="O1329" s="18"/>
      <c r="P1329" s="18" t="s">
        <v>5831</v>
      </c>
      <c r="Q1329" s="18" t="s">
        <v>138</v>
      </c>
      <c r="R1329" s="18" t="s">
        <v>5832</v>
      </c>
      <c r="S1329" s="18" t="s">
        <v>140</v>
      </c>
      <c r="T1329" s="18" t="s">
        <v>141</v>
      </c>
      <c r="U1329" s="18"/>
      <c r="V1329" s="19" t="s">
        <v>29</v>
      </c>
      <c r="W1329" s="19"/>
      <c r="X1329" s="19"/>
      <c r="Y1329" s="20"/>
      <c r="Z1329" s="19"/>
      <c r="AA1329" s="18" t="str">
        <f aca="false">IF(OR(V1329="Aprobada"),R1329,IF(AND(OR(V1329="Aprobada con ajuste",V1329="Rechazada"),W1329&lt;&gt;""),W1329,""))</f>
        <v/>
      </c>
    </row>
    <row r="1330" customFormat="false" ht="22.35" hidden="false" customHeight="false" outlineLevel="0" collapsed="false">
      <c r="A1330" s="18" t="s">
        <v>5833</v>
      </c>
      <c r="B1330" s="18" t="s">
        <v>64</v>
      </c>
      <c r="C1330" s="18" t="s">
        <v>65</v>
      </c>
      <c r="D1330" s="18" t="s">
        <v>5800</v>
      </c>
      <c r="E1330" s="18" t="n">
        <v>22</v>
      </c>
      <c r="F1330" s="18" t="s">
        <v>5834</v>
      </c>
      <c r="G1330" s="18" t="s">
        <v>137</v>
      </c>
      <c r="H1330" s="18" t="s">
        <v>162</v>
      </c>
      <c r="I1330" s="18"/>
      <c r="J1330" s="18"/>
      <c r="K1330" s="18"/>
      <c r="L1330" s="18" t="s">
        <v>129</v>
      </c>
      <c r="M1330" s="18" t="s">
        <v>129</v>
      </c>
      <c r="N1330" s="18"/>
      <c r="O1330" s="18"/>
      <c r="P1330" s="18" t="s">
        <v>5835</v>
      </c>
      <c r="Q1330" s="18" t="s">
        <v>138</v>
      </c>
      <c r="R1330" s="18" t="s">
        <v>5836</v>
      </c>
      <c r="S1330" s="18" t="s">
        <v>140</v>
      </c>
      <c r="T1330" s="18" t="s">
        <v>141</v>
      </c>
      <c r="U1330" s="18"/>
      <c r="V1330" s="19" t="s">
        <v>29</v>
      </c>
      <c r="W1330" s="19"/>
      <c r="X1330" s="19"/>
      <c r="Y1330" s="20"/>
      <c r="Z1330" s="19"/>
      <c r="AA1330" s="18" t="str">
        <f aca="false">IF(OR(V1330="Aprobada"),R1330,IF(AND(OR(V1330="Aprobada con ajuste",V1330="Rechazada"),W1330&lt;&gt;""),W1330,""))</f>
        <v/>
      </c>
    </row>
    <row r="1331" customFormat="false" ht="32.8" hidden="false" customHeight="false" outlineLevel="0" collapsed="false">
      <c r="A1331" s="18" t="s">
        <v>5837</v>
      </c>
      <c r="B1331" s="18" t="s">
        <v>64</v>
      </c>
      <c r="C1331" s="18" t="s">
        <v>65</v>
      </c>
      <c r="D1331" s="18" t="s">
        <v>5800</v>
      </c>
      <c r="E1331" s="18" t="n">
        <v>22</v>
      </c>
      <c r="F1331" s="18" t="s">
        <v>5838</v>
      </c>
      <c r="G1331" s="18" t="s">
        <v>5738</v>
      </c>
      <c r="H1331" s="18" t="s">
        <v>162</v>
      </c>
      <c r="I1331" s="18" t="s">
        <v>298</v>
      </c>
      <c r="J1331" s="18"/>
      <c r="K1331" s="18"/>
      <c r="L1331" s="18" t="s">
        <v>129</v>
      </c>
      <c r="M1331" s="18" t="s">
        <v>129</v>
      </c>
      <c r="N1331" s="18"/>
      <c r="O1331" s="18"/>
      <c r="P1331" s="18" t="s">
        <v>5839</v>
      </c>
      <c r="Q1331" s="18" t="s">
        <v>149</v>
      </c>
      <c r="R1331" s="18" t="s">
        <v>5840</v>
      </c>
      <c r="S1331" s="18" t="s">
        <v>140</v>
      </c>
      <c r="T1331" s="18" t="s">
        <v>5841</v>
      </c>
      <c r="U1331" s="18" t="s">
        <v>5842</v>
      </c>
      <c r="V1331" s="19" t="s">
        <v>29</v>
      </c>
      <c r="W1331" s="19"/>
      <c r="X1331" s="19"/>
      <c r="Y1331" s="20"/>
      <c r="Z1331" s="19"/>
      <c r="AA1331" s="18" t="str">
        <f aca="false">IF(OR(V1331="Aprobada"),R1331,IF(AND(OR(V1331="Aprobada con ajuste",V1331="Rechazada"),W1331&lt;&gt;""),W1331,""))</f>
        <v/>
      </c>
    </row>
    <row r="1332" customFormat="false" ht="22.35" hidden="false" customHeight="false" outlineLevel="0" collapsed="false">
      <c r="A1332" s="18" t="s">
        <v>5843</v>
      </c>
      <c r="B1332" s="18" t="s">
        <v>64</v>
      </c>
      <c r="C1332" s="18" t="s">
        <v>65</v>
      </c>
      <c r="D1332" s="18" t="s">
        <v>5800</v>
      </c>
      <c r="E1332" s="18" t="n">
        <v>22</v>
      </c>
      <c r="F1332" s="18" t="s">
        <v>5844</v>
      </c>
      <c r="G1332" s="18" t="s">
        <v>5268</v>
      </c>
      <c r="H1332" s="18" t="s">
        <v>162</v>
      </c>
      <c r="I1332" s="18"/>
      <c r="J1332" s="18"/>
      <c r="K1332" s="18"/>
      <c r="L1332" s="18" t="s">
        <v>129</v>
      </c>
      <c r="M1332" s="18" t="s">
        <v>129</v>
      </c>
      <c r="N1332" s="18"/>
      <c r="O1332" s="18"/>
      <c r="P1332" s="18" t="s">
        <v>5845</v>
      </c>
      <c r="Q1332" s="18" t="s">
        <v>149</v>
      </c>
      <c r="R1332" s="18" t="s">
        <v>5846</v>
      </c>
      <c r="S1332" s="18" t="s">
        <v>140</v>
      </c>
      <c r="T1332" s="18" t="s">
        <v>5503</v>
      </c>
      <c r="U1332" s="18" t="s">
        <v>5847</v>
      </c>
      <c r="V1332" s="19" t="s">
        <v>29</v>
      </c>
      <c r="W1332" s="19"/>
      <c r="X1332" s="19"/>
      <c r="Y1332" s="20"/>
      <c r="Z1332" s="19"/>
      <c r="AA1332" s="18" t="str">
        <f aca="false">IF(OR(V1332="Aprobada"),R1332,IF(AND(OR(V1332="Aprobada con ajuste",V1332="Rechazada"),W1332&lt;&gt;""),W1332,""))</f>
        <v/>
      </c>
    </row>
    <row r="1333" customFormat="false" ht="32.8" hidden="false" customHeight="false" outlineLevel="0" collapsed="false">
      <c r="A1333" s="18" t="s">
        <v>5848</v>
      </c>
      <c r="B1333" s="18" t="s">
        <v>64</v>
      </c>
      <c r="C1333" s="18" t="s">
        <v>65</v>
      </c>
      <c r="D1333" s="18" t="s">
        <v>5800</v>
      </c>
      <c r="E1333" s="18" t="n">
        <v>22</v>
      </c>
      <c r="F1333" s="18" t="s">
        <v>185</v>
      </c>
      <c r="G1333" s="18" t="s">
        <v>205</v>
      </c>
      <c r="H1333" s="18" t="s">
        <v>162</v>
      </c>
      <c r="I1333" s="18" t="s">
        <v>298</v>
      </c>
      <c r="J1333" s="18" t="s">
        <v>5849</v>
      </c>
      <c r="K1333" s="18"/>
      <c r="L1333" s="18" t="s">
        <v>162</v>
      </c>
      <c r="M1333" s="18" t="s">
        <v>129</v>
      </c>
      <c r="N1333" s="18"/>
      <c r="O1333" s="18" t="s">
        <v>5850</v>
      </c>
      <c r="P1333" s="18" t="s">
        <v>5851</v>
      </c>
      <c r="Q1333" s="18" t="s">
        <v>131</v>
      </c>
      <c r="R1333" s="18" t="s">
        <v>5852</v>
      </c>
      <c r="S1333" s="18" t="s">
        <v>133</v>
      </c>
      <c r="T1333" s="18" t="s">
        <v>5853</v>
      </c>
      <c r="U1333" s="18"/>
      <c r="V1333" s="19" t="s">
        <v>29</v>
      </c>
      <c r="W1333" s="19"/>
      <c r="X1333" s="19"/>
      <c r="Y1333" s="20"/>
      <c r="Z1333" s="19"/>
      <c r="AA1333" s="18" t="str">
        <f aca="false">IF(OR(V1333="Aprobada"),R1333,IF(AND(OR(V1333="Aprobada con ajuste",V1333="Rechazada"),W1333&lt;&gt;""),W1333,""))</f>
        <v/>
      </c>
    </row>
    <row r="1334" customFormat="false" ht="22.35" hidden="false" customHeight="false" outlineLevel="0" collapsed="false">
      <c r="A1334" s="18" t="s">
        <v>5854</v>
      </c>
      <c r="B1334" s="18" t="s">
        <v>64</v>
      </c>
      <c r="C1334" s="18" t="s">
        <v>65</v>
      </c>
      <c r="D1334" s="18" t="s">
        <v>5800</v>
      </c>
      <c r="E1334" s="18" t="n">
        <v>22</v>
      </c>
      <c r="F1334" s="18" t="s">
        <v>4783</v>
      </c>
      <c r="G1334" s="18" t="s">
        <v>137</v>
      </c>
      <c r="H1334" s="18" t="s">
        <v>162</v>
      </c>
      <c r="I1334" s="18"/>
      <c r="J1334" s="18"/>
      <c r="K1334" s="18"/>
      <c r="L1334" s="18" t="s">
        <v>129</v>
      </c>
      <c r="M1334" s="18" t="s">
        <v>129</v>
      </c>
      <c r="N1334" s="18"/>
      <c r="O1334" s="18"/>
      <c r="P1334" s="18" t="s">
        <v>5855</v>
      </c>
      <c r="Q1334" s="18" t="s">
        <v>138</v>
      </c>
      <c r="R1334" s="18" t="s">
        <v>4785</v>
      </c>
      <c r="S1334" s="18" t="s">
        <v>140</v>
      </c>
      <c r="T1334" s="18" t="s">
        <v>141</v>
      </c>
      <c r="U1334" s="18"/>
      <c r="V1334" s="19" t="s">
        <v>29</v>
      </c>
      <c r="W1334" s="19"/>
      <c r="X1334" s="19"/>
      <c r="Y1334" s="20"/>
      <c r="Z1334" s="19"/>
      <c r="AA1334" s="18" t="str">
        <f aca="false">IF(OR(V1334="Aprobada"),R1334,IF(AND(OR(V1334="Aprobada con ajuste",V1334="Rechazada"),W1334&lt;&gt;""),W1334,""))</f>
        <v/>
      </c>
    </row>
    <row r="1335" customFormat="false" ht="22.35" hidden="false" customHeight="false" outlineLevel="0" collapsed="false">
      <c r="A1335" s="18" t="s">
        <v>5856</v>
      </c>
      <c r="B1335" s="18" t="s">
        <v>64</v>
      </c>
      <c r="C1335" s="18" t="s">
        <v>65</v>
      </c>
      <c r="D1335" s="18" t="s">
        <v>5800</v>
      </c>
      <c r="E1335" s="18" t="n">
        <v>22</v>
      </c>
      <c r="F1335" s="18" t="s">
        <v>4792</v>
      </c>
      <c r="G1335" s="18" t="s">
        <v>137</v>
      </c>
      <c r="H1335" s="18" t="s">
        <v>162</v>
      </c>
      <c r="I1335" s="18"/>
      <c r="J1335" s="18"/>
      <c r="K1335" s="18"/>
      <c r="L1335" s="18" t="s">
        <v>129</v>
      </c>
      <c r="M1335" s="18" t="s">
        <v>129</v>
      </c>
      <c r="N1335" s="18"/>
      <c r="O1335" s="18"/>
      <c r="P1335" s="18" t="s">
        <v>5857</v>
      </c>
      <c r="Q1335" s="18" t="s">
        <v>138</v>
      </c>
      <c r="R1335" s="18" t="s">
        <v>4794</v>
      </c>
      <c r="S1335" s="18" t="s">
        <v>140</v>
      </c>
      <c r="T1335" s="18" t="s">
        <v>141</v>
      </c>
      <c r="U1335" s="18"/>
      <c r="V1335" s="19" t="s">
        <v>29</v>
      </c>
      <c r="W1335" s="19"/>
      <c r="X1335" s="19"/>
      <c r="Y1335" s="20"/>
      <c r="Z1335" s="19"/>
      <c r="AA1335" s="18" t="str">
        <f aca="false">IF(OR(V1335="Aprobada"),R1335,IF(AND(OR(V1335="Aprobada con ajuste",V1335="Rechazada"),W1335&lt;&gt;""),W1335,""))</f>
        <v/>
      </c>
    </row>
    <row r="1336" customFormat="false" ht="22.35" hidden="false" customHeight="false" outlineLevel="0" collapsed="false">
      <c r="A1336" s="18" t="s">
        <v>5858</v>
      </c>
      <c r="B1336" s="18" t="s">
        <v>64</v>
      </c>
      <c r="C1336" s="18" t="s">
        <v>65</v>
      </c>
      <c r="D1336" s="18" t="s">
        <v>5800</v>
      </c>
      <c r="E1336" s="18" t="n">
        <v>22</v>
      </c>
      <c r="F1336" s="18" t="s">
        <v>5719</v>
      </c>
      <c r="G1336" s="18" t="s">
        <v>584</v>
      </c>
      <c r="H1336" s="18" t="s">
        <v>162</v>
      </c>
      <c r="I1336" s="18"/>
      <c r="J1336" s="18"/>
      <c r="K1336" s="18"/>
      <c r="L1336" s="18" t="s">
        <v>129</v>
      </c>
      <c r="M1336" s="18" t="s">
        <v>129</v>
      </c>
      <c r="N1336" s="18"/>
      <c r="O1336" s="18" t="s">
        <v>5859</v>
      </c>
      <c r="P1336" s="18" t="s">
        <v>5860</v>
      </c>
      <c r="Q1336" s="18" t="s">
        <v>149</v>
      </c>
      <c r="R1336" s="18" t="s">
        <v>5861</v>
      </c>
      <c r="S1336" s="18" t="s">
        <v>133</v>
      </c>
      <c r="T1336" s="18" t="s">
        <v>5862</v>
      </c>
      <c r="U1336" s="18"/>
      <c r="V1336" s="19" t="s">
        <v>29</v>
      </c>
      <c r="W1336" s="19"/>
      <c r="X1336" s="19"/>
      <c r="Y1336" s="20"/>
      <c r="Z1336" s="19"/>
      <c r="AA1336" s="18" t="str">
        <f aca="false">IF(OR(V1336="Aprobada"),R1336,IF(AND(OR(V1336="Aprobada con ajuste",V1336="Rechazada"),W1336&lt;&gt;""),W1336,""))</f>
        <v/>
      </c>
    </row>
    <row r="1337" customFormat="false" ht="22.35" hidden="false" customHeight="false" outlineLevel="0" collapsed="false">
      <c r="A1337" s="18" t="s">
        <v>5863</v>
      </c>
      <c r="B1337" s="18" t="s">
        <v>64</v>
      </c>
      <c r="C1337" s="18" t="s">
        <v>65</v>
      </c>
      <c r="D1337" s="18" t="s">
        <v>5800</v>
      </c>
      <c r="E1337" s="18" t="n">
        <v>22</v>
      </c>
      <c r="F1337" s="18" t="s">
        <v>5724</v>
      </c>
      <c r="G1337" s="18" t="s">
        <v>180</v>
      </c>
      <c r="H1337" s="18" t="s">
        <v>162</v>
      </c>
      <c r="I1337" s="18"/>
      <c r="J1337" s="18"/>
      <c r="K1337" s="18"/>
      <c r="L1337" s="18" t="s">
        <v>129</v>
      </c>
      <c r="M1337" s="18" t="s">
        <v>129</v>
      </c>
      <c r="N1337" s="18"/>
      <c r="O1337" s="18"/>
      <c r="P1337" s="18" t="s">
        <v>5864</v>
      </c>
      <c r="Q1337" s="18" t="s">
        <v>149</v>
      </c>
      <c r="R1337" s="18" t="s">
        <v>5865</v>
      </c>
      <c r="S1337" s="18" t="s">
        <v>140</v>
      </c>
      <c r="T1337" s="18" t="s">
        <v>183</v>
      </c>
      <c r="U1337" s="18" t="s">
        <v>4673</v>
      </c>
      <c r="V1337" s="19" t="s">
        <v>29</v>
      </c>
      <c r="W1337" s="19"/>
      <c r="X1337" s="19"/>
      <c r="Y1337" s="20"/>
      <c r="Z1337" s="19"/>
      <c r="AA1337" s="18" t="str">
        <f aca="false">IF(OR(V1337="Aprobada"),R1337,IF(AND(OR(V1337="Aprobada con ajuste",V1337="Rechazada"),W1337&lt;&gt;""),W1337,""))</f>
        <v/>
      </c>
    </row>
    <row r="1338" customFormat="false" ht="22.35" hidden="false" customHeight="false" outlineLevel="0" collapsed="false">
      <c r="A1338" s="18" t="s">
        <v>5866</v>
      </c>
      <c r="B1338" s="18" t="s">
        <v>64</v>
      </c>
      <c r="C1338" s="18" t="s">
        <v>65</v>
      </c>
      <c r="D1338" s="18" t="s">
        <v>5800</v>
      </c>
      <c r="E1338" s="18" t="n">
        <v>22</v>
      </c>
      <c r="F1338" s="18" t="s">
        <v>5728</v>
      </c>
      <c r="G1338" s="18" t="s">
        <v>128</v>
      </c>
      <c r="H1338" s="18" t="s">
        <v>162</v>
      </c>
      <c r="I1338" s="18"/>
      <c r="J1338" s="18"/>
      <c r="K1338" s="18"/>
      <c r="L1338" s="18" t="s">
        <v>129</v>
      </c>
      <c r="M1338" s="18" t="s">
        <v>129</v>
      </c>
      <c r="N1338" s="18"/>
      <c r="O1338" s="18"/>
      <c r="P1338" s="18" t="s">
        <v>5867</v>
      </c>
      <c r="Q1338" s="18" t="s">
        <v>149</v>
      </c>
      <c r="R1338" s="18" t="s">
        <v>5868</v>
      </c>
      <c r="S1338" s="18" t="s">
        <v>133</v>
      </c>
      <c r="T1338" s="18" t="s">
        <v>183</v>
      </c>
      <c r="U1338" s="18"/>
      <c r="V1338" s="19" t="s">
        <v>29</v>
      </c>
      <c r="W1338" s="19"/>
      <c r="X1338" s="19"/>
      <c r="Y1338" s="20"/>
      <c r="Z1338" s="19"/>
      <c r="AA1338" s="18" t="str">
        <f aca="false">IF(OR(V1338="Aprobada"),R1338,IF(AND(OR(V1338="Aprobada con ajuste",V1338="Rechazada"),W1338&lt;&gt;""),W1338,""))</f>
        <v/>
      </c>
    </row>
    <row r="1339" customFormat="false" ht="22.35" hidden="false" customHeight="false" outlineLevel="0" collapsed="false">
      <c r="A1339" s="18" t="s">
        <v>5869</v>
      </c>
      <c r="B1339" s="18" t="s">
        <v>64</v>
      </c>
      <c r="C1339" s="18" t="s">
        <v>65</v>
      </c>
      <c r="D1339" s="18" t="s">
        <v>5870</v>
      </c>
      <c r="E1339" s="18" t="n">
        <v>22</v>
      </c>
      <c r="F1339" s="18" t="s">
        <v>5871</v>
      </c>
      <c r="G1339" s="18" t="s">
        <v>128</v>
      </c>
      <c r="H1339" s="18" t="s">
        <v>129</v>
      </c>
      <c r="I1339" s="18"/>
      <c r="J1339" s="18"/>
      <c r="K1339" s="18"/>
      <c r="L1339" s="18" t="s">
        <v>129</v>
      </c>
      <c r="M1339" s="18" t="s">
        <v>129</v>
      </c>
      <c r="N1339" s="18"/>
      <c r="O1339" s="18"/>
      <c r="P1339" s="18" t="s">
        <v>5872</v>
      </c>
      <c r="Q1339" s="18" t="s">
        <v>149</v>
      </c>
      <c r="R1339" s="18" t="s">
        <v>5873</v>
      </c>
      <c r="S1339" s="18" t="s">
        <v>133</v>
      </c>
      <c r="T1339" s="18" t="s">
        <v>183</v>
      </c>
      <c r="U1339" s="18"/>
      <c r="V1339" s="19" t="s">
        <v>29</v>
      </c>
      <c r="W1339" s="19"/>
      <c r="X1339" s="19"/>
      <c r="Y1339" s="20"/>
      <c r="Z1339" s="19"/>
      <c r="AA1339" s="18" t="str">
        <f aca="false">IF(OR(V1339="Aprobada"),R1339,IF(AND(OR(V1339="Aprobada con ajuste",V1339="Rechazada"),W1339&lt;&gt;""),W1339,""))</f>
        <v/>
      </c>
    </row>
    <row r="1340" customFormat="false" ht="32.8" hidden="false" customHeight="false" outlineLevel="0" collapsed="false">
      <c r="A1340" s="18" t="s">
        <v>5874</v>
      </c>
      <c r="B1340" s="18" t="s">
        <v>64</v>
      </c>
      <c r="C1340" s="18" t="s">
        <v>65</v>
      </c>
      <c r="D1340" s="18" t="s">
        <v>5870</v>
      </c>
      <c r="E1340" s="18" t="n">
        <v>22</v>
      </c>
      <c r="F1340" s="18" t="s">
        <v>5875</v>
      </c>
      <c r="G1340" s="18" t="s">
        <v>5738</v>
      </c>
      <c r="H1340" s="18" t="s">
        <v>162</v>
      </c>
      <c r="I1340" s="18"/>
      <c r="J1340" s="18"/>
      <c r="K1340" s="18"/>
      <c r="L1340" s="18" t="s">
        <v>129</v>
      </c>
      <c r="M1340" s="18" t="s">
        <v>129</v>
      </c>
      <c r="N1340" s="18"/>
      <c r="O1340" s="18"/>
      <c r="P1340" s="18" t="s">
        <v>5876</v>
      </c>
      <c r="Q1340" s="18" t="s">
        <v>149</v>
      </c>
      <c r="R1340" s="18" t="s">
        <v>5877</v>
      </c>
      <c r="S1340" s="18" t="s">
        <v>140</v>
      </c>
      <c r="T1340" s="18" t="s">
        <v>183</v>
      </c>
      <c r="U1340" s="18" t="s">
        <v>5878</v>
      </c>
      <c r="V1340" s="19" t="s">
        <v>29</v>
      </c>
      <c r="W1340" s="19"/>
      <c r="X1340" s="19"/>
      <c r="Y1340" s="20"/>
      <c r="Z1340" s="19"/>
      <c r="AA1340" s="18" t="str">
        <f aca="false">IF(OR(V1340="Aprobada"),R1340,IF(AND(OR(V1340="Aprobada con ajuste",V1340="Rechazada"),W1340&lt;&gt;""),W1340,""))</f>
        <v/>
      </c>
    </row>
    <row r="1341" customFormat="false" ht="22.35" hidden="false" customHeight="false" outlineLevel="0" collapsed="false">
      <c r="A1341" s="18" t="s">
        <v>5879</v>
      </c>
      <c r="B1341" s="18" t="s">
        <v>64</v>
      </c>
      <c r="C1341" s="18" t="s">
        <v>65</v>
      </c>
      <c r="D1341" s="18" t="s">
        <v>5870</v>
      </c>
      <c r="E1341" s="18" t="n">
        <v>22</v>
      </c>
      <c r="F1341" s="18" t="s">
        <v>5880</v>
      </c>
      <c r="G1341" s="18" t="s">
        <v>317</v>
      </c>
      <c r="H1341" s="18" t="s">
        <v>162</v>
      </c>
      <c r="I1341" s="18"/>
      <c r="J1341" s="18"/>
      <c r="K1341" s="18"/>
      <c r="L1341" s="18" t="s">
        <v>129</v>
      </c>
      <c r="M1341" s="18" t="s">
        <v>129</v>
      </c>
      <c r="N1341" s="18"/>
      <c r="O1341" s="18"/>
      <c r="P1341" s="18" t="s">
        <v>5881</v>
      </c>
      <c r="Q1341" s="18" t="s">
        <v>138</v>
      </c>
      <c r="R1341" s="18" t="s">
        <v>5882</v>
      </c>
      <c r="S1341" s="18" t="s">
        <v>140</v>
      </c>
      <c r="T1341" s="18" t="s">
        <v>141</v>
      </c>
      <c r="U1341" s="18"/>
      <c r="V1341" s="19" t="s">
        <v>29</v>
      </c>
      <c r="W1341" s="19"/>
      <c r="X1341" s="19"/>
      <c r="Y1341" s="20"/>
      <c r="Z1341" s="19"/>
      <c r="AA1341" s="18" t="str">
        <f aca="false">IF(OR(V1341="Aprobada"),R1341,IF(AND(OR(V1341="Aprobada con ajuste",V1341="Rechazada"),W1341&lt;&gt;""),W1341,""))</f>
        <v/>
      </c>
    </row>
    <row r="1342" customFormat="false" ht="32.8" hidden="false" customHeight="false" outlineLevel="0" collapsed="false">
      <c r="A1342" s="18" t="s">
        <v>5883</v>
      </c>
      <c r="B1342" s="18" t="s">
        <v>64</v>
      </c>
      <c r="C1342" s="18" t="s">
        <v>65</v>
      </c>
      <c r="D1342" s="18" t="s">
        <v>5870</v>
      </c>
      <c r="E1342" s="18" t="n">
        <v>22</v>
      </c>
      <c r="F1342" s="18" t="s">
        <v>1734</v>
      </c>
      <c r="G1342" s="18" t="s">
        <v>312</v>
      </c>
      <c r="H1342" s="18" t="s">
        <v>162</v>
      </c>
      <c r="I1342" s="18"/>
      <c r="J1342" s="18"/>
      <c r="K1342" s="18"/>
      <c r="L1342" s="18" t="s">
        <v>129</v>
      </c>
      <c r="M1342" s="18" t="s">
        <v>129</v>
      </c>
      <c r="N1342" s="18"/>
      <c r="O1342" s="18"/>
      <c r="P1342" s="18" t="s">
        <v>5884</v>
      </c>
      <c r="Q1342" s="18" t="s">
        <v>149</v>
      </c>
      <c r="R1342" s="18" t="s">
        <v>5885</v>
      </c>
      <c r="S1342" s="18" t="s">
        <v>140</v>
      </c>
      <c r="T1342" s="18" t="s">
        <v>5763</v>
      </c>
      <c r="U1342" s="18" t="s">
        <v>5764</v>
      </c>
      <c r="V1342" s="19" t="s">
        <v>29</v>
      </c>
      <c r="W1342" s="19"/>
      <c r="X1342" s="19"/>
      <c r="Y1342" s="20"/>
      <c r="Z1342" s="19"/>
      <c r="AA1342" s="18" t="str">
        <f aca="false">IF(OR(V1342="Aprobada"),R1342,IF(AND(OR(V1342="Aprobada con ajuste",V1342="Rechazada"),W1342&lt;&gt;""),W1342,""))</f>
        <v/>
      </c>
    </row>
    <row r="1343" customFormat="false" ht="22.35" hidden="false" customHeight="false" outlineLevel="0" collapsed="false">
      <c r="A1343" s="18" t="s">
        <v>5886</v>
      </c>
      <c r="B1343" s="18" t="s">
        <v>64</v>
      </c>
      <c r="C1343" s="18" t="s">
        <v>65</v>
      </c>
      <c r="D1343" s="18" t="s">
        <v>5887</v>
      </c>
      <c r="E1343" s="18" t="n">
        <v>5</v>
      </c>
      <c r="F1343" s="18" t="s">
        <v>275</v>
      </c>
      <c r="G1343" s="18" t="s">
        <v>161</v>
      </c>
      <c r="H1343" s="18" t="s">
        <v>129</v>
      </c>
      <c r="I1343" s="18"/>
      <c r="J1343" s="18"/>
      <c r="K1343" s="18"/>
      <c r="L1343" s="18" t="s">
        <v>129</v>
      </c>
      <c r="M1343" s="18" t="s">
        <v>129</v>
      </c>
      <c r="N1343" s="18"/>
      <c r="O1343" s="18"/>
      <c r="P1343" s="18" t="s">
        <v>5888</v>
      </c>
      <c r="Q1343" s="18" t="s">
        <v>138</v>
      </c>
      <c r="R1343" s="18" t="s">
        <v>5889</v>
      </c>
      <c r="S1343" s="18" t="s">
        <v>140</v>
      </c>
      <c r="T1343" s="18" t="s">
        <v>141</v>
      </c>
      <c r="U1343" s="18"/>
      <c r="V1343" s="19" t="s">
        <v>29</v>
      </c>
      <c r="W1343" s="19"/>
      <c r="X1343" s="19"/>
      <c r="Y1343" s="20"/>
      <c r="Z1343" s="19"/>
      <c r="AA1343" s="18" t="str">
        <f aca="false">IF(OR(V1343="Aprobada"),R1343,IF(AND(OR(V1343="Aprobada con ajuste",V1343="Rechazada"),W1343&lt;&gt;""),W1343,""))</f>
        <v/>
      </c>
    </row>
    <row r="1344" customFormat="false" ht="32.8" hidden="false" customHeight="false" outlineLevel="0" collapsed="false">
      <c r="A1344" s="18" t="s">
        <v>5890</v>
      </c>
      <c r="B1344" s="18" t="s">
        <v>64</v>
      </c>
      <c r="C1344" s="18" t="s">
        <v>65</v>
      </c>
      <c r="D1344" s="18" t="s">
        <v>5887</v>
      </c>
      <c r="E1344" s="18" t="n">
        <v>5</v>
      </c>
      <c r="F1344" s="18" t="s">
        <v>281</v>
      </c>
      <c r="G1344" s="18" t="s">
        <v>486</v>
      </c>
      <c r="H1344" s="18" t="s">
        <v>129</v>
      </c>
      <c r="I1344" s="18"/>
      <c r="J1344" s="18"/>
      <c r="K1344" s="18"/>
      <c r="L1344" s="18" t="s">
        <v>129</v>
      </c>
      <c r="M1344" s="18" t="s">
        <v>129</v>
      </c>
      <c r="N1344" s="18"/>
      <c r="O1344" s="18" t="s">
        <v>5891</v>
      </c>
      <c r="P1344" s="18" t="s">
        <v>5892</v>
      </c>
      <c r="Q1344" s="18" t="s">
        <v>131</v>
      </c>
      <c r="R1344" s="18" t="s">
        <v>5893</v>
      </c>
      <c r="S1344" s="18" t="s">
        <v>133</v>
      </c>
      <c r="T1344" s="18" t="s">
        <v>5894</v>
      </c>
      <c r="U1344" s="18"/>
      <c r="V1344" s="19" t="s">
        <v>29</v>
      </c>
      <c r="W1344" s="19"/>
      <c r="X1344" s="19"/>
      <c r="Y1344" s="20"/>
      <c r="Z1344" s="19"/>
      <c r="AA1344" s="18" t="str">
        <f aca="false">IF(OR(V1344="Aprobada"),R1344,IF(AND(OR(V1344="Aprobada con ajuste",V1344="Rechazada"),W1344&lt;&gt;""),W1344,""))</f>
        <v/>
      </c>
    </row>
    <row r="1345" customFormat="false" ht="22.35" hidden="false" customHeight="false" outlineLevel="0" collapsed="false">
      <c r="A1345" s="18" t="s">
        <v>5895</v>
      </c>
      <c r="B1345" s="18" t="s">
        <v>64</v>
      </c>
      <c r="C1345" s="18" t="s">
        <v>65</v>
      </c>
      <c r="D1345" s="18" t="s">
        <v>5887</v>
      </c>
      <c r="E1345" s="18" t="n">
        <v>5</v>
      </c>
      <c r="F1345" s="18" t="s">
        <v>5896</v>
      </c>
      <c r="G1345" s="18" t="s">
        <v>161</v>
      </c>
      <c r="H1345" s="18" t="s">
        <v>129</v>
      </c>
      <c r="I1345" s="18"/>
      <c r="J1345" s="18"/>
      <c r="K1345" s="18"/>
      <c r="L1345" s="18" t="s">
        <v>129</v>
      </c>
      <c r="M1345" s="18" t="s">
        <v>129</v>
      </c>
      <c r="N1345" s="18"/>
      <c r="O1345" s="18"/>
      <c r="P1345" s="18" t="s">
        <v>5897</v>
      </c>
      <c r="Q1345" s="18" t="s">
        <v>149</v>
      </c>
      <c r="R1345" s="18" t="s">
        <v>5898</v>
      </c>
      <c r="S1345" s="18" t="s">
        <v>133</v>
      </c>
      <c r="T1345" s="18" t="s">
        <v>5899</v>
      </c>
      <c r="U1345" s="18"/>
      <c r="V1345" s="19" t="s">
        <v>29</v>
      </c>
      <c r="W1345" s="19"/>
      <c r="X1345" s="19"/>
      <c r="Y1345" s="20"/>
      <c r="Z1345" s="19"/>
      <c r="AA1345" s="18" t="str">
        <f aca="false">IF(OR(V1345="Aprobada"),R1345,IF(AND(OR(V1345="Aprobada con ajuste",V1345="Rechazada"),W1345&lt;&gt;""),W1345,""))</f>
        <v/>
      </c>
    </row>
    <row r="1346" customFormat="false" ht="22.35" hidden="false" customHeight="false" outlineLevel="0" collapsed="false">
      <c r="A1346" s="18" t="s">
        <v>5900</v>
      </c>
      <c r="B1346" s="18" t="s">
        <v>64</v>
      </c>
      <c r="C1346" s="18" t="s">
        <v>65</v>
      </c>
      <c r="D1346" s="18" t="s">
        <v>5887</v>
      </c>
      <c r="E1346" s="18" t="n">
        <v>5</v>
      </c>
      <c r="F1346" s="18" t="s">
        <v>1080</v>
      </c>
      <c r="G1346" s="18" t="s">
        <v>486</v>
      </c>
      <c r="H1346" s="18" t="s">
        <v>129</v>
      </c>
      <c r="I1346" s="18"/>
      <c r="J1346" s="18"/>
      <c r="K1346" s="18"/>
      <c r="L1346" s="18" t="s">
        <v>129</v>
      </c>
      <c r="M1346" s="18" t="s">
        <v>129</v>
      </c>
      <c r="N1346" s="18"/>
      <c r="O1346" s="18"/>
      <c r="P1346" s="18" t="s">
        <v>5901</v>
      </c>
      <c r="Q1346" s="18" t="s">
        <v>138</v>
      </c>
      <c r="R1346" s="18" t="s">
        <v>1082</v>
      </c>
      <c r="S1346" s="18" t="s">
        <v>140</v>
      </c>
      <c r="T1346" s="18" t="s">
        <v>141</v>
      </c>
      <c r="U1346" s="18"/>
      <c r="V1346" s="19" t="s">
        <v>29</v>
      </c>
      <c r="W1346" s="19"/>
      <c r="X1346" s="19"/>
      <c r="Y1346" s="20"/>
      <c r="Z1346" s="19"/>
      <c r="AA1346" s="18" t="str">
        <f aca="false">IF(OR(V1346="Aprobada"),R1346,IF(AND(OR(V1346="Aprobada con ajuste",V1346="Rechazada"),W1346&lt;&gt;""),W1346,""))</f>
        <v/>
      </c>
    </row>
    <row r="1347" customFormat="false" ht="22.35" hidden="false" customHeight="false" outlineLevel="0" collapsed="false">
      <c r="A1347" s="18" t="s">
        <v>5902</v>
      </c>
      <c r="B1347" s="18" t="s">
        <v>64</v>
      </c>
      <c r="C1347" s="18" t="s">
        <v>65</v>
      </c>
      <c r="D1347" s="18" t="s">
        <v>5887</v>
      </c>
      <c r="E1347" s="18" t="n">
        <v>5</v>
      </c>
      <c r="F1347" s="18" t="s">
        <v>5903</v>
      </c>
      <c r="G1347" s="18" t="s">
        <v>503</v>
      </c>
      <c r="H1347" s="18" t="s">
        <v>129</v>
      </c>
      <c r="I1347" s="18"/>
      <c r="J1347" s="18"/>
      <c r="K1347" s="18"/>
      <c r="L1347" s="18" t="s">
        <v>129</v>
      </c>
      <c r="M1347" s="18" t="s">
        <v>129</v>
      </c>
      <c r="N1347" s="18"/>
      <c r="O1347" s="18"/>
      <c r="P1347" s="18" t="s">
        <v>5904</v>
      </c>
      <c r="Q1347" s="18" t="s">
        <v>149</v>
      </c>
      <c r="R1347" s="18" t="s">
        <v>5905</v>
      </c>
      <c r="S1347" s="18" t="s">
        <v>140</v>
      </c>
      <c r="T1347" s="18" t="s">
        <v>183</v>
      </c>
      <c r="U1347" s="18" t="s">
        <v>5906</v>
      </c>
      <c r="V1347" s="19" t="s">
        <v>29</v>
      </c>
      <c r="W1347" s="19"/>
      <c r="X1347" s="19"/>
      <c r="Y1347" s="20"/>
      <c r="Z1347" s="19"/>
      <c r="AA1347" s="18" t="str">
        <f aca="false">IF(OR(V1347="Aprobada"),R1347,IF(AND(OR(V1347="Aprobada con ajuste",V1347="Rechazada"),W1347&lt;&gt;""),W1347,""))</f>
        <v/>
      </c>
    </row>
    <row r="1348" customFormat="false" ht="22.35" hidden="false" customHeight="false" outlineLevel="0" collapsed="false">
      <c r="A1348" s="18" t="s">
        <v>5907</v>
      </c>
      <c r="B1348" s="18" t="s">
        <v>64</v>
      </c>
      <c r="C1348" s="18" t="s">
        <v>65</v>
      </c>
      <c r="D1348" s="18" t="s">
        <v>5887</v>
      </c>
      <c r="E1348" s="18" t="n">
        <v>5</v>
      </c>
      <c r="F1348" s="18" t="s">
        <v>5908</v>
      </c>
      <c r="G1348" s="18" t="s">
        <v>128</v>
      </c>
      <c r="H1348" s="18" t="s">
        <v>129</v>
      </c>
      <c r="I1348" s="18"/>
      <c r="J1348" s="18"/>
      <c r="K1348" s="18"/>
      <c r="L1348" s="18" t="s">
        <v>129</v>
      </c>
      <c r="M1348" s="18" t="s">
        <v>129</v>
      </c>
      <c r="N1348" s="18"/>
      <c r="O1348" s="18"/>
      <c r="P1348" s="18" t="s">
        <v>5909</v>
      </c>
      <c r="Q1348" s="18" t="s">
        <v>149</v>
      </c>
      <c r="R1348" s="18" t="s">
        <v>5910</v>
      </c>
      <c r="S1348" s="18" t="s">
        <v>133</v>
      </c>
      <c r="T1348" s="18" t="s">
        <v>858</v>
      </c>
      <c r="U1348" s="18"/>
      <c r="V1348" s="19" t="s">
        <v>29</v>
      </c>
      <c r="W1348" s="19"/>
      <c r="X1348" s="19"/>
      <c r="Y1348" s="20"/>
      <c r="Z1348" s="19"/>
      <c r="AA1348" s="18" t="str">
        <f aca="false">IF(OR(V1348="Aprobada"),R1348,IF(AND(OR(V1348="Aprobada con ajuste",V1348="Rechazada"),W1348&lt;&gt;""),W1348,""))</f>
        <v/>
      </c>
    </row>
    <row r="1349" customFormat="false" ht="22.35" hidden="false" customHeight="false" outlineLevel="0" collapsed="false">
      <c r="A1349" s="18" t="s">
        <v>5911</v>
      </c>
      <c r="B1349" s="18" t="s">
        <v>64</v>
      </c>
      <c r="C1349" s="18" t="s">
        <v>65</v>
      </c>
      <c r="D1349" s="18" t="s">
        <v>5887</v>
      </c>
      <c r="E1349" s="18" t="n">
        <v>5</v>
      </c>
      <c r="F1349" s="18" t="s">
        <v>5125</v>
      </c>
      <c r="G1349" s="18" t="s">
        <v>180</v>
      </c>
      <c r="H1349" s="18" t="s">
        <v>162</v>
      </c>
      <c r="I1349" s="18"/>
      <c r="J1349" s="18"/>
      <c r="K1349" s="18"/>
      <c r="L1349" s="18" t="s">
        <v>129</v>
      </c>
      <c r="M1349" s="18" t="s">
        <v>129</v>
      </c>
      <c r="N1349" s="18"/>
      <c r="O1349" s="18"/>
      <c r="P1349" s="18" t="s">
        <v>5912</v>
      </c>
      <c r="Q1349" s="18" t="s">
        <v>138</v>
      </c>
      <c r="R1349" s="18" t="s">
        <v>5152</v>
      </c>
      <c r="S1349" s="18" t="s">
        <v>140</v>
      </c>
      <c r="T1349" s="18" t="s">
        <v>141</v>
      </c>
      <c r="U1349" s="18"/>
      <c r="V1349" s="19" t="s">
        <v>29</v>
      </c>
      <c r="W1349" s="19"/>
      <c r="X1349" s="19"/>
      <c r="Y1349" s="20"/>
      <c r="Z1349" s="19"/>
      <c r="AA1349" s="18" t="str">
        <f aca="false">IF(OR(V1349="Aprobada"),R1349,IF(AND(OR(V1349="Aprobada con ajuste",V1349="Rechazada"),W1349&lt;&gt;""),W1349,""))</f>
        <v/>
      </c>
    </row>
    <row r="1350" customFormat="false" ht="43.25" hidden="false" customHeight="false" outlineLevel="0" collapsed="false">
      <c r="A1350" s="18" t="s">
        <v>5913</v>
      </c>
      <c r="B1350" s="18" t="s">
        <v>64</v>
      </c>
      <c r="C1350" s="18" t="s">
        <v>65</v>
      </c>
      <c r="D1350" s="18" t="s">
        <v>5914</v>
      </c>
      <c r="E1350" s="18" t="n">
        <v>7</v>
      </c>
      <c r="F1350" s="18" t="s">
        <v>5235</v>
      </c>
      <c r="G1350" s="18" t="s">
        <v>145</v>
      </c>
      <c r="H1350" s="18" t="s">
        <v>129</v>
      </c>
      <c r="I1350" s="18" t="s">
        <v>146</v>
      </c>
      <c r="J1350" s="18"/>
      <c r="K1350" s="18"/>
      <c r="L1350" s="18" t="s">
        <v>129</v>
      </c>
      <c r="M1350" s="18" t="s">
        <v>129</v>
      </c>
      <c r="N1350" s="18"/>
      <c r="O1350" s="18" t="s">
        <v>5915</v>
      </c>
      <c r="P1350" s="18" t="s">
        <v>5916</v>
      </c>
      <c r="Q1350" s="18" t="s">
        <v>149</v>
      </c>
      <c r="R1350" s="18" t="s">
        <v>5917</v>
      </c>
      <c r="S1350" s="18" t="s">
        <v>133</v>
      </c>
      <c r="T1350" s="18" t="s">
        <v>5918</v>
      </c>
      <c r="U1350" s="18"/>
      <c r="V1350" s="19" t="s">
        <v>29</v>
      </c>
      <c r="W1350" s="19"/>
      <c r="X1350" s="19"/>
      <c r="Y1350" s="20"/>
      <c r="Z1350" s="19"/>
      <c r="AA1350" s="18" t="str">
        <f aca="false">IF(OR(V1350="Aprobada"),R1350,IF(AND(OR(V1350="Aprobada con ajuste",V1350="Rechazada"),W1350&lt;&gt;""),W1350,""))</f>
        <v/>
      </c>
    </row>
    <row r="1351" customFormat="false" ht="43.25" hidden="false" customHeight="false" outlineLevel="0" collapsed="false">
      <c r="A1351" s="18" t="s">
        <v>5919</v>
      </c>
      <c r="B1351" s="18" t="s">
        <v>64</v>
      </c>
      <c r="C1351" s="18" t="s">
        <v>65</v>
      </c>
      <c r="D1351" s="18" t="s">
        <v>5914</v>
      </c>
      <c r="E1351" s="18" t="n">
        <v>7</v>
      </c>
      <c r="F1351" s="18" t="s">
        <v>185</v>
      </c>
      <c r="G1351" s="18" t="s">
        <v>5920</v>
      </c>
      <c r="H1351" s="18" t="s">
        <v>162</v>
      </c>
      <c r="I1351" s="18" t="s">
        <v>5921</v>
      </c>
      <c r="J1351" s="18" t="s">
        <v>5922</v>
      </c>
      <c r="K1351" s="18"/>
      <c r="L1351" s="18" t="s">
        <v>162</v>
      </c>
      <c r="M1351" s="18" t="s">
        <v>129</v>
      </c>
      <c r="N1351" s="18"/>
      <c r="O1351" s="18" t="s">
        <v>5923</v>
      </c>
      <c r="P1351" s="18" t="s">
        <v>5924</v>
      </c>
      <c r="Q1351" s="18" t="s">
        <v>138</v>
      </c>
      <c r="R1351" s="18" t="s">
        <v>5925</v>
      </c>
      <c r="S1351" s="18" t="s">
        <v>140</v>
      </c>
      <c r="T1351" s="18" t="s">
        <v>141</v>
      </c>
      <c r="U1351" s="18"/>
      <c r="V1351" s="19" t="s">
        <v>29</v>
      </c>
      <c r="W1351" s="19"/>
      <c r="X1351" s="19"/>
      <c r="Y1351" s="20"/>
      <c r="Z1351" s="19"/>
      <c r="AA1351" s="18" t="str">
        <f aca="false">IF(OR(V1351="Aprobada"),R1351,IF(AND(OR(V1351="Aprobada con ajuste",V1351="Rechazada"),W1351&lt;&gt;""),W1351,""))</f>
        <v/>
      </c>
    </row>
    <row r="1352" customFormat="false" ht="22.35" hidden="false" customHeight="false" outlineLevel="0" collapsed="false">
      <c r="A1352" s="18" t="s">
        <v>5926</v>
      </c>
      <c r="B1352" s="18" t="s">
        <v>64</v>
      </c>
      <c r="C1352" s="18" t="s">
        <v>65</v>
      </c>
      <c r="D1352" s="18" t="s">
        <v>5914</v>
      </c>
      <c r="E1352" s="18" t="n">
        <v>7</v>
      </c>
      <c r="F1352" s="18" t="s">
        <v>5081</v>
      </c>
      <c r="G1352" s="18" t="s">
        <v>180</v>
      </c>
      <c r="H1352" s="18" t="s">
        <v>162</v>
      </c>
      <c r="I1352" s="18"/>
      <c r="J1352" s="18"/>
      <c r="K1352" s="18"/>
      <c r="L1352" s="18" t="s">
        <v>129</v>
      </c>
      <c r="M1352" s="18" t="s">
        <v>129</v>
      </c>
      <c r="N1352" s="18"/>
      <c r="O1352" s="18"/>
      <c r="P1352" s="18" t="s">
        <v>5927</v>
      </c>
      <c r="Q1352" s="18" t="s">
        <v>149</v>
      </c>
      <c r="R1352" s="18" t="s">
        <v>5928</v>
      </c>
      <c r="S1352" s="18" t="s">
        <v>140</v>
      </c>
      <c r="T1352" s="18" t="s">
        <v>858</v>
      </c>
      <c r="U1352" s="18" t="s">
        <v>5929</v>
      </c>
      <c r="V1352" s="19" t="s">
        <v>29</v>
      </c>
      <c r="W1352" s="19"/>
      <c r="X1352" s="19"/>
      <c r="Y1352" s="20"/>
      <c r="Z1352" s="19"/>
      <c r="AA1352" s="18" t="str">
        <f aca="false">IF(OR(V1352="Aprobada"),R1352,IF(AND(OR(V1352="Aprobada con ajuste",V1352="Rechazada"),W1352&lt;&gt;""),W1352,""))</f>
        <v/>
      </c>
    </row>
    <row r="1353" customFormat="false" ht="32.8" hidden="false" customHeight="false" outlineLevel="0" collapsed="false">
      <c r="A1353" s="18" t="s">
        <v>5930</v>
      </c>
      <c r="B1353" s="18" t="s">
        <v>64</v>
      </c>
      <c r="C1353" s="18" t="s">
        <v>65</v>
      </c>
      <c r="D1353" s="18" t="s">
        <v>5914</v>
      </c>
      <c r="E1353" s="18" t="n">
        <v>7</v>
      </c>
      <c r="F1353" s="18" t="s">
        <v>5931</v>
      </c>
      <c r="G1353" s="18" t="s">
        <v>503</v>
      </c>
      <c r="H1353" s="18" t="s">
        <v>162</v>
      </c>
      <c r="I1353" s="18"/>
      <c r="J1353" s="18"/>
      <c r="K1353" s="18"/>
      <c r="L1353" s="18" t="s">
        <v>129</v>
      </c>
      <c r="M1353" s="18" t="s">
        <v>129</v>
      </c>
      <c r="N1353" s="18"/>
      <c r="O1353" s="18"/>
      <c r="P1353" s="18" t="s">
        <v>5932</v>
      </c>
      <c r="Q1353" s="18" t="s">
        <v>149</v>
      </c>
      <c r="R1353" s="18" t="s">
        <v>5933</v>
      </c>
      <c r="S1353" s="18" t="s">
        <v>140</v>
      </c>
      <c r="T1353" s="18" t="s">
        <v>5503</v>
      </c>
      <c r="U1353" s="18" t="s">
        <v>5934</v>
      </c>
      <c r="V1353" s="19" t="s">
        <v>29</v>
      </c>
      <c r="W1353" s="19"/>
      <c r="X1353" s="19"/>
      <c r="Y1353" s="20"/>
      <c r="Z1353" s="19"/>
      <c r="AA1353" s="18" t="str">
        <f aca="false">IF(OR(V1353="Aprobada"),R1353,IF(AND(OR(V1353="Aprobada con ajuste",V1353="Rechazada"),W1353&lt;&gt;""),W1353,""))</f>
        <v/>
      </c>
    </row>
    <row r="1354" customFormat="false" ht="22.35" hidden="false" customHeight="false" outlineLevel="0" collapsed="false">
      <c r="A1354" s="18" t="s">
        <v>5935</v>
      </c>
      <c r="B1354" s="18" t="s">
        <v>64</v>
      </c>
      <c r="C1354" s="18" t="s">
        <v>65</v>
      </c>
      <c r="D1354" s="18" t="s">
        <v>5914</v>
      </c>
      <c r="E1354" s="18" t="n">
        <v>7</v>
      </c>
      <c r="F1354" s="18" t="s">
        <v>5936</v>
      </c>
      <c r="G1354" s="18" t="s">
        <v>503</v>
      </c>
      <c r="H1354" s="18" t="s">
        <v>162</v>
      </c>
      <c r="I1354" s="18"/>
      <c r="J1354" s="18"/>
      <c r="K1354" s="18"/>
      <c r="L1354" s="18" t="s">
        <v>129</v>
      </c>
      <c r="M1354" s="18" t="s">
        <v>129</v>
      </c>
      <c r="N1354" s="18"/>
      <c r="O1354" s="18"/>
      <c r="P1354" s="18" t="s">
        <v>5937</v>
      </c>
      <c r="Q1354" s="18" t="s">
        <v>149</v>
      </c>
      <c r="R1354" s="18" t="s">
        <v>5938</v>
      </c>
      <c r="S1354" s="18" t="s">
        <v>140</v>
      </c>
      <c r="T1354" s="18" t="s">
        <v>5503</v>
      </c>
      <c r="U1354" s="18" t="s">
        <v>5939</v>
      </c>
      <c r="V1354" s="19" t="s">
        <v>29</v>
      </c>
      <c r="W1354" s="19"/>
      <c r="X1354" s="19"/>
      <c r="Y1354" s="20"/>
      <c r="Z1354" s="19"/>
      <c r="AA1354" s="18" t="str">
        <f aca="false">IF(OR(V1354="Aprobada"),R1354,IF(AND(OR(V1354="Aprobada con ajuste",V1354="Rechazada"),W1354&lt;&gt;""),W1354,""))</f>
        <v/>
      </c>
    </row>
    <row r="1355" customFormat="false" ht="22.35" hidden="false" customHeight="false" outlineLevel="0" collapsed="false">
      <c r="A1355" s="18" t="s">
        <v>5940</v>
      </c>
      <c r="B1355" s="18" t="s">
        <v>64</v>
      </c>
      <c r="C1355" s="18" t="s">
        <v>65</v>
      </c>
      <c r="D1355" s="18" t="s">
        <v>5914</v>
      </c>
      <c r="E1355" s="18" t="n">
        <v>7</v>
      </c>
      <c r="F1355" s="18" t="s">
        <v>886</v>
      </c>
      <c r="G1355" s="18" t="s">
        <v>128</v>
      </c>
      <c r="H1355" s="18" t="s">
        <v>162</v>
      </c>
      <c r="I1355" s="18"/>
      <c r="J1355" s="18"/>
      <c r="K1355" s="18"/>
      <c r="L1355" s="18" t="s">
        <v>129</v>
      </c>
      <c r="M1355" s="18" t="s">
        <v>129</v>
      </c>
      <c r="N1355" s="18"/>
      <c r="O1355" s="18"/>
      <c r="P1355" s="18" t="s">
        <v>5941</v>
      </c>
      <c r="Q1355" s="18" t="s">
        <v>138</v>
      </c>
      <c r="R1355" s="18" t="s">
        <v>1693</v>
      </c>
      <c r="S1355" s="18" t="s">
        <v>140</v>
      </c>
      <c r="T1355" s="18" t="s">
        <v>141</v>
      </c>
      <c r="U1355" s="18"/>
      <c r="V1355" s="19" t="s">
        <v>29</v>
      </c>
      <c r="W1355" s="19"/>
      <c r="X1355" s="19"/>
      <c r="Y1355" s="20"/>
      <c r="Z1355" s="19"/>
      <c r="AA1355" s="18" t="str">
        <f aca="false">IF(OR(V1355="Aprobada"),R1355,IF(AND(OR(V1355="Aprobada con ajuste",V1355="Rechazada"),W1355&lt;&gt;""),W1355,""))</f>
        <v/>
      </c>
    </row>
    <row r="1356" customFormat="false" ht="22.35" hidden="false" customHeight="false" outlineLevel="0" collapsed="false">
      <c r="A1356" s="18" t="s">
        <v>5942</v>
      </c>
      <c r="B1356" s="18" t="s">
        <v>64</v>
      </c>
      <c r="C1356" s="18" t="s">
        <v>65</v>
      </c>
      <c r="D1356" s="18" t="s">
        <v>5914</v>
      </c>
      <c r="E1356" s="18" t="n">
        <v>7</v>
      </c>
      <c r="F1356" s="18" t="s">
        <v>5293</v>
      </c>
      <c r="G1356" s="18" t="s">
        <v>317</v>
      </c>
      <c r="H1356" s="18" t="s">
        <v>162</v>
      </c>
      <c r="I1356" s="18"/>
      <c r="J1356" s="18"/>
      <c r="K1356" s="18"/>
      <c r="L1356" s="18" t="s">
        <v>129</v>
      </c>
      <c r="M1356" s="18" t="s">
        <v>129</v>
      </c>
      <c r="N1356" s="18"/>
      <c r="O1356" s="18"/>
      <c r="P1356" s="18" t="s">
        <v>5943</v>
      </c>
      <c r="Q1356" s="18" t="s">
        <v>149</v>
      </c>
      <c r="R1356" s="18" t="s">
        <v>5944</v>
      </c>
      <c r="S1356" s="18" t="s">
        <v>140</v>
      </c>
      <c r="T1356" s="18" t="s">
        <v>858</v>
      </c>
      <c r="U1356" s="18" t="s">
        <v>5945</v>
      </c>
      <c r="V1356" s="19" t="s">
        <v>29</v>
      </c>
      <c r="W1356" s="19"/>
      <c r="X1356" s="19"/>
      <c r="Y1356" s="20"/>
      <c r="Z1356" s="19"/>
      <c r="AA1356" s="18" t="str">
        <f aca="false">IF(OR(V1356="Aprobada"),R1356,IF(AND(OR(V1356="Aprobada con ajuste",V1356="Rechazada"),W1356&lt;&gt;""),W1356,""))</f>
        <v/>
      </c>
    </row>
    <row r="1357" customFormat="false" ht="22.35" hidden="false" customHeight="false" outlineLevel="0" collapsed="false">
      <c r="A1357" s="18" t="s">
        <v>5946</v>
      </c>
      <c r="B1357" s="18" t="s">
        <v>64</v>
      </c>
      <c r="C1357" s="18" t="s">
        <v>65</v>
      </c>
      <c r="D1357" s="18" t="s">
        <v>5914</v>
      </c>
      <c r="E1357" s="18" t="n">
        <v>7</v>
      </c>
      <c r="F1357" s="18" t="s">
        <v>5947</v>
      </c>
      <c r="G1357" s="18" t="s">
        <v>5268</v>
      </c>
      <c r="H1357" s="18" t="s">
        <v>162</v>
      </c>
      <c r="I1357" s="18"/>
      <c r="J1357" s="18"/>
      <c r="K1357" s="18"/>
      <c r="L1357" s="18" t="s">
        <v>129</v>
      </c>
      <c r="M1357" s="18" t="s">
        <v>129</v>
      </c>
      <c r="N1357" s="18"/>
      <c r="O1357" s="18"/>
      <c r="P1357" s="18" t="s">
        <v>5948</v>
      </c>
      <c r="Q1357" s="18" t="s">
        <v>149</v>
      </c>
      <c r="R1357" s="18" t="s">
        <v>5949</v>
      </c>
      <c r="S1357" s="18" t="s">
        <v>140</v>
      </c>
      <c r="T1357" s="18" t="s">
        <v>183</v>
      </c>
      <c r="U1357" s="18" t="s">
        <v>5950</v>
      </c>
      <c r="V1357" s="19" t="s">
        <v>29</v>
      </c>
      <c r="W1357" s="19"/>
      <c r="X1357" s="19"/>
      <c r="Y1357" s="20"/>
      <c r="Z1357" s="19"/>
      <c r="AA1357" s="18" t="str">
        <f aca="false">IF(OR(V1357="Aprobada"),R1357,IF(AND(OR(V1357="Aprobada con ajuste",V1357="Rechazada"),W1357&lt;&gt;""),W1357,""))</f>
        <v/>
      </c>
    </row>
    <row r="1358" customFormat="false" ht="22.35" hidden="false" customHeight="false" outlineLevel="0" collapsed="false">
      <c r="A1358" s="18" t="s">
        <v>5951</v>
      </c>
      <c r="B1358" s="18" t="s">
        <v>64</v>
      </c>
      <c r="C1358" s="18" t="s">
        <v>65</v>
      </c>
      <c r="D1358" s="18" t="s">
        <v>5914</v>
      </c>
      <c r="E1358" s="18" t="n">
        <v>7</v>
      </c>
      <c r="F1358" s="18" t="s">
        <v>5952</v>
      </c>
      <c r="G1358" s="18" t="s">
        <v>5268</v>
      </c>
      <c r="H1358" s="18" t="s">
        <v>162</v>
      </c>
      <c r="I1358" s="18"/>
      <c r="J1358" s="18"/>
      <c r="K1358" s="18"/>
      <c r="L1358" s="18" t="s">
        <v>129</v>
      </c>
      <c r="M1358" s="18" t="s">
        <v>129</v>
      </c>
      <c r="N1358" s="18"/>
      <c r="O1358" s="18"/>
      <c r="P1358" s="18" t="s">
        <v>5953</v>
      </c>
      <c r="Q1358" s="18" t="s">
        <v>149</v>
      </c>
      <c r="R1358" s="18" t="s">
        <v>5954</v>
      </c>
      <c r="S1358" s="18" t="s">
        <v>140</v>
      </c>
      <c r="T1358" s="18" t="s">
        <v>183</v>
      </c>
      <c r="U1358" s="18" t="s">
        <v>5955</v>
      </c>
      <c r="V1358" s="19" t="s">
        <v>29</v>
      </c>
      <c r="W1358" s="19"/>
      <c r="X1358" s="19"/>
      <c r="Y1358" s="20"/>
      <c r="Z1358" s="19"/>
      <c r="AA1358" s="18" t="str">
        <f aca="false">IF(OR(V1358="Aprobada"),R1358,IF(AND(OR(V1358="Aprobada con ajuste",V1358="Rechazada"),W1358&lt;&gt;""),W1358,""))</f>
        <v/>
      </c>
    </row>
    <row r="1359" customFormat="false" ht="22.35" hidden="false" customHeight="false" outlineLevel="0" collapsed="false">
      <c r="A1359" s="18" t="s">
        <v>5956</v>
      </c>
      <c r="B1359" s="18" t="s">
        <v>64</v>
      </c>
      <c r="C1359" s="18" t="s">
        <v>65</v>
      </c>
      <c r="D1359" s="18" t="s">
        <v>5914</v>
      </c>
      <c r="E1359" s="18" t="n">
        <v>7</v>
      </c>
      <c r="F1359" s="18" t="s">
        <v>4846</v>
      </c>
      <c r="G1359" s="18" t="s">
        <v>205</v>
      </c>
      <c r="H1359" s="18" t="s">
        <v>162</v>
      </c>
      <c r="I1359" s="18"/>
      <c r="J1359" s="18"/>
      <c r="K1359" s="18"/>
      <c r="L1359" s="18" t="s">
        <v>129</v>
      </c>
      <c r="M1359" s="18" t="s">
        <v>129</v>
      </c>
      <c r="N1359" s="18"/>
      <c r="O1359" s="18"/>
      <c r="P1359" s="18" t="s">
        <v>5957</v>
      </c>
      <c r="Q1359" s="18" t="s">
        <v>149</v>
      </c>
      <c r="R1359" s="18" t="s">
        <v>5958</v>
      </c>
      <c r="S1359" s="18" t="s">
        <v>140</v>
      </c>
      <c r="T1359" s="18" t="s">
        <v>5959</v>
      </c>
      <c r="U1359" s="18" t="s">
        <v>5960</v>
      </c>
      <c r="V1359" s="19" t="s">
        <v>29</v>
      </c>
      <c r="W1359" s="19"/>
      <c r="X1359" s="19"/>
      <c r="Y1359" s="20"/>
      <c r="Z1359" s="19"/>
      <c r="AA1359" s="18" t="str">
        <f aca="false">IF(OR(V1359="Aprobada"),R1359,IF(AND(OR(V1359="Aprobada con ajuste",V1359="Rechazada"),W1359&lt;&gt;""),W1359,""))</f>
        <v/>
      </c>
    </row>
    <row r="1360" customFormat="false" ht="22.35" hidden="false" customHeight="false" outlineLevel="0" collapsed="false">
      <c r="A1360" s="18" t="s">
        <v>5961</v>
      </c>
      <c r="B1360" s="18" t="s">
        <v>64</v>
      </c>
      <c r="C1360" s="18" t="s">
        <v>65</v>
      </c>
      <c r="D1360" s="18" t="s">
        <v>5914</v>
      </c>
      <c r="E1360" s="18" t="n">
        <v>7</v>
      </c>
      <c r="F1360" s="18" t="s">
        <v>4851</v>
      </c>
      <c r="G1360" s="18" t="s">
        <v>317</v>
      </c>
      <c r="H1360" s="18" t="s">
        <v>162</v>
      </c>
      <c r="I1360" s="18"/>
      <c r="J1360" s="18"/>
      <c r="K1360" s="18"/>
      <c r="L1360" s="18" t="s">
        <v>129</v>
      </c>
      <c r="M1360" s="18" t="s">
        <v>129</v>
      </c>
      <c r="N1360" s="18"/>
      <c r="O1360" s="18"/>
      <c r="P1360" s="18" t="s">
        <v>5962</v>
      </c>
      <c r="Q1360" s="18" t="s">
        <v>138</v>
      </c>
      <c r="R1360" s="18" t="s">
        <v>4853</v>
      </c>
      <c r="S1360" s="18" t="s">
        <v>140</v>
      </c>
      <c r="T1360" s="18" t="s">
        <v>141</v>
      </c>
      <c r="U1360" s="18"/>
      <c r="V1360" s="19" t="s">
        <v>29</v>
      </c>
      <c r="W1360" s="19"/>
      <c r="X1360" s="19"/>
      <c r="Y1360" s="20"/>
      <c r="Z1360" s="19"/>
      <c r="AA1360" s="18" t="str">
        <f aca="false">IF(OR(V1360="Aprobada"),R1360,IF(AND(OR(V1360="Aprobada con ajuste",V1360="Rechazada"),W1360&lt;&gt;""),W1360,""))</f>
        <v/>
      </c>
    </row>
    <row r="1361" customFormat="false" ht="22.35" hidden="false" customHeight="false" outlineLevel="0" collapsed="false">
      <c r="A1361" s="18" t="s">
        <v>5963</v>
      </c>
      <c r="B1361" s="18" t="s">
        <v>64</v>
      </c>
      <c r="C1361" s="18" t="s">
        <v>65</v>
      </c>
      <c r="D1361" s="18" t="s">
        <v>5914</v>
      </c>
      <c r="E1361" s="18" t="n">
        <v>7</v>
      </c>
      <c r="F1361" s="18" t="s">
        <v>4855</v>
      </c>
      <c r="G1361" s="18" t="s">
        <v>337</v>
      </c>
      <c r="H1361" s="18" t="s">
        <v>162</v>
      </c>
      <c r="I1361" s="18"/>
      <c r="J1361" s="18"/>
      <c r="K1361" s="18"/>
      <c r="L1361" s="18" t="s">
        <v>129</v>
      </c>
      <c r="M1361" s="18" t="s">
        <v>129</v>
      </c>
      <c r="N1361" s="18"/>
      <c r="O1361" s="18"/>
      <c r="P1361" s="18" t="s">
        <v>5964</v>
      </c>
      <c r="Q1361" s="18" t="s">
        <v>149</v>
      </c>
      <c r="R1361" s="18" t="s">
        <v>5965</v>
      </c>
      <c r="S1361" s="18" t="s">
        <v>140</v>
      </c>
      <c r="T1361" s="18" t="s">
        <v>183</v>
      </c>
      <c r="U1361" s="18" t="s">
        <v>4673</v>
      </c>
      <c r="V1361" s="19" t="s">
        <v>29</v>
      </c>
      <c r="W1361" s="19"/>
      <c r="X1361" s="19"/>
      <c r="Y1361" s="20"/>
      <c r="Z1361" s="19"/>
      <c r="AA1361" s="18" t="str">
        <f aca="false">IF(OR(V1361="Aprobada"),R1361,IF(AND(OR(V1361="Aprobada con ajuste",V1361="Rechazada"),W1361&lt;&gt;""),W1361,""))</f>
        <v/>
      </c>
    </row>
    <row r="1362" customFormat="false" ht="22.35" hidden="false" customHeight="false" outlineLevel="0" collapsed="false">
      <c r="A1362" s="18" t="s">
        <v>5966</v>
      </c>
      <c r="B1362" s="18" t="s">
        <v>64</v>
      </c>
      <c r="C1362" s="18" t="s">
        <v>65</v>
      </c>
      <c r="D1362" s="18" t="s">
        <v>5914</v>
      </c>
      <c r="E1362" s="18" t="n">
        <v>7</v>
      </c>
      <c r="F1362" s="18" t="s">
        <v>4860</v>
      </c>
      <c r="G1362" s="18" t="s">
        <v>128</v>
      </c>
      <c r="H1362" s="18" t="s">
        <v>162</v>
      </c>
      <c r="I1362" s="18"/>
      <c r="J1362" s="18"/>
      <c r="K1362" s="18"/>
      <c r="L1362" s="18" t="s">
        <v>129</v>
      </c>
      <c r="M1362" s="18" t="s">
        <v>129</v>
      </c>
      <c r="N1362" s="18"/>
      <c r="O1362" s="18"/>
      <c r="P1362" s="18" t="s">
        <v>5967</v>
      </c>
      <c r="Q1362" s="18" t="s">
        <v>138</v>
      </c>
      <c r="R1362" s="18" t="s">
        <v>4862</v>
      </c>
      <c r="S1362" s="18" t="s">
        <v>140</v>
      </c>
      <c r="T1362" s="18" t="s">
        <v>141</v>
      </c>
      <c r="U1362" s="18"/>
      <c r="V1362" s="19" t="s">
        <v>29</v>
      </c>
      <c r="W1362" s="19"/>
      <c r="X1362" s="19"/>
      <c r="Y1362" s="20"/>
      <c r="Z1362" s="19"/>
      <c r="AA1362" s="18" t="str">
        <f aca="false">IF(OR(V1362="Aprobada"),R1362,IF(AND(OR(V1362="Aprobada con ajuste",V1362="Rechazada"),W1362&lt;&gt;""),W1362,""))</f>
        <v/>
      </c>
    </row>
    <row r="1363" customFormat="false" ht="32.8" hidden="false" customHeight="false" outlineLevel="0" collapsed="false">
      <c r="A1363" s="18" t="s">
        <v>5968</v>
      </c>
      <c r="B1363" s="18" t="s">
        <v>64</v>
      </c>
      <c r="C1363" s="18" t="s">
        <v>65</v>
      </c>
      <c r="D1363" s="18" t="s">
        <v>5914</v>
      </c>
      <c r="E1363" s="18" t="n">
        <v>7</v>
      </c>
      <c r="F1363" s="18" t="s">
        <v>5969</v>
      </c>
      <c r="G1363" s="18" t="s">
        <v>317</v>
      </c>
      <c r="H1363" s="18" t="s">
        <v>162</v>
      </c>
      <c r="I1363" s="18"/>
      <c r="J1363" s="18"/>
      <c r="K1363" s="18"/>
      <c r="L1363" s="18" t="s">
        <v>129</v>
      </c>
      <c r="M1363" s="18" t="s">
        <v>129</v>
      </c>
      <c r="N1363" s="18"/>
      <c r="O1363" s="18"/>
      <c r="P1363" s="18" t="s">
        <v>5970</v>
      </c>
      <c r="Q1363" s="18" t="s">
        <v>131</v>
      </c>
      <c r="R1363" s="18" t="s">
        <v>5971</v>
      </c>
      <c r="S1363" s="18" t="s">
        <v>140</v>
      </c>
      <c r="T1363" s="18" t="s">
        <v>5972</v>
      </c>
      <c r="U1363" s="18" t="s">
        <v>5973</v>
      </c>
      <c r="V1363" s="19" t="s">
        <v>29</v>
      </c>
      <c r="W1363" s="19"/>
      <c r="X1363" s="19"/>
      <c r="Y1363" s="20"/>
      <c r="Z1363" s="19"/>
      <c r="AA1363" s="18" t="str">
        <f aca="false">IF(OR(V1363="Aprobada"),R1363,IF(AND(OR(V1363="Aprobada con ajuste",V1363="Rechazada"),W1363&lt;&gt;""),W1363,""))</f>
        <v/>
      </c>
    </row>
    <row r="1364" customFormat="false" ht="22.35" hidden="false" customHeight="false" outlineLevel="0" collapsed="false">
      <c r="A1364" s="18" t="s">
        <v>5974</v>
      </c>
      <c r="B1364" s="18" t="s">
        <v>64</v>
      </c>
      <c r="C1364" s="18" t="s">
        <v>65</v>
      </c>
      <c r="D1364" s="18" t="s">
        <v>5914</v>
      </c>
      <c r="E1364" s="18" t="n">
        <v>7</v>
      </c>
      <c r="F1364" s="18" t="s">
        <v>5975</v>
      </c>
      <c r="G1364" s="18" t="s">
        <v>205</v>
      </c>
      <c r="H1364" s="18" t="s">
        <v>162</v>
      </c>
      <c r="I1364" s="18"/>
      <c r="J1364" s="18"/>
      <c r="K1364" s="18"/>
      <c r="L1364" s="18" t="s">
        <v>129</v>
      </c>
      <c r="M1364" s="18" t="s">
        <v>129</v>
      </c>
      <c r="N1364" s="18"/>
      <c r="O1364" s="18"/>
      <c r="P1364" s="18" t="s">
        <v>5976</v>
      </c>
      <c r="Q1364" s="18" t="s">
        <v>149</v>
      </c>
      <c r="R1364" s="18" t="s">
        <v>5977</v>
      </c>
      <c r="S1364" s="18" t="s">
        <v>140</v>
      </c>
      <c r="T1364" s="18" t="s">
        <v>5978</v>
      </c>
      <c r="U1364" s="18" t="s">
        <v>5979</v>
      </c>
      <c r="V1364" s="19" t="s">
        <v>29</v>
      </c>
      <c r="W1364" s="19"/>
      <c r="X1364" s="19"/>
      <c r="Y1364" s="20"/>
      <c r="Z1364" s="19"/>
      <c r="AA1364" s="18" t="str">
        <f aca="false">IF(OR(V1364="Aprobada"),R1364,IF(AND(OR(V1364="Aprobada con ajuste",V1364="Rechazada"),W1364&lt;&gt;""),W1364,""))</f>
        <v/>
      </c>
    </row>
    <row r="1365" customFormat="false" ht="22.35" hidden="false" customHeight="false" outlineLevel="0" collapsed="false">
      <c r="A1365" s="18" t="s">
        <v>5980</v>
      </c>
      <c r="B1365" s="18" t="s">
        <v>64</v>
      </c>
      <c r="C1365" s="18" t="s">
        <v>65</v>
      </c>
      <c r="D1365" s="18" t="s">
        <v>5914</v>
      </c>
      <c r="E1365" s="18" t="n">
        <v>7</v>
      </c>
      <c r="F1365" s="18" t="s">
        <v>5981</v>
      </c>
      <c r="G1365" s="18" t="s">
        <v>5268</v>
      </c>
      <c r="H1365" s="18" t="s">
        <v>162</v>
      </c>
      <c r="I1365" s="18"/>
      <c r="J1365" s="18"/>
      <c r="K1365" s="18"/>
      <c r="L1365" s="18" t="s">
        <v>129</v>
      </c>
      <c r="M1365" s="18" t="s">
        <v>129</v>
      </c>
      <c r="N1365" s="18"/>
      <c r="O1365" s="18"/>
      <c r="P1365" s="18" t="s">
        <v>5982</v>
      </c>
      <c r="Q1365" s="18" t="s">
        <v>149</v>
      </c>
      <c r="R1365" s="18" t="s">
        <v>5983</v>
      </c>
      <c r="S1365" s="18" t="s">
        <v>133</v>
      </c>
      <c r="T1365" s="18" t="s">
        <v>183</v>
      </c>
      <c r="U1365" s="18"/>
      <c r="V1365" s="19" t="s">
        <v>29</v>
      </c>
      <c r="W1365" s="19"/>
      <c r="X1365" s="19"/>
      <c r="Y1365" s="20"/>
      <c r="Z1365" s="19"/>
      <c r="AA1365" s="18" t="str">
        <f aca="false">IF(OR(V1365="Aprobada"),R1365,IF(AND(OR(V1365="Aprobada con ajuste",V1365="Rechazada"),W1365&lt;&gt;""),W1365,""))</f>
        <v/>
      </c>
    </row>
    <row r="1366" customFormat="false" ht="32.8" hidden="false" customHeight="false" outlineLevel="0" collapsed="false">
      <c r="A1366" s="18" t="s">
        <v>5984</v>
      </c>
      <c r="B1366" s="18" t="s">
        <v>64</v>
      </c>
      <c r="C1366" s="18" t="s">
        <v>65</v>
      </c>
      <c r="D1366" s="18" t="s">
        <v>5985</v>
      </c>
      <c r="E1366" s="18" t="n">
        <v>13</v>
      </c>
      <c r="F1366" s="18" t="s">
        <v>5896</v>
      </c>
      <c r="G1366" s="18" t="s">
        <v>4418</v>
      </c>
      <c r="H1366" s="18" t="s">
        <v>129</v>
      </c>
      <c r="I1366" s="18"/>
      <c r="J1366" s="18"/>
      <c r="K1366" s="18"/>
      <c r="L1366" s="18" t="s">
        <v>129</v>
      </c>
      <c r="M1366" s="18" t="s">
        <v>129</v>
      </c>
      <c r="N1366" s="18"/>
      <c r="O1366" s="18"/>
      <c r="P1366" s="18" t="s">
        <v>5986</v>
      </c>
      <c r="Q1366" s="18" t="s">
        <v>149</v>
      </c>
      <c r="R1366" s="18" t="s">
        <v>5987</v>
      </c>
      <c r="S1366" s="18" t="s">
        <v>133</v>
      </c>
      <c r="T1366" s="18" t="s">
        <v>183</v>
      </c>
      <c r="U1366" s="18"/>
      <c r="V1366" s="19" t="s">
        <v>29</v>
      </c>
      <c r="W1366" s="19"/>
      <c r="X1366" s="19"/>
      <c r="Y1366" s="20"/>
      <c r="Z1366" s="19"/>
      <c r="AA1366" s="18" t="str">
        <f aca="false">IF(OR(V1366="Aprobada"),R1366,IF(AND(OR(V1366="Aprobada con ajuste",V1366="Rechazada"),W1366&lt;&gt;""),W1366,""))</f>
        <v/>
      </c>
    </row>
    <row r="1367" customFormat="false" ht="32.8" hidden="false" customHeight="false" outlineLevel="0" collapsed="false">
      <c r="A1367" s="18" t="s">
        <v>5988</v>
      </c>
      <c r="B1367" s="18" t="s">
        <v>64</v>
      </c>
      <c r="C1367" s="18" t="s">
        <v>65</v>
      </c>
      <c r="D1367" s="18" t="s">
        <v>5985</v>
      </c>
      <c r="E1367" s="18" t="n">
        <v>13</v>
      </c>
      <c r="F1367" s="18" t="s">
        <v>3163</v>
      </c>
      <c r="G1367" s="18" t="s">
        <v>4418</v>
      </c>
      <c r="H1367" s="18" t="s">
        <v>129</v>
      </c>
      <c r="I1367" s="18"/>
      <c r="J1367" s="18"/>
      <c r="K1367" s="18"/>
      <c r="L1367" s="18" t="s">
        <v>129</v>
      </c>
      <c r="M1367" s="18" t="s">
        <v>129</v>
      </c>
      <c r="N1367" s="18"/>
      <c r="O1367" s="18"/>
      <c r="P1367" s="18" t="s">
        <v>5989</v>
      </c>
      <c r="Q1367" s="18" t="s">
        <v>149</v>
      </c>
      <c r="R1367" s="18" t="s">
        <v>5990</v>
      </c>
      <c r="S1367" s="18" t="s">
        <v>140</v>
      </c>
      <c r="T1367" s="18" t="s">
        <v>183</v>
      </c>
      <c r="U1367" s="18" t="s">
        <v>5991</v>
      </c>
      <c r="V1367" s="19" t="s">
        <v>29</v>
      </c>
      <c r="W1367" s="19"/>
      <c r="X1367" s="19"/>
      <c r="Y1367" s="20"/>
      <c r="Z1367" s="19"/>
      <c r="AA1367" s="18" t="str">
        <f aca="false">IF(OR(V1367="Aprobada"),R1367,IF(AND(OR(V1367="Aprobada con ajuste",V1367="Rechazada"),W1367&lt;&gt;""),W1367,""))</f>
        <v/>
      </c>
    </row>
    <row r="1368" customFormat="false" ht="22.35" hidden="false" customHeight="false" outlineLevel="0" collapsed="false">
      <c r="A1368" s="18" t="s">
        <v>5992</v>
      </c>
      <c r="B1368" s="18" t="s">
        <v>64</v>
      </c>
      <c r="C1368" s="18" t="s">
        <v>65</v>
      </c>
      <c r="D1368" s="18" t="s">
        <v>5985</v>
      </c>
      <c r="E1368" s="18" t="n">
        <v>13</v>
      </c>
      <c r="F1368" s="18" t="s">
        <v>1080</v>
      </c>
      <c r="G1368" s="18" t="s">
        <v>4418</v>
      </c>
      <c r="H1368" s="18" t="s">
        <v>129</v>
      </c>
      <c r="I1368" s="18"/>
      <c r="J1368" s="18"/>
      <c r="K1368" s="18"/>
      <c r="L1368" s="18" t="s">
        <v>129</v>
      </c>
      <c r="M1368" s="18" t="s">
        <v>129</v>
      </c>
      <c r="N1368" s="18"/>
      <c r="O1368" s="18"/>
      <c r="P1368" s="18" t="s">
        <v>5993</v>
      </c>
      <c r="Q1368" s="18" t="s">
        <v>138</v>
      </c>
      <c r="R1368" s="18" t="s">
        <v>1082</v>
      </c>
      <c r="S1368" s="18" t="s">
        <v>140</v>
      </c>
      <c r="T1368" s="18" t="s">
        <v>141</v>
      </c>
      <c r="U1368" s="18"/>
      <c r="V1368" s="19" t="s">
        <v>29</v>
      </c>
      <c r="W1368" s="19"/>
      <c r="X1368" s="19"/>
      <c r="Y1368" s="20"/>
      <c r="Z1368" s="19"/>
      <c r="AA1368" s="18" t="str">
        <f aca="false">IF(OR(V1368="Aprobada"),R1368,IF(AND(OR(V1368="Aprobada con ajuste",V1368="Rechazada"),W1368&lt;&gt;""),W1368,""))</f>
        <v/>
      </c>
    </row>
    <row r="1369" customFormat="false" ht="22.35" hidden="false" customHeight="false" outlineLevel="0" collapsed="false">
      <c r="A1369" s="18" t="s">
        <v>5994</v>
      </c>
      <c r="B1369" s="18" t="s">
        <v>64</v>
      </c>
      <c r="C1369" s="18" t="s">
        <v>65</v>
      </c>
      <c r="D1369" s="18" t="s">
        <v>5985</v>
      </c>
      <c r="E1369" s="18" t="n">
        <v>13</v>
      </c>
      <c r="F1369" s="18" t="s">
        <v>5903</v>
      </c>
      <c r="G1369" s="18" t="s">
        <v>503</v>
      </c>
      <c r="H1369" s="18" t="s">
        <v>129</v>
      </c>
      <c r="I1369" s="18"/>
      <c r="J1369" s="18"/>
      <c r="K1369" s="18"/>
      <c r="L1369" s="18" t="s">
        <v>129</v>
      </c>
      <c r="M1369" s="18" t="s">
        <v>129</v>
      </c>
      <c r="N1369" s="18"/>
      <c r="O1369" s="18"/>
      <c r="P1369" s="18" t="s">
        <v>5995</v>
      </c>
      <c r="Q1369" s="18" t="s">
        <v>149</v>
      </c>
      <c r="R1369" s="18" t="s">
        <v>5996</v>
      </c>
      <c r="S1369" s="18" t="s">
        <v>140</v>
      </c>
      <c r="T1369" s="18" t="s">
        <v>183</v>
      </c>
      <c r="U1369" s="18" t="s">
        <v>5906</v>
      </c>
      <c r="V1369" s="19" t="s">
        <v>29</v>
      </c>
      <c r="W1369" s="19"/>
      <c r="X1369" s="19"/>
      <c r="Y1369" s="20"/>
      <c r="Z1369" s="19"/>
      <c r="AA1369" s="18" t="str">
        <f aca="false">IF(OR(V1369="Aprobada"),R1369,IF(AND(OR(V1369="Aprobada con ajuste",V1369="Rechazada"),W1369&lt;&gt;""),W1369,""))</f>
        <v/>
      </c>
    </row>
    <row r="1370" customFormat="false" ht="22.35" hidden="false" customHeight="false" outlineLevel="0" collapsed="false">
      <c r="A1370" s="18" t="s">
        <v>5997</v>
      </c>
      <c r="B1370" s="18" t="s">
        <v>64</v>
      </c>
      <c r="C1370" s="18" t="s">
        <v>65</v>
      </c>
      <c r="D1370" s="18" t="s">
        <v>5985</v>
      </c>
      <c r="E1370" s="18" t="n">
        <v>13</v>
      </c>
      <c r="F1370" s="18" t="s">
        <v>127</v>
      </c>
      <c r="G1370" s="18" t="s">
        <v>486</v>
      </c>
      <c r="H1370" s="18" t="s">
        <v>162</v>
      </c>
      <c r="I1370" s="18"/>
      <c r="J1370" s="18"/>
      <c r="K1370" s="18"/>
      <c r="L1370" s="18" t="s">
        <v>129</v>
      </c>
      <c r="M1370" s="18" t="s">
        <v>129</v>
      </c>
      <c r="N1370" s="18"/>
      <c r="O1370" s="18"/>
      <c r="P1370" s="18" t="s">
        <v>5998</v>
      </c>
      <c r="Q1370" s="18" t="s">
        <v>138</v>
      </c>
      <c r="R1370" s="18" t="s">
        <v>5999</v>
      </c>
      <c r="S1370" s="18" t="s">
        <v>140</v>
      </c>
      <c r="T1370" s="18" t="s">
        <v>141</v>
      </c>
      <c r="U1370" s="18"/>
      <c r="V1370" s="19" t="s">
        <v>29</v>
      </c>
      <c r="W1370" s="19"/>
      <c r="X1370" s="19"/>
      <c r="Y1370" s="20"/>
      <c r="Z1370" s="19"/>
      <c r="AA1370" s="18" t="str">
        <f aca="false">IF(OR(V1370="Aprobada"),R1370,IF(AND(OR(V1370="Aprobada con ajuste",V1370="Rechazada"),W1370&lt;&gt;""),W1370,""))</f>
        <v/>
      </c>
    </row>
    <row r="1371" customFormat="false" ht="22.35" hidden="false" customHeight="false" outlineLevel="0" collapsed="false">
      <c r="A1371" s="18" t="s">
        <v>6000</v>
      </c>
      <c r="B1371" s="18" t="s">
        <v>64</v>
      </c>
      <c r="C1371" s="18" t="s">
        <v>65</v>
      </c>
      <c r="D1371" s="18" t="s">
        <v>5985</v>
      </c>
      <c r="E1371" s="18" t="n">
        <v>13</v>
      </c>
      <c r="F1371" s="18" t="s">
        <v>4240</v>
      </c>
      <c r="G1371" s="18" t="s">
        <v>161</v>
      </c>
      <c r="H1371" s="18" t="s">
        <v>162</v>
      </c>
      <c r="I1371" s="18"/>
      <c r="J1371" s="18"/>
      <c r="K1371" s="18"/>
      <c r="L1371" s="18" t="s">
        <v>129</v>
      </c>
      <c r="M1371" s="18" t="s">
        <v>129</v>
      </c>
      <c r="N1371" s="18"/>
      <c r="O1371" s="18"/>
      <c r="P1371" s="18" t="s">
        <v>6001</v>
      </c>
      <c r="Q1371" s="18" t="s">
        <v>149</v>
      </c>
      <c r="R1371" s="18" t="s">
        <v>6002</v>
      </c>
      <c r="S1371" s="18" t="s">
        <v>133</v>
      </c>
      <c r="T1371" s="18" t="s">
        <v>858</v>
      </c>
      <c r="U1371" s="18"/>
      <c r="V1371" s="19" t="s">
        <v>29</v>
      </c>
      <c r="W1371" s="19"/>
      <c r="X1371" s="19"/>
      <c r="Y1371" s="20"/>
      <c r="Z1371" s="19"/>
      <c r="AA1371" s="18" t="str">
        <f aca="false">IF(OR(V1371="Aprobada"),R1371,IF(AND(OR(V1371="Aprobada con ajuste",V1371="Rechazada"),W1371&lt;&gt;""),W1371,""))</f>
        <v/>
      </c>
    </row>
    <row r="1372" customFormat="false" ht="32.8" hidden="false" customHeight="false" outlineLevel="0" collapsed="false">
      <c r="A1372" s="18" t="s">
        <v>6003</v>
      </c>
      <c r="B1372" s="18" t="s">
        <v>64</v>
      </c>
      <c r="C1372" s="18" t="s">
        <v>65</v>
      </c>
      <c r="D1372" s="18" t="s">
        <v>5985</v>
      </c>
      <c r="E1372" s="18" t="n">
        <v>13</v>
      </c>
      <c r="F1372" s="18" t="s">
        <v>6004</v>
      </c>
      <c r="G1372" s="18" t="s">
        <v>173</v>
      </c>
      <c r="H1372" s="18" t="s">
        <v>162</v>
      </c>
      <c r="I1372" s="18"/>
      <c r="J1372" s="18"/>
      <c r="K1372" s="18"/>
      <c r="L1372" s="18" t="s">
        <v>129</v>
      </c>
      <c r="M1372" s="18" t="s">
        <v>129</v>
      </c>
      <c r="N1372" s="18"/>
      <c r="O1372" s="18"/>
      <c r="P1372" s="18" t="s">
        <v>6005</v>
      </c>
      <c r="Q1372" s="18" t="s">
        <v>138</v>
      </c>
      <c r="R1372" s="18" t="s">
        <v>6006</v>
      </c>
      <c r="S1372" s="18" t="s">
        <v>140</v>
      </c>
      <c r="T1372" s="18" t="s">
        <v>141</v>
      </c>
      <c r="U1372" s="18"/>
      <c r="V1372" s="19" t="s">
        <v>29</v>
      </c>
      <c r="W1372" s="19"/>
      <c r="X1372" s="19"/>
      <c r="Y1372" s="20"/>
      <c r="Z1372" s="19"/>
      <c r="AA1372" s="18" t="str">
        <f aca="false">IF(OR(V1372="Aprobada"),R1372,IF(AND(OR(V1372="Aprobada con ajuste",V1372="Rechazada"),W1372&lt;&gt;""),W1372,""))</f>
        <v/>
      </c>
    </row>
    <row r="1373" customFormat="false" ht="22.35" hidden="false" customHeight="false" outlineLevel="0" collapsed="false">
      <c r="A1373" s="18" t="s">
        <v>6007</v>
      </c>
      <c r="B1373" s="18" t="s">
        <v>64</v>
      </c>
      <c r="C1373" s="18" t="s">
        <v>65</v>
      </c>
      <c r="D1373" s="18" t="s">
        <v>71</v>
      </c>
      <c r="E1373" s="18" t="n">
        <v>14</v>
      </c>
      <c r="F1373" s="18" t="s">
        <v>6008</v>
      </c>
      <c r="G1373" s="18" t="s">
        <v>486</v>
      </c>
      <c r="H1373" s="18" t="s">
        <v>129</v>
      </c>
      <c r="I1373" s="18"/>
      <c r="J1373" s="18"/>
      <c r="K1373" s="18"/>
      <c r="L1373" s="18" t="s">
        <v>129</v>
      </c>
      <c r="M1373" s="18" t="s">
        <v>129</v>
      </c>
      <c r="N1373" s="18"/>
      <c r="O1373" s="18"/>
      <c r="P1373" s="18" t="s">
        <v>6009</v>
      </c>
      <c r="Q1373" s="18" t="s">
        <v>149</v>
      </c>
      <c r="R1373" s="18" t="s">
        <v>6010</v>
      </c>
      <c r="S1373" s="18" t="s">
        <v>133</v>
      </c>
      <c r="T1373" s="18" t="s">
        <v>183</v>
      </c>
      <c r="U1373" s="18"/>
      <c r="V1373" s="19" t="s">
        <v>29</v>
      </c>
      <c r="W1373" s="19"/>
      <c r="X1373" s="19"/>
      <c r="Y1373" s="20"/>
      <c r="Z1373" s="19"/>
      <c r="AA1373" s="18" t="str">
        <f aca="false">IF(OR(V1373="Aprobada"),R1373,IF(AND(OR(V1373="Aprobada con ajuste",V1373="Rechazada"),W1373&lt;&gt;""),W1373,""))</f>
        <v/>
      </c>
    </row>
    <row r="1374" customFormat="false" ht="22.35" hidden="false" customHeight="false" outlineLevel="0" collapsed="false">
      <c r="A1374" s="18" t="s">
        <v>6011</v>
      </c>
      <c r="B1374" s="18" t="s">
        <v>64</v>
      </c>
      <c r="C1374" s="18" t="s">
        <v>65</v>
      </c>
      <c r="D1374" s="18" t="s">
        <v>71</v>
      </c>
      <c r="E1374" s="18" t="n">
        <v>14</v>
      </c>
      <c r="F1374" s="18" t="s">
        <v>6012</v>
      </c>
      <c r="G1374" s="18" t="s">
        <v>186</v>
      </c>
      <c r="H1374" s="18" t="s">
        <v>129</v>
      </c>
      <c r="I1374" s="18" t="s">
        <v>146</v>
      </c>
      <c r="J1374" s="18"/>
      <c r="K1374" s="18"/>
      <c r="L1374" s="18" t="s">
        <v>129</v>
      </c>
      <c r="M1374" s="18" t="s">
        <v>129</v>
      </c>
      <c r="N1374" s="18"/>
      <c r="O1374" s="18" t="s">
        <v>6013</v>
      </c>
      <c r="P1374" s="18" t="s">
        <v>6014</v>
      </c>
      <c r="Q1374" s="18" t="s">
        <v>149</v>
      </c>
      <c r="R1374" s="18" t="s">
        <v>6015</v>
      </c>
      <c r="S1374" s="18" t="s">
        <v>140</v>
      </c>
      <c r="T1374" s="18" t="s">
        <v>5438</v>
      </c>
      <c r="U1374" s="18" t="s">
        <v>6016</v>
      </c>
      <c r="V1374" s="19" t="s">
        <v>29</v>
      </c>
      <c r="W1374" s="19"/>
      <c r="X1374" s="19"/>
      <c r="Y1374" s="20"/>
      <c r="Z1374" s="19"/>
      <c r="AA1374" s="18" t="str">
        <f aca="false">IF(OR(V1374="Aprobada"),R1374,IF(AND(OR(V1374="Aprobada con ajuste",V1374="Rechazada"),W1374&lt;&gt;""),W1374,""))</f>
        <v/>
      </c>
    </row>
    <row r="1375" customFormat="false" ht="22.35" hidden="false" customHeight="false" outlineLevel="0" collapsed="false">
      <c r="A1375" s="18" t="s">
        <v>6017</v>
      </c>
      <c r="B1375" s="18" t="s">
        <v>64</v>
      </c>
      <c r="C1375" s="18" t="s">
        <v>65</v>
      </c>
      <c r="D1375" s="18" t="s">
        <v>71</v>
      </c>
      <c r="E1375" s="18" t="n">
        <v>14</v>
      </c>
      <c r="F1375" s="18" t="s">
        <v>6018</v>
      </c>
      <c r="G1375" s="18" t="s">
        <v>180</v>
      </c>
      <c r="H1375" s="18" t="s">
        <v>162</v>
      </c>
      <c r="I1375" s="18"/>
      <c r="J1375" s="18"/>
      <c r="K1375" s="18"/>
      <c r="L1375" s="18" t="s">
        <v>129</v>
      </c>
      <c r="M1375" s="18" t="s">
        <v>129</v>
      </c>
      <c r="N1375" s="18"/>
      <c r="O1375" s="18" t="s">
        <v>6019</v>
      </c>
      <c r="P1375" s="18" t="s">
        <v>6020</v>
      </c>
      <c r="Q1375" s="18" t="s">
        <v>149</v>
      </c>
      <c r="R1375" s="18" t="s">
        <v>6021</v>
      </c>
      <c r="S1375" s="18" t="s">
        <v>140</v>
      </c>
      <c r="T1375" s="18" t="s">
        <v>6022</v>
      </c>
      <c r="U1375" s="18" t="s">
        <v>6023</v>
      </c>
      <c r="V1375" s="19" t="s">
        <v>29</v>
      </c>
      <c r="W1375" s="19"/>
      <c r="X1375" s="19"/>
      <c r="Y1375" s="20"/>
      <c r="Z1375" s="19"/>
      <c r="AA1375" s="18" t="str">
        <f aca="false">IF(OR(V1375="Aprobada"),R1375,IF(AND(OR(V1375="Aprobada con ajuste",V1375="Rechazada"),W1375&lt;&gt;""),W1375,""))</f>
        <v/>
      </c>
    </row>
    <row r="1376" customFormat="false" ht="74.6" hidden="false" customHeight="false" outlineLevel="0" collapsed="false">
      <c r="A1376" s="18" t="s">
        <v>6024</v>
      </c>
      <c r="B1376" s="18" t="s">
        <v>64</v>
      </c>
      <c r="C1376" s="18" t="s">
        <v>65</v>
      </c>
      <c r="D1376" s="18" t="s">
        <v>71</v>
      </c>
      <c r="E1376" s="18" t="n">
        <v>14</v>
      </c>
      <c r="F1376" s="18" t="s">
        <v>6025</v>
      </c>
      <c r="G1376" s="18" t="s">
        <v>145</v>
      </c>
      <c r="H1376" s="18" t="s">
        <v>129</v>
      </c>
      <c r="I1376" s="18"/>
      <c r="J1376" s="18"/>
      <c r="K1376" s="18"/>
      <c r="L1376" s="18" t="s">
        <v>129</v>
      </c>
      <c r="M1376" s="18" t="s">
        <v>129</v>
      </c>
      <c r="N1376" s="18"/>
      <c r="O1376" s="18"/>
      <c r="P1376" s="18" t="s">
        <v>6026</v>
      </c>
      <c r="Q1376" s="18" t="s">
        <v>131</v>
      </c>
      <c r="R1376" s="18" t="s">
        <v>6027</v>
      </c>
      <c r="S1376" s="18" t="s">
        <v>140</v>
      </c>
      <c r="T1376" s="18" t="s">
        <v>6028</v>
      </c>
      <c r="U1376" s="18" t="s">
        <v>6029</v>
      </c>
      <c r="V1376" s="19" t="s">
        <v>29</v>
      </c>
      <c r="W1376" s="19"/>
      <c r="X1376" s="19"/>
      <c r="Y1376" s="20"/>
      <c r="Z1376" s="19"/>
      <c r="AA1376" s="18" t="str">
        <f aca="false">IF(OR(V1376="Aprobada"),R1376,IF(AND(OR(V1376="Aprobada con ajuste",V1376="Rechazada"),W1376&lt;&gt;""),W1376,""))</f>
        <v/>
      </c>
    </row>
    <row r="1377" customFormat="false" ht="74.6" hidden="false" customHeight="false" outlineLevel="0" collapsed="false">
      <c r="A1377" s="18" t="s">
        <v>6030</v>
      </c>
      <c r="B1377" s="18" t="s">
        <v>64</v>
      </c>
      <c r="C1377" s="18" t="s">
        <v>65</v>
      </c>
      <c r="D1377" s="18" t="s">
        <v>71</v>
      </c>
      <c r="E1377" s="18" t="n">
        <v>14</v>
      </c>
      <c r="F1377" s="18" t="s">
        <v>4478</v>
      </c>
      <c r="G1377" s="18" t="s">
        <v>128</v>
      </c>
      <c r="H1377" s="18" t="s">
        <v>129</v>
      </c>
      <c r="I1377" s="18"/>
      <c r="J1377" s="18"/>
      <c r="K1377" s="18"/>
      <c r="L1377" s="18" t="s">
        <v>129</v>
      </c>
      <c r="M1377" s="18" t="s">
        <v>129</v>
      </c>
      <c r="N1377" s="18"/>
      <c r="O1377" s="18"/>
      <c r="P1377" s="18" t="s">
        <v>6031</v>
      </c>
      <c r="Q1377" s="18" t="s">
        <v>131</v>
      </c>
      <c r="R1377" s="18" t="s">
        <v>6032</v>
      </c>
      <c r="S1377" s="18" t="s">
        <v>133</v>
      </c>
      <c r="T1377" s="18" t="s">
        <v>6033</v>
      </c>
      <c r="U1377" s="18"/>
      <c r="V1377" s="19" t="s">
        <v>29</v>
      </c>
      <c r="W1377" s="19"/>
      <c r="X1377" s="19"/>
      <c r="Y1377" s="20"/>
      <c r="Z1377" s="19"/>
      <c r="AA1377" s="18" t="str">
        <f aca="false">IF(OR(V1377="Aprobada"),R1377,IF(AND(OR(V1377="Aprobada con ajuste",V1377="Rechazada"),W1377&lt;&gt;""),W1377,""))</f>
        <v/>
      </c>
    </row>
    <row r="1378" customFormat="false" ht="74.6" hidden="false" customHeight="false" outlineLevel="0" collapsed="false">
      <c r="A1378" s="18" t="s">
        <v>6034</v>
      </c>
      <c r="B1378" s="18" t="s">
        <v>64</v>
      </c>
      <c r="C1378" s="18" t="s">
        <v>65</v>
      </c>
      <c r="D1378" s="18" t="s">
        <v>71</v>
      </c>
      <c r="E1378" s="18" t="n">
        <v>14</v>
      </c>
      <c r="F1378" s="18" t="s">
        <v>160</v>
      </c>
      <c r="G1378" s="18" t="s">
        <v>128</v>
      </c>
      <c r="H1378" s="18" t="s">
        <v>162</v>
      </c>
      <c r="I1378" s="18"/>
      <c r="J1378" s="18"/>
      <c r="K1378" s="18"/>
      <c r="L1378" s="18" t="s">
        <v>129</v>
      </c>
      <c r="M1378" s="18" t="s">
        <v>129</v>
      </c>
      <c r="N1378" s="18"/>
      <c r="O1378" s="18"/>
      <c r="P1378" s="18" t="s">
        <v>6035</v>
      </c>
      <c r="Q1378" s="18" t="s">
        <v>131</v>
      </c>
      <c r="R1378" s="18" t="s">
        <v>6036</v>
      </c>
      <c r="S1378" s="18" t="s">
        <v>133</v>
      </c>
      <c r="T1378" s="18" t="s">
        <v>6037</v>
      </c>
      <c r="U1378" s="18"/>
      <c r="V1378" s="19" t="s">
        <v>29</v>
      </c>
      <c r="W1378" s="19"/>
      <c r="X1378" s="19"/>
      <c r="Y1378" s="20"/>
      <c r="Z1378" s="19"/>
      <c r="AA1378" s="18" t="str">
        <f aca="false">IF(OR(V1378="Aprobada"),R1378,IF(AND(OR(V1378="Aprobada con ajuste",V1378="Rechazada"),W1378&lt;&gt;""),W1378,""))</f>
        <v/>
      </c>
    </row>
    <row r="1379" customFormat="false" ht="74.6" hidden="false" customHeight="false" outlineLevel="0" collapsed="false">
      <c r="A1379" s="18" t="s">
        <v>6038</v>
      </c>
      <c r="B1379" s="18" t="s">
        <v>64</v>
      </c>
      <c r="C1379" s="18" t="s">
        <v>65</v>
      </c>
      <c r="D1379" s="18" t="s">
        <v>71</v>
      </c>
      <c r="E1379" s="18" t="n">
        <v>14</v>
      </c>
      <c r="F1379" s="18" t="s">
        <v>4783</v>
      </c>
      <c r="G1379" s="18" t="s">
        <v>317</v>
      </c>
      <c r="H1379" s="18" t="s">
        <v>129</v>
      </c>
      <c r="I1379" s="18"/>
      <c r="J1379" s="18"/>
      <c r="K1379" s="18"/>
      <c r="L1379" s="18" t="s">
        <v>129</v>
      </c>
      <c r="M1379" s="18" t="s">
        <v>129</v>
      </c>
      <c r="N1379" s="18"/>
      <c r="O1379" s="18"/>
      <c r="P1379" s="18" t="s">
        <v>6039</v>
      </c>
      <c r="Q1379" s="18" t="s">
        <v>131</v>
      </c>
      <c r="R1379" s="18" t="s">
        <v>6040</v>
      </c>
      <c r="S1379" s="18" t="s">
        <v>133</v>
      </c>
      <c r="T1379" s="18" t="s">
        <v>6041</v>
      </c>
      <c r="U1379" s="18"/>
      <c r="V1379" s="19" t="s">
        <v>29</v>
      </c>
      <c r="W1379" s="19"/>
      <c r="X1379" s="19"/>
      <c r="Y1379" s="20"/>
      <c r="Z1379" s="19"/>
      <c r="AA1379" s="18" t="str">
        <f aca="false">IF(OR(V1379="Aprobada"),R1379,IF(AND(OR(V1379="Aprobada con ajuste",V1379="Rechazada"),W1379&lt;&gt;""),W1379,""))</f>
        <v/>
      </c>
    </row>
    <row r="1380" customFormat="false" ht="74.6" hidden="false" customHeight="false" outlineLevel="0" collapsed="false">
      <c r="A1380" s="18" t="s">
        <v>6042</v>
      </c>
      <c r="B1380" s="18" t="s">
        <v>64</v>
      </c>
      <c r="C1380" s="18" t="s">
        <v>65</v>
      </c>
      <c r="D1380" s="18" t="s">
        <v>71</v>
      </c>
      <c r="E1380" s="18" t="n">
        <v>14</v>
      </c>
      <c r="F1380" s="18" t="s">
        <v>6043</v>
      </c>
      <c r="G1380" s="18" t="s">
        <v>205</v>
      </c>
      <c r="H1380" s="18" t="s">
        <v>162</v>
      </c>
      <c r="I1380" s="18" t="s">
        <v>298</v>
      </c>
      <c r="J1380" s="18" t="s">
        <v>6044</v>
      </c>
      <c r="K1380" s="18"/>
      <c r="L1380" s="18" t="s">
        <v>162</v>
      </c>
      <c r="M1380" s="18" t="s">
        <v>129</v>
      </c>
      <c r="N1380" s="18"/>
      <c r="O1380" s="18"/>
      <c r="P1380" s="18" t="s">
        <v>6045</v>
      </c>
      <c r="Q1380" s="18" t="s">
        <v>131</v>
      </c>
      <c r="R1380" s="18" t="s">
        <v>6046</v>
      </c>
      <c r="S1380" s="18" t="s">
        <v>133</v>
      </c>
      <c r="T1380" s="18" t="s">
        <v>6047</v>
      </c>
      <c r="U1380" s="18"/>
      <c r="V1380" s="19" t="s">
        <v>29</v>
      </c>
      <c r="W1380" s="19"/>
      <c r="X1380" s="19"/>
      <c r="Y1380" s="20"/>
      <c r="Z1380" s="19"/>
      <c r="AA1380" s="18" t="str">
        <f aca="false">IF(OR(V1380="Aprobada"),R1380,IF(AND(OR(V1380="Aprobada con ajuste",V1380="Rechazada"),W1380&lt;&gt;""),W1380,""))</f>
        <v/>
      </c>
    </row>
    <row r="1381" customFormat="false" ht="74.6" hidden="false" customHeight="false" outlineLevel="0" collapsed="false">
      <c r="A1381" s="18" t="s">
        <v>6048</v>
      </c>
      <c r="B1381" s="18" t="s">
        <v>64</v>
      </c>
      <c r="C1381" s="18" t="s">
        <v>65</v>
      </c>
      <c r="D1381" s="18" t="s">
        <v>71</v>
      </c>
      <c r="E1381" s="18" t="n">
        <v>14</v>
      </c>
      <c r="F1381" s="18" t="s">
        <v>6049</v>
      </c>
      <c r="G1381" s="18" t="s">
        <v>503</v>
      </c>
      <c r="H1381" s="18" t="s">
        <v>129</v>
      </c>
      <c r="I1381" s="18"/>
      <c r="J1381" s="18"/>
      <c r="K1381" s="18"/>
      <c r="L1381" s="18" t="s">
        <v>129</v>
      </c>
      <c r="M1381" s="18" t="s">
        <v>129</v>
      </c>
      <c r="N1381" s="18"/>
      <c r="O1381" s="18"/>
      <c r="P1381" s="18" t="s">
        <v>6050</v>
      </c>
      <c r="Q1381" s="18" t="s">
        <v>131</v>
      </c>
      <c r="R1381" s="18" t="s">
        <v>6051</v>
      </c>
      <c r="S1381" s="18" t="s">
        <v>133</v>
      </c>
      <c r="T1381" s="18" t="s">
        <v>6052</v>
      </c>
      <c r="U1381" s="18"/>
      <c r="V1381" s="19" t="s">
        <v>29</v>
      </c>
      <c r="W1381" s="19"/>
      <c r="X1381" s="19"/>
      <c r="Y1381" s="20"/>
      <c r="Z1381" s="19"/>
      <c r="AA1381" s="18" t="str">
        <f aca="false">IF(OR(V1381="Aprobada"),R1381,IF(AND(OR(V1381="Aprobada con ajuste",V1381="Rechazada"),W1381&lt;&gt;""),W1381,""))</f>
        <v/>
      </c>
    </row>
    <row r="1382" customFormat="false" ht="74.6" hidden="false" customHeight="false" outlineLevel="0" collapsed="false">
      <c r="A1382" s="18" t="s">
        <v>6053</v>
      </c>
      <c r="B1382" s="18" t="s">
        <v>64</v>
      </c>
      <c r="C1382" s="18" t="s">
        <v>65</v>
      </c>
      <c r="D1382" s="18" t="s">
        <v>71</v>
      </c>
      <c r="E1382" s="18" t="n">
        <v>14</v>
      </c>
      <c r="F1382" s="18" t="s">
        <v>326</v>
      </c>
      <c r="G1382" s="18" t="s">
        <v>317</v>
      </c>
      <c r="H1382" s="18" t="s">
        <v>129</v>
      </c>
      <c r="I1382" s="18"/>
      <c r="J1382" s="18"/>
      <c r="K1382" s="18"/>
      <c r="L1382" s="18" t="s">
        <v>129</v>
      </c>
      <c r="M1382" s="18" t="s">
        <v>129</v>
      </c>
      <c r="N1382" s="18"/>
      <c r="O1382" s="18" t="s">
        <v>6054</v>
      </c>
      <c r="P1382" s="18" t="s">
        <v>6055</v>
      </c>
      <c r="Q1382" s="18" t="s">
        <v>131</v>
      </c>
      <c r="R1382" s="18" t="s">
        <v>6056</v>
      </c>
      <c r="S1382" s="18" t="s">
        <v>140</v>
      </c>
      <c r="T1382" s="18" t="s">
        <v>6057</v>
      </c>
      <c r="U1382" s="18" t="s">
        <v>6058</v>
      </c>
      <c r="V1382" s="19" t="s">
        <v>29</v>
      </c>
      <c r="W1382" s="19"/>
      <c r="X1382" s="19"/>
      <c r="Y1382" s="20"/>
      <c r="Z1382" s="19"/>
      <c r="AA1382" s="18" t="str">
        <f aca="false">IF(OR(V1382="Aprobada"),R1382,IF(AND(OR(V1382="Aprobada con ajuste",V1382="Rechazada"),W1382&lt;&gt;""),W1382,""))</f>
        <v/>
      </c>
    </row>
    <row r="1383" customFormat="false" ht="74.6" hidden="false" customHeight="false" outlineLevel="0" collapsed="false">
      <c r="A1383" s="18" t="s">
        <v>6059</v>
      </c>
      <c r="B1383" s="18" t="s">
        <v>64</v>
      </c>
      <c r="C1383" s="18" t="s">
        <v>65</v>
      </c>
      <c r="D1383" s="18" t="s">
        <v>71</v>
      </c>
      <c r="E1383" s="18" t="n">
        <v>14</v>
      </c>
      <c r="F1383" s="18" t="s">
        <v>5470</v>
      </c>
      <c r="G1383" s="18" t="s">
        <v>454</v>
      </c>
      <c r="H1383" s="18" t="s">
        <v>162</v>
      </c>
      <c r="I1383" s="18"/>
      <c r="J1383" s="18"/>
      <c r="K1383" s="18"/>
      <c r="L1383" s="18" t="s">
        <v>129</v>
      </c>
      <c r="M1383" s="18" t="s">
        <v>129</v>
      </c>
      <c r="N1383" s="18"/>
      <c r="O1383" s="18"/>
      <c r="P1383" s="18" t="s">
        <v>6060</v>
      </c>
      <c r="Q1383" s="18" t="s">
        <v>131</v>
      </c>
      <c r="R1383" s="18" t="s">
        <v>6061</v>
      </c>
      <c r="S1383" s="18" t="s">
        <v>140</v>
      </c>
      <c r="T1383" s="18" t="s">
        <v>6062</v>
      </c>
      <c r="U1383" s="18" t="s">
        <v>6063</v>
      </c>
      <c r="V1383" s="19" t="s">
        <v>29</v>
      </c>
      <c r="W1383" s="19"/>
      <c r="X1383" s="19"/>
      <c r="Y1383" s="20"/>
      <c r="Z1383" s="19"/>
      <c r="AA1383" s="18" t="str">
        <f aca="false">IF(OR(V1383="Aprobada"),R1383,IF(AND(OR(V1383="Aprobada con ajuste",V1383="Rechazada"),W1383&lt;&gt;""),W1383,""))</f>
        <v/>
      </c>
    </row>
    <row r="1384" customFormat="false" ht="74.6" hidden="false" customHeight="false" outlineLevel="0" collapsed="false">
      <c r="A1384" s="18" t="s">
        <v>6064</v>
      </c>
      <c r="B1384" s="18" t="s">
        <v>64</v>
      </c>
      <c r="C1384" s="18" t="s">
        <v>65</v>
      </c>
      <c r="D1384" s="18" t="s">
        <v>71</v>
      </c>
      <c r="E1384" s="18" t="n">
        <v>14</v>
      </c>
      <c r="F1384" s="18" t="s">
        <v>5465</v>
      </c>
      <c r="G1384" s="18" t="s">
        <v>337</v>
      </c>
      <c r="H1384" s="18" t="s">
        <v>162</v>
      </c>
      <c r="I1384" s="18"/>
      <c r="J1384" s="18"/>
      <c r="K1384" s="18"/>
      <c r="L1384" s="18" t="s">
        <v>129</v>
      </c>
      <c r="M1384" s="18" t="s">
        <v>129</v>
      </c>
      <c r="N1384" s="18"/>
      <c r="O1384" s="18"/>
      <c r="P1384" s="18" t="s">
        <v>6065</v>
      </c>
      <c r="Q1384" s="18" t="s">
        <v>131</v>
      </c>
      <c r="R1384" s="18" t="s">
        <v>6066</v>
      </c>
      <c r="S1384" s="18" t="s">
        <v>140</v>
      </c>
      <c r="T1384" s="18" t="s">
        <v>6067</v>
      </c>
      <c r="U1384" s="18" t="s">
        <v>6068</v>
      </c>
      <c r="V1384" s="19" t="s">
        <v>29</v>
      </c>
      <c r="W1384" s="19"/>
      <c r="X1384" s="19"/>
      <c r="Y1384" s="20"/>
      <c r="Z1384" s="19"/>
      <c r="AA1384" s="18" t="str">
        <f aca="false">IF(OR(V1384="Aprobada"),R1384,IF(AND(OR(V1384="Aprobada con ajuste",V1384="Rechazada"),W1384&lt;&gt;""),W1384,""))</f>
        <v/>
      </c>
    </row>
    <row r="1385" customFormat="false" ht="74.6" hidden="false" customHeight="false" outlineLevel="0" collapsed="false">
      <c r="A1385" s="18" t="s">
        <v>6069</v>
      </c>
      <c r="B1385" s="18" t="s">
        <v>64</v>
      </c>
      <c r="C1385" s="18" t="s">
        <v>65</v>
      </c>
      <c r="D1385" s="18" t="s">
        <v>71</v>
      </c>
      <c r="E1385" s="18" t="n">
        <v>14</v>
      </c>
      <c r="F1385" s="18" t="s">
        <v>4728</v>
      </c>
      <c r="G1385" s="18" t="s">
        <v>312</v>
      </c>
      <c r="H1385" s="18" t="s">
        <v>162</v>
      </c>
      <c r="I1385" s="18"/>
      <c r="J1385" s="18"/>
      <c r="K1385" s="18"/>
      <c r="L1385" s="18" t="s">
        <v>129</v>
      </c>
      <c r="M1385" s="18" t="s">
        <v>129</v>
      </c>
      <c r="N1385" s="18"/>
      <c r="O1385" s="18" t="s">
        <v>6070</v>
      </c>
      <c r="P1385" s="18" t="s">
        <v>6071</v>
      </c>
      <c r="Q1385" s="18" t="s">
        <v>131</v>
      </c>
      <c r="R1385" s="18" t="s">
        <v>6072</v>
      </c>
      <c r="S1385" s="18" t="s">
        <v>140</v>
      </c>
      <c r="T1385" s="18" t="s">
        <v>6073</v>
      </c>
      <c r="U1385" s="18" t="s">
        <v>6074</v>
      </c>
      <c r="V1385" s="19" t="s">
        <v>29</v>
      </c>
      <c r="W1385" s="19"/>
      <c r="X1385" s="19"/>
      <c r="Y1385" s="20"/>
      <c r="Z1385" s="19"/>
      <c r="AA1385" s="18" t="str">
        <f aca="false">IF(OR(V1385="Aprobada"),R1385,IF(AND(OR(V1385="Aprobada con ajuste",V1385="Rechazada"),W1385&lt;&gt;""),W1385,""))</f>
        <v/>
      </c>
    </row>
    <row r="1386" customFormat="false" ht="74.6" hidden="false" customHeight="false" outlineLevel="0" collapsed="false">
      <c r="A1386" s="18" t="s">
        <v>6075</v>
      </c>
      <c r="B1386" s="18" t="s">
        <v>64</v>
      </c>
      <c r="C1386" s="18" t="s">
        <v>65</v>
      </c>
      <c r="D1386" s="18" t="s">
        <v>71</v>
      </c>
      <c r="E1386" s="18" t="n">
        <v>14</v>
      </c>
      <c r="F1386" s="18" t="s">
        <v>185</v>
      </c>
      <c r="G1386" s="18" t="s">
        <v>186</v>
      </c>
      <c r="H1386" s="18" t="s">
        <v>162</v>
      </c>
      <c r="I1386" s="18" t="s">
        <v>298</v>
      </c>
      <c r="J1386" s="18" t="s">
        <v>6076</v>
      </c>
      <c r="K1386" s="18"/>
      <c r="L1386" s="18" t="s">
        <v>162</v>
      </c>
      <c r="M1386" s="18" t="s">
        <v>129</v>
      </c>
      <c r="N1386" s="18"/>
      <c r="O1386" s="18" t="s">
        <v>6077</v>
      </c>
      <c r="P1386" s="18" t="s">
        <v>6078</v>
      </c>
      <c r="Q1386" s="18" t="s">
        <v>131</v>
      </c>
      <c r="R1386" s="18" t="s">
        <v>6079</v>
      </c>
      <c r="S1386" s="18" t="s">
        <v>133</v>
      </c>
      <c r="T1386" s="18" t="s">
        <v>6080</v>
      </c>
      <c r="U1386" s="18"/>
      <c r="V1386" s="19" t="s">
        <v>29</v>
      </c>
      <c r="W1386" s="19"/>
      <c r="X1386" s="19"/>
      <c r="Y1386" s="20"/>
      <c r="Z1386" s="19"/>
      <c r="AA1386" s="18" t="str">
        <f aca="false">IF(OR(V1386="Aprobada"),R1386,IF(AND(OR(V1386="Aprobada con ajuste",V1386="Rechazada"),W1386&lt;&gt;""),W1386,""))</f>
        <v/>
      </c>
    </row>
    <row r="1387" customFormat="false" ht="74.6" hidden="false" customHeight="false" outlineLevel="0" collapsed="false">
      <c r="A1387" s="18" t="s">
        <v>6081</v>
      </c>
      <c r="B1387" s="18" t="s">
        <v>64</v>
      </c>
      <c r="C1387" s="18" t="s">
        <v>65</v>
      </c>
      <c r="D1387" s="18" t="s">
        <v>71</v>
      </c>
      <c r="E1387" s="18" t="n">
        <v>14</v>
      </c>
      <c r="F1387" s="18" t="s">
        <v>4777</v>
      </c>
      <c r="G1387" s="18" t="s">
        <v>760</v>
      </c>
      <c r="H1387" s="18" t="s">
        <v>162</v>
      </c>
      <c r="I1387" s="18" t="s">
        <v>298</v>
      </c>
      <c r="J1387" s="18" t="s">
        <v>6082</v>
      </c>
      <c r="K1387" s="18"/>
      <c r="L1387" s="18" t="s">
        <v>162</v>
      </c>
      <c r="M1387" s="18" t="s">
        <v>129</v>
      </c>
      <c r="N1387" s="18"/>
      <c r="O1387" s="18"/>
      <c r="P1387" s="18" t="s">
        <v>6083</v>
      </c>
      <c r="Q1387" s="18" t="s">
        <v>131</v>
      </c>
      <c r="R1387" s="18" t="s">
        <v>6084</v>
      </c>
      <c r="S1387" s="18" t="s">
        <v>133</v>
      </c>
      <c r="T1387" s="18" t="s">
        <v>6085</v>
      </c>
      <c r="U1387" s="18"/>
      <c r="V1387" s="19" t="s">
        <v>29</v>
      </c>
      <c r="W1387" s="19"/>
      <c r="X1387" s="19"/>
      <c r="Y1387" s="20"/>
      <c r="Z1387" s="19"/>
      <c r="AA1387" s="18" t="str">
        <f aca="false">IF(OR(V1387="Aprobada"),R1387,IF(AND(OR(V1387="Aprobada con ajuste",V1387="Rechazada"),W1387&lt;&gt;""),W1387,""))</f>
        <v/>
      </c>
    </row>
    <row r="1388" customFormat="false" ht="74.6" hidden="false" customHeight="false" outlineLevel="0" collapsed="false">
      <c r="A1388" s="18" t="s">
        <v>6086</v>
      </c>
      <c r="B1388" s="18" t="s">
        <v>64</v>
      </c>
      <c r="C1388" s="18" t="s">
        <v>65</v>
      </c>
      <c r="D1388" s="18" t="s">
        <v>71</v>
      </c>
      <c r="E1388" s="18" t="n">
        <v>14</v>
      </c>
      <c r="F1388" s="18" t="s">
        <v>6087</v>
      </c>
      <c r="G1388" s="18" t="s">
        <v>128</v>
      </c>
      <c r="H1388" s="18" t="s">
        <v>162</v>
      </c>
      <c r="I1388" s="18"/>
      <c r="J1388" s="18"/>
      <c r="K1388" s="18"/>
      <c r="L1388" s="18" t="s">
        <v>129</v>
      </c>
      <c r="M1388" s="18" t="s">
        <v>129</v>
      </c>
      <c r="N1388" s="18"/>
      <c r="O1388" s="18"/>
      <c r="P1388" s="18" t="s">
        <v>6088</v>
      </c>
      <c r="Q1388" s="18" t="s">
        <v>131</v>
      </c>
      <c r="R1388" s="18" t="s">
        <v>6089</v>
      </c>
      <c r="S1388" s="18" t="s">
        <v>133</v>
      </c>
      <c r="T1388" s="18" t="s">
        <v>6090</v>
      </c>
      <c r="U1388" s="18"/>
      <c r="V1388" s="19" t="s">
        <v>29</v>
      </c>
      <c r="W1388" s="19"/>
      <c r="X1388" s="19"/>
      <c r="Y1388" s="20"/>
      <c r="Z1388" s="19"/>
      <c r="AA1388" s="18" t="str">
        <f aca="false">IF(OR(V1388="Aprobada"),R1388,IF(AND(OR(V1388="Aprobada con ajuste",V1388="Rechazada"),W1388&lt;&gt;""),W1388,""))</f>
        <v/>
      </c>
    </row>
    <row r="1389" customFormat="false" ht="74.6" hidden="false" customHeight="false" outlineLevel="0" collapsed="false">
      <c r="A1389" s="18" t="s">
        <v>6091</v>
      </c>
      <c r="B1389" s="18" t="s">
        <v>64</v>
      </c>
      <c r="C1389" s="18" t="s">
        <v>65</v>
      </c>
      <c r="D1389" s="18" t="s">
        <v>71</v>
      </c>
      <c r="E1389" s="18" t="n">
        <v>14</v>
      </c>
      <c r="F1389" s="18" t="s">
        <v>6092</v>
      </c>
      <c r="G1389" s="18" t="s">
        <v>128</v>
      </c>
      <c r="H1389" s="18" t="s">
        <v>162</v>
      </c>
      <c r="I1389" s="18"/>
      <c r="J1389" s="18"/>
      <c r="K1389" s="18"/>
      <c r="L1389" s="18" t="s">
        <v>129</v>
      </c>
      <c r="M1389" s="18" t="s">
        <v>129</v>
      </c>
      <c r="N1389" s="18"/>
      <c r="O1389" s="18"/>
      <c r="P1389" s="18" t="s">
        <v>6093</v>
      </c>
      <c r="Q1389" s="18" t="s">
        <v>131</v>
      </c>
      <c r="R1389" s="18" t="s">
        <v>6094</v>
      </c>
      <c r="S1389" s="18" t="s">
        <v>133</v>
      </c>
      <c r="T1389" s="18" t="s">
        <v>6095</v>
      </c>
      <c r="U1389" s="18"/>
      <c r="V1389" s="19" t="s">
        <v>29</v>
      </c>
      <c r="W1389" s="19"/>
      <c r="X1389" s="19"/>
      <c r="Y1389" s="20"/>
      <c r="Z1389" s="19"/>
      <c r="AA1389" s="18" t="str">
        <f aca="false">IF(OR(V1389="Aprobada"),R1389,IF(AND(OR(V1389="Aprobada con ajuste",V1389="Rechazada"),W1389&lt;&gt;""),W1389,""))</f>
        <v/>
      </c>
    </row>
    <row r="1390" customFormat="false" ht="74.6" hidden="false" customHeight="false" outlineLevel="0" collapsed="false">
      <c r="A1390" s="18" t="s">
        <v>6096</v>
      </c>
      <c r="B1390" s="18" t="s">
        <v>64</v>
      </c>
      <c r="C1390" s="18" t="s">
        <v>65</v>
      </c>
      <c r="D1390" s="18" t="s">
        <v>71</v>
      </c>
      <c r="E1390" s="18" t="n">
        <v>14</v>
      </c>
      <c r="F1390" s="18" t="s">
        <v>6097</v>
      </c>
      <c r="G1390" s="18" t="s">
        <v>128</v>
      </c>
      <c r="H1390" s="18" t="s">
        <v>162</v>
      </c>
      <c r="I1390" s="18"/>
      <c r="J1390" s="18"/>
      <c r="K1390" s="18"/>
      <c r="L1390" s="18" t="s">
        <v>129</v>
      </c>
      <c r="M1390" s="18" t="s">
        <v>129</v>
      </c>
      <c r="N1390" s="18"/>
      <c r="O1390" s="18"/>
      <c r="P1390" s="18" t="s">
        <v>6098</v>
      </c>
      <c r="Q1390" s="18" t="s">
        <v>131</v>
      </c>
      <c r="R1390" s="18" t="s">
        <v>6099</v>
      </c>
      <c r="S1390" s="18" t="s">
        <v>140</v>
      </c>
      <c r="T1390" s="18" t="s">
        <v>6100</v>
      </c>
      <c r="U1390" s="18" t="s">
        <v>6101</v>
      </c>
      <c r="V1390" s="19" t="s">
        <v>29</v>
      </c>
      <c r="W1390" s="19"/>
      <c r="X1390" s="19"/>
      <c r="Y1390" s="20"/>
      <c r="Z1390" s="19"/>
      <c r="AA1390" s="18" t="str">
        <f aca="false">IF(OR(V1390="Aprobada"),R1390,IF(AND(OR(V1390="Aprobada con ajuste",V1390="Rechazada"),W1390&lt;&gt;""),W1390,""))</f>
        <v/>
      </c>
    </row>
    <row r="1391" customFormat="false" ht="74.6" hidden="false" customHeight="false" outlineLevel="0" collapsed="false">
      <c r="A1391" s="18" t="s">
        <v>6102</v>
      </c>
      <c r="B1391" s="18" t="s">
        <v>64</v>
      </c>
      <c r="C1391" s="18" t="s">
        <v>65</v>
      </c>
      <c r="D1391" s="18" t="s">
        <v>71</v>
      </c>
      <c r="E1391" s="18" t="n">
        <v>14</v>
      </c>
      <c r="F1391" s="18" t="s">
        <v>4792</v>
      </c>
      <c r="G1391" s="18" t="s">
        <v>317</v>
      </c>
      <c r="H1391" s="18" t="s">
        <v>162</v>
      </c>
      <c r="I1391" s="18"/>
      <c r="J1391" s="18"/>
      <c r="K1391" s="18"/>
      <c r="L1391" s="18" t="s">
        <v>129</v>
      </c>
      <c r="M1391" s="18" t="s">
        <v>129</v>
      </c>
      <c r="N1391" s="18"/>
      <c r="O1391" s="18"/>
      <c r="P1391" s="18" t="s">
        <v>6103</v>
      </c>
      <c r="Q1391" s="18" t="s">
        <v>131</v>
      </c>
      <c r="R1391" s="18" t="s">
        <v>6104</v>
      </c>
      <c r="S1391" s="18" t="s">
        <v>133</v>
      </c>
      <c r="T1391" s="18" t="s">
        <v>6105</v>
      </c>
      <c r="U1391" s="18"/>
      <c r="V1391" s="19" t="s">
        <v>29</v>
      </c>
      <c r="W1391" s="19"/>
      <c r="X1391" s="19"/>
      <c r="Y1391" s="20"/>
      <c r="Z1391" s="19"/>
      <c r="AA1391" s="18" t="str">
        <f aca="false">IF(OR(V1391="Aprobada"),R1391,IF(AND(OR(V1391="Aprobada con ajuste",V1391="Rechazada"),W1391&lt;&gt;""),W1391,""))</f>
        <v/>
      </c>
    </row>
    <row r="1392" customFormat="false" ht="74.6" hidden="false" customHeight="false" outlineLevel="0" collapsed="false">
      <c r="A1392" s="18" t="s">
        <v>6106</v>
      </c>
      <c r="B1392" s="18" t="s">
        <v>64</v>
      </c>
      <c r="C1392" s="18" t="s">
        <v>65</v>
      </c>
      <c r="D1392" s="18" t="s">
        <v>71</v>
      </c>
      <c r="E1392" s="18" t="n">
        <v>14</v>
      </c>
      <c r="F1392" s="18" t="s">
        <v>886</v>
      </c>
      <c r="G1392" s="18" t="s">
        <v>128</v>
      </c>
      <c r="H1392" s="18" t="s">
        <v>162</v>
      </c>
      <c r="I1392" s="18"/>
      <c r="J1392" s="18"/>
      <c r="K1392" s="18"/>
      <c r="L1392" s="18" t="s">
        <v>129</v>
      </c>
      <c r="M1392" s="18" t="s">
        <v>129</v>
      </c>
      <c r="N1392" s="18"/>
      <c r="O1392" s="18"/>
      <c r="P1392" s="18" t="s">
        <v>6107</v>
      </c>
      <c r="Q1392" s="18" t="s">
        <v>131</v>
      </c>
      <c r="R1392" s="18" t="s">
        <v>6108</v>
      </c>
      <c r="S1392" s="18" t="s">
        <v>133</v>
      </c>
      <c r="T1392" s="18" t="s">
        <v>6109</v>
      </c>
      <c r="U1392" s="18"/>
      <c r="V1392" s="19" t="s">
        <v>29</v>
      </c>
      <c r="W1392" s="19"/>
      <c r="X1392" s="19"/>
      <c r="Y1392" s="20"/>
      <c r="Z1392" s="19"/>
      <c r="AA1392" s="18" t="str">
        <f aca="false">IF(OR(V1392="Aprobada"),R1392,IF(AND(OR(V1392="Aprobada con ajuste",V1392="Rechazada"),W1392&lt;&gt;""),W1392,""))</f>
        <v/>
      </c>
    </row>
    <row r="1393" customFormat="false" ht="74.6" hidden="false" customHeight="false" outlineLevel="0" collapsed="false">
      <c r="A1393" s="18" t="s">
        <v>6110</v>
      </c>
      <c r="B1393" s="18" t="s">
        <v>64</v>
      </c>
      <c r="C1393" s="18" t="s">
        <v>65</v>
      </c>
      <c r="D1393" s="18" t="s">
        <v>71</v>
      </c>
      <c r="E1393" s="18" t="n">
        <v>14</v>
      </c>
      <c r="F1393" s="18" t="s">
        <v>4851</v>
      </c>
      <c r="G1393" s="18" t="s">
        <v>317</v>
      </c>
      <c r="H1393" s="18" t="s">
        <v>162</v>
      </c>
      <c r="I1393" s="18"/>
      <c r="J1393" s="18"/>
      <c r="K1393" s="18"/>
      <c r="L1393" s="18" t="s">
        <v>129</v>
      </c>
      <c r="M1393" s="18" t="s">
        <v>129</v>
      </c>
      <c r="N1393" s="18"/>
      <c r="O1393" s="18"/>
      <c r="P1393" s="18" t="s">
        <v>6111</v>
      </c>
      <c r="Q1393" s="18" t="s">
        <v>131</v>
      </c>
      <c r="R1393" s="18" t="s">
        <v>6112</v>
      </c>
      <c r="S1393" s="18" t="s">
        <v>133</v>
      </c>
      <c r="T1393" s="18" t="s">
        <v>6113</v>
      </c>
      <c r="U1393" s="18"/>
      <c r="V1393" s="19" t="s">
        <v>29</v>
      </c>
      <c r="W1393" s="19"/>
      <c r="X1393" s="19"/>
      <c r="Y1393" s="20"/>
      <c r="Z1393" s="19"/>
      <c r="AA1393" s="18" t="str">
        <f aca="false">IF(OR(V1393="Aprobada"),R1393,IF(AND(OR(V1393="Aprobada con ajuste",V1393="Rechazada"),W1393&lt;&gt;""),W1393,""))</f>
        <v/>
      </c>
    </row>
    <row r="1394" customFormat="false" ht="74.6" hidden="false" customHeight="false" outlineLevel="0" collapsed="false">
      <c r="A1394" s="18" t="s">
        <v>6114</v>
      </c>
      <c r="B1394" s="18" t="s">
        <v>64</v>
      </c>
      <c r="C1394" s="18" t="s">
        <v>65</v>
      </c>
      <c r="D1394" s="18" t="s">
        <v>71</v>
      </c>
      <c r="E1394" s="18" t="n">
        <v>14</v>
      </c>
      <c r="F1394" s="18" t="s">
        <v>4855</v>
      </c>
      <c r="G1394" s="18" t="s">
        <v>4418</v>
      </c>
      <c r="H1394" s="18" t="s">
        <v>162</v>
      </c>
      <c r="I1394" s="18"/>
      <c r="J1394" s="18"/>
      <c r="K1394" s="18"/>
      <c r="L1394" s="18" t="s">
        <v>129</v>
      </c>
      <c r="M1394" s="18" t="s">
        <v>129</v>
      </c>
      <c r="N1394" s="18"/>
      <c r="O1394" s="18"/>
      <c r="P1394" s="18" t="s">
        <v>6115</v>
      </c>
      <c r="Q1394" s="18" t="s">
        <v>131</v>
      </c>
      <c r="R1394" s="18" t="s">
        <v>6116</v>
      </c>
      <c r="S1394" s="18" t="s">
        <v>140</v>
      </c>
      <c r="T1394" s="18" t="s">
        <v>6117</v>
      </c>
      <c r="U1394" s="18" t="s">
        <v>6118</v>
      </c>
      <c r="V1394" s="19" t="s">
        <v>29</v>
      </c>
      <c r="W1394" s="19"/>
      <c r="X1394" s="19"/>
      <c r="Y1394" s="20"/>
      <c r="Z1394" s="19"/>
      <c r="AA1394" s="18" t="str">
        <f aca="false">IF(OR(V1394="Aprobada"),R1394,IF(AND(OR(V1394="Aprobada con ajuste",V1394="Rechazada"),W1394&lt;&gt;""),W1394,""))</f>
        <v/>
      </c>
    </row>
    <row r="1395" customFormat="false" ht="74.6" hidden="false" customHeight="false" outlineLevel="0" collapsed="false">
      <c r="A1395" s="18" t="s">
        <v>6119</v>
      </c>
      <c r="B1395" s="18" t="s">
        <v>64</v>
      </c>
      <c r="C1395" s="18" t="s">
        <v>65</v>
      </c>
      <c r="D1395" s="18" t="s">
        <v>71</v>
      </c>
      <c r="E1395" s="18" t="n">
        <v>14</v>
      </c>
      <c r="F1395" s="18" t="s">
        <v>4860</v>
      </c>
      <c r="G1395" s="18" t="s">
        <v>128</v>
      </c>
      <c r="H1395" s="18" t="s">
        <v>162</v>
      </c>
      <c r="I1395" s="18"/>
      <c r="J1395" s="18"/>
      <c r="K1395" s="18"/>
      <c r="L1395" s="18" t="s">
        <v>129</v>
      </c>
      <c r="M1395" s="18" t="s">
        <v>129</v>
      </c>
      <c r="N1395" s="18"/>
      <c r="O1395" s="18"/>
      <c r="P1395" s="18" t="s">
        <v>6120</v>
      </c>
      <c r="Q1395" s="18" t="s">
        <v>131</v>
      </c>
      <c r="R1395" s="18" t="s">
        <v>6121</v>
      </c>
      <c r="S1395" s="18" t="s">
        <v>133</v>
      </c>
      <c r="T1395" s="18" t="s">
        <v>6122</v>
      </c>
      <c r="U1395" s="18"/>
      <c r="V1395" s="19" t="s">
        <v>29</v>
      </c>
      <c r="W1395" s="19"/>
      <c r="X1395" s="19"/>
      <c r="Y1395" s="20"/>
      <c r="Z1395" s="19"/>
      <c r="AA1395" s="18" t="str">
        <f aca="false">IF(OR(V1395="Aprobada"),R1395,IF(AND(OR(V1395="Aprobada con ajuste",V1395="Rechazada"),W1395&lt;&gt;""),W1395,""))</f>
        <v/>
      </c>
    </row>
    <row r="1396" customFormat="false" ht="32.8" hidden="false" customHeight="false" outlineLevel="0" collapsed="false">
      <c r="A1396" s="18" t="s">
        <v>6123</v>
      </c>
      <c r="B1396" s="18" t="s">
        <v>64</v>
      </c>
      <c r="C1396" s="18" t="s">
        <v>65</v>
      </c>
      <c r="D1396" s="18" t="s">
        <v>6124</v>
      </c>
      <c r="E1396" s="18" t="n">
        <v>2</v>
      </c>
      <c r="F1396" s="18" t="s">
        <v>6125</v>
      </c>
      <c r="G1396" s="18" t="s">
        <v>454</v>
      </c>
      <c r="H1396" s="18" t="s">
        <v>162</v>
      </c>
      <c r="I1396" s="18"/>
      <c r="J1396" s="18"/>
      <c r="K1396" s="18"/>
      <c r="L1396" s="18" t="s">
        <v>129</v>
      </c>
      <c r="M1396" s="18" t="s">
        <v>129</v>
      </c>
      <c r="N1396" s="18"/>
      <c r="O1396" s="18"/>
      <c r="P1396" s="18" t="s">
        <v>6126</v>
      </c>
      <c r="Q1396" s="18" t="s">
        <v>149</v>
      </c>
      <c r="R1396" s="18" t="s">
        <v>6127</v>
      </c>
      <c r="S1396" s="18" t="s">
        <v>133</v>
      </c>
      <c r="T1396" s="18" t="s">
        <v>858</v>
      </c>
      <c r="U1396" s="18"/>
      <c r="V1396" s="19" t="s">
        <v>29</v>
      </c>
      <c r="W1396" s="19"/>
      <c r="X1396" s="19"/>
      <c r="Y1396" s="20"/>
      <c r="Z1396" s="19"/>
      <c r="AA1396" s="18" t="str">
        <f aca="false">IF(OR(V1396="Aprobada"),R1396,IF(AND(OR(V1396="Aprobada con ajuste",V1396="Rechazada"),W1396&lt;&gt;""),W1396,""))</f>
        <v/>
      </c>
    </row>
    <row r="1397" customFormat="false" ht="22.35" hidden="false" customHeight="false" outlineLevel="0" collapsed="false">
      <c r="A1397" s="18" t="s">
        <v>6128</v>
      </c>
      <c r="B1397" s="18" t="s">
        <v>64</v>
      </c>
      <c r="C1397" s="18" t="s">
        <v>65</v>
      </c>
      <c r="D1397" s="18" t="s">
        <v>6124</v>
      </c>
      <c r="E1397" s="18" t="n">
        <v>2</v>
      </c>
      <c r="F1397" s="18" t="s">
        <v>4915</v>
      </c>
      <c r="G1397" s="18" t="s">
        <v>454</v>
      </c>
      <c r="H1397" s="18" t="s">
        <v>162</v>
      </c>
      <c r="I1397" s="18"/>
      <c r="J1397" s="18"/>
      <c r="K1397" s="18"/>
      <c r="L1397" s="18" t="s">
        <v>129</v>
      </c>
      <c r="M1397" s="18" t="s">
        <v>129</v>
      </c>
      <c r="N1397" s="18"/>
      <c r="O1397" s="18"/>
      <c r="P1397" s="18" t="s">
        <v>6129</v>
      </c>
      <c r="Q1397" s="18" t="s">
        <v>149</v>
      </c>
      <c r="R1397" s="18" t="s">
        <v>6130</v>
      </c>
      <c r="S1397" s="18" t="s">
        <v>133</v>
      </c>
      <c r="T1397" s="18" t="s">
        <v>858</v>
      </c>
      <c r="U1397" s="18"/>
      <c r="V1397" s="19" t="s">
        <v>29</v>
      </c>
      <c r="W1397" s="19"/>
      <c r="X1397" s="19"/>
      <c r="Y1397" s="20"/>
      <c r="Z1397" s="19"/>
      <c r="AA1397" s="18" t="str">
        <f aca="false">IF(OR(V1397="Aprobada"),R1397,IF(AND(OR(V1397="Aprobada con ajuste",V1397="Rechazada"),W1397&lt;&gt;""),W1397,""))</f>
        <v/>
      </c>
    </row>
    <row r="1398" customFormat="false" ht="22.35" hidden="false" customHeight="false" outlineLevel="0" collapsed="false">
      <c r="A1398" s="18" t="s">
        <v>6131</v>
      </c>
      <c r="B1398" s="18" t="s">
        <v>64</v>
      </c>
      <c r="C1398" s="18" t="s">
        <v>65</v>
      </c>
      <c r="D1398" s="18" t="s">
        <v>6124</v>
      </c>
      <c r="E1398" s="18" t="n">
        <v>2</v>
      </c>
      <c r="F1398" s="18" t="s">
        <v>6132</v>
      </c>
      <c r="G1398" s="18" t="s">
        <v>337</v>
      </c>
      <c r="H1398" s="18" t="s">
        <v>162</v>
      </c>
      <c r="I1398" s="18"/>
      <c r="J1398" s="18"/>
      <c r="K1398" s="18"/>
      <c r="L1398" s="18" t="s">
        <v>129</v>
      </c>
      <c r="M1398" s="18" t="s">
        <v>129</v>
      </c>
      <c r="N1398" s="18"/>
      <c r="O1398" s="18"/>
      <c r="P1398" s="18" t="s">
        <v>6133</v>
      </c>
      <c r="Q1398" s="18" t="s">
        <v>149</v>
      </c>
      <c r="R1398" s="18" t="s">
        <v>6134</v>
      </c>
      <c r="S1398" s="18" t="s">
        <v>133</v>
      </c>
      <c r="T1398" s="18" t="s">
        <v>858</v>
      </c>
      <c r="U1398" s="18"/>
      <c r="V1398" s="19" t="s">
        <v>29</v>
      </c>
      <c r="W1398" s="19"/>
      <c r="X1398" s="19"/>
      <c r="Y1398" s="20"/>
      <c r="Z1398" s="19"/>
      <c r="AA1398" s="18" t="str">
        <f aca="false">IF(OR(V1398="Aprobada"),R1398,IF(AND(OR(V1398="Aprobada con ajuste",V1398="Rechazada"),W1398&lt;&gt;""),W1398,""))</f>
        <v/>
      </c>
    </row>
    <row r="1399" customFormat="false" ht="22.35" hidden="false" customHeight="false" outlineLevel="0" collapsed="false">
      <c r="A1399" s="18" t="s">
        <v>6135</v>
      </c>
      <c r="B1399" s="18" t="s">
        <v>64</v>
      </c>
      <c r="C1399" s="18" t="s">
        <v>65</v>
      </c>
      <c r="D1399" s="18" t="s">
        <v>6124</v>
      </c>
      <c r="E1399" s="18" t="n">
        <v>2</v>
      </c>
      <c r="F1399" s="18" t="s">
        <v>4833</v>
      </c>
      <c r="G1399" s="18" t="s">
        <v>145</v>
      </c>
      <c r="H1399" s="18" t="s">
        <v>162</v>
      </c>
      <c r="I1399" s="18"/>
      <c r="J1399" s="18"/>
      <c r="K1399" s="18"/>
      <c r="L1399" s="18" t="s">
        <v>129</v>
      </c>
      <c r="M1399" s="18" t="s">
        <v>129</v>
      </c>
      <c r="N1399" s="18"/>
      <c r="O1399" s="18"/>
      <c r="P1399" s="18" t="s">
        <v>6136</v>
      </c>
      <c r="Q1399" s="18" t="s">
        <v>149</v>
      </c>
      <c r="R1399" s="18" t="s">
        <v>6137</v>
      </c>
      <c r="S1399" s="18" t="s">
        <v>242</v>
      </c>
      <c r="T1399" s="18" t="s">
        <v>858</v>
      </c>
      <c r="U1399" s="18" t="s">
        <v>6138</v>
      </c>
      <c r="V1399" s="19" t="s">
        <v>29</v>
      </c>
      <c r="W1399" s="19"/>
      <c r="X1399" s="19"/>
      <c r="Y1399" s="20"/>
      <c r="Z1399" s="19"/>
      <c r="AA1399" s="18" t="str">
        <f aca="false">IF(OR(V1399="Aprobada"),R1399,IF(AND(OR(V1399="Aprobada con ajuste",V1399="Rechazada"),W1399&lt;&gt;""),W1399,""))</f>
        <v/>
      </c>
    </row>
    <row r="1400" customFormat="false" ht="32.8" hidden="false" customHeight="false" outlineLevel="0" collapsed="false">
      <c r="A1400" s="18" t="s">
        <v>6139</v>
      </c>
      <c r="B1400" s="18" t="s">
        <v>64</v>
      </c>
      <c r="C1400" s="18" t="s">
        <v>65</v>
      </c>
      <c r="D1400" s="18" t="s">
        <v>6124</v>
      </c>
      <c r="E1400" s="18" t="n">
        <v>2</v>
      </c>
      <c r="F1400" s="18" t="s">
        <v>3176</v>
      </c>
      <c r="G1400" s="18" t="s">
        <v>128</v>
      </c>
      <c r="H1400" s="18" t="s">
        <v>162</v>
      </c>
      <c r="I1400" s="18"/>
      <c r="J1400" s="18"/>
      <c r="K1400" s="18"/>
      <c r="L1400" s="18" t="s">
        <v>129</v>
      </c>
      <c r="M1400" s="18" t="s">
        <v>129</v>
      </c>
      <c r="N1400" s="18"/>
      <c r="O1400" s="18"/>
      <c r="P1400" s="18" t="s">
        <v>6140</v>
      </c>
      <c r="Q1400" s="18" t="s">
        <v>149</v>
      </c>
      <c r="R1400" s="18" t="s">
        <v>6141</v>
      </c>
      <c r="S1400" s="18" t="s">
        <v>133</v>
      </c>
      <c r="T1400" s="18" t="s">
        <v>5578</v>
      </c>
      <c r="U1400" s="18"/>
      <c r="V1400" s="19" t="s">
        <v>29</v>
      </c>
      <c r="W1400" s="19"/>
      <c r="X1400" s="19"/>
      <c r="Y1400" s="20"/>
      <c r="Z1400" s="19"/>
      <c r="AA1400" s="18" t="str">
        <f aca="false">IF(OR(V1400="Aprobada"),R1400,IF(AND(OR(V1400="Aprobada con ajuste",V1400="Rechazada"),W1400&lt;&gt;""),W1400,""))</f>
        <v/>
      </c>
    </row>
    <row r="1401" customFormat="false" ht="32.8" hidden="false" customHeight="false" outlineLevel="0" collapsed="false">
      <c r="A1401" s="18" t="s">
        <v>6142</v>
      </c>
      <c r="B1401" s="18" t="s">
        <v>64</v>
      </c>
      <c r="C1401" s="18" t="s">
        <v>65</v>
      </c>
      <c r="D1401" s="18" t="s">
        <v>6124</v>
      </c>
      <c r="E1401" s="18" t="n">
        <v>2</v>
      </c>
      <c r="F1401" s="18" t="s">
        <v>5931</v>
      </c>
      <c r="G1401" s="18" t="s">
        <v>192</v>
      </c>
      <c r="H1401" s="18" t="s">
        <v>162</v>
      </c>
      <c r="I1401" s="18"/>
      <c r="J1401" s="18"/>
      <c r="K1401" s="18"/>
      <c r="L1401" s="18" t="s">
        <v>129</v>
      </c>
      <c r="M1401" s="18" t="s">
        <v>129</v>
      </c>
      <c r="N1401" s="18"/>
      <c r="O1401" s="18"/>
      <c r="P1401" s="18" t="s">
        <v>6143</v>
      </c>
      <c r="Q1401" s="18" t="s">
        <v>149</v>
      </c>
      <c r="R1401" s="18" t="s">
        <v>6144</v>
      </c>
      <c r="S1401" s="18" t="s">
        <v>140</v>
      </c>
      <c r="T1401" s="18" t="s">
        <v>5503</v>
      </c>
      <c r="U1401" s="18" t="s">
        <v>6145</v>
      </c>
      <c r="V1401" s="19" t="s">
        <v>29</v>
      </c>
      <c r="W1401" s="19"/>
      <c r="X1401" s="19"/>
      <c r="Y1401" s="20"/>
      <c r="Z1401" s="19"/>
      <c r="AA1401" s="18" t="str">
        <f aca="false">IF(OR(V1401="Aprobada"),R1401,IF(AND(OR(V1401="Aprobada con ajuste",V1401="Rechazada"),W1401&lt;&gt;""),W1401,""))</f>
        <v/>
      </c>
    </row>
    <row r="1402" customFormat="false" ht="22.35" hidden="false" customHeight="false" outlineLevel="0" collapsed="false">
      <c r="A1402" s="18" t="s">
        <v>6146</v>
      </c>
      <c r="B1402" s="18" t="s">
        <v>64</v>
      </c>
      <c r="C1402" s="18" t="s">
        <v>65</v>
      </c>
      <c r="D1402" s="18" t="s">
        <v>6147</v>
      </c>
      <c r="E1402" s="18" t="n">
        <v>8</v>
      </c>
      <c r="F1402" s="18" t="s">
        <v>160</v>
      </c>
      <c r="G1402" s="18" t="s">
        <v>128</v>
      </c>
      <c r="H1402" s="18" t="s">
        <v>129</v>
      </c>
      <c r="I1402" s="18"/>
      <c r="J1402" s="18"/>
      <c r="K1402" s="18"/>
      <c r="L1402" s="18" t="s">
        <v>129</v>
      </c>
      <c r="M1402" s="18" t="s">
        <v>129</v>
      </c>
      <c r="N1402" s="18"/>
      <c r="O1402" s="18"/>
      <c r="P1402" s="18" t="s">
        <v>6148</v>
      </c>
      <c r="Q1402" s="18" t="s">
        <v>138</v>
      </c>
      <c r="R1402" s="18" t="s">
        <v>6149</v>
      </c>
      <c r="S1402" s="18" t="s">
        <v>140</v>
      </c>
      <c r="T1402" s="18" t="s">
        <v>141</v>
      </c>
      <c r="U1402" s="18"/>
      <c r="V1402" s="19" t="s">
        <v>29</v>
      </c>
      <c r="W1402" s="19"/>
      <c r="X1402" s="19"/>
      <c r="Y1402" s="20"/>
      <c r="Z1402" s="19"/>
      <c r="AA1402" s="18" t="str">
        <f aca="false">IF(OR(V1402="Aprobada"),R1402,IF(AND(OR(V1402="Aprobada con ajuste",V1402="Rechazada"),W1402&lt;&gt;""),W1402,""))</f>
        <v/>
      </c>
    </row>
    <row r="1403" customFormat="false" ht="22.35" hidden="false" customHeight="false" outlineLevel="0" collapsed="false">
      <c r="A1403" s="18" t="s">
        <v>6150</v>
      </c>
      <c r="B1403" s="18" t="s">
        <v>64</v>
      </c>
      <c r="C1403" s="18" t="s">
        <v>65</v>
      </c>
      <c r="D1403" s="18" t="s">
        <v>6147</v>
      </c>
      <c r="E1403" s="18" t="n">
        <v>8</v>
      </c>
      <c r="F1403" s="18" t="s">
        <v>4527</v>
      </c>
      <c r="G1403" s="18" t="s">
        <v>454</v>
      </c>
      <c r="H1403" s="18" t="s">
        <v>162</v>
      </c>
      <c r="I1403" s="18"/>
      <c r="J1403" s="18"/>
      <c r="K1403" s="18"/>
      <c r="L1403" s="18" t="s">
        <v>129</v>
      </c>
      <c r="M1403" s="18" t="s">
        <v>129</v>
      </c>
      <c r="N1403" s="18"/>
      <c r="O1403" s="18"/>
      <c r="P1403" s="18" t="s">
        <v>6151</v>
      </c>
      <c r="Q1403" s="18" t="s">
        <v>149</v>
      </c>
      <c r="R1403" s="18" t="s">
        <v>6152</v>
      </c>
      <c r="S1403" s="18" t="s">
        <v>140</v>
      </c>
      <c r="T1403" s="18" t="s">
        <v>5503</v>
      </c>
      <c r="U1403" s="18" t="s">
        <v>4555</v>
      </c>
      <c r="V1403" s="19" t="s">
        <v>29</v>
      </c>
      <c r="W1403" s="19"/>
      <c r="X1403" s="19"/>
      <c r="Y1403" s="20"/>
      <c r="Z1403" s="19"/>
      <c r="AA1403" s="18" t="str">
        <f aca="false">IF(OR(V1403="Aprobada"),R1403,IF(AND(OR(V1403="Aprobada con ajuste",V1403="Rechazada"),W1403&lt;&gt;""),W1403,""))</f>
        <v/>
      </c>
    </row>
    <row r="1404" customFormat="false" ht="32.8" hidden="false" customHeight="false" outlineLevel="0" collapsed="false">
      <c r="A1404" s="18" t="s">
        <v>6153</v>
      </c>
      <c r="B1404" s="18" t="s">
        <v>64</v>
      </c>
      <c r="C1404" s="18" t="s">
        <v>65</v>
      </c>
      <c r="D1404" s="18" t="s">
        <v>6154</v>
      </c>
      <c r="E1404" s="18" t="n">
        <v>6</v>
      </c>
      <c r="F1404" s="18" t="s">
        <v>611</v>
      </c>
      <c r="G1404" s="18" t="s">
        <v>186</v>
      </c>
      <c r="H1404" s="18" t="s">
        <v>129</v>
      </c>
      <c r="I1404" s="18" t="s">
        <v>146</v>
      </c>
      <c r="J1404" s="18"/>
      <c r="K1404" s="18"/>
      <c r="L1404" s="18" t="s">
        <v>129</v>
      </c>
      <c r="M1404" s="18" t="s">
        <v>129</v>
      </c>
      <c r="N1404" s="18"/>
      <c r="O1404" s="18" t="s">
        <v>6155</v>
      </c>
      <c r="P1404" s="18" t="s">
        <v>6156</v>
      </c>
      <c r="Q1404" s="18" t="s">
        <v>138</v>
      </c>
      <c r="R1404" s="18" t="s">
        <v>6157</v>
      </c>
      <c r="S1404" s="18" t="s">
        <v>140</v>
      </c>
      <c r="T1404" s="18" t="s">
        <v>141</v>
      </c>
      <c r="U1404" s="18"/>
      <c r="V1404" s="19" t="s">
        <v>29</v>
      </c>
      <c r="W1404" s="19"/>
      <c r="X1404" s="19"/>
      <c r="Y1404" s="20"/>
      <c r="Z1404" s="19"/>
      <c r="AA1404" s="18" t="str">
        <f aca="false">IF(OR(V1404="Aprobada"),R1404,IF(AND(OR(V1404="Aprobada con ajuste",V1404="Rechazada"),W1404&lt;&gt;""),W1404,""))</f>
        <v/>
      </c>
    </row>
    <row r="1405" customFormat="false" ht="32.8" hidden="false" customHeight="false" outlineLevel="0" collapsed="false">
      <c r="A1405" s="18" t="s">
        <v>6158</v>
      </c>
      <c r="B1405" s="18" t="s">
        <v>64</v>
      </c>
      <c r="C1405" s="18" t="s">
        <v>65</v>
      </c>
      <c r="D1405" s="18" t="s">
        <v>6154</v>
      </c>
      <c r="E1405" s="18" t="n">
        <v>6</v>
      </c>
      <c r="F1405" s="18" t="s">
        <v>275</v>
      </c>
      <c r="G1405" s="18" t="s">
        <v>180</v>
      </c>
      <c r="H1405" s="18" t="s">
        <v>129</v>
      </c>
      <c r="I1405" s="18"/>
      <c r="J1405" s="18"/>
      <c r="K1405" s="18"/>
      <c r="L1405" s="18" t="s">
        <v>129</v>
      </c>
      <c r="M1405" s="18" t="s">
        <v>129</v>
      </c>
      <c r="N1405" s="18"/>
      <c r="O1405" s="18"/>
      <c r="P1405" s="18" t="s">
        <v>6159</v>
      </c>
      <c r="Q1405" s="18" t="s">
        <v>138</v>
      </c>
      <c r="R1405" s="18" t="s">
        <v>6160</v>
      </c>
      <c r="S1405" s="18" t="s">
        <v>140</v>
      </c>
      <c r="T1405" s="18" t="s">
        <v>141</v>
      </c>
      <c r="U1405" s="18"/>
      <c r="V1405" s="19" t="s">
        <v>29</v>
      </c>
      <c r="W1405" s="19"/>
      <c r="X1405" s="19"/>
      <c r="Y1405" s="20"/>
      <c r="Z1405" s="19"/>
      <c r="AA1405" s="18" t="str">
        <f aca="false">IF(OR(V1405="Aprobada"),R1405,IF(AND(OR(V1405="Aprobada con ajuste",V1405="Rechazada"),W1405&lt;&gt;""),W1405,""))</f>
        <v/>
      </c>
    </row>
    <row r="1406" customFormat="false" ht="32.8" hidden="false" customHeight="false" outlineLevel="0" collapsed="false">
      <c r="A1406" s="18" t="s">
        <v>6161</v>
      </c>
      <c r="B1406" s="18" t="s">
        <v>64</v>
      </c>
      <c r="C1406" s="18" t="s">
        <v>65</v>
      </c>
      <c r="D1406" s="18" t="s">
        <v>6154</v>
      </c>
      <c r="E1406" s="18" t="n">
        <v>6</v>
      </c>
      <c r="F1406" s="18" t="s">
        <v>160</v>
      </c>
      <c r="G1406" s="18" t="s">
        <v>128</v>
      </c>
      <c r="H1406" s="18" t="s">
        <v>129</v>
      </c>
      <c r="I1406" s="18"/>
      <c r="J1406" s="18"/>
      <c r="K1406" s="18"/>
      <c r="L1406" s="18" t="s">
        <v>129</v>
      </c>
      <c r="M1406" s="18" t="s">
        <v>129</v>
      </c>
      <c r="N1406" s="18"/>
      <c r="O1406" s="18"/>
      <c r="P1406" s="18" t="s">
        <v>6162</v>
      </c>
      <c r="Q1406" s="18" t="s">
        <v>138</v>
      </c>
      <c r="R1406" s="18" t="s">
        <v>6163</v>
      </c>
      <c r="S1406" s="18" t="s">
        <v>140</v>
      </c>
      <c r="T1406" s="18" t="s">
        <v>141</v>
      </c>
      <c r="U1406" s="18"/>
      <c r="V1406" s="19" t="s">
        <v>29</v>
      </c>
      <c r="W1406" s="19"/>
      <c r="X1406" s="19"/>
      <c r="Y1406" s="20"/>
      <c r="Z1406" s="19"/>
      <c r="AA1406" s="18" t="str">
        <f aca="false">IF(OR(V1406="Aprobada"),R1406,IF(AND(OR(V1406="Aprobada con ajuste",V1406="Rechazada"),W1406&lt;&gt;""),W1406,""))</f>
        <v/>
      </c>
    </row>
    <row r="1407" customFormat="false" ht="32.8" hidden="false" customHeight="false" outlineLevel="0" collapsed="false">
      <c r="A1407" s="18" t="s">
        <v>6164</v>
      </c>
      <c r="B1407" s="18" t="s">
        <v>64</v>
      </c>
      <c r="C1407" s="18" t="s">
        <v>65</v>
      </c>
      <c r="D1407" s="18" t="s">
        <v>6154</v>
      </c>
      <c r="E1407" s="18" t="n">
        <v>6</v>
      </c>
      <c r="F1407" s="18" t="s">
        <v>6165</v>
      </c>
      <c r="G1407" s="18" t="s">
        <v>486</v>
      </c>
      <c r="H1407" s="18" t="s">
        <v>129</v>
      </c>
      <c r="I1407" s="18"/>
      <c r="J1407" s="18"/>
      <c r="K1407" s="18"/>
      <c r="L1407" s="18" t="s">
        <v>129</v>
      </c>
      <c r="M1407" s="18" t="s">
        <v>129</v>
      </c>
      <c r="N1407" s="18"/>
      <c r="O1407" s="18" t="s">
        <v>6166</v>
      </c>
      <c r="P1407" s="18" t="s">
        <v>6167</v>
      </c>
      <c r="Q1407" s="18" t="s">
        <v>149</v>
      </c>
      <c r="R1407" s="18" t="s">
        <v>6168</v>
      </c>
      <c r="S1407" s="18" t="s">
        <v>140</v>
      </c>
      <c r="T1407" s="18" t="s">
        <v>6022</v>
      </c>
      <c r="U1407" s="18" t="s">
        <v>6169</v>
      </c>
      <c r="V1407" s="19" t="s">
        <v>29</v>
      </c>
      <c r="W1407" s="19"/>
      <c r="X1407" s="19"/>
      <c r="Y1407" s="20"/>
      <c r="Z1407" s="19"/>
      <c r="AA1407" s="18" t="str">
        <f aca="false">IF(OR(V1407="Aprobada"),R1407,IF(AND(OR(V1407="Aprobada con ajuste",V1407="Rechazada"),W1407&lt;&gt;""),W1407,""))</f>
        <v/>
      </c>
    </row>
    <row r="1408" customFormat="false" ht="32.8" hidden="false" customHeight="false" outlineLevel="0" collapsed="false">
      <c r="A1408" s="18" t="s">
        <v>6170</v>
      </c>
      <c r="B1408" s="18" t="s">
        <v>64</v>
      </c>
      <c r="C1408" s="18" t="s">
        <v>65</v>
      </c>
      <c r="D1408" s="18" t="s">
        <v>6154</v>
      </c>
      <c r="E1408" s="18" t="n">
        <v>6</v>
      </c>
      <c r="F1408" s="18" t="s">
        <v>6171</v>
      </c>
      <c r="G1408" s="18" t="s">
        <v>186</v>
      </c>
      <c r="H1408" s="18" t="s">
        <v>129</v>
      </c>
      <c r="I1408" s="18" t="s">
        <v>298</v>
      </c>
      <c r="J1408" s="18" t="s">
        <v>6172</v>
      </c>
      <c r="K1408" s="18"/>
      <c r="L1408" s="18" t="s">
        <v>162</v>
      </c>
      <c r="M1408" s="18" t="s">
        <v>129</v>
      </c>
      <c r="N1408" s="18"/>
      <c r="O1408" s="18" t="s">
        <v>6173</v>
      </c>
      <c r="P1408" s="18" t="s">
        <v>6174</v>
      </c>
      <c r="Q1408" s="18" t="s">
        <v>149</v>
      </c>
      <c r="R1408" s="18" t="s">
        <v>6175</v>
      </c>
      <c r="S1408" s="18" t="s">
        <v>133</v>
      </c>
      <c r="T1408" s="18" t="s">
        <v>801</v>
      </c>
      <c r="U1408" s="18"/>
      <c r="V1408" s="19" t="s">
        <v>29</v>
      </c>
      <c r="W1408" s="19"/>
      <c r="X1408" s="19"/>
      <c r="Y1408" s="20"/>
      <c r="Z1408" s="19"/>
      <c r="AA1408" s="18" t="str">
        <f aca="false">IF(OR(V1408="Aprobada"),R1408,IF(AND(OR(V1408="Aprobada con ajuste",V1408="Rechazada"),W1408&lt;&gt;""),W1408,""))</f>
        <v/>
      </c>
    </row>
    <row r="1409" customFormat="false" ht="43.25" hidden="false" customHeight="false" outlineLevel="0" collapsed="false">
      <c r="A1409" s="18" t="s">
        <v>6176</v>
      </c>
      <c r="B1409" s="18" t="s">
        <v>64</v>
      </c>
      <c r="C1409" s="18" t="s">
        <v>65</v>
      </c>
      <c r="D1409" s="18" t="s">
        <v>6154</v>
      </c>
      <c r="E1409" s="18" t="n">
        <v>6</v>
      </c>
      <c r="F1409" s="18" t="s">
        <v>3361</v>
      </c>
      <c r="G1409" s="18" t="s">
        <v>186</v>
      </c>
      <c r="H1409" s="18" t="s">
        <v>162</v>
      </c>
      <c r="I1409" s="18" t="s">
        <v>298</v>
      </c>
      <c r="J1409" s="18" t="s">
        <v>6177</v>
      </c>
      <c r="K1409" s="18"/>
      <c r="L1409" s="18" t="s">
        <v>162</v>
      </c>
      <c r="M1409" s="18" t="s">
        <v>129</v>
      </c>
      <c r="N1409" s="18"/>
      <c r="O1409" s="18" t="s">
        <v>6178</v>
      </c>
      <c r="P1409" s="18" t="s">
        <v>6179</v>
      </c>
      <c r="Q1409" s="18" t="s">
        <v>149</v>
      </c>
      <c r="R1409" s="18" t="s">
        <v>6180</v>
      </c>
      <c r="S1409" s="18" t="s">
        <v>133</v>
      </c>
      <c r="T1409" s="18" t="s">
        <v>801</v>
      </c>
      <c r="U1409" s="18"/>
      <c r="V1409" s="19" t="s">
        <v>29</v>
      </c>
      <c r="W1409" s="19"/>
      <c r="X1409" s="19"/>
      <c r="Y1409" s="20"/>
      <c r="Z1409" s="19"/>
      <c r="AA1409" s="18" t="str">
        <f aca="false">IF(OR(V1409="Aprobada"),R1409,IF(AND(OR(V1409="Aprobada con ajuste",V1409="Rechazada"),W1409&lt;&gt;""),W1409,""))</f>
        <v/>
      </c>
    </row>
    <row r="1410" customFormat="false" ht="32.8" hidden="false" customHeight="false" outlineLevel="0" collapsed="false">
      <c r="A1410" s="18" t="s">
        <v>6181</v>
      </c>
      <c r="B1410" s="18" t="s">
        <v>64</v>
      </c>
      <c r="C1410" s="18" t="s">
        <v>65</v>
      </c>
      <c r="D1410" s="18" t="s">
        <v>6154</v>
      </c>
      <c r="E1410" s="18" t="n">
        <v>6</v>
      </c>
      <c r="F1410" s="18" t="s">
        <v>6182</v>
      </c>
      <c r="G1410" s="18" t="s">
        <v>503</v>
      </c>
      <c r="H1410" s="18" t="s">
        <v>162</v>
      </c>
      <c r="I1410" s="18" t="s">
        <v>298</v>
      </c>
      <c r="J1410" s="18"/>
      <c r="K1410" s="18"/>
      <c r="L1410" s="18" t="s">
        <v>129</v>
      </c>
      <c r="M1410" s="18" t="s">
        <v>129</v>
      </c>
      <c r="N1410" s="18"/>
      <c r="O1410" s="18"/>
      <c r="P1410" s="18" t="s">
        <v>6183</v>
      </c>
      <c r="Q1410" s="18" t="s">
        <v>131</v>
      </c>
      <c r="R1410" s="18" t="s">
        <v>6184</v>
      </c>
      <c r="S1410" s="18" t="s">
        <v>140</v>
      </c>
      <c r="T1410" s="18" t="s">
        <v>6185</v>
      </c>
      <c r="U1410" s="18" t="s">
        <v>6186</v>
      </c>
      <c r="V1410" s="19" t="s">
        <v>29</v>
      </c>
      <c r="W1410" s="19"/>
      <c r="X1410" s="19"/>
      <c r="Y1410" s="20"/>
      <c r="Z1410" s="19"/>
      <c r="AA1410" s="18" t="str">
        <f aca="false">IF(OR(V1410="Aprobada"),R1410,IF(AND(OR(V1410="Aprobada con ajuste",V1410="Rechazada"),W1410&lt;&gt;""),W1410,""))</f>
        <v/>
      </c>
    </row>
    <row r="1411" customFormat="false" ht="32.8" hidden="false" customHeight="false" outlineLevel="0" collapsed="false">
      <c r="A1411" s="18" t="s">
        <v>6187</v>
      </c>
      <c r="B1411" s="18" t="s">
        <v>64</v>
      </c>
      <c r="C1411" s="18" t="s">
        <v>65</v>
      </c>
      <c r="D1411" s="18" t="s">
        <v>6154</v>
      </c>
      <c r="E1411" s="18" t="n">
        <v>6</v>
      </c>
      <c r="F1411" s="18" t="s">
        <v>6188</v>
      </c>
      <c r="G1411" s="18" t="s">
        <v>503</v>
      </c>
      <c r="H1411" s="18" t="s">
        <v>162</v>
      </c>
      <c r="I1411" s="18" t="s">
        <v>298</v>
      </c>
      <c r="J1411" s="18"/>
      <c r="K1411" s="18"/>
      <c r="L1411" s="18" t="s">
        <v>129</v>
      </c>
      <c r="M1411" s="18" t="s">
        <v>129</v>
      </c>
      <c r="N1411" s="18"/>
      <c r="O1411" s="18"/>
      <c r="P1411" s="18" t="s">
        <v>6189</v>
      </c>
      <c r="Q1411" s="18" t="s">
        <v>149</v>
      </c>
      <c r="R1411" s="18" t="s">
        <v>6190</v>
      </c>
      <c r="S1411" s="18" t="s">
        <v>140</v>
      </c>
      <c r="T1411" s="18" t="s">
        <v>5503</v>
      </c>
      <c r="U1411" s="18" t="s">
        <v>6191</v>
      </c>
      <c r="V1411" s="19" t="s">
        <v>29</v>
      </c>
      <c r="W1411" s="19"/>
      <c r="X1411" s="19"/>
      <c r="Y1411" s="20"/>
      <c r="Z1411" s="19"/>
      <c r="AA1411" s="18" t="str">
        <f aca="false">IF(OR(V1411="Aprobada"),R1411,IF(AND(OR(V1411="Aprobada con ajuste",V1411="Rechazada"),W1411&lt;&gt;""),W1411,""))</f>
        <v/>
      </c>
    </row>
    <row r="1412" customFormat="false" ht="32.8" hidden="false" customHeight="false" outlineLevel="0" collapsed="false">
      <c r="A1412" s="18" t="s">
        <v>6192</v>
      </c>
      <c r="B1412" s="18" t="s">
        <v>64</v>
      </c>
      <c r="C1412" s="18" t="s">
        <v>65</v>
      </c>
      <c r="D1412" s="18" t="s">
        <v>6154</v>
      </c>
      <c r="E1412" s="18" t="n">
        <v>6</v>
      </c>
      <c r="F1412" s="18" t="s">
        <v>6193</v>
      </c>
      <c r="G1412" s="18" t="s">
        <v>205</v>
      </c>
      <c r="H1412" s="18" t="s">
        <v>162</v>
      </c>
      <c r="I1412" s="18" t="s">
        <v>298</v>
      </c>
      <c r="J1412" s="18" t="s">
        <v>6194</v>
      </c>
      <c r="K1412" s="18"/>
      <c r="L1412" s="18" t="s">
        <v>162</v>
      </c>
      <c r="M1412" s="18" t="s">
        <v>129</v>
      </c>
      <c r="N1412" s="18"/>
      <c r="O1412" s="18"/>
      <c r="P1412" s="18" t="s">
        <v>6195</v>
      </c>
      <c r="Q1412" s="18" t="s">
        <v>149</v>
      </c>
      <c r="R1412" s="18" t="s">
        <v>6196</v>
      </c>
      <c r="S1412" s="18" t="s">
        <v>133</v>
      </c>
      <c r="T1412" s="18" t="s">
        <v>801</v>
      </c>
      <c r="U1412" s="18"/>
      <c r="V1412" s="19" t="s">
        <v>29</v>
      </c>
      <c r="W1412" s="19"/>
      <c r="X1412" s="19"/>
      <c r="Y1412" s="20"/>
      <c r="Z1412" s="19"/>
      <c r="AA1412" s="18" t="str">
        <f aca="false">IF(OR(V1412="Aprobada"),R1412,IF(AND(OR(V1412="Aprobada con ajuste",V1412="Rechazada"),W1412&lt;&gt;""),W1412,""))</f>
        <v/>
      </c>
    </row>
    <row r="1413" customFormat="false" ht="32.8" hidden="false" customHeight="false" outlineLevel="0" collapsed="false">
      <c r="A1413" s="18" t="s">
        <v>6197</v>
      </c>
      <c r="B1413" s="18" t="s">
        <v>64</v>
      </c>
      <c r="C1413" s="18" t="s">
        <v>65</v>
      </c>
      <c r="D1413" s="18" t="s">
        <v>6154</v>
      </c>
      <c r="E1413" s="18" t="n">
        <v>6</v>
      </c>
      <c r="F1413" s="18" t="s">
        <v>6198</v>
      </c>
      <c r="G1413" s="18" t="s">
        <v>503</v>
      </c>
      <c r="H1413" s="18" t="s">
        <v>162</v>
      </c>
      <c r="I1413" s="18" t="s">
        <v>298</v>
      </c>
      <c r="J1413" s="18"/>
      <c r="K1413" s="18"/>
      <c r="L1413" s="18" t="s">
        <v>129</v>
      </c>
      <c r="M1413" s="18" t="s">
        <v>129</v>
      </c>
      <c r="N1413" s="18"/>
      <c r="O1413" s="18"/>
      <c r="P1413" s="18" t="s">
        <v>6199</v>
      </c>
      <c r="Q1413" s="18" t="s">
        <v>131</v>
      </c>
      <c r="R1413" s="18" t="s">
        <v>6200</v>
      </c>
      <c r="S1413" s="18" t="s">
        <v>140</v>
      </c>
      <c r="T1413" s="18" t="s">
        <v>6201</v>
      </c>
      <c r="U1413" s="18" t="s">
        <v>6186</v>
      </c>
      <c r="V1413" s="19" t="s">
        <v>29</v>
      </c>
      <c r="W1413" s="19"/>
      <c r="X1413" s="19"/>
      <c r="Y1413" s="20"/>
      <c r="Z1413" s="19"/>
      <c r="AA1413" s="18" t="str">
        <f aca="false">IF(OR(V1413="Aprobada"),R1413,IF(AND(OR(V1413="Aprobada con ajuste",V1413="Rechazada"),W1413&lt;&gt;""),W1413,""))</f>
        <v/>
      </c>
    </row>
    <row r="1414" customFormat="false" ht="32.8" hidden="false" customHeight="false" outlineLevel="0" collapsed="false">
      <c r="A1414" s="18" t="s">
        <v>6202</v>
      </c>
      <c r="B1414" s="18" t="s">
        <v>64</v>
      </c>
      <c r="C1414" s="18" t="s">
        <v>65</v>
      </c>
      <c r="D1414" s="18" t="s">
        <v>6154</v>
      </c>
      <c r="E1414" s="18" t="n">
        <v>6</v>
      </c>
      <c r="F1414" s="18" t="s">
        <v>6203</v>
      </c>
      <c r="G1414" s="18" t="s">
        <v>503</v>
      </c>
      <c r="H1414" s="18" t="s">
        <v>162</v>
      </c>
      <c r="I1414" s="18" t="s">
        <v>298</v>
      </c>
      <c r="J1414" s="18"/>
      <c r="K1414" s="18"/>
      <c r="L1414" s="18" t="s">
        <v>129</v>
      </c>
      <c r="M1414" s="18" t="s">
        <v>129</v>
      </c>
      <c r="N1414" s="18"/>
      <c r="O1414" s="18"/>
      <c r="P1414" s="18" t="s">
        <v>6204</v>
      </c>
      <c r="Q1414" s="18" t="s">
        <v>149</v>
      </c>
      <c r="R1414" s="18" t="s">
        <v>6205</v>
      </c>
      <c r="S1414" s="18" t="s">
        <v>140</v>
      </c>
      <c r="T1414" s="18" t="s">
        <v>5503</v>
      </c>
      <c r="U1414" s="18" t="s">
        <v>6191</v>
      </c>
      <c r="V1414" s="19" t="s">
        <v>29</v>
      </c>
      <c r="W1414" s="19"/>
      <c r="X1414" s="19"/>
      <c r="Y1414" s="20"/>
      <c r="Z1414" s="19"/>
      <c r="AA1414" s="18" t="str">
        <f aca="false">IF(OR(V1414="Aprobada"),R1414,IF(AND(OR(V1414="Aprobada con ajuste",V1414="Rechazada"),W1414&lt;&gt;""),W1414,""))</f>
        <v/>
      </c>
    </row>
    <row r="1415" customFormat="false" ht="32.8" hidden="false" customHeight="false" outlineLevel="0" collapsed="false">
      <c r="A1415" s="18" t="s">
        <v>6206</v>
      </c>
      <c r="B1415" s="18" t="s">
        <v>64</v>
      </c>
      <c r="C1415" s="18" t="s">
        <v>65</v>
      </c>
      <c r="D1415" s="18" t="s">
        <v>6154</v>
      </c>
      <c r="E1415" s="18" t="n">
        <v>6</v>
      </c>
      <c r="F1415" s="18" t="s">
        <v>6207</v>
      </c>
      <c r="G1415" s="18" t="s">
        <v>205</v>
      </c>
      <c r="H1415" s="18" t="s">
        <v>162</v>
      </c>
      <c r="I1415" s="18" t="s">
        <v>298</v>
      </c>
      <c r="J1415" s="18" t="s">
        <v>6194</v>
      </c>
      <c r="K1415" s="18"/>
      <c r="L1415" s="18" t="s">
        <v>162</v>
      </c>
      <c r="M1415" s="18" t="s">
        <v>129</v>
      </c>
      <c r="N1415" s="18"/>
      <c r="O1415" s="18" t="s">
        <v>6208</v>
      </c>
      <c r="P1415" s="18" t="s">
        <v>6209</v>
      </c>
      <c r="Q1415" s="18" t="s">
        <v>149</v>
      </c>
      <c r="R1415" s="18" t="s">
        <v>6210</v>
      </c>
      <c r="S1415" s="18" t="s">
        <v>133</v>
      </c>
      <c r="T1415" s="18" t="s">
        <v>801</v>
      </c>
      <c r="U1415" s="18"/>
      <c r="V1415" s="19" t="s">
        <v>29</v>
      </c>
      <c r="W1415" s="19"/>
      <c r="X1415" s="19"/>
      <c r="Y1415" s="20"/>
      <c r="Z1415" s="19"/>
      <c r="AA1415" s="18" t="str">
        <f aca="false">IF(OR(V1415="Aprobada"),R1415,IF(AND(OR(V1415="Aprobada con ajuste",V1415="Rechazada"),W1415&lt;&gt;""),W1415,""))</f>
        <v/>
      </c>
    </row>
    <row r="1416" customFormat="false" ht="32.8" hidden="false" customHeight="false" outlineLevel="0" collapsed="false">
      <c r="A1416" s="18" t="s">
        <v>6211</v>
      </c>
      <c r="B1416" s="18" t="s">
        <v>64</v>
      </c>
      <c r="C1416" s="18" t="s">
        <v>65</v>
      </c>
      <c r="D1416" s="18" t="s">
        <v>6154</v>
      </c>
      <c r="E1416" s="18" t="n">
        <v>6</v>
      </c>
      <c r="F1416" s="18" t="s">
        <v>6212</v>
      </c>
      <c r="G1416" s="18" t="s">
        <v>192</v>
      </c>
      <c r="H1416" s="18" t="s">
        <v>162</v>
      </c>
      <c r="I1416" s="18"/>
      <c r="J1416" s="18"/>
      <c r="K1416" s="18"/>
      <c r="L1416" s="18" t="s">
        <v>129</v>
      </c>
      <c r="M1416" s="18" t="s">
        <v>129</v>
      </c>
      <c r="N1416" s="18"/>
      <c r="O1416" s="18"/>
      <c r="P1416" s="18" t="s">
        <v>6213</v>
      </c>
      <c r="Q1416" s="18" t="s">
        <v>131</v>
      </c>
      <c r="R1416" s="18" t="s">
        <v>6214</v>
      </c>
      <c r="S1416" s="18" t="s">
        <v>133</v>
      </c>
      <c r="T1416" s="18" t="s">
        <v>6215</v>
      </c>
      <c r="U1416" s="18"/>
      <c r="V1416" s="19" t="s">
        <v>29</v>
      </c>
      <c r="W1416" s="19"/>
      <c r="X1416" s="19"/>
      <c r="Y1416" s="20"/>
      <c r="Z1416" s="19"/>
      <c r="AA1416" s="18" t="str">
        <f aca="false">IF(OR(V1416="Aprobada"),R1416,IF(AND(OR(V1416="Aprobada con ajuste",V1416="Rechazada"),W1416&lt;&gt;""),W1416,""))</f>
        <v/>
      </c>
    </row>
    <row r="1417" customFormat="false" ht="32.8" hidden="false" customHeight="false" outlineLevel="0" collapsed="false">
      <c r="A1417" s="18" t="s">
        <v>6216</v>
      </c>
      <c r="B1417" s="18" t="s">
        <v>64</v>
      </c>
      <c r="C1417" s="18" t="s">
        <v>65</v>
      </c>
      <c r="D1417" s="18" t="s">
        <v>6154</v>
      </c>
      <c r="E1417" s="18" t="n">
        <v>6</v>
      </c>
      <c r="F1417" s="18" t="s">
        <v>6217</v>
      </c>
      <c r="G1417" s="18" t="s">
        <v>192</v>
      </c>
      <c r="H1417" s="18" t="s">
        <v>162</v>
      </c>
      <c r="I1417" s="18"/>
      <c r="J1417" s="18"/>
      <c r="K1417" s="18"/>
      <c r="L1417" s="18" t="s">
        <v>129</v>
      </c>
      <c r="M1417" s="18" t="s">
        <v>129</v>
      </c>
      <c r="N1417" s="18"/>
      <c r="O1417" s="18"/>
      <c r="P1417" s="18" t="s">
        <v>6218</v>
      </c>
      <c r="Q1417" s="18" t="s">
        <v>149</v>
      </c>
      <c r="R1417" s="18" t="s">
        <v>6219</v>
      </c>
      <c r="S1417" s="18" t="s">
        <v>133</v>
      </c>
      <c r="T1417" s="18" t="s">
        <v>5503</v>
      </c>
      <c r="U1417" s="18"/>
      <c r="V1417" s="19" t="s">
        <v>29</v>
      </c>
      <c r="W1417" s="19"/>
      <c r="X1417" s="19"/>
      <c r="Y1417" s="20"/>
      <c r="Z1417" s="19"/>
      <c r="AA1417" s="18" t="str">
        <f aca="false">IF(OR(V1417="Aprobada"),R1417,IF(AND(OR(V1417="Aprobada con ajuste",V1417="Rechazada"),W1417&lt;&gt;""),W1417,""))</f>
        <v/>
      </c>
    </row>
    <row r="1418" customFormat="false" ht="32.8" hidden="false" customHeight="false" outlineLevel="0" collapsed="false">
      <c r="A1418" s="18" t="s">
        <v>6220</v>
      </c>
      <c r="B1418" s="18" t="s">
        <v>64</v>
      </c>
      <c r="C1418" s="18" t="s">
        <v>65</v>
      </c>
      <c r="D1418" s="18" t="s">
        <v>6154</v>
      </c>
      <c r="E1418" s="18" t="n">
        <v>6</v>
      </c>
      <c r="F1418" s="18" t="s">
        <v>6221</v>
      </c>
      <c r="G1418" s="18" t="s">
        <v>192</v>
      </c>
      <c r="H1418" s="18" t="s">
        <v>162</v>
      </c>
      <c r="I1418" s="18"/>
      <c r="J1418" s="18"/>
      <c r="K1418" s="18"/>
      <c r="L1418" s="18" t="s">
        <v>129</v>
      </c>
      <c r="M1418" s="18" t="s">
        <v>129</v>
      </c>
      <c r="N1418" s="18"/>
      <c r="O1418" s="18"/>
      <c r="P1418" s="18" t="s">
        <v>6222</v>
      </c>
      <c r="Q1418" s="18" t="s">
        <v>131</v>
      </c>
      <c r="R1418" s="18" t="s">
        <v>6223</v>
      </c>
      <c r="S1418" s="18" t="s">
        <v>133</v>
      </c>
      <c r="T1418" s="18" t="s">
        <v>6224</v>
      </c>
      <c r="U1418" s="18"/>
      <c r="V1418" s="19" t="s">
        <v>29</v>
      </c>
      <c r="W1418" s="19"/>
      <c r="X1418" s="19"/>
      <c r="Y1418" s="20"/>
      <c r="Z1418" s="19"/>
      <c r="AA1418" s="18" t="str">
        <f aca="false">IF(OR(V1418="Aprobada"),R1418,IF(AND(OR(V1418="Aprobada con ajuste",V1418="Rechazada"),W1418&lt;&gt;""),W1418,""))</f>
        <v/>
      </c>
    </row>
    <row r="1419" customFormat="false" ht="32.8" hidden="false" customHeight="false" outlineLevel="0" collapsed="false">
      <c r="A1419" s="18" t="s">
        <v>6225</v>
      </c>
      <c r="B1419" s="18" t="s">
        <v>64</v>
      </c>
      <c r="C1419" s="18" t="s">
        <v>65</v>
      </c>
      <c r="D1419" s="18" t="s">
        <v>6154</v>
      </c>
      <c r="E1419" s="18" t="n">
        <v>6</v>
      </c>
      <c r="F1419" s="18" t="s">
        <v>6226</v>
      </c>
      <c r="G1419" s="18" t="s">
        <v>192</v>
      </c>
      <c r="H1419" s="18" t="s">
        <v>162</v>
      </c>
      <c r="I1419" s="18"/>
      <c r="J1419" s="18"/>
      <c r="K1419" s="18"/>
      <c r="L1419" s="18" t="s">
        <v>129</v>
      </c>
      <c r="M1419" s="18" t="s">
        <v>129</v>
      </c>
      <c r="N1419" s="18"/>
      <c r="O1419" s="18"/>
      <c r="P1419" s="18" t="s">
        <v>6227</v>
      </c>
      <c r="Q1419" s="18" t="s">
        <v>149</v>
      </c>
      <c r="R1419" s="18" t="s">
        <v>6228</v>
      </c>
      <c r="S1419" s="18" t="s">
        <v>140</v>
      </c>
      <c r="T1419" s="18" t="s">
        <v>5503</v>
      </c>
      <c r="U1419" s="18" t="s">
        <v>6229</v>
      </c>
      <c r="V1419" s="19" t="s">
        <v>29</v>
      </c>
      <c r="W1419" s="19"/>
      <c r="X1419" s="19"/>
      <c r="Y1419" s="20"/>
      <c r="Z1419" s="19"/>
      <c r="AA1419" s="18" t="str">
        <f aca="false">IF(OR(V1419="Aprobada"),R1419,IF(AND(OR(V1419="Aprobada con ajuste",V1419="Rechazada"),W1419&lt;&gt;""),W1419,""))</f>
        <v/>
      </c>
    </row>
    <row r="1420" customFormat="false" ht="43.25" hidden="false" customHeight="false" outlineLevel="0" collapsed="false">
      <c r="A1420" s="18" t="s">
        <v>6230</v>
      </c>
      <c r="B1420" s="18" t="s">
        <v>64</v>
      </c>
      <c r="C1420" s="18" t="s">
        <v>65</v>
      </c>
      <c r="D1420" s="18" t="s">
        <v>6154</v>
      </c>
      <c r="E1420" s="18" t="n">
        <v>6</v>
      </c>
      <c r="F1420" s="18" t="s">
        <v>5081</v>
      </c>
      <c r="G1420" s="18" t="s">
        <v>454</v>
      </c>
      <c r="H1420" s="18" t="s">
        <v>129</v>
      </c>
      <c r="I1420" s="18"/>
      <c r="J1420" s="18"/>
      <c r="K1420" s="18"/>
      <c r="L1420" s="18" t="s">
        <v>129</v>
      </c>
      <c r="M1420" s="18" t="s">
        <v>129</v>
      </c>
      <c r="N1420" s="18"/>
      <c r="O1420" s="18"/>
      <c r="P1420" s="18" t="s">
        <v>6231</v>
      </c>
      <c r="Q1420" s="18" t="s">
        <v>131</v>
      </c>
      <c r="R1420" s="18" t="s">
        <v>6232</v>
      </c>
      <c r="S1420" s="18" t="s">
        <v>133</v>
      </c>
      <c r="T1420" s="18" t="s">
        <v>6233</v>
      </c>
      <c r="U1420" s="18"/>
      <c r="V1420" s="19" t="s">
        <v>29</v>
      </c>
      <c r="W1420" s="19"/>
      <c r="X1420" s="19"/>
      <c r="Y1420" s="20"/>
      <c r="Z1420" s="19"/>
      <c r="AA1420" s="18" t="str">
        <f aca="false">IF(OR(V1420="Aprobada"),R1420,IF(AND(OR(V1420="Aprobada con ajuste",V1420="Rechazada"),W1420&lt;&gt;""),W1420,""))</f>
        <v/>
      </c>
    </row>
    <row r="1421" customFormat="false" ht="32.8" hidden="false" customHeight="false" outlineLevel="0" collapsed="false">
      <c r="A1421" s="18" t="s">
        <v>6234</v>
      </c>
      <c r="B1421" s="18" t="s">
        <v>64</v>
      </c>
      <c r="C1421" s="18" t="s">
        <v>65</v>
      </c>
      <c r="D1421" s="18" t="s">
        <v>6154</v>
      </c>
      <c r="E1421" s="18" t="n">
        <v>6</v>
      </c>
      <c r="F1421" s="18" t="s">
        <v>4337</v>
      </c>
      <c r="G1421" s="18" t="s">
        <v>312</v>
      </c>
      <c r="H1421" s="18" t="s">
        <v>162</v>
      </c>
      <c r="I1421" s="18"/>
      <c r="J1421" s="18"/>
      <c r="K1421" s="18"/>
      <c r="L1421" s="18" t="s">
        <v>129</v>
      </c>
      <c r="M1421" s="18" t="s">
        <v>129</v>
      </c>
      <c r="N1421" s="18"/>
      <c r="O1421" s="18"/>
      <c r="P1421" s="18" t="s">
        <v>6235</v>
      </c>
      <c r="Q1421" s="18" t="s">
        <v>149</v>
      </c>
      <c r="R1421" s="18" t="s">
        <v>6236</v>
      </c>
      <c r="S1421" s="18" t="s">
        <v>140</v>
      </c>
      <c r="T1421" s="18" t="s">
        <v>183</v>
      </c>
      <c r="U1421" s="18" t="s">
        <v>5764</v>
      </c>
      <c r="V1421" s="19" t="s">
        <v>29</v>
      </c>
      <c r="W1421" s="19"/>
      <c r="X1421" s="19"/>
      <c r="Y1421" s="20"/>
      <c r="Z1421" s="19"/>
      <c r="AA1421" s="18" t="str">
        <f aca="false">IF(OR(V1421="Aprobada"),R1421,IF(AND(OR(V1421="Aprobada con ajuste",V1421="Rechazada"),W1421&lt;&gt;""),W1421,""))</f>
        <v/>
      </c>
    </row>
    <row r="1422" customFormat="false" ht="32.8" hidden="false" customHeight="false" outlineLevel="0" collapsed="false">
      <c r="A1422" s="18" t="s">
        <v>6237</v>
      </c>
      <c r="B1422" s="18" t="s">
        <v>64</v>
      </c>
      <c r="C1422" s="18" t="s">
        <v>65</v>
      </c>
      <c r="D1422" s="18" t="s">
        <v>6154</v>
      </c>
      <c r="E1422" s="18" t="n">
        <v>6</v>
      </c>
      <c r="F1422" s="18" t="s">
        <v>185</v>
      </c>
      <c r="G1422" s="18" t="s">
        <v>205</v>
      </c>
      <c r="H1422" s="18" t="s">
        <v>162</v>
      </c>
      <c r="I1422" s="18" t="s">
        <v>298</v>
      </c>
      <c r="J1422" s="18" t="s">
        <v>6238</v>
      </c>
      <c r="K1422" s="18"/>
      <c r="L1422" s="18" t="s">
        <v>162</v>
      </c>
      <c r="M1422" s="18" t="s">
        <v>129</v>
      </c>
      <c r="N1422" s="18"/>
      <c r="O1422" s="18" t="s">
        <v>6239</v>
      </c>
      <c r="P1422" s="18" t="s">
        <v>6240</v>
      </c>
      <c r="Q1422" s="18" t="s">
        <v>131</v>
      </c>
      <c r="R1422" s="18" t="s">
        <v>6241</v>
      </c>
      <c r="S1422" s="18" t="s">
        <v>133</v>
      </c>
      <c r="T1422" s="18" t="s">
        <v>6242</v>
      </c>
      <c r="U1422" s="18"/>
      <c r="V1422" s="19" t="s">
        <v>29</v>
      </c>
      <c r="W1422" s="19"/>
      <c r="X1422" s="19"/>
      <c r="Y1422" s="20"/>
      <c r="Z1422" s="19"/>
      <c r="AA1422" s="18" t="str">
        <f aca="false">IF(OR(V1422="Aprobada"),R1422,IF(AND(OR(V1422="Aprobada con ajuste",V1422="Rechazada"),W1422&lt;&gt;""),W1422,""))</f>
        <v/>
      </c>
    </row>
    <row r="1423" customFormat="false" ht="32.8" hidden="false" customHeight="false" outlineLevel="0" collapsed="false">
      <c r="A1423" s="18" t="s">
        <v>6243</v>
      </c>
      <c r="B1423" s="18" t="s">
        <v>64</v>
      </c>
      <c r="C1423" s="18" t="s">
        <v>65</v>
      </c>
      <c r="D1423" s="18" t="s">
        <v>6154</v>
      </c>
      <c r="E1423" s="18" t="n">
        <v>6</v>
      </c>
      <c r="F1423" s="18" t="s">
        <v>4860</v>
      </c>
      <c r="G1423" s="18" t="s">
        <v>128</v>
      </c>
      <c r="H1423" s="18" t="s">
        <v>162</v>
      </c>
      <c r="I1423" s="18"/>
      <c r="J1423" s="18"/>
      <c r="K1423" s="18"/>
      <c r="L1423" s="18" t="s">
        <v>129</v>
      </c>
      <c r="M1423" s="18" t="s">
        <v>129</v>
      </c>
      <c r="N1423" s="18"/>
      <c r="O1423" s="18"/>
      <c r="P1423" s="18" t="s">
        <v>6244</v>
      </c>
      <c r="Q1423" s="18" t="s">
        <v>131</v>
      </c>
      <c r="R1423" s="18" t="s">
        <v>6245</v>
      </c>
      <c r="S1423" s="18" t="s">
        <v>133</v>
      </c>
      <c r="T1423" s="18" t="s">
        <v>6246</v>
      </c>
      <c r="U1423" s="18"/>
      <c r="V1423" s="19" t="s">
        <v>29</v>
      </c>
      <c r="W1423" s="19"/>
      <c r="X1423" s="19"/>
      <c r="Y1423" s="20"/>
      <c r="Z1423" s="19"/>
      <c r="AA1423" s="18" t="str">
        <f aca="false">IF(OR(V1423="Aprobada"),R1423,IF(AND(OR(V1423="Aprobada con ajuste",V1423="Rechazada"),W1423&lt;&gt;""),W1423,""))</f>
        <v/>
      </c>
    </row>
    <row r="1424" customFormat="false" ht="32.8" hidden="false" customHeight="false" outlineLevel="0" collapsed="false">
      <c r="A1424" s="18" t="s">
        <v>6247</v>
      </c>
      <c r="B1424" s="18" t="s">
        <v>64</v>
      </c>
      <c r="C1424" s="18" t="s">
        <v>65</v>
      </c>
      <c r="D1424" s="18" t="s">
        <v>6248</v>
      </c>
      <c r="E1424" s="18" t="n">
        <v>1</v>
      </c>
      <c r="F1424" s="18" t="s">
        <v>6249</v>
      </c>
      <c r="G1424" s="18" t="s">
        <v>503</v>
      </c>
      <c r="H1424" s="18" t="s">
        <v>129</v>
      </c>
      <c r="I1424" s="18"/>
      <c r="J1424" s="18"/>
      <c r="K1424" s="18"/>
      <c r="L1424" s="18" t="s">
        <v>162</v>
      </c>
      <c r="M1424" s="18" t="s">
        <v>129</v>
      </c>
      <c r="N1424" s="18"/>
      <c r="O1424" s="18"/>
      <c r="P1424" s="18" t="s">
        <v>6250</v>
      </c>
      <c r="Q1424" s="18" t="s">
        <v>149</v>
      </c>
      <c r="R1424" s="18" t="s">
        <v>6251</v>
      </c>
      <c r="S1424" s="18" t="s">
        <v>140</v>
      </c>
      <c r="T1424" s="18" t="s">
        <v>6252</v>
      </c>
      <c r="U1424" s="18" t="s">
        <v>6253</v>
      </c>
      <c r="V1424" s="19" t="s">
        <v>29</v>
      </c>
      <c r="W1424" s="19"/>
      <c r="X1424" s="19"/>
      <c r="Y1424" s="20"/>
      <c r="Z1424" s="19"/>
      <c r="AA1424" s="18" t="str">
        <f aca="false">IF(OR(V1424="Aprobada"),R1424,IF(AND(OR(V1424="Aprobada con ajuste",V1424="Rechazada"),W1424&lt;&gt;""),W1424,""))</f>
        <v/>
      </c>
    </row>
    <row r="1425" customFormat="false" ht="22.35" hidden="false" customHeight="false" outlineLevel="0" collapsed="false">
      <c r="A1425" s="18" t="s">
        <v>6254</v>
      </c>
      <c r="B1425" s="18" t="s">
        <v>64</v>
      </c>
      <c r="C1425" s="18" t="s">
        <v>65</v>
      </c>
      <c r="D1425" s="18" t="s">
        <v>6255</v>
      </c>
      <c r="E1425" s="18" t="n">
        <v>0</v>
      </c>
      <c r="F1425" s="18" t="s">
        <v>6256</v>
      </c>
      <c r="G1425" s="18" t="s">
        <v>337</v>
      </c>
      <c r="H1425" s="18" t="s">
        <v>129</v>
      </c>
      <c r="I1425" s="18"/>
      <c r="J1425" s="18"/>
      <c r="K1425" s="18"/>
      <c r="L1425" s="18" t="s">
        <v>129</v>
      </c>
      <c r="M1425" s="18" t="s">
        <v>129</v>
      </c>
      <c r="N1425" s="18"/>
      <c r="O1425" s="18" t="s">
        <v>6257</v>
      </c>
      <c r="P1425" s="18" t="s">
        <v>6258</v>
      </c>
      <c r="Q1425" s="18" t="s">
        <v>149</v>
      </c>
      <c r="R1425" s="18" t="s">
        <v>6259</v>
      </c>
      <c r="S1425" s="18" t="s">
        <v>133</v>
      </c>
      <c r="T1425" s="18" t="s">
        <v>183</v>
      </c>
      <c r="U1425" s="18"/>
      <c r="V1425" s="19" t="s">
        <v>29</v>
      </c>
      <c r="W1425" s="19"/>
      <c r="X1425" s="19"/>
      <c r="Y1425" s="20"/>
      <c r="Z1425" s="19"/>
      <c r="AA1425" s="18" t="str">
        <f aca="false">IF(OR(V1425="Aprobada"),R1425,IF(AND(OR(V1425="Aprobada con ajuste",V1425="Rechazada"),W1425&lt;&gt;""),W1425,""))</f>
        <v/>
      </c>
    </row>
    <row r="1426" customFormat="false" ht="22.35" hidden="false" customHeight="false" outlineLevel="0" collapsed="false">
      <c r="A1426" s="18" t="s">
        <v>6260</v>
      </c>
      <c r="B1426" s="18" t="s">
        <v>64</v>
      </c>
      <c r="C1426" s="18" t="s">
        <v>65</v>
      </c>
      <c r="D1426" s="18" t="s">
        <v>6255</v>
      </c>
      <c r="E1426" s="18" t="n">
        <v>0</v>
      </c>
      <c r="F1426" s="18" t="s">
        <v>6261</v>
      </c>
      <c r="G1426" s="18" t="s">
        <v>454</v>
      </c>
      <c r="H1426" s="18" t="s">
        <v>162</v>
      </c>
      <c r="I1426" s="18"/>
      <c r="J1426" s="18"/>
      <c r="K1426" s="18"/>
      <c r="L1426" s="18" t="s">
        <v>129</v>
      </c>
      <c r="M1426" s="18" t="s">
        <v>129</v>
      </c>
      <c r="N1426" s="18"/>
      <c r="O1426" s="18"/>
      <c r="P1426" s="18" t="s">
        <v>6262</v>
      </c>
      <c r="Q1426" s="18" t="s">
        <v>149</v>
      </c>
      <c r="R1426" s="18" t="s">
        <v>6263</v>
      </c>
      <c r="S1426" s="18" t="s">
        <v>133</v>
      </c>
      <c r="T1426" s="18" t="s">
        <v>183</v>
      </c>
      <c r="U1426" s="18"/>
      <c r="V1426" s="19" t="s">
        <v>29</v>
      </c>
      <c r="W1426" s="19"/>
      <c r="X1426" s="19"/>
      <c r="Y1426" s="20"/>
      <c r="Z1426" s="19"/>
      <c r="AA1426" s="18" t="str">
        <f aca="false">IF(OR(V1426="Aprobada"),R1426,IF(AND(OR(V1426="Aprobada con ajuste",V1426="Rechazada"),W1426&lt;&gt;""),W1426,""))</f>
        <v/>
      </c>
    </row>
    <row r="1427" customFormat="false" ht="22.35" hidden="false" customHeight="false" outlineLevel="0" collapsed="false">
      <c r="A1427" s="18" t="s">
        <v>6264</v>
      </c>
      <c r="B1427" s="18" t="s">
        <v>64</v>
      </c>
      <c r="C1427" s="18" t="s">
        <v>65</v>
      </c>
      <c r="D1427" s="18" t="s">
        <v>6255</v>
      </c>
      <c r="E1427" s="18" t="n">
        <v>0</v>
      </c>
      <c r="F1427" s="18" t="s">
        <v>6265</v>
      </c>
      <c r="G1427" s="18" t="s">
        <v>337</v>
      </c>
      <c r="H1427" s="18" t="s">
        <v>162</v>
      </c>
      <c r="I1427" s="18"/>
      <c r="J1427" s="18"/>
      <c r="K1427" s="18"/>
      <c r="L1427" s="18" t="s">
        <v>129</v>
      </c>
      <c r="M1427" s="18" t="s">
        <v>129</v>
      </c>
      <c r="N1427" s="18"/>
      <c r="O1427" s="18"/>
      <c r="P1427" s="18" t="s">
        <v>6266</v>
      </c>
      <c r="Q1427" s="18" t="s">
        <v>149</v>
      </c>
      <c r="R1427" s="18" t="s">
        <v>6267</v>
      </c>
      <c r="S1427" s="18" t="s">
        <v>133</v>
      </c>
      <c r="T1427" s="18" t="s">
        <v>183</v>
      </c>
      <c r="U1427" s="18"/>
      <c r="V1427" s="19" t="s">
        <v>29</v>
      </c>
      <c r="W1427" s="19"/>
      <c r="X1427" s="19"/>
      <c r="Y1427" s="20"/>
      <c r="Z1427" s="19"/>
      <c r="AA1427" s="18" t="str">
        <f aca="false">IF(OR(V1427="Aprobada"),R1427,IF(AND(OR(V1427="Aprobada con ajuste",V1427="Rechazada"),W1427&lt;&gt;""),W1427,""))</f>
        <v/>
      </c>
    </row>
    <row r="1428" customFormat="false" ht="22.35" hidden="false" customHeight="false" outlineLevel="0" collapsed="false">
      <c r="A1428" s="18" t="s">
        <v>6268</v>
      </c>
      <c r="B1428" s="18" t="s">
        <v>64</v>
      </c>
      <c r="C1428" s="18" t="s">
        <v>65</v>
      </c>
      <c r="D1428" s="18" t="s">
        <v>6255</v>
      </c>
      <c r="E1428" s="18" t="n">
        <v>0</v>
      </c>
      <c r="F1428" s="18" t="s">
        <v>6269</v>
      </c>
      <c r="G1428" s="18" t="s">
        <v>128</v>
      </c>
      <c r="H1428" s="18" t="s">
        <v>129</v>
      </c>
      <c r="I1428" s="18"/>
      <c r="J1428" s="18"/>
      <c r="K1428" s="18"/>
      <c r="L1428" s="18" t="s">
        <v>129</v>
      </c>
      <c r="M1428" s="18" t="s">
        <v>129</v>
      </c>
      <c r="N1428" s="18"/>
      <c r="O1428" s="18"/>
      <c r="P1428" s="18" t="s">
        <v>6270</v>
      </c>
      <c r="Q1428" s="18" t="s">
        <v>149</v>
      </c>
      <c r="R1428" s="18" t="s">
        <v>6271</v>
      </c>
      <c r="S1428" s="18" t="s">
        <v>133</v>
      </c>
      <c r="T1428" s="18" t="s">
        <v>858</v>
      </c>
      <c r="U1428" s="18"/>
      <c r="V1428" s="19" t="s">
        <v>29</v>
      </c>
      <c r="W1428" s="19"/>
      <c r="X1428" s="19"/>
      <c r="Y1428" s="20"/>
      <c r="Z1428" s="19"/>
      <c r="AA1428" s="18" t="str">
        <f aca="false">IF(OR(V1428="Aprobada"),R1428,IF(AND(OR(V1428="Aprobada con ajuste",V1428="Rechazada"),W1428&lt;&gt;""),W1428,""))</f>
        <v/>
      </c>
    </row>
    <row r="1429" customFormat="false" ht="22.35" hidden="false" customHeight="false" outlineLevel="0" collapsed="false">
      <c r="A1429" s="18" t="s">
        <v>6272</v>
      </c>
      <c r="B1429" s="18" t="s">
        <v>64</v>
      </c>
      <c r="C1429" s="18" t="s">
        <v>65</v>
      </c>
      <c r="D1429" s="18" t="s">
        <v>6255</v>
      </c>
      <c r="E1429" s="18" t="n">
        <v>0</v>
      </c>
      <c r="F1429" s="18" t="s">
        <v>6273</v>
      </c>
      <c r="G1429" s="18" t="s">
        <v>128</v>
      </c>
      <c r="H1429" s="18" t="s">
        <v>162</v>
      </c>
      <c r="I1429" s="18"/>
      <c r="J1429" s="18"/>
      <c r="K1429" s="18"/>
      <c r="L1429" s="18" t="s">
        <v>129</v>
      </c>
      <c r="M1429" s="18" t="s">
        <v>129</v>
      </c>
      <c r="N1429" s="18"/>
      <c r="O1429" s="18"/>
      <c r="P1429" s="18" t="s">
        <v>6274</v>
      </c>
      <c r="Q1429" s="18" t="s">
        <v>149</v>
      </c>
      <c r="R1429" s="18" t="s">
        <v>6275</v>
      </c>
      <c r="S1429" s="18" t="s">
        <v>140</v>
      </c>
      <c r="T1429" s="18" t="s">
        <v>858</v>
      </c>
      <c r="U1429" s="18" t="s">
        <v>6276</v>
      </c>
      <c r="V1429" s="19" t="s">
        <v>29</v>
      </c>
      <c r="W1429" s="19"/>
      <c r="X1429" s="19"/>
      <c r="Y1429" s="20"/>
      <c r="Z1429" s="19"/>
      <c r="AA1429" s="18" t="str">
        <f aca="false">IF(OR(V1429="Aprobada"),R1429,IF(AND(OR(V1429="Aprobada con ajuste",V1429="Rechazada"),W1429&lt;&gt;""),W1429,""))</f>
        <v/>
      </c>
    </row>
    <row r="1430" customFormat="false" ht="22.35" hidden="false" customHeight="false" outlineLevel="0" collapsed="false">
      <c r="A1430" s="18" t="s">
        <v>6277</v>
      </c>
      <c r="B1430" s="18" t="s">
        <v>64</v>
      </c>
      <c r="C1430" s="18" t="s">
        <v>65</v>
      </c>
      <c r="D1430" s="18" t="s">
        <v>6255</v>
      </c>
      <c r="E1430" s="18" t="n">
        <v>0</v>
      </c>
      <c r="F1430" s="18" t="s">
        <v>6278</v>
      </c>
      <c r="G1430" s="18" t="s">
        <v>317</v>
      </c>
      <c r="H1430" s="18" t="s">
        <v>162</v>
      </c>
      <c r="I1430" s="18"/>
      <c r="J1430" s="18"/>
      <c r="K1430" s="18"/>
      <c r="L1430" s="18" t="s">
        <v>129</v>
      </c>
      <c r="M1430" s="18" t="s">
        <v>129</v>
      </c>
      <c r="N1430" s="18"/>
      <c r="O1430" s="18"/>
      <c r="P1430" s="18" t="s">
        <v>6279</v>
      </c>
      <c r="Q1430" s="18" t="s">
        <v>138</v>
      </c>
      <c r="R1430" s="18" t="s">
        <v>6280</v>
      </c>
      <c r="S1430" s="18" t="s">
        <v>140</v>
      </c>
      <c r="T1430" s="18" t="s">
        <v>141</v>
      </c>
      <c r="U1430" s="18"/>
      <c r="V1430" s="19" t="s">
        <v>29</v>
      </c>
      <c r="W1430" s="19"/>
      <c r="X1430" s="19"/>
      <c r="Y1430" s="20"/>
      <c r="Z1430" s="19"/>
      <c r="AA1430" s="18" t="str">
        <f aca="false">IF(OR(V1430="Aprobada"),R1430,IF(AND(OR(V1430="Aprobada con ajuste",V1430="Rechazada"),W1430&lt;&gt;""),W1430,""))</f>
        <v/>
      </c>
    </row>
    <row r="1431" customFormat="false" ht="22.35" hidden="false" customHeight="false" outlineLevel="0" collapsed="false">
      <c r="A1431" s="18" t="s">
        <v>6281</v>
      </c>
      <c r="B1431" s="18" t="s">
        <v>64</v>
      </c>
      <c r="C1431" s="18" t="s">
        <v>65</v>
      </c>
      <c r="D1431" s="18" t="s">
        <v>6255</v>
      </c>
      <c r="E1431" s="18" t="n">
        <v>0</v>
      </c>
      <c r="F1431" s="18" t="s">
        <v>6282</v>
      </c>
      <c r="G1431" s="18" t="s">
        <v>317</v>
      </c>
      <c r="H1431" s="18" t="s">
        <v>129</v>
      </c>
      <c r="I1431" s="18"/>
      <c r="J1431" s="18"/>
      <c r="K1431" s="18"/>
      <c r="L1431" s="18" t="s">
        <v>129</v>
      </c>
      <c r="M1431" s="18" t="s">
        <v>129</v>
      </c>
      <c r="N1431" s="18"/>
      <c r="O1431" s="18"/>
      <c r="P1431" s="18" t="s">
        <v>6283</v>
      </c>
      <c r="Q1431" s="18" t="s">
        <v>138</v>
      </c>
      <c r="R1431" s="18" t="s">
        <v>6284</v>
      </c>
      <c r="S1431" s="18" t="s">
        <v>140</v>
      </c>
      <c r="T1431" s="18" t="s">
        <v>141</v>
      </c>
      <c r="U1431" s="18"/>
      <c r="V1431" s="19" t="s">
        <v>29</v>
      </c>
      <c r="W1431" s="19"/>
      <c r="X1431" s="19"/>
      <c r="Y1431" s="20"/>
      <c r="Z1431" s="19"/>
      <c r="AA1431" s="18" t="str">
        <f aca="false">IF(OR(V1431="Aprobada"),R1431,IF(AND(OR(V1431="Aprobada con ajuste",V1431="Rechazada"),W1431&lt;&gt;""),W1431,""))</f>
        <v/>
      </c>
    </row>
    <row r="1432" customFormat="false" ht="22.35" hidden="false" customHeight="false" outlineLevel="0" collapsed="false">
      <c r="A1432" s="18" t="s">
        <v>6285</v>
      </c>
      <c r="B1432" s="18" t="s">
        <v>64</v>
      </c>
      <c r="C1432" s="18" t="s">
        <v>65</v>
      </c>
      <c r="D1432" s="18" t="s">
        <v>6255</v>
      </c>
      <c r="E1432" s="18" t="n">
        <v>0</v>
      </c>
      <c r="F1432" s="18" t="s">
        <v>4792</v>
      </c>
      <c r="G1432" s="18" t="s">
        <v>317</v>
      </c>
      <c r="H1432" s="18" t="s">
        <v>162</v>
      </c>
      <c r="I1432" s="18"/>
      <c r="J1432" s="18"/>
      <c r="K1432" s="18"/>
      <c r="L1432" s="18" t="s">
        <v>129</v>
      </c>
      <c r="M1432" s="18" t="s">
        <v>129</v>
      </c>
      <c r="N1432" s="18"/>
      <c r="O1432" s="18"/>
      <c r="P1432" s="18" t="s">
        <v>6286</v>
      </c>
      <c r="Q1432" s="18" t="s">
        <v>138</v>
      </c>
      <c r="R1432" s="18" t="s">
        <v>4794</v>
      </c>
      <c r="S1432" s="18" t="s">
        <v>140</v>
      </c>
      <c r="T1432" s="18" t="s">
        <v>141</v>
      </c>
      <c r="U1432" s="18"/>
      <c r="V1432" s="19" t="s">
        <v>29</v>
      </c>
      <c r="W1432" s="19"/>
      <c r="X1432" s="19"/>
      <c r="Y1432" s="20"/>
      <c r="Z1432" s="19"/>
      <c r="AA1432" s="18" t="str">
        <f aca="false">IF(OR(V1432="Aprobada"),R1432,IF(AND(OR(V1432="Aprobada con ajuste",V1432="Rechazada"),W1432&lt;&gt;""),W1432,""))</f>
        <v/>
      </c>
    </row>
    <row r="1433" customFormat="false" ht="32.8" hidden="false" customHeight="false" outlineLevel="0" collapsed="false">
      <c r="A1433" s="18" t="s">
        <v>6287</v>
      </c>
      <c r="B1433" s="18" t="s">
        <v>64</v>
      </c>
      <c r="C1433" s="18" t="s">
        <v>65</v>
      </c>
      <c r="D1433" s="18" t="s">
        <v>6255</v>
      </c>
      <c r="E1433" s="18" t="n">
        <v>0</v>
      </c>
      <c r="F1433" s="18" t="s">
        <v>185</v>
      </c>
      <c r="G1433" s="18" t="s">
        <v>6288</v>
      </c>
      <c r="H1433" s="18" t="s">
        <v>162</v>
      </c>
      <c r="I1433" s="18" t="s">
        <v>298</v>
      </c>
      <c r="J1433" s="18" t="s">
        <v>6289</v>
      </c>
      <c r="K1433" s="18"/>
      <c r="L1433" s="18" t="s">
        <v>162</v>
      </c>
      <c r="M1433" s="18" t="s">
        <v>129</v>
      </c>
      <c r="N1433" s="18"/>
      <c r="O1433" s="18" t="s">
        <v>6290</v>
      </c>
      <c r="P1433" s="18" t="s">
        <v>6291</v>
      </c>
      <c r="Q1433" s="18" t="s">
        <v>138</v>
      </c>
      <c r="R1433" s="18" t="s">
        <v>6292</v>
      </c>
      <c r="S1433" s="18" t="s">
        <v>140</v>
      </c>
      <c r="T1433" s="18" t="s">
        <v>141</v>
      </c>
      <c r="U1433" s="18"/>
      <c r="V1433" s="19" t="s">
        <v>29</v>
      </c>
      <c r="W1433" s="19"/>
      <c r="X1433" s="19"/>
      <c r="Y1433" s="20"/>
      <c r="Z1433" s="19"/>
      <c r="AA1433" s="18" t="str">
        <f aca="false">IF(OR(V1433="Aprobada"),R1433,IF(AND(OR(V1433="Aprobada con ajuste",V1433="Rechazada"),W1433&lt;&gt;""),W1433,""))</f>
        <v/>
      </c>
    </row>
    <row r="1434" customFormat="false" ht="22.35" hidden="false" customHeight="false" outlineLevel="0" collapsed="false">
      <c r="A1434" s="18" t="s">
        <v>6293</v>
      </c>
      <c r="B1434" s="18" t="s">
        <v>64</v>
      </c>
      <c r="C1434" s="18" t="s">
        <v>65</v>
      </c>
      <c r="D1434" s="18" t="s">
        <v>6255</v>
      </c>
      <c r="E1434" s="18" t="n">
        <v>0</v>
      </c>
      <c r="F1434" s="18" t="s">
        <v>6294</v>
      </c>
      <c r="G1434" s="18" t="s">
        <v>128</v>
      </c>
      <c r="H1434" s="18" t="s">
        <v>162</v>
      </c>
      <c r="I1434" s="18"/>
      <c r="J1434" s="18"/>
      <c r="K1434" s="18"/>
      <c r="L1434" s="18" t="s">
        <v>129</v>
      </c>
      <c r="M1434" s="18" t="s">
        <v>129</v>
      </c>
      <c r="N1434" s="18"/>
      <c r="O1434" s="18"/>
      <c r="P1434" s="18" t="s">
        <v>6295</v>
      </c>
      <c r="Q1434" s="18" t="s">
        <v>149</v>
      </c>
      <c r="R1434" s="18" t="s">
        <v>6296</v>
      </c>
      <c r="S1434" s="18" t="s">
        <v>140</v>
      </c>
      <c r="T1434" s="18" t="s">
        <v>858</v>
      </c>
      <c r="U1434" s="18" t="s">
        <v>6297</v>
      </c>
      <c r="V1434" s="19" t="s">
        <v>29</v>
      </c>
      <c r="W1434" s="19"/>
      <c r="X1434" s="19"/>
      <c r="Y1434" s="20"/>
      <c r="Z1434" s="19"/>
      <c r="AA1434" s="18" t="str">
        <f aca="false">IF(OR(V1434="Aprobada"),R1434,IF(AND(OR(V1434="Aprobada con ajuste",V1434="Rechazada"),W1434&lt;&gt;""),W1434,""))</f>
        <v/>
      </c>
    </row>
    <row r="1435" customFormat="false" ht="22.35" hidden="false" customHeight="false" outlineLevel="0" collapsed="false">
      <c r="A1435" s="18" t="s">
        <v>6298</v>
      </c>
      <c r="B1435" s="18" t="s">
        <v>64</v>
      </c>
      <c r="C1435" s="18" t="s">
        <v>65</v>
      </c>
      <c r="D1435" s="18" t="s">
        <v>6255</v>
      </c>
      <c r="E1435" s="18" t="n">
        <v>0</v>
      </c>
      <c r="F1435" s="18" t="s">
        <v>6299</v>
      </c>
      <c r="G1435" s="18" t="s">
        <v>128</v>
      </c>
      <c r="H1435" s="18" t="s">
        <v>162</v>
      </c>
      <c r="I1435" s="18"/>
      <c r="J1435" s="18"/>
      <c r="K1435" s="18"/>
      <c r="L1435" s="18" t="s">
        <v>129</v>
      </c>
      <c r="M1435" s="18" t="s">
        <v>129</v>
      </c>
      <c r="N1435" s="18"/>
      <c r="O1435" s="18"/>
      <c r="P1435" s="18" t="s">
        <v>6300</v>
      </c>
      <c r="Q1435" s="18" t="s">
        <v>149</v>
      </c>
      <c r="R1435" s="18" t="s">
        <v>6301</v>
      </c>
      <c r="S1435" s="18" t="s">
        <v>133</v>
      </c>
      <c r="T1435" s="18" t="s">
        <v>183</v>
      </c>
      <c r="U1435" s="18"/>
      <c r="V1435" s="19" t="s">
        <v>29</v>
      </c>
      <c r="W1435" s="19"/>
      <c r="X1435" s="19"/>
      <c r="Y1435" s="20"/>
      <c r="Z1435" s="19"/>
      <c r="AA1435" s="18" t="str">
        <f aca="false">IF(OR(V1435="Aprobada"),R1435,IF(AND(OR(V1435="Aprobada con ajuste",V1435="Rechazada"),W1435&lt;&gt;""),W1435,""))</f>
        <v/>
      </c>
    </row>
    <row r="1436" customFormat="false" ht="22.35" hidden="false" customHeight="false" outlineLevel="0" collapsed="false">
      <c r="A1436" s="18" t="s">
        <v>6302</v>
      </c>
      <c r="B1436" s="18" t="s">
        <v>64</v>
      </c>
      <c r="C1436" s="18" t="s">
        <v>65</v>
      </c>
      <c r="D1436" s="18" t="s">
        <v>6255</v>
      </c>
      <c r="E1436" s="18" t="n">
        <v>0</v>
      </c>
      <c r="F1436" s="18" t="s">
        <v>6303</v>
      </c>
      <c r="G1436" s="18" t="s">
        <v>337</v>
      </c>
      <c r="H1436" s="18" t="s">
        <v>162</v>
      </c>
      <c r="I1436" s="18"/>
      <c r="J1436" s="18"/>
      <c r="K1436" s="18"/>
      <c r="L1436" s="18" t="s">
        <v>129</v>
      </c>
      <c r="M1436" s="18" t="s">
        <v>129</v>
      </c>
      <c r="N1436" s="18"/>
      <c r="O1436" s="18"/>
      <c r="P1436" s="18" t="s">
        <v>6304</v>
      </c>
      <c r="Q1436" s="18" t="s">
        <v>138</v>
      </c>
      <c r="R1436" s="18" t="s">
        <v>6305</v>
      </c>
      <c r="S1436" s="18" t="s">
        <v>140</v>
      </c>
      <c r="T1436" s="18" t="s">
        <v>141</v>
      </c>
      <c r="U1436" s="18"/>
      <c r="V1436" s="19" t="s">
        <v>29</v>
      </c>
      <c r="W1436" s="19"/>
      <c r="X1436" s="19"/>
      <c r="Y1436" s="20"/>
      <c r="Z1436" s="19"/>
      <c r="AA1436" s="18" t="str">
        <f aca="false">IF(OR(V1436="Aprobada"),R1436,IF(AND(OR(V1436="Aprobada con ajuste",V1436="Rechazada"),W1436&lt;&gt;""),W1436,""))</f>
        <v/>
      </c>
    </row>
    <row r="1437" customFormat="false" ht="22.35" hidden="false" customHeight="false" outlineLevel="0" collapsed="false">
      <c r="A1437" s="18" t="s">
        <v>6306</v>
      </c>
      <c r="B1437" s="18" t="s">
        <v>64</v>
      </c>
      <c r="C1437" s="18" t="s">
        <v>65</v>
      </c>
      <c r="D1437" s="18" t="s">
        <v>6255</v>
      </c>
      <c r="E1437" s="18" t="n">
        <v>0</v>
      </c>
      <c r="F1437" s="18" t="s">
        <v>6307</v>
      </c>
      <c r="G1437" s="18" t="s">
        <v>337</v>
      </c>
      <c r="H1437" s="18" t="s">
        <v>162</v>
      </c>
      <c r="I1437" s="18"/>
      <c r="J1437" s="18"/>
      <c r="K1437" s="18"/>
      <c r="L1437" s="18" t="s">
        <v>129</v>
      </c>
      <c r="M1437" s="18" t="s">
        <v>129</v>
      </c>
      <c r="N1437" s="18"/>
      <c r="O1437" s="18"/>
      <c r="P1437" s="18" t="s">
        <v>6308</v>
      </c>
      <c r="Q1437" s="18" t="s">
        <v>149</v>
      </c>
      <c r="R1437" s="18" t="s">
        <v>6309</v>
      </c>
      <c r="S1437" s="18" t="s">
        <v>140</v>
      </c>
      <c r="T1437" s="18" t="s">
        <v>183</v>
      </c>
      <c r="U1437" s="18" t="s">
        <v>4673</v>
      </c>
      <c r="V1437" s="19" t="s">
        <v>29</v>
      </c>
      <c r="W1437" s="19"/>
      <c r="X1437" s="19"/>
      <c r="Y1437" s="20"/>
      <c r="Z1437" s="19"/>
      <c r="AA1437" s="18" t="str">
        <f aca="false">IF(OR(V1437="Aprobada"),R1437,IF(AND(OR(V1437="Aprobada con ajuste",V1437="Rechazada"),W1437&lt;&gt;""),W1437,""))</f>
        <v/>
      </c>
    </row>
    <row r="1438" customFormat="false" ht="22.35" hidden="false" customHeight="false" outlineLevel="0" collapsed="false">
      <c r="A1438" s="18" t="s">
        <v>6310</v>
      </c>
      <c r="B1438" s="18" t="s">
        <v>64</v>
      </c>
      <c r="C1438" s="18" t="s">
        <v>65</v>
      </c>
      <c r="D1438" s="18" t="s">
        <v>6311</v>
      </c>
      <c r="E1438" s="18" t="n">
        <v>8</v>
      </c>
      <c r="F1438" s="18" t="s">
        <v>478</v>
      </c>
      <c r="G1438" s="18" t="s">
        <v>4418</v>
      </c>
      <c r="H1438" s="18" t="s">
        <v>129</v>
      </c>
      <c r="I1438" s="18"/>
      <c r="J1438" s="18"/>
      <c r="K1438" s="18"/>
      <c r="L1438" s="18" t="s">
        <v>162</v>
      </c>
      <c r="M1438" s="18" t="s">
        <v>129</v>
      </c>
      <c r="N1438" s="18"/>
      <c r="O1438" s="18"/>
      <c r="P1438" s="18" t="s">
        <v>6312</v>
      </c>
      <c r="Q1438" s="18" t="s">
        <v>149</v>
      </c>
      <c r="R1438" s="18" t="s">
        <v>6313</v>
      </c>
      <c r="S1438" s="18" t="s">
        <v>140</v>
      </c>
      <c r="T1438" s="18" t="s">
        <v>183</v>
      </c>
      <c r="U1438" s="18" t="s">
        <v>6314</v>
      </c>
      <c r="V1438" s="19" t="s">
        <v>29</v>
      </c>
      <c r="W1438" s="19"/>
      <c r="X1438" s="19"/>
      <c r="Y1438" s="20"/>
      <c r="Z1438" s="19"/>
      <c r="AA1438" s="18" t="str">
        <f aca="false">IF(OR(V1438="Aprobada"),R1438,IF(AND(OR(V1438="Aprobada con ajuste",V1438="Rechazada"),W1438&lt;&gt;""),W1438,""))</f>
        <v/>
      </c>
    </row>
    <row r="1439" customFormat="false" ht="22.35" hidden="false" customHeight="false" outlineLevel="0" collapsed="false">
      <c r="A1439" s="18" t="s">
        <v>6315</v>
      </c>
      <c r="B1439" s="18" t="s">
        <v>64</v>
      </c>
      <c r="C1439" s="18" t="s">
        <v>65</v>
      </c>
      <c r="D1439" s="18" t="s">
        <v>6311</v>
      </c>
      <c r="E1439" s="18" t="n">
        <v>8</v>
      </c>
      <c r="F1439" s="18" t="s">
        <v>891</v>
      </c>
      <c r="G1439" s="18" t="s">
        <v>192</v>
      </c>
      <c r="H1439" s="18" t="s">
        <v>129</v>
      </c>
      <c r="I1439" s="18"/>
      <c r="J1439" s="18"/>
      <c r="K1439" s="18"/>
      <c r="L1439" s="18" t="s">
        <v>162</v>
      </c>
      <c r="M1439" s="18" t="s">
        <v>129</v>
      </c>
      <c r="N1439" s="18"/>
      <c r="O1439" s="18"/>
      <c r="P1439" s="18" t="s">
        <v>6316</v>
      </c>
      <c r="Q1439" s="18" t="s">
        <v>149</v>
      </c>
      <c r="R1439" s="18" t="s">
        <v>6317</v>
      </c>
      <c r="S1439" s="18" t="s">
        <v>133</v>
      </c>
      <c r="T1439" s="18" t="s">
        <v>183</v>
      </c>
      <c r="U1439" s="18"/>
      <c r="V1439" s="19" t="s">
        <v>29</v>
      </c>
      <c r="W1439" s="19"/>
      <c r="X1439" s="19"/>
      <c r="Y1439" s="20"/>
      <c r="Z1439" s="19"/>
      <c r="AA1439" s="18" t="str">
        <f aca="false">IF(OR(V1439="Aprobada"),R1439,IF(AND(OR(V1439="Aprobada con ajuste",V1439="Rechazada"),W1439&lt;&gt;""),W1439,""))</f>
        <v/>
      </c>
    </row>
    <row r="1440" customFormat="false" ht="22.35" hidden="false" customHeight="false" outlineLevel="0" collapsed="false">
      <c r="A1440" s="18" t="s">
        <v>6318</v>
      </c>
      <c r="B1440" s="18" t="s">
        <v>64</v>
      </c>
      <c r="C1440" s="18" t="s">
        <v>65</v>
      </c>
      <c r="D1440" s="18" t="s">
        <v>6311</v>
      </c>
      <c r="E1440" s="18" t="n">
        <v>8</v>
      </c>
      <c r="F1440" s="18" t="s">
        <v>490</v>
      </c>
      <c r="G1440" s="18" t="s">
        <v>128</v>
      </c>
      <c r="H1440" s="18" t="s">
        <v>162</v>
      </c>
      <c r="I1440" s="18"/>
      <c r="J1440" s="18"/>
      <c r="K1440" s="18"/>
      <c r="L1440" s="18" t="s">
        <v>162</v>
      </c>
      <c r="M1440" s="18" t="s">
        <v>129</v>
      </c>
      <c r="N1440" s="18"/>
      <c r="O1440" s="18"/>
      <c r="P1440" s="18" t="s">
        <v>6319</v>
      </c>
      <c r="Q1440" s="18" t="s">
        <v>138</v>
      </c>
      <c r="R1440" s="18" t="s">
        <v>6320</v>
      </c>
      <c r="S1440" s="18" t="s">
        <v>140</v>
      </c>
      <c r="T1440" s="18" t="s">
        <v>141</v>
      </c>
      <c r="U1440" s="18"/>
      <c r="V1440" s="19" t="s">
        <v>29</v>
      </c>
      <c r="W1440" s="19"/>
      <c r="X1440" s="19"/>
      <c r="Y1440" s="20"/>
      <c r="Z1440" s="19"/>
      <c r="AA1440" s="18" t="str">
        <f aca="false">IF(OR(V1440="Aprobada"),R1440,IF(AND(OR(V1440="Aprobada con ajuste",V1440="Rechazada"),W1440&lt;&gt;""),W1440,""))</f>
        <v/>
      </c>
    </row>
    <row r="1441" customFormat="false" ht="32.8" hidden="false" customHeight="false" outlineLevel="0" collapsed="false">
      <c r="A1441" s="18" t="s">
        <v>6321</v>
      </c>
      <c r="B1441" s="18" t="s">
        <v>64</v>
      </c>
      <c r="C1441" s="18" t="s">
        <v>65</v>
      </c>
      <c r="D1441" s="18" t="s">
        <v>6322</v>
      </c>
      <c r="E1441" s="18" t="n">
        <v>35</v>
      </c>
      <c r="F1441" s="18" t="s">
        <v>4369</v>
      </c>
      <c r="G1441" s="18" t="s">
        <v>180</v>
      </c>
      <c r="H1441" s="18" t="s">
        <v>129</v>
      </c>
      <c r="I1441" s="18"/>
      <c r="J1441" s="18"/>
      <c r="K1441" s="18"/>
      <c r="L1441" s="18" t="s">
        <v>129</v>
      </c>
      <c r="M1441" s="18" t="s">
        <v>129</v>
      </c>
      <c r="N1441" s="18"/>
      <c r="O1441" s="18"/>
      <c r="P1441" s="18" t="s">
        <v>6323</v>
      </c>
      <c r="Q1441" s="18" t="s">
        <v>131</v>
      </c>
      <c r="R1441" s="18" t="s">
        <v>6324</v>
      </c>
      <c r="S1441" s="18" t="s">
        <v>133</v>
      </c>
      <c r="T1441" s="18" t="s">
        <v>6325</v>
      </c>
      <c r="U1441" s="18"/>
      <c r="V1441" s="19" t="s">
        <v>29</v>
      </c>
      <c r="W1441" s="19"/>
      <c r="X1441" s="19"/>
      <c r="Y1441" s="20"/>
      <c r="Z1441" s="19"/>
      <c r="AA1441" s="18" t="str">
        <f aca="false">IF(OR(V1441="Aprobada"),R1441,IF(AND(OR(V1441="Aprobada con ajuste",V1441="Rechazada"),W1441&lt;&gt;""),W1441,""))</f>
        <v/>
      </c>
    </row>
    <row r="1442" customFormat="false" ht="22.35" hidden="false" customHeight="false" outlineLevel="0" collapsed="false">
      <c r="A1442" s="18" t="s">
        <v>6326</v>
      </c>
      <c r="B1442" s="18" t="s">
        <v>64</v>
      </c>
      <c r="C1442" s="18" t="s">
        <v>65</v>
      </c>
      <c r="D1442" s="18" t="s">
        <v>6322</v>
      </c>
      <c r="E1442" s="18" t="n">
        <v>35</v>
      </c>
      <c r="F1442" s="18" t="s">
        <v>160</v>
      </c>
      <c r="G1442" s="18" t="s">
        <v>128</v>
      </c>
      <c r="H1442" s="18" t="s">
        <v>162</v>
      </c>
      <c r="I1442" s="18"/>
      <c r="J1442" s="18"/>
      <c r="K1442" s="18"/>
      <c r="L1442" s="18" t="s">
        <v>129</v>
      </c>
      <c r="M1442" s="18" t="s">
        <v>129</v>
      </c>
      <c r="N1442" s="18"/>
      <c r="O1442" s="18"/>
      <c r="P1442" s="18" t="s">
        <v>6327</v>
      </c>
      <c r="Q1442" s="18" t="s">
        <v>138</v>
      </c>
      <c r="R1442" s="18" t="s">
        <v>6328</v>
      </c>
      <c r="S1442" s="18" t="s">
        <v>140</v>
      </c>
      <c r="T1442" s="18" t="s">
        <v>141</v>
      </c>
      <c r="U1442" s="18"/>
      <c r="V1442" s="19" t="s">
        <v>29</v>
      </c>
      <c r="W1442" s="19"/>
      <c r="X1442" s="19"/>
      <c r="Y1442" s="20"/>
      <c r="Z1442" s="19"/>
      <c r="AA1442" s="18" t="str">
        <f aca="false">IF(OR(V1442="Aprobada"),R1442,IF(AND(OR(V1442="Aprobada con ajuste",V1442="Rechazada"),W1442&lt;&gt;""),W1442,""))</f>
        <v/>
      </c>
    </row>
    <row r="1443" customFormat="false" ht="22.35" hidden="false" customHeight="false" outlineLevel="0" collapsed="false">
      <c r="A1443" s="18" t="s">
        <v>6329</v>
      </c>
      <c r="B1443" s="18" t="s">
        <v>64</v>
      </c>
      <c r="C1443" s="18" t="s">
        <v>65</v>
      </c>
      <c r="D1443" s="18" t="s">
        <v>6322</v>
      </c>
      <c r="E1443" s="18" t="n">
        <v>35</v>
      </c>
      <c r="F1443" s="18" t="s">
        <v>326</v>
      </c>
      <c r="G1443" s="18" t="s">
        <v>317</v>
      </c>
      <c r="H1443" s="18" t="s">
        <v>162</v>
      </c>
      <c r="I1443" s="18"/>
      <c r="J1443" s="18"/>
      <c r="K1443" s="18"/>
      <c r="L1443" s="18" t="s">
        <v>129</v>
      </c>
      <c r="M1443" s="18" t="s">
        <v>129</v>
      </c>
      <c r="N1443" s="18"/>
      <c r="O1443" s="18" t="s">
        <v>6330</v>
      </c>
      <c r="P1443" s="18" t="s">
        <v>6331</v>
      </c>
      <c r="Q1443" s="18" t="s">
        <v>138</v>
      </c>
      <c r="R1443" s="18" t="s">
        <v>328</v>
      </c>
      <c r="S1443" s="18" t="s">
        <v>140</v>
      </c>
      <c r="T1443" s="18" t="s">
        <v>141</v>
      </c>
      <c r="U1443" s="18"/>
      <c r="V1443" s="19" t="s">
        <v>29</v>
      </c>
      <c r="W1443" s="19"/>
      <c r="X1443" s="19"/>
      <c r="Y1443" s="20"/>
      <c r="Z1443" s="19"/>
      <c r="AA1443" s="18" t="str">
        <f aca="false">IF(OR(V1443="Aprobada"),R1443,IF(AND(OR(V1443="Aprobada con ajuste",V1443="Rechazada"),W1443&lt;&gt;""),W1443,""))</f>
        <v/>
      </c>
    </row>
    <row r="1444" customFormat="false" ht="32.8" hidden="false" customHeight="false" outlineLevel="0" collapsed="false">
      <c r="A1444" s="18" t="s">
        <v>6332</v>
      </c>
      <c r="B1444" s="18" t="s">
        <v>64</v>
      </c>
      <c r="C1444" s="18" t="s">
        <v>65</v>
      </c>
      <c r="D1444" s="18" t="s">
        <v>6322</v>
      </c>
      <c r="E1444" s="18" t="n">
        <v>35</v>
      </c>
      <c r="F1444" s="18" t="s">
        <v>4337</v>
      </c>
      <c r="G1444" s="18" t="s">
        <v>312</v>
      </c>
      <c r="H1444" s="18" t="s">
        <v>162</v>
      </c>
      <c r="I1444" s="18"/>
      <c r="J1444" s="18"/>
      <c r="K1444" s="18"/>
      <c r="L1444" s="18" t="s">
        <v>129</v>
      </c>
      <c r="M1444" s="18" t="s">
        <v>129</v>
      </c>
      <c r="N1444" s="18"/>
      <c r="O1444" s="18" t="s">
        <v>6333</v>
      </c>
      <c r="P1444" s="18" t="s">
        <v>6334</v>
      </c>
      <c r="Q1444" s="18" t="s">
        <v>131</v>
      </c>
      <c r="R1444" s="18" t="s">
        <v>6335</v>
      </c>
      <c r="S1444" s="18" t="s">
        <v>133</v>
      </c>
      <c r="T1444" s="18" t="s">
        <v>6336</v>
      </c>
      <c r="U1444" s="18"/>
      <c r="V1444" s="19" t="s">
        <v>29</v>
      </c>
      <c r="W1444" s="19"/>
      <c r="X1444" s="19"/>
      <c r="Y1444" s="20"/>
      <c r="Z1444" s="19"/>
      <c r="AA1444" s="18" t="str">
        <f aca="false">IF(OR(V1444="Aprobada"),R1444,IF(AND(OR(V1444="Aprobada con ajuste",V1444="Rechazada"),W1444&lt;&gt;""),W1444,""))</f>
        <v/>
      </c>
    </row>
    <row r="1445" customFormat="false" ht="32.8" hidden="false" customHeight="false" outlineLevel="0" collapsed="false">
      <c r="A1445" s="18" t="s">
        <v>6337</v>
      </c>
      <c r="B1445" s="18" t="s">
        <v>64</v>
      </c>
      <c r="C1445" s="18" t="s">
        <v>65</v>
      </c>
      <c r="D1445" s="18" t="s">
        <v>6322</v>
      </c>
      <c r="E1445" s="18" t="n">
        <v>35</v>
      </c>
      <c r="F1445" s="18" t="s">
        <v>5700</v>
      </c>
      <c r="G1445" s="18" t="s">
        <v>180</v>
      </c>
      <c r="H1445" s="18" t="s">
        <v>162</v>
      </c>
      <c r="I1445" s="18"/>
      <c r="J1445" s="18"/>
      <c r="K1445" s="18"/>
      <c r="L1445" s="18" t="s">
        <v>129</v>
      </c>
      <c r="M1445" s="18" t="s">
        <v>129</v>
      </c>
      <c r="N1445" s="18"/>
      <c r="O1445" s="18"/>
      <c r="P1445" s="18" t="s">
        <v>6338</v>
      </c>
      <c r="Q1445" s="18" t="s">
        <v>131</v>
      </c>
      <c r="R1445" s="18" t="s">
        <v>6339</v>
      </c>
      <c r="S1445" s="18" t="s">
        <v>133</v>
      </c>
      <c r="T1445" s="18" t="s">
        <v>6340</v>
      </c>
      <c r="U1445" s="18"/>
      <c r="V1445" s="19" t="s">
        <v>29</v>
      </c>
      <c r="W1445" s="19"/>
      <c r="X1445" s="19"/>
      <c r="Y1445" s="20"/>
      <c r="Z1445" s="19"/>
      <c r="AA1445" s="18" t="str">
        <f aca="false">IF(OR(V1445="Aprobada"),R1445,IF(AND(OR(V1445="Aprobada con ajuste",V1445="Rechazada"),W1445&lt;&gt;""),W1445,""))</f>
        <v/>
      </c>
    </row>
    <row r="1446" customFormat="false" ht="22.35" hidden="false" customHeight="false" outlineLevel="0" collapsed="false">
      <c r="A1446" s="18" t="s">
        <v>6341</v>
      </c>
      <c r="B1446" s="18" t="s">
        <v>64</v>
      </c>
      <c r="C1446" s="18" t="s">
        <v>65</v>
      </c>
      <c r="D1446" s="18" t="s">
        <v>6322</v>
      </c>
      <c r="E1446" s="18" t="n">
        <v>35</v>
      </c>
      <c r="F1446" s="18" t="s">
        <v>6342</v>
      </c>
      <c r="G1446" s="18" t="s">
        <v>317</v>
      </c>
      <c r="H1446" s="18" t="s">
        <v>162</v>
      </c>
      <c r="I1446" s="18"/>
      <c r="J1446" s="18"/>
      <c r="K1446" s="18"/>
      <c r="L1446" s="18" t="s">
        <v>129</v>
      </c>
      <c r="M1446" s="18" t="s">
        <v>129</v>
      </c>
      <c r="N1446" s="18"/>
      <c r="O1446" s="18"/>
      <c r="P1446" s="18" t="s">
        <v>6343</v>
      </c>
      <c r="Q1446" s="18" t="s">
        <v>138</v>
      </c>
      <c r="R1446" s="18" t="s">
        <v>6344</v>
      </c>
      <c r="S1446" s="18" t="s">
        <v>140</v>
      </c>
      <c r="T1446" s="18" t="s">
        <v>141</v>
      </c>
      <c r="U1446" s="18"/>
      <c r="V1446" s="19" t="s">
        <v>29</v>
      </c>
      <c r="W1446" s="19"/>
      <c r="X1446" s="19"/>
      <c r="Y1446" s="20"/>
      <c r="Z1446" s="19"/>
      <c r="AA1446" s="18" t="str">
        <f aca="false">IF(OR(V1446="Aprobada"),R1446,IF(AND(OR(V1446="Aprobada con ajuste",V1446="Rechazada"),W1446&lt;&gt;""),W1446,""))</f>
        <v/>
      </c>
    </row>
    <row r="1447" customFormat="false" ht="22.35" hidden="false" customHeight="false" outlineLevel="0" collapsed="false">
      <c r="A1447" s="18" t="s">
        <v>6345</v>
      </c>
      <c r="B1447" s="18" t="s">
        <v>64</v>
      </c>
      <c r="C1447" s="18" t="s">
        <v>65</v>
      </c>
      <c r="D1447" s="18" t="s">
        <v>6346</v>
      </c>
      <c r="E1447" s="18" t="n">
        <v>0</v>
      </c>
      <c r="F1447" s="18" t="s">
        <v>2404</v>
      </c>
      <c r="G1447" s="18" t="s">
        <v>503</v>
      </c>
      <c r="H1447" s="18" t="s">
        <v>129</v>
      </c>
      <c r="I1447" s="18"/>
      <c r="J1447" s="18"/>
      <c r="K1447" s="18"/>
      <c r="L1447" s="18" t="s">
        <v>129</v>
      </c>
      <c r="M1447" s="18" t="s">
        <v>129</v>
      </c>
      <c r="N1447" s="18"/>
      <c r="O1447" s="18"/>
      <c r="P1447" s="18" t="s">
        <v>6347</v>
      </c>
      <c r="Q1447" s="18" t="s">
        <v>138</v>
      </c>
      <c r="R1447" s="18" t="s">
        <v>2407</v>
      </c>
      <c r="S1447" s="18" t="s">
        <v>140</v>
      </c>
      <c r="T1447" s="18" t="s">
        <v>141</v>
      </c>
      <c r="U1447" s="18"/>
      <c r="V1447" s="19" t="s">
        <v>29</v>
      </c>
      <c r="W1447" s="19"/>
      <c r="X1447" s="19"/>
      <c r="Y1447" s="20"/>
      <c r="Z1447" s="19"/>
      <c r="AA1447" s="18" t="str">
        <f aca="false">IF(OR(V1447="Aprobada"),R1447,IF(AND(OR(V1447="Aprobada con ajuste",V1447="Rechazada"),W1447&lt;&gt;""),W1447,""))</f>
        <v/>
      </c>
    </row>
    <row r="1448" customFormat="false" ht="22.35" hidden="false" customHeight="false" outlineLevel="0" collapsed="false">
      <c r="A1448" s="18" t="s">
        <v>6348</v>
      </c>
      <c r="B1448" s="18" t="s">
        <v>64</v>
      </c>
      <c r="C1448" s="18" t="s">
        <v>65</v>
      </c>
      <c r="D1448" s="18" t="s">
        <v>6346</v>
      </c>
      <c r="E1448" s="18" t="n">
        <v>0</v>
      </c>
      <c r="F1448" s="18" t="s">
        <v>6349</v>
      </c>
      <c r="G1448" s="18" t="s">
        <v>503</v>
      </c>
      <c r="H1448" s="18" t="s">
        <v>129</v>
      </c>
      <c r="I1448" s="18"/>
      <c r="J1448" s="18"/>
      <c r="K1448" s="18"/>
      <c r="L1448" s="18" t="s">
        <v>129</v>
      </c>
      <c r="M1448" s="18" t="s">
        <v>129</v>
      </c>
      <c r="N1448" s="18"/>
      <c r="O1448" s="18"/>
      <c r="P1448" s="18" t="s">
        <v>6350</v>
      </c>
      <c r="Q1448" s="18" t="s">
        <v>131</v>
      </c>
      <c r="R1448" s="18" t="s">
        <v>6351</v>
      </c>
      <c r="S1448" s="18" t="s">
        <v>133</v>
      </c>
      <c r="T1448" s="18" t="s">
        <v>6352</v>
      </c>
      <c r="U1448" s="18"/>
      <c r="V1448" s="19" t="s">
        <v>29</v>
      </c>
      <c r="W1448" s="19"/>
      <c r="X1448" s="19"/>
      <c r="Y1448" s="20"/>
      <c r="Z1448" s="19"/>
      <c r="AA1448" s="18" t="str">
        <f aca="false">IF(OR(V1448="Aprobada"),R1448,IF(AND(OR(V1448="Aprobada con ajuste",V1448="Rechazada"),W1448&lt;&gt;""),W1448,""))</f>
        <v/>
      </c>
    </row>
    <row r="1449" customFormat="false" ht="22.35" hidden="false" customHeight="false" outlineLevel="0" collapsed="false">
      <c r="A1449" s="18" t="s">
        <v>6353</v>
      </c>
      <c r="B1449" s="18" t="s">
        <v>64</v>
      </c>
      <c r="C1449" s="18" t="s">
        <v>65</v>
      </c>
      <c r="D1449" s="18" t="s">
        <v>6346</v>
      </c>
      <c r="E1449" s="18" t="n">
        <v>0</v>
      </c>
      <c r="F1449" s="18" t="s">
        <v>6354</v>
      </c>
      <c r="G1449" s="18" t="s">
        <v>5738</v>
      </c>
      <c r="H1449" s="18" t="s">
        <v>129</v>
      </c>
      <c r="I1449" s="18"/>
      <c r="J1449" s="18"/>
      <c r="K1449" s="18"/>
      <c r="L1449" s="18" t="s">
        <v>129</v>
      </c>
      <c r="M1449" s="18" t="s">
        <v>129</v>
      </c>
      <c r="N1449" s="18"/>
      <c r="O1449" s="18"/>
      <c r="P1449" s="18" t="s">
        <v>6355</v>
      </c>
      <c r="Q1449" s="18" t="s">
        <v>149</v>
      </c>
      <c r="R1449" s="18" t="s">
        <v>6356</v>
      </c>
      <c r="S1449" s="18" t="s">
        <v>140</v>
      </c>
      <c r="T1449" s="18" t="s">
        <v>6357</v>
      </c>
      <c r="U1449" s="18" t="s">
        <v>6358</v>
      </c>
      <c r="V1449" s="19" t="s">
        <v>29</v>
      </c>
      <c r="W1449" s="19"/>
      <c r="X1449" s="19"/>
      <c r="Y1449" s="20"/>
      <c r="Z1449" s="19"/>
      <c r="AA1449" s="18" t="str">
        <f aca="false">IF(OR(V1449="Aprobada"),R1449,IF(AND(OR(V1449="Aprobada con ajuste",V1449="Rechazada"),W1449&lt;&gt;""),W1449,""))</f>
        <v/>
      </c>
    </row>
    <row r="1450" customFormat="false" ht="22.35" hidden="false" customHeight="false" outlineLevel="0" collapsed="false">
      <c r="A1450" s="18" t="s">
        <v>6359</v>
      </c>
      <c r="B1450" s="18" t="s">
        <v>64</v>
      </c>
      <c r="C1450" s="18" t="s">
        <v>65</v>
      </c>
      <c r="D1450" s="18" t="s">
        <v>6346</v>
      </c>
      <c r="E1450" s="18" t="n">
        <v>0</v>
      </c>
      <c r="F1450" s="18" t="s">
        <v>6360</v>
      </c>
      <c r="G1450" s="18" t="s">
        <v>205</v>
      </c>
      <c r="H1450" s="18" t="s">
        <v>129</v>
      </c>
      <c r="I1450" s="18"/>
      <c r="J1450" s="18"/>
      <c r="K1450" s="18"/>
      <c r="L1450" s="18" t="s">
        <v>129</v>
      </c>
      <c r="M1450" s="18" t="s">
        <v>129</v>
      </c>
      <c r="N1450" s="18"/>
      <c r="O1450" s="18"/>
      <c r="P1450" s="18" t="s">
        <v>6361</v>
      </c>
      <c r="Q1450" s="18" t="s">
        <v>149</v>
      </c>
      <c r="R1450" s="18" t="s">
        <v>6362</v>
      </c>
      <c r="S1450" s="18" t="s">
        <v>140</v>
      </c>
      <c r="T1450" s="18" t="s">
        <v>5503</v>
      </c>
      <c r="U1450" s="18" t="s">
        <v>6363</v>
      </c>
      <c r="V1450" s="19" t="s">
        <v>29</v>
      </c>
      <c r="W1450" s="19"/>
      <c r="X1450" s="19"/>
      <c r="Y1450" s="20"/>
      <c r="Z1450" s="19"/>
      <c r="AA1450" s="18" t="str">
        <f aca="false">IF(OR(V1450="Aprobada"),R1450,IF(AND(OR(V1450="Aprobada con ajuste",V1450="Rechazada"),W1450&lt;&gt;""),W1450,""))</f>
        <v/>
      </c>
    </row>
    <row r="1451" customFormat="false" ht="22.35" hidden="false" customHeight="false" outlineLevel="0" collapsed="false">
      <c r="A1451" s="18" t="s">
        <v>6364</v>
      </c>
      <c r="B1451" s="18" t="s">
        <v>64</v>
      </c>
      <c r="C1451" s="18" t="s">
        <v>65</v>
      </c>
      <c r="D1451" s="18" t="s">
        <v>6365</v>
      </c>
      <c r="E1451" s="18" t="n">
        <v>109</v>
      </c>
      <c r="F1451" s="18" t="s">
        <v>3424</v>
      </c>
      <c r="G1451" s="18" t="s">
        <v>584</v>
      </c>
      <c r="H1451" s="18" t="s">
        <v>129</v>
      </c>
      <c r="I1451" s="18"/>
      <c r="J1451" s="18"/>
      <c r="K1451" s="18"/>
      <c r="L1451" s="18" t="s">
        <v>129</v>
      </c>
      <c r="M1451" s="18" t="s">
        <v>129</v>
      </c>
      <c r="N1451" s="18"/>
      <c r="O1451" s="18"/>
      <c r="P1451" s="18" t="s">
        <v>6366</v>
      </c>
      <c r="Q1451" s="18" t="s">
        <v>138</v>
      </c>
      <c r="R1451" s="18" t="s">
        <v>3425</v>
      </c>
      <c r="S1451" s="18" t="s">
        <v>140</v>
      </c>
      <c r="T1451" s="18" t="s">
        <v>141</v>
      </c>
      <c r="U1451" s="18"/>
      <c r="V1451" s="19" t="s">
        <v>29</v>
      </c>
      <c r="W1451" s="19"/>
      <c r="X1451" s="19"/>
      <c r="Y1451" s="20"/>
      <c r="Z1451" s="19"/>
      <c r="AA1451" s="18" t="str">
        <f aca="false">IF(OR(V1451="Aprobada"),R1451,IF(AND(OR(V1451="Aprobada con ajuste",V1451="Rechazada"),W1451&lt;&gt;""),W1451,""))</f>
        <v/>
      </c>
    </row>
    <row r="1452" customFormat="false" ht="43.25" hidden="false" customHeight="false" outlineLevel="0" collapsed="false">
      <c r="A1452" s="18" t="s">
        <v>6367</v>
      </c>
      <c r="B1452" s="18" t="s">
        <v>64</v>
      </c>
      <c r="C1452" s="18" t="s">
        <v>65</v>
      </c>
      <c r="D1452" s="18" t="s">
        <v>6368</v>
      </c>
      <c r="E1452" s="18" t="n">
        <v>233</v>
      </c>
      <c r="F1452" s="18" t="s">
        <v>6369</v>
      </c>
      <c r="G1452" s="18" t="s">
        <v>145</v>
      </c>
      <c r="H1452" s="18" t="s">
        <v>129</v>
      </c>
      <c r="I1452" s="18" t="s">
        <v>298</v>
      </c>
      <c r="J1452" s="18" t="s">
        <v>6370</v>
      </c>
      <c r="K1452" s="18"/>
      <c r="L1452" s="18" t="s">
        <v>162</v>
      </c>
      <c r="M1452" s="18" t="s">
        <v>129</v>
      </c>
      <c r="N1452" s="18"/>
      <c r="O1452" s="18" t="s">
        <v>6371</v>
      </c>
      <c r="P1452" s="18" t="s">
        <v>6372</v>
      </c>
      <c r="Q1452" s="18" t="s">
        <v>131</v>
      </c>
      <c r="R1452" s="18" t="s">
        <v>6373</v>
      </c>
      <c r="S1452" s="18" t="s">
        <v>133</v>
      </c>
      <c r="T1452" s="18" t="s">
        <v>6374</v>
      </c>
      <c r="U1452" s="18"/>
      <c r="V1452" s="19" t="s">
        <v>29</v>
      </c>
      <c r="W1452" s="19"/>
      <c r="X1452" s="19"/>
      <c r="Y1452" s="20"/>
      <c r="Z1452" s="19"/>
      <c r="AA1452" s="18" t="str">
        <f aca="false">IF(OR(V1452="Aprobada"),R1452,IF(AND(OR(V1452="Aprobada con ajuste",V1452="Rechazada"),W1452&lt;&gt;""),W1452,""))</f>
        <v/>
      </c>
    </row>
    <row r="1453" customFormat="false" ht="32.8" hidden="false" customHeight="false" outlineLevel="0" collapsed="false">
      <c r="A1453" s="18" t="s">
        <v>6375</v>
      </c>
      <c r="B1453" s="18" t="s">
        <v>64</v>
      </c>
      <c r="C1453" s="18" t="s">
        <v>65</v>
      </c>
      <c r="D1453" s="18" t="s">
        <v>6368</v>
      </c>
      <c r="E1453" s="18" t="n">
        <v>233</v>
      </c>
      <c r="F1453" s="18" t="s">
        <v>4327</v>
      </c>
      <c r="G1453" s="18" t="s">
        <v>312</v>
      </c>
      <c r="H1453" s="18" t="s">
        <v>162</v>
      </c>
      <c r="I1453" s="18"/>
      <c r="J1453" s="18"/>
      <c r="K1453" s="18"/>
      <c r="L1453" s="18" t="s">
        <v>129</v>
      </c>
      <c r="M1453" s="18" t="s">
        <v>129</v>
      </c>
      <c r="N1453" s="18"/>
      <c r="O1453" s="18" t="s">
        <v>6376</v>
      </c>
      <c r="P1453" s="18" t="s">
        <v>6377</v>
      </c>
      <c r="Q1453" s="18" t="s">
        <v>131</v>
      </c>
      <c r="R1453" s="18" t="s">
        <v>6378</v>
      </c>
      <c r="S1453" s="18" t="s">
        <v>133</v>
      </c>
      <c r="T1453" s="18" t="s">
        <v>6379</v>
      </c>
      <c r="U1453" s="18"/>
      <c r="V1453" s="19" t="s">
        <v>29</v>
      </c>
      <c r="W1453" s="19"/>
      <c r="X1453" s="19"/>
      <c r="Y1453" s="20"/>
      <c r="Z1453" s="19"/>
      <c r="AA1453" s="18" t="str">
        <f aca="false">IF(OR(V1453="Aprobada"),R1453,IF(AND(OR(V1453="Aprobada con ajuste",V1453="Rechazada"),W1453&lt;&gt;""),W1453,""))</f>
        <v/>
      </c>
    </row>
    <row r="1454" customFormat="false" ht="32.8" hidden="false" customHeight="false" outlineLevel="0" collapsed="false">
      <c r="A1454" s="18" t="s">
        <v>6380</v>
      </c>
      <c r="B1454" s="18" t="s">
        <v>64</v>
      </c>
      <c r="C1454" s="18" t="s">
        <v>65</v>
      </c>
      <c r="D1454" s="18" t="s">
        <v>6368</v>
      </c>
      <c r="E1454" s="18" t="n">
        <v>233</v>
      </c>
      <c r="F1454" s="18" t="s">
        <v>4679</v>
      </c>
      <c r="G1454" s="18" t="s">
        <v>486</v>
      </c>
      <c r="H1454" s="18" t="s">
        <v>162</v>
      </c>
      <c r="I1454" s="18"/>
      <c r="J1454" s="18"/>
      <c r="K1454" s="18"/>
      <c r="L1454" s="18" t="s">
        <v>129</v>
      </c>
      <c r="M1454" s="18" t="s">
        <v>129</v>
      </c>
      <c r="N1454" s="18"/>
      <c r="O1454" s="18"/>
      <c r="P1454" s="18" t="s">
        <v>6381</v>
      </c>
      <c r="Q1454" s="18" t="s">
        <v>131</v>
      </c>
      <c r="R1454" s="18" t="s">
        <v>6382</v>
      </c>
      <c r="S1454" s="18" t="s">
        <v>133</v>
      </c>
      <c r="T1454" s="18" t="s">
        <v>6383</v>
      </c>
      <c r="U1454" s="18"/>
      <c r="V1454" s="19" t="s">
        <v>29</v>
      </c>
      <c r="W1454" s="19"/>
      <c r="X1454" s="19"/>
      <c r="Y1454" s="20"/>
      <c r="Z1454" s="19"/>
      <c r="AA1454" s="18" t="str">
        <f aca="false">IF(OR(V1454="Aprobada"),R1454,IF(AND(OR(V1454="Aprobada con ajuste",V1454="Rechazada"),W1454&lt;&gt;""),W1454,""))</f>
        <v/>
      </c>
    </row>
    <row r="1455" customFormat="false" ht="32.8" hidden="false" customHeight="false" outlineLevel="0" collapsed="false">
      <c r="A1455" s="18" t="s">
        <v>6384</v>
      </c>
      <c r="B1455" s="18" t="s">
        <v>64</v>
      </c>
      <c r="C1455" s="18" t="s">
        <v>65</v>
      </c>
      <c r="D1455" s="18" t="s">
        <v>6368</v>
      </c>
      <c r="E1455" s="18" t="n">
        <v>233</v>
      </c>
      <c r="F1455" s="18" t="s">
        <v>6385</v>
      </c>
      <c r="G1455" s="18" t="s">
        <v>180</v>
      </c>
      <c r="H1455" s="18" t="s">
        <v>129</v>
      </c>
      <c r="I1455" s="18"/>
      <c r="J1455" s="18"/>
      <c r="K1455" s="18"/>
      <c r="L1455" s="18" t="s">
        <v>129</v>
      </c>
      <c r="M1455" s="18" t="s">
        <v>129</v>
      </c>
      <c r="N1455" s="18"/>
      <c r="O1455" s="18"/>
      <c r="P1455" s="18" t="s">
        <v>6386</v>
      </c>
      <c r="Q1455" s="18" t="s">
        <v>131</v>
      </c>
      <c r="R1455" s="18" t="s">
        <v>6387</v>
      </c>
      <c r="S1455" s="18" t="s">
        <v>133</v>
      </c>
      <c r="T1455" s="18" t="s">
        <v>6388</v>
      </c>
      <c r="U1455" s="18"/>
      <c r="V1455" s="19" t="s">
        <v>29</v>
      </c>
      <c r="W1455" s="19"/>
      <c r="X1455" s="19"/>
      <c r="Y1455" s="20"/>
      <c r="Z1455" s="19"/>
      <c r="AA1455" s="18" t="str">
        <f aca="false">IF(OR(V1455="Aprobada"),R1455,IF(AND(OR(V1455="Aprobada con ajuste",V1455="Rechazada"),W1455&lt;&gt;""),W1455,""))</f>
        <v/>
      </c>
    </row>
    <row r="1456" customFormat="false" ht="32.8" hidden="false" customHeight="false" outlineLevel="0" collapsed="false">
      <c r="A1456" s="18" t="s">
        <v>6389</v>
      </c>
      <c r="B1456" s="18" t="s">
        <v>64</v>
      </c>
      <c r="C1456" s="18" t="s">
        <v>65</v>
      </c>
      <c r="D1456" s="18" t="s">
        <v>6368</v>
      </c>
      <c r="E1456" s="18" t="n">
        <v>233</v>
      </c>
      <c r="F1456" s="18" t="s">
        <v>6390</v>
      </c>
      <c r="G1456" s="18" t="s">
        <v>584</v>
      </c>
      <c r="H1456" s="18" t="s">
        <v>129</v>
      </c>
      <c r="I1456" s="18"/>
      <c r="J1456" s="18"/>
      <c r="K1456" s="18"/>
      <c r="L1456" s="18" t="s">
        <v>129</v>
      </c>
      <c r="M1456" s="18" t="s">
        <v>129</v>
      </c>
      <c r="N1456" s="18"/>
      <c r="O1456" s="18"/>
      <c r="P1456" s="18" t="s">
        <v>6391</v>
      </c>
      <c r="Q1456" s="18" t="s">
        <v>131</v>
      </c>
      <c r="R1456" s="18" t="s">
        <v>6392</v>
      </c>
      <c r="S1456" s="18" t="s">
        <v>133</v>
      </c>
      <c r="T1456" s="18" t="s">
        <v>6393</v>
      </c>
      <c r="U1456" s="18"/>
      <c r="V1456" s="19" t="s">
        <v>29</v>
      </c>
      <c r="W1456" s="19"/>
      <c r="X1456" s="19"/>
      <c r="Y1456" s="20"/>
      <c r="Z1456" s="19"/>
      <c r="AA1456" s="18" t="str">
        <f aca="false">IF(OR(V1456="Aprobada"),R1456,IF(AND(OR(V1456="Aprobada con ajuste",V1456="Rechazada"),W1456&lt;&gt;""),W1456,""))</f>
        <v/>
      </c>
    </row>
    <row r="1457" customFormat="false" ht="32.8" hidden="false" customHeight="false" outlineLevel="0" collapsed="false">
      <c r="A1457" s="18" t="s">
        <v>6394</v>
      </c>
      <c r="B1457" s="18" t="s">
        <v>64</v>
      </c>
      <c r="C1457" s="18" t="s">
        <v>65</v>
      </c>
      <c r="D1457" s="18" t="s">
        <v>6368</v>
      </c>
      <c r="E1457" s="18" t="n">
        <v>233</v>
      </c>
      <c r="F1457" s="18" t="s">
        <v>4752</v>
      </c>
      <c r="G1457" s="18" t="s">
        <v>503</v>
      </c>
      <c r="H1457" s="18" t="s">
        <v>129</v>
      </c>
      <c r="I1457" s="18"/>
      <c r="J1457" s="18"/>
      <c r="K1457" s="18"/>
      <c r="L1457" s="18" t="s">
        <v>129</v>
      </c>
      <c r="M1457" s="18" t="s">
        <v>129</v>
      </c>
      <c r="N1457" s="18"/>
      <c r="O1457" s="18"/>
      <c r="P1457" s="18" t="s">
        <v>6395</v>
      </c>
      <c r="Q1457" s="18" t="s">
        <v>131</v>
      </c>
      <c r="R1457" s="18" t="s">
        <v>6396</v>
      </c>
      <c r="S1457" s="18" t="s">
        <v>133</v>
      </c>
      <c r="T1457" s="18" t="s">
        <v>6397</v>
      </c>
      <c r="U1457" s="18"/>
      <c r="V1457" s="19" t="s">
        <v>29</v>
      </c>
      <c r="W1457" s="19"/>
      <c r="X1457" s="19"/>
      <c r="Y1457" s="20"/>
      <c r="Z1457" s="19"/>
      <c r="AA1457" s="18" t="str">
        <f aca="false">IF(OR(V1457="Aprobada"),R1457,IF(AND(OR(V1457="Aprobada con ajuste",V1457="Rechazada"),W1457&lt;&gt;""),W1457,""))</f>
        <v/>
      </c>
    </row>
    <row r="1458" customFormat="false" ht="32.8" hidden="false" customHeight="false" outlineLevel="0" collapsed="false">
      <c r="A1458" s="18" t="s">
        <v>6398</v>
      </c>
      <c r="B1458" s="18" t="s">
        <v>64</v>
      </c>
      <c r="C1458" s="18" t="s">
        <v>65</v>
      </c>
      <c r="D1458" s="18" t="s">
        <v>6368</v>
      </c>
      <c r="E1458" s="18" t="n">
        <v>233</v>
      </c>
      <c r="F1458" s="18" t="s">
        <v>6399</v>
      </c>
      <c r="G1458" s="18" t="s">
        <v>205</v>
      </c>
      <c r="H1458" s="18" t="s">
        <v>162</v>
      </c>
      <c r="I1458" s="18" t="s">
        <v>298</v>
      </c>
      <c r="J1458" s="18" t="s">
        <v>6400</v>
      </c>
      <c r="K1458" s="18"/>
      <c r="L1458" s="18" t="s">
        <v>162</v>
      </c>
      <c r="M1458" s="18" t="s">
        <v>129</v>
      </c>
      <c r="N1458" s="18"/>
      <c r="O1458" s="18"/>
      <c r="P1458" s="18" t="s">
        <v>6401</v>
      </c>
      <c r="Q1458" s="18" t="s">
        <v>131</v>
      </c>
      <c r="R1458" s="18" t="s">
        <v>6402</v>
      </c>
      <c r="S1458" s="18" t="s">
        <v>133</v>
      </c>
      <c r="T1458" s="18" t="s">
        <v>6403</v>
      </c>
      <c r="U1458" s="18"/>
      <c r="V1458" s="19" t="s">
        <v>29</v>
      </c>
      <c r="W1458" s="19"/>
      <c r="X1458" s="19"/>
      <c r="Y1458" s="20"/>
      <c r="Z1458" s="19"/>
      <c r="AA1458" s="18" t="str">
        <f aca="false">IF(OR(V1458="Aprobada"),R1458,IF(AND(OR(V1458="Aprobada con ajuste",V1458="Rechazada"),W1458&lt;&gt;""),W1458,""))</f>
        <v/>
      </c>
    </row>
    <row r="1459" customFormat="false" ht="32.8" hidden="false" customHeight="false" outlineLevel="0" collapsed="false">
      <c r="A1459" s="18" t="s">
        <v>6404</v>
      </c>
      <c r="B1459" s="18" t="s">
        <v>64</v>
      </c>
      <c r="C1459" s="18" t="s">
        <v>65</v>
      </c>
      <c r="D1459" s="18" t="s">
        <v>6368</v>
      </c>
      <c r="E1459" s="18" t="n">
        <v>233</v>
      </c>
      <c r="F1459" s="18" t="s">
        <v>326</v>
      </c>
      <c r="G1459" s="18" t="s">
        <v>584</v>
      </c>
      <c r="H1459" s="18" t="s">
        <v>129</v>
      </c>
      <c r="I1459" s="18"/>
      <c r="J1459" s="18"/>
      <c r="K1459" s="18"/>
      <c r="L1459" s="18" t="s">
        <v>129</v>
      </c>
      <c r="M1459" s="18" t="s">
        <v>129</v>
      </c>
      <c r="N1459" s="18"/>
      <c r="O1459" s="18" t="s">
        <v>6405</v>
      </c>
      <c r="P1459" s="18" t="s">
        <v>6406</v>
      </c>
      <c r="Q1459" s="18" t="s">
        <v>131</v>
      </c>
      <c r="R1459" s="18" t="s">
        <v>6407</v>
      </c>
      <c r="S1459" s="18" t="s">
        <v>133</v>
      </c>
      <c r="T1459" s="18" t="s">
        <v>6408</v>
      </c>
      <c r="U1459" s="18"/>
      <c r="V1459" s="19" t="s">
        <v>29</v>
      </c>
      <c r="W1459" s="19"/>
      <c r="X1459" s="19"/>
      <c r="Y1459" s="20"/>
      <c r="Z1459" s="19"/>
      <c r="AA1459" s="18" t="str">
        <f aca="false">IF(OR(V1459="Aprobada"),R1459,IF(AND(OR(V1459="Aprobada con ajuste",V1459="Rechazada"),W1459&lt;&gt;""),W1459,""))</f>
        <v/>
      </c>
    </row>
    <row r="1460" customFormat="false" ht="32.8" hidden="false" customHeight="false" outlineLevel="0" collapsed="false">
      <c r="A1460" s="18" t="s">
        <v>6409</v>
      </c>
      <c r="B1460" s="18" t="s">
        <v>64</v>
      </c>
      <c r="C1460" s="18" t="s">
        <v>65</v>
      </c>
      <c r="D1460" s="18" t="s">
        <v>6368</v>
      </c>
      <c r="E1460" s="18" t="n">
        <v>233</v>
      </c>
      <c r="F1460" s="18" t="s">
        <v>6410</v>
      </c>
      <c r="G1460" s="18" t="s">
        <v>584</v>
      </c>
      <c r="H1460" s="18" t="s">
        <v>162</v>
      </c>
      <c r="I1460" s="18"/>
      <c r="J1460" s="18"/>
      <c r="K1460" s="18"/>
      <c r="L1460" s="18" t="s">
        <v>129</v>
      </c>
      <c r="M1460" s="18" t="s">
        <v>129</v>
      </c>
      <c r="N1460" s="18"/>
      <c r="O1460" s="18"/>
      <c r="P1460" s="18" t="s">
        <v>6411</v>
      </c>
      <c r="Q1460" s="18" t="s">
        <v>131</v>
      </c>
      <c r="R1460" s="18" t="s">
        <v>6412</v>
      </c>
      <c r="S1460" s="18" t="s">
        <v>133</v>
      </c>
      <c r="T1460" s="18" t="s">
        <v>6413</v>
      </c>
      <c r="U1460" s="18"/>
      <c r="V1460" s="19" t="s">
        <v>29</v>
      </c>
      <c r="W1460" s="19"/>
      <c r="X1460" s="19"/>
      <c r="Y1460" s="20"/>
      <c r="Z1460" s="19"/>
      <c r="AA1460" s="18" t="str">
        <f aca="false">IF(OR(V1460="Aprobada"),R1460,IF(AND(OR(V1460="Aprobada con ajuste",V1460="Rechazada"),W1460&lt;&gt;""),W1460,""))</f>
        <v/>
      </c>
    </row>
    <row r="1461" customFormat="false" ht="32.8" hidden="false" customHeight="false" outlineLevel="0" collapsed="false">
      <c r="A1461" s="18" t="s">
        <v>6414</v>
      </c>
      <c r="B1461" s="18" t="s">
        <v>64</v>
      </c>
      <c r="C1461" s="18" t="s">
        <v>65</v>
      </c>
      <c r="D1461" s="18" t="s">
        <v>6368</v>
      </c>
      <c r="E1461" s="18" t="n">
        <v>233</v>
      </c>
      <c r="F1461" s="18" t="s">
        <v>6415</v>
      </c>
      <c r="G1461" s="18" t="s">
        <v>584</v>
      </c>
      <c r="H1461" s="18" t="s">
        <v>162</v>
      </c>
      <c r="I1461" s="18"/>
      <c r="J1461" s="18"/>
      <c r="K1461" s="18"/>
      <c r="L1461" s="18" t="s">
        <v>129</v>
      </c>
      <c r="M1461" s="18" t="s">
        <v>129</v>
      </c>
      <c r="N1461" s="18"/>
      <c r="O1461" s="18"/>
      <c r="P1461" s="18" t="s">
        <v>6416</v>
      </c>
      <c r="Q1461" s="18" t="s">
        <v>131</v>
      </c>
      <c r="R1461" s="18" t="s">
        <v>6417</v>
      </c>
      <c r="S1461" s="18" t="s">
        <v>133</v>
      </c>
      <c r="T1461" s="18" t="s">
        <v>6418</v>
      </c>
      <c r="U1461" s="18"/>
      <c r="V1461" s="19" t="s">
        <v>29</v>
      </c>
      <c r="W1461" s="19"/>
      <c r="X1461" s="19"/>
      <c r="Y1461" s="20"/>
      <c r="Z1461" s="19"/>
      <c r="AA1461" s="18" t="str">
        <f aca="false">IF(OR(V1461="Aprobada"),R1461,IF(AND(OR(V1461="Aprobada con ajuste",V1461="Rechazada"),W1461&lt;&gt;""),W1461,""))</f>
        <v/>
      </c>
    </row>
    <row r="1462" customFormat="false" ht="32.8" hidden="false" customHeight="false" outlineLevel="0" collapsed="false">
      <c r="A1462" s="18" t="s">
        <v>6419</v>
      </c>
      <c r="B1462" s="18" t="s">
        <v>64</v>
      </c>
      <c r="C1462" s="18" t="s">
        <v>65</v>
      </c>
      <c r="D1462" s="18" t="s">
        <v>6368</v>
      </c>
      <c r="E1462" s="18" t="n">
        <v>233</v>
      </c>
      <c r="F1462" s="18" t="s">
        <v>185</v>
      </c>
      <c r="G1462" s="18" t="s">
        <v>205</v>
      </c>
      <c r="H1462" s="18" t="s">
        <v>162</v>
      </c>
      <c r="I1462" s="18" t="s">
        <v>298</v>
      </c>
      <c r="J1462" s="18" t="s">
        <v>6420</v>
      </c>
      <c r="K1462" s="18"/>
      <c r="L1462" s="18" t="s">
        <v>162</v>
      </c>
      <c r="M1462" s="18" t="s">
        <v>129</v>
      </c>
      <c r="N1462" s="18"/>
      <c r="O1462" s="18" t="s">
        <v>6421</v>
      </c>
      <c r="P1462" s="18" t="s">
        <v>6422</v>
      </c>
      <c r="Q1462" s="18" t="s">
        <v>131</v>
      </c>
      <c r="R1462" s="18" t="s">
        <v>6423</v>
      </c>
      <c r="S1462" s="18" t="s">
        <v>133</v>
      </c>
      <c r="T1462" s="18" t="s">
        <v>801</v>
      </c>
      <c r="U1462" s="18"/>
      <c r="V1462" s="19" t="s">
        <v>29</v>
      </c>
      <c r="W1462" s="19"/>
      <c r="X1462" s="19"/>
      <c r="Y1462" s="20"/>
      <c r="Z1462" s="19"/>
      <c r="AA1462" s="18" t="str">
        <f aca="false">IF(OR(V1462="Aprobada"),R1462,IF(AND(OR(V1462="Aprobada con ajuste",V1462="Rechazada"),W1462&lt;&gt;""),W1462,""))</f>
        <v/>
      </c>
    </row>
    <row r="1463" customFormat="false" ht="22.35" hidden="false" customHeight="false" outlineLevel="0" collapsed="false">
      <c r="A1463" s="18" t="s">
        <v>6424</v>
      </c>
      <c r="B1463" s="18" t="s">
        <v>64</v>
      </c>
      <c r="C1463" s="18" t="s">
        <v>65</v>
      </c>
      <c r="D1463" s="18" t="s">
        <v>6368</v>
      </c>
      <c r="E1463" s="18" t="n">
        <v>233</v>
      </c>
      <c r="F1463" s="18" t="s">
        <v>4777</v>
      </c>
      <c r="G1463" s="18" t="s">
        <v>828</v>
      </c>
      <c r="H1463" s="18" t="s">
        <v>162</v>
      </c>
      <c r="I1463" s="18" t="s">
        <v>298</v>
      </c>
      <c r="J1463" s="18" t="s">
        <v>6425</v>
      </c>
      <c r="K1463" s="18"/>
      <c r="L1463" s="18" t="s">
        <v>162</v>
      </c>
      <c r="M1463" s="18" t="s">
        <v>129</v>
      </c>
      <c r="N1463" s="18"/>
      <c r="O1463" s="18"/>
      <c r="P1463" s="18" t="s">
        <v>6426</v>
      </c>
      <c r="Q1463" s="18" t="s">
        <v>149</v>
      </c>
      <c r="R1463" s="18" t="s">
        <v>6427</v>
      </c>
      <c r="S1463" s="18" t="s">
        <v>133</v>
      </c>
      <c r="T1463" s="18" t="s">
        <v>801</v>
      </c>
      <c r="U1463" s="18"/>
      <c r="V1463" s="19" t="s">
        <v>29</v>
      </c>
      <c r="W1463" s="19"/>
      <c r="X1463" s="19"/>
      <c r="Y1463" s="20"/>
      <c r="Z1463" s="19"/>
      <c r="AA1463" s="18" t="str">
        <f aca="false">IF(OR(V1463="Aprobada"),R1463,IF(AND(OR(V1463="Aprobada con ajuste",V1463="Rechazada"),W1463&lt;&gt;""),W1463,""))</f>
        <v/>
      </c>
    </row>
    <row r="1464" customFormat="false" ht="32.8" hidden="false" customHeight="false" outlineLevel="0" collapsed="false">
      <c r="A1464" s="18" t="s">
        <v>6428</v>
      </c>
      <c r="B1464" s="18" t="s">
        <v>64</v>
      </c>
      <c r="C1464" s="18" t="s">
        <v>65</v>
      </c>
      <c r="D1464" s="18" t="s">
        <v>6368</v>
      </c>
      <c r="E1464" s="18" t="n">
        <v>233</v>
      </c>
      <c r="F1464" s="18" t="s">
        <v>4337</v>
      </c>
      <c r="G1464" s="18" t="s">
        <v>312</v>
      </c>
      <c r="H1464" s="18" t="s">
        <v>162</v>
      </c>
      <c r="I1464" s="18"/>
      <c r="J1464" s="18"/>
      <c r="K1464" s="18"/>
      <c r="L1464" s="18" t="s">
        <v>129</v>
      </c>
      <c r="M1464" s="18" t="s">
        <v>129</v>
      </c>
      <c r="N1464" s="18"/>
      <c r="O1464" s="18" t="s">
        <v>6429</v>
      </c>
      <c r="P1464" s="18" t="s">
        <v>6430</v>
      </c>
      <c r="Q1464" s="18" t="s">
        <v>131</v>
      </c>
      <c r="R1464" s="18" t="s">
        <v>6431</v>
      </c>
      <c r="S1464" s="18" t="s">
        <v>133</v>
      </c>
      <c r="T1464" s="18" t="s">
        <v>6432</v>
      </c>
      <c r="U1464" s="18"/>
      <c r="V1464" s="19" t="s">
        <v>29</v>
      </c>
      <c r="W1464" s="19"/>
      <c r="X1464" s="19"/>
      <c r="Y1464" s="20"/>
      <c r="Z1464" s="19"/>
      <c r="AA1464" s="18" t="str">
        <f aca="false">IF(OR(V1464="Aprobada"),R1464,IF(AND(OR(V1464="Aprobada con ajuste",V1464="Rechazada"),W1464&lt;&gt;""),W1464,""))</f>
        <v/>
      </c>
    </row>
    <row r="1465" customFormat="false" ht="22.35" hidden="false" customHeight="false" outlineLevel="0" collapsed="false">
      <c r="A1465" s="18" t="s">
        <v>6433</v>
      </c>
      <c r="B1465" s="18" t="s">
        <v>64</v>
      </c>
      <c r="C1465" s="18" t="s">
        <v>65</v>
      </c>
      <c r="D1465" s="18" t="s">
        <v>6368</v>
      </c>
      <c r="E1465" s="18" t="n">
        <v>233</v>
      </c>
      <c r="F1465" s="18" t="s">
        <v>886</v>
      </c>
      <c r="G1465" s="18" t="s">
        <v>128</v>
      </c>
      <c r="H1465" s="18" t="s">
        <v>162</v>
      </c>
      <c r="I1465" s="18"/>
      <c r="J1465" s="18"/>
      <c r="K1465" s="18"/>
      <c r="L1465" s="18" t="s">
        <v>129</v>
      </c>
      <c r="M1465" s="18" t="s">
        <v>129</v>
      </c>
      <c r="N1465" s="18"/>
      <c r="O1465" s="18"/>
      <c r="P1465" s="18" t="s">
        <v>6434</v>
      </c>
      <c r="Q1465" s="18" t="s">
        <v>131</v>
      </c>
      <c r="R1465" s="18" t="s">
        <v>6435</v>
      </c>
      <c r="S1465" s="18" t="s">
        <v>133</v>
      </c>
      <c r="T1465" s="18" t="s">
        <v>873</v>
      </c>
      <c r="U1465" s="18"/>
      <c r="V1465" s="19" t="s">
        <v>29</v>
      </c>
      <c r="W1465" s="19"/>
      <c r="X1465" s="19"/>
      <c r="Y1465" s="20"/>
      <c r="Z1465" s="19"/>
      <c r="AA1465" s="18" t="str">
        <f aca="false">IF(OR(V1465="Aprobada"),R1465,IF(AND(OR(V1465="Aprobada con ajuste",V1465="Rechazada"),W1465&lt;&gt;""),W1465,""))</f>
        <v/>
      </c>
    </row>
    <row r="1466" customFormat="false" ht="22.35" hidden="false" customHeight="false" outlineLevel="0" collapsed="false">
      <c r="A1466" s="18" t="s">
        <v>6436</v>
      </c>
      <c r="B1466" s="18" t="s">
        <v>64</v>
      </c>
      <c r="C1466" s="18" t="s">
        <v>65</v>
      </c>
      <c r="D1466" s="18" t="s">
        <v>6368</v>
      </c>
      <c r="E1466" s="18" t="n">
        <v>233</v>
      </c>
      <c r="F1466" s="18" t="s">
        <v>6437</v>
      </c>
      <c r="G1466" s="18" t="s">
        <v>584</v>
      </c>
      <c r="H1466" s="18" t="s">
        <v>162</v>
      </c>
      <c r="I1466" s="18"/>
      <c r="J1466" s="18"/>
      <c r="K1466" s="18"/>
      <c r="L1466" s="18" t="s">
        <v>129</v>
      </c>
      <c r="M1466" s="18" t="s">
        <v>129</v>
      </c>
      <c r="N1466" s="18"/>
      <c r="O1466" s="18"/>
      <c r="P1466" s="18" t="s">
        <v>6438</v>
      </c>
      <c r="Q1466" s="18" t="s">
        <v>138</v>
      </c>
      <c r="R1466" s="18" t="s">
        <v>6439</v>
      </c>
      <c r="S1466" s="18" t="s">
        <v>140</v>
      </c>
      <c r="T1466" s="18" t="s">
        <v>141</v>
      </c>
      <c r="U1466" s="18"/>
      <c r="V1466" s="19" t="s">
        <v>29</v>
      </c>
      <c r="W1466" s="19"/>
      <c r="X1466" s="19"/>
      <c r="Y1466" s="20"/>
      <c r="Z1466" s="19"/>
      <c r="AA1466" s="18" t="str">
        <f aca="false">IF(OR(V1466="Aprobada"),R1466,IF(AND(OR(V1466="Aprobada con ajuste",V1466="Rechazada"),W1466&lt;&gt;""),W1466,""))</f>
        <v/>
      </c>
    </row>
    <row r="1467" customFormat="false" ht="22.35" hidden="false" customHeight="false" outlineLevel="0" collapsed="false">
      <c r="A1467" s="18" t="s">
        <v>6440</v>
      </c>
      <c r="B1467" s="18" t="s">
        <v>64</v>
      </c>
      <c r="C1467" s="18" t="s">
        <v>65</v>
      </c>
      <c r="D1467" s="18" t="s">
        <v>6368</v>
      </c>
      <c r="E1467" s="18" t="n">
        <v>233</v>
      </c>
      <c r="F1467" s="18" t="s">
        <v>5700</v>
      </c>
      <c r="G1467" s="18" t="s">
        <v>180</v>
      </c>
      <c r="H1467" s="18" t="s">
        <v>162</v>
      </c>
      <c r="I1467" s="18"/>
      <c r="J1467" s="18"/>
      <c r="K1467" s="18"/>
      <c r="L1467" s="18" t="s">
        <v>129</v>
      </c>
      <c r="M1467" s="18" t="s">
        <v>129</v>
      </c>
      <c r="N1467" s="18"/>
      <c r="O1467" s="18"/>
      <c r="P1467" s="18" t="s">
        <v>6441</v>
      </c>
      <c r="Q1467" s="18" t="s">
        <v>149</v>
      </c>
      <c r="R1467" s="18" t="s">
        <v>6442</v>
      </c>
      <c r="S1467" s="18" t="s">
        <v>133</v>
      </c>
      <c r="T1467" s="18" t="s">
        <v>183</v>
      </c>
      <c r="U1467" s="18"/>
      <c r="V1467" s="19" t="s">
        <v>29</v>
      </c>
      <c r="W1467" s="19"/>
      <c r="X1467" s="19"/>
      <c r="Y1467" s="20"/>
      <c r="Z1467" s="19"/>
      <c r="AA1467" s="18" t="str">
        <f aca="false">IF(OR(V1467="Aprobada"),R1467,IF(AND(OR(V1467="Aprobada con ajuste",V1467="Rechazada"),W1467&lt;&gt;""),W1467,""))</f>
        <v/>
      </c>
    </row>
    <row r="1468" customFormat="false" ht="22.35" hidden="false" customHeight="false" outlineLevel="0" collapsed="false">
      <c r="A1468" s="18" t="s">
        <v>6443</v>
      </c>
      <c r="B1468" s="18" t="s">
        <v>64</v>
      </c>
      <c r="C1468" s="18" t="s">
        <v>65</v>
      </c>
      <c r="D1468" s="18" t="s">
        <v>6368</v>
      </c>
      <c r="E1468" s="18" t="n">
        <v>233</v>
      </c>
      <c r="F1468" s="18" t="s">
        <v>5569</v>
      </c>
      <c r="G1468" s="18" t="s">
        <v>180</v>
      </c>
      <c r="H1468" s="18" t="s">
        <v>162</v>
      </c>
      <c r="I1468" s="18"/>
      <c r="J1468" s="18"/>
      <c r="K1468" s="18"/>
      <c r="L1468" s="18" t="s">
        <v>129</v>
      </c>
      <c r="M1468" s="18" t="s">
        <v>129</v>
      </c>
      <c r="N1468" s="18"/>
      <c r="O1468" s="18"/>
      <c r="P1468" s="18" t="s">
        <v>6444</v>
      </c>
      <c r="Q1468" s="18" t="s">
        <v>149</v>
      </c>
      <c r="R1468" s="18" t="s">
        <v>6445</v>
      </c>
      <c r="S1468" s="18" t="s">
        <v>140</v>
      </c>
      <c r="T1468" s="18" t="s">
        <v>858</v>
      </c>
      <c r="U1468" s="18" t="s">
        <v>6446</v>
      </c>
      <c r="V1468" s="19" t="s">
        <v>29</v>
      </c>
      <c r="W1468" s="19"/>
      <c r="X1468" s="19"/>
      <c r="Y1468" s="20"/>
      <c r="Z1468" s="19"/>
      <c r="AA1468" s="18" t="str">
        <f aca="false">IF(OR(V1468="Aprobada"),R1468,IF(AND(OR(V1468="Aprobada con ajuste",V1468="Rechazada"),W1468&lt;&gt;""),W1468,""))</f>
        <v/>
      </c>
    </row>
    <row r="1469" customFormat="false" ht="22.35" hidden="false" customHeight="false" outlineLevel="0" collapsed="false">
      <c r="A1469" s="18" t="s">
        <v>6447</v>
      </c>
      <c r="B1469" s="18" t="s">
        <v>64</v>
      </c>
      <c r="C1469" s="18" t="s">
        <v>65</v>
      </c>
      <c r="D1469" s="18" t="s">
        <v>6368</v>
      </c>
      <c r="E1469" s="18" t="n">
        <v>233</v>
      </c>
      <c r="F1469" s="18" t="s">
        <v>6448</v>
      </c>
      <c r="G1469" s="18" t="s">
        <v>192</v>
      </c>
      <c r="H1469" s="18" t="s">
        <v>162</v>
      </c>
      <c r="I1469" s="18"/>
      <c r="J1469" s="18"/>
      <c r="K1469" s="18"/>
      <c r="L1469" s="18" t="s">
        <v>129</v>
      </c>
      <c r="M1469" s="18" t="s">
        <v>129</v>
      </c>
      <c r="N1469" s="18"/>
      <c r="O1469" s="18"/>
      <c r="P1469" s="18" t="s">
        <v>6449</v>
      </c>
      <c r="Q1469" s="18" t="s">
        <v>149</v>
      </c>
      <c r="R1469" s="18" t="s">
        <v>6450</v>
      </c>
      <c r="S1469" s="18" t="s">
        <v>140</v>
      </c>
      <c r="T1469" s="18" t="s">
        <v>858</v>
      </c>
      <c r="U1469" s="18" t="s">
        <v>6451</v>
      </c>
      <c r="V1469" s="19" t="s">
        <v>29</v>
      </c>
      <c r="W1469" s="19"/>
      <c r="X1469" s="19"/>
      <c r="Y1469" s="20"/>
      <c r="Z1469" s="19"/>
      <c r="AA1469" s="18" t="str">
        <f aca="false">IF(OR(V1469="Aprobada"),R1469,IF(AND(OR(V1469="Aprobada con ajuste",V1469="Rechazada"),W1469&lt;&gt;""),W1469,""))</f>
        <v/>
      </c>
    </row>
    <row r="1470" customFormat="false" ht="22.35" hidden="false" customHeight="false" outlineLevel="0" collapsed="false">
      <c r="A1470" s="18" t="s">
        <v>6452</v>
      </c>
      <c r="B1470" s="18" t="s">
        <v>64</v>
      </c>
      <c r="C1470" s="18" t="s">
        <v>65</v>
      </c>
      <c r="D1470" s="18" t="s">
        <v>6368</v>
      </c>
      <c r="E1470" s="18" t="n">
        <v>233</v>
      </c>
      <c r="F1470" s="18" t="s">
        <v>6453</v>
      </c>
      <c r="G1470" s="18" t="s">
        <v>180</v>
      </c>
      <c r="H1470" s="18" t="s">
        <v>162</v>
      </c>
      <c r="I1470" s="18"/>
      <c r="J1470" s="18"/>
      <c r="K1470" s="18"/>
      <c r="L1470" s="18" t="s">
        <v>129</v>
      </c>
      <c r="M1470" s="18" t="s">
        <v>129</v>
      </c>
      <c r="N1470" s="18"/>
      <c r="O1470" s="18"/>
      <c r="P1470" s="18" t="s">
        <v>6454</v>
      </c>
      <c r="Q1470" s="18" t="s">
        <v>149</v>
      </c>
      <c r="R1470" s="18" t="s">
        <v>6455</v>
      </c>
      <c r="S1470" s="18" t="s">
        <v>140</v>
      </c>
      <c r="T1470" s="18" t="s">
        <v>858</v>
      </c>
      <c r="U1470" s="18" t="s">
        <v>6456</v>
      </c>
      <c r="V1470" s="19" t="s">
        <v>29</v>
      </c>
      <c r="W1470" s="19"/>
      <c r="X1470" s="19"/>
      <c r="Y1470" s="20"/>
      <c r="Z1470" s="19"/>
      <c r="AA1470" s="18" t="str">
        <f aca="false">IF(OR(V1470="Aprobada"),R1470,IF(AND(OR(V1470="Aprobada con ajuste",V1470="Rechazada"),W1470&lt;&gt;""),W1470,""))</f>
        <v/>
      </c>
    </row>
    <row r="1471" customFormat="false" ht="43.25" hidden="false" customHeight="false" outlineLevel="0" collapsed="false">
      <c r="A1471" s="18" t="s">
        <v>6457</v>
      </c>
      <c r="B1471" s="18" t="s">
        <v>64</v>
      </c>
      <c r="C1471" s="18" t="s">
        <v>65</v>
      </c>
      <c r="D1471" s="18" t="s">
        <v>6368</v>
      </c>
      <c r="E1471" s="18" t="n">
        <v>233</v>
      </c>
      <c r="F1471" s="18" t="s">
        <v>6458</v>
      </c>
      <c r="G1471" s="18" t="s">
        <v>503</v>
      </c>
      <c r="H1471" s="18" t="s">
        <v>162</v>
      </c>
      <c r="I1471" s="18" t="s">
        <v>298</v>
      </c>
      <c r="J1471" s="18"/>
      <c r="K1471" s="18"/>
      <c r="L1471" s="18" t="s">
        <v>129</v>
      </c>
      <c r="M1471" s="18" t="s">
        <v>129</v>
      </c>
      <c r="N1471" s="18"/>
      <c r="O1471" s="18"/>
      <c r="P1471" s="18" t="s">
        <v>6459</v>
      </c>
      <c r="Q1471" s="18" t="s">
        <v>131</v>
      </c>
      <c r="R1471" s="18" t="s">
        <v>6460</v>
      </c>
      <c r="S1471" s="18" t="s">
        <v>133</v>
      </c>
      <c r="T1471" s="18" t="s">
        <v>6461</v>
      </c>
      <c r="U1471" s="18"/>
      <c r="V1471" s="19" t="s">
        <v>29</v>
      </c>
      <c r="W1471" s="19"/>
      <c r="X1471" s="19"/>
      <c r="Y1471" s="20"/>
      <c r="Z1471" s="19"/>
      <c r="AA1471" s="18" t="str">
        <f aca="false">IF(OR(V1471="Aprobada"),R1471,IF(AND(OR(V1471="Aprobada con ajuste",V1471="Rechazada"),W1471&lt;&gt;""),W1471,""))</f>
        <v/>
      </c>
    </row>
    <row r="1472" customFormat="false" ht="43.25" hidden="false" customHeight="false" outlineLevel="0" collapsed="false">
      <c r="A1472" s="18" t="s">
        <v>6462</v>
      </c>
      <c r="B1472" s="18" t="s">
        <v>64</v>
      </c>
      <c r="C1472" s="18" t="s">
        <v>65</v>
      </c>
      <c r="D1472" s="18" t="s">
        <v>6368</v>
      </c>
      <c r="E1472" s="18" t="n">
        <v>233</v>
      </c>
      <c r="F1472" s="18" t="s">
        <v>6463</v>
      </c>
      <c r="G1472" s="18" t="s">
        <v>503</v>
      </c>
      <c r="H1472" s="18" t="s">
        <v>162</v>
      </c>
      <c r="I1472" s="18" t="s">
        <v>298</v>
      </c>
      <c r="J1472" s="18"/>
      <c r="K1472" s="18"/>
      <c r="L1472" s="18" t="s">
        <v>129</v>
      </c>
      <c r="M1472" s="18" t="s">
        <v>129</v>
      </c>
      <c r="N1472" s="18"/>
      <c r="O1472" s="18"/>
      <c r="P1472" s="18" t="s">
        <v>6464</v>
      </c>
      <c r="Q1472" s="18" t="s">
        <v>131</v>
      </c>
      <c r="R1472" s="18" t="s">
        <v>6465</v>
      </c>
      <c r="S1472" s="18" t="s">
        <v>133</v>
      </c>
      <c r="T1472" s="18" t="s">
        <v>6466</v>
      </c>
      <c r="U1472" s="18"/>
      <c r="V1472" s="19" t="s">
        <v>29</v>
      </c>
      <c r="W1472" s="19"/>
      <c r="X1472" s="19"/>
      <c r="Y1472" s="20"/>
      <c r="Z1472" s="19"/>
      <c r="AA1472" s="18" t="str">
        <f aca="false">IF(OR(V1472="Aprobada"),R1472,IF(AND(OR(V1472="Aprobada con ajuste",V1472="Rechazada"),W1472&lt;&gt;""),W1472,""))</f>
        <v/>
      </c>
    </row>
    <row r="1473" customFormat="false" ht="43.25" hidden="false" customHeight="false" outlineLevel="0" collapsed="false">
      <c r="A1473" s="18" t="s">
        <v>6467</v>
      </c>
      <c r="B1473" s="18" t="s">
        <v>64</v>
      </c>
      <c r="C1473" s="18" t="s">
        <v>65</v>
      </c>
      <c r="D1473" s="18" t="s">
        <v>6368</v>
      </c>
      <c r="E1473" s="18" t="n">
        <v>233</v>
      </c>
      <c r="F1473" s="18" t="s">
        <v>6468</v>
      </c>
      <c r="G1473" s="18" t="s">
        <v>584</v>
      </c>
      <c r="H1473" s="18" t="s">
        <v>162</v>
      </c>
      <c r="I1473" s="18"/>
      <c r="J1473" s="18"/>
      <c r="K1473" s="18"/>
      <c r="L1473" s="18" t="s">
        <v>129</v>
      </c>
      <c r="M1473" s="18" t="s">
        <v>129</v>
      </c>
      <c r="N1473" s="18"/>
      <c r="O1473" s="18" t="s">
        <v>6469</v>
      </c>
      <c r="P1473" s="18" t="s">
        <v>6470</v>
      </c>
      <c r="Q1473" s="18" t="s">
        <v>131</v>
      </c>
      <c r="R1473" s="18" t="s">
        <v>6471</v>
      </c>
      <c r="S1473" s="18" t="s">
        <v>133</v>
      </c>
      <c r="T1473" s="18" t="s">
        <v>6472</v>
      </c>
      <c r="U1473" s="18"/>
      <c r="V1473" s="19" t="s">
        <v>29</v>
      </c>
      <c r="W1473" s="19"/>
      <c r="X1473" s="19"/>
      <c r="Y1473" s="20"/>
      <c r="Z1473" s="19"/>
      <c r="AA1473" s="18" t="str">
        <f aca="false">IF(OR(V1473="Aprobada"),R1473,IF(AND(OR(V1473="Aprobada con ajuste",V1473="Rechazada"),W1473&lt;&gt;""),W1473,""))</f>
        <v/>
      </c>
    </row>
    <row r="1474" customFormat="false" ht="32.8" hidden="false" customHeight="false" outlineLevel="0" collapsed="false">
      <c r="A1474" s="18" t="s">
        <v>6473</v>
      </c>
      <c r="B1474" s="18" t="s">
        <v>64</v>
      </c>
      <c r="C1474" s="18" t="s">
        <v>65</v>
      </c>
      <c r="D1474" s="18" t="s">
        <v>6368</v>
      </c>
      <c r="E1474" s="18" t="n">
        <v>233</v>
      </c>
      <c r="F1474" s="18" t="s">
        <v>6474</v>
      </c>
      <c r="G1474" s="18" t="s">
        <v>584</v>
      </c>
      <c r="H1474" s="18" t="s">
        <v>162</v>
      </c>
      <c r="I1474" s="18"/>
      <c r="J1474" s="18"/>
      <c r="K1474" s="18"/>
      <c r="L1474" s="18" t="s">
        <v>129</v>
      </c>
      <c r="M1474" s="18" t="s">
        <v>129</v>
      </c>
      <c r="N1474" s="18"/>
      <c r="O1474" s="18"/>
      <c r="P1474" s="18" t="s">
        <v>6475</v>
      </c>
      <c r="Q1474" s="18" t="s">
        <v>131</v>
      </c>
      <c r="R1474" s="18" t="s">
        <v>6476</v>
      </c>
      <c r="S1474" s="18" t="s">
        <v>133</v>
      </c>
      <c r="T1474" s="18" t="s">
        <v>6477</v>
      </c>
      <c r="U1474" s="18"/>
      <c r="V1474" s="19" t="s">
        <v>29</v>
      </c>
      <c r="W1474" s="19"/>
      <c r="X1474" s="19"/>
      <c r="Y1474" s="20"/>
      <c r="Z1474" s="19"/>
      <c r="AA1474" s="18" t="str">
        <f aca="false">IF(OR(V1474="Aprobada"),R1474,IF(AND(OR(V1474="Aprobada con ajuste",V1474="Rechazada"),W1474&lt;&gt;""),W1474,""))</f>
        <v/>
      </c>
    </row>
    <row r="1475" customFormat="false" ht="22.35" hidden="false" customHeight="false" outlineLevel="0" collapsed="false">
      <c r="A1475" s="18" t="s">
        <v>6478</v>
      </c>
      <c r="B1475" s="18" t="s">
        <v>64</v>
      </c>
      <c r="C1475" s="18" t="s">
        <v>65</v>
      </c>
      <c r="D1475" s="18" t="s">
        <v>6479</v>
      </c>
      <c r="E1475" s="18" t="n">
        <v>2</v>
      </c>
      <c r="F1475" s="18" t="s">
        <v>6480</v>
      </c>
      <c r="G1475" s="18" t="s">
        <v>503</v>
      </c>
      <c r="H1475" s="18" t="s">
        <v>129</v>
      </c>
      <c r="I1475" s="18" t="s">
        <v>1101</v>
      </c>
      <c r="J1475" s="18"/>
      <c r="K1475" s="18"/>
      <c r="L1475" s="18" t="s">
        <v>129</v>
      </c>
      <c r="M1475" s="18" t="s">
        <v>129</v>
      </c>
      <c r="N1475" s="18"/>
      <c r="O1475" s="18" t="s">
        <v>6481</v>
      </c>
      <c r="P1475" s="18" t="s">
        <v>6482</v>
      </c>
      <c r="Q1475" s="18" t="s">
        <v>149</v>
      </c>
      <c r="R1475" s="18" t="s">
        <v>6483</v>
      </c>
      <c r="S1475" s="18" t="s">
        <v>133</v>
      </c>
      <c r="T1475" s="18" t="s">
        <v>6484</v>
      </c>
      <c r="U1475" s="18"/>
      <c r="V1475" s="19" t="s">
        <v>29</v>
      </c>
      <c r="W1475" s="19"/>
      <c r="X1475" s="19"/>
      <c r="Y1475" s="20"/>
      <c r="Z1475" s="19"/>
      <c r="AA1475" s="18" t="str">
        <f aca="false">IF(OR(V1475="Aprobada"),R1475,IF(AND(OR(V1475="Aprobada con ajuste",V1475="Rechazada"),W1475&lt;&gt;""),W1475,""))</f>
        <v/>
      </c>
    </row>
    <row r="1476" customFormat="false" ht="22.35" hidden="false" customHeight="false" outlineLevel="0" collapsed="false">
      <c r="A1476" s="18" t="s">
        <v>6485</v>
      </c>
      <c r="B1476" s="18" t="s">
        <v>64</v>
      </c>
      <c r="C1476" s="18" t="s">
        <v>65</v>
      </c>
      <c r="D1476" s="18" t="s">
        <v>6479</v>
      </c>
      <c r="E1476" s="18" t="n">
        <v>2</v>
      </c>
      <c r="F1476" s="18" t="s">
        <v>1688</v>
      </c>
      <c r="G1476" s="18" t="s">
        <v>173</v>
      </c>
      <c r="H1476" s="18" t="s">
        <v>129</v>
      </c>
      <c r="I1476" s="18"/>
      <c r="J1476" s="18"/>
      <c r="K1476" s="18"/>
      <c r="L1476" s="18" t="s">
        <v>129</v>
      </c>
      <c r="M1476" s="18" t="s">
        <v>129</v>
      </c>
      <c r="N1476" s="18"/>
      <c r="O1476" s="18" t="s">
        <v>6486</v>
      </c>
      <c r="P1476" s="18" t="s">
        <v>6487</v>
      </c>
      <c r="Q1476" s="18" t="s">
        <v>138</v>
      </c>
      <c r="R1476" s="18" t="s">
        <v>176</v>
      </c>
      <c r="S1476" s="18" t="s">
        <v>140</v>
      </c>
      <c r="T1476" s="18" t="s">
        <v>141</v>
      </c>
      <c r="U1476" s="18"/>
      <c r="V1476" s="19" t="s">
        <v>29</v>
      </c>
      <c r="W1476" s="19"/>
      <c r="X1476" s="19"/>
      <c r="Y1476" s="20"/>
      <c r="Z1476" s="19"/>
      <c r="AA1476" s="18" t="str">
        <f aca="false">IF(OR(V1476="Aprobada"),R1476,IF(AND(OR(V1476="Aprobada con ajuste",V1476="Rechazada"),W1476&lt;&gt;""),W1476,""))</f>
        <v/>
      </c>
    </row>
    <row r="1477" customFormat="false" ht="22.35" hidden="false" customHeight="false" outlineLevel="0" collapsed="false">
      <c r="A1477" s="18" t="s">
        <v>6488</v>
      </c>
      <c r="B1477" s="18" t="s">
        <v>64</v>
      </c>
      <c r="C1477" s="18" t="s">
        <v>65</v>
      </c>
      <c r="D1477" s="18" t="s">
        <v>6479</v>
      </c>
      <c r="E1477" s="18" t="n">
        <v>2</v>
      </c>
      <c r="F1477" s="18" t="s">
        <v>6489</v>
      </c>
      <c r="G1477" s="18" t="s">
        <v>173</v>
      </c>
      <c r="H1477" s="18" t="s">
        <v>129</v>
      </c>
      <c r="I1477" s="18"/>
      <c r="J1477" s="18"/>
      <c r="K1477" s="18"/>
      <c r="L1477" s="18" t="s">
        <v>129</v>
      </c>
      <c r="M1477" s="18" t="s">
        <v>129</v>
      </c>
      <c r="N1477" s="18"/>
      <c r="O1477" s="18"/>
      <c r="P1477" s="18" t="s">
        <v>6490</v>
      </c>
      <c r="Q1477" s="18" t="s">
        <v>138</v>
      </c>
      <c r="R1477" s="18" t="s">
        <v>6491</v>
      </c>
      <c r="S1477" s="18" t="s">
        <v>140</v>
      </c>
      <c r="T1477" s="18" t="s">
        <v>141</v>
      </c>
      <c r="U1477" s="18"/>
      <c r="V1477" s="19" t="s">
        <v>29</v>
      </c>
      <c r="W1477" s="19"/>
      <c r="X1477" s="19"/>
      <c r="Y1477" s="20"/>
      <c r="Z1477" s="19"/>
      <c r="AA1477" s="18" t="str">
        <f aca="false">IF(OR(V1477="Aprobada"),R1477,IF(AND(OR(V1477="Aprobada con ajuste",V1477="Rechazada"),W1477&lt;&gt;""),W1477,""))</f>
        <v/>
      </c>
    </row>
    <row r="1478" customFormat="false" ht="22.35" hidden="false" customHeight="false" outlineLevel="0" collapsed="false">
      <c r="A1478" s="18" t="s">
        <v>6492</v>
      </c>
      <c r="B1478" s="18" t="s">
        <v>64</v>
      </c>
      <c r="C1478" s="18" t="s">
        <v>65</v>
      </c>
      <c r="D1478" s="18" t="s">
        <v>6479</v>
      </c>
      <c r="E1478" s="18" t="n">
        <v>2</v>
      </c>
      <c r="F1478" s="18" t="s">
        <v>6493</v>
      </c>
      <c r="G1478" s="18" t="s">
        <v>173</v>
      </c>
      <c r="H1478" s="18" t="s">
        <v>129</v>
      </c>
      <c r="I1478" s="18"/>
      <c r="J1478" s="18"/>
      <c r="K1478" s="18"/>
      <c r="L1478" s="18" t="s">
        <v>129</v>
      </c>
      <c r="M1478" s="18" t="s">
        <v>129</v>
      </c>
      <c r="N1478" s="18"/>
      <c r="O1478" s="18"/>
      <c r="P1478" s="18" t="s">
        <v>6494</v>
      </c>
      <c r="Q1478" s="18" t="s">
        <v>138</v>
      </c>
      <c r="R1478" s="18" t="s">
        <v>6495</v>
      </c>
      <c r="S1478" s="18" t="s">
        <v>140</v>
      </c>
      <c r="T1478" s="18" t="s">
        <v>141</v>
      </c>
      <c r="U1478" s="18"/>
      <c r="V1478" s="19" t="s">
        <v>29</v>
      </c>
      <c r="W1478" s="19"/>
      <c r="X1478" s="19"/>
      <c r="Y1478" s="20"/>
      <c r="Z1478" s="19"/>
      <c r="AA1478" s="18" t="str">
        <f aca="false">IF(OR(V1478="Aprobada"),R1478,IF(AND(OR(V1478="Aprobada con ajuste",V1478="Rechazada"),W1478&lt;&gt;""),W1478,""))</f>
        <v/>
      </c>
    </row>
    <row r="1479" customFormat="false" ht="22.35" hidden="false" customHeight="false" outlineLevel="0" collapsed="false">
      <c r="A1479" s="18" t="s">
        <v>6496</v>
      </c>
      <c r="B1479" s="18" t="s">
        <v>64</v>
      </c>
      <c r="C1479" s="18" t="s">
        <v>65</v>
      </c>
      <c r="D1479" s="18" t="s">
        <v>6479</v>
      </c>
      <c r="E1479" s="18" t="n">
        <v>2</v>
      </c>
      <c r="F1479" s="18" t="s">
        <v>160</v>
      </c>
      <c r="G1479" s="18" t="s">
        <v>180</v>
      </c>
      <c r="H1479" s="18" t="s">
        <v>162</v>
      </c>
      <c r="I1479" s="18"/>
      <c r="J1479" s="18"/>
      <c r="K1479" s="18"/>
      <c r="L1479" s="18" t="s">
        <v>129</v>
      </c>
      <c r="M1479" s="18" t="s">
        <v>129</v>
      </c>
      <c r="N1479" s="18"/>
      <c r="O1479" s="18"/>
      <c r="P1479" s="18" t="s">
        <v>6497</v>
      </c>
      <c r="Q1479" s="18" t="s">
        <v>138</v>
      </c>
      <c r="R1479" s="18" t="s">
        <v>6498</v>
      </c>
      <c r="S1479" s="18" t="s">
        <v>140</v>
      </c>
      <c r="T1479" s="18" t="s">
        <v>141</v>
      </c>
      <c r="U1479" s="18"/>
      <c r="V1479" s="19" t="s">
        <v>29</v>
      </c>
      <c r="W1479" s="19"/>
      <c r="X1479" s="19"/>
      <c r="Y1479" s="20"/>
      <c r="Z1479" s="19"/>
      <c r="AA1479" s="18" t="str">
        <f aca="false">IF(OR(V1479="Aprobada"),R1479,IF(AND(OR(V1479="Aprobada con ajuste",V1479="Rechazada"),W1479&lt;&gt;""),W1479,""))</f>
        <v/>
      </c>
    </row>
    <row r="1480" customFormat="false" ht="105.95" hidden="false" customHeight="false" outlineLevel="0" collapsed="false">
      <c r="A1480" s="18" t="s">
        <v>6499</v>
      </c>
      <c r="B1480" s="18" t="s">
        <v>66</v>
      </c>
      <c r="C1480" s="18" t="s">
        <v>67</v>
      </c>
      <c r="D1480" s="18" t="s">
        <v>5475</v>
      </c>
      <c r="E1480" s="18" t="n">
        <v>29</v>
      </c>
      <c r="F1480" s="18" t="s">
        <v>160</v>
      </c>
      <c r="G1480" s="18" t="s">
        <v>128</v>
      </c>
      <c r="H1480" s="18" t="s">
        <v>129</v>
      </c>
      <c r="I1480" s="18"/>
      <c r="J1480" s="18"/>
      <c r="K1480" s="18"/>
      <c r="L1480" s="18" t="s">
        <v>129</v>
      </c>
      <c r="M1480" s="18" t="s">
        <v>162</v>
      </c>
      <c r="N1480" s="18" t="s">
        <v>6500</v>
      </c>
      <c r="O1480" s="18"/>
      <c r="P1480" s="18" t="s">
        <v>6501</v>
      </c>
      <c r="Q1480" s="18" t="s">
        <v>138</v>
      </c>
      <c r="R1480" s="18" t="s">
        <v>6502</v>
      </c>
      <c r="S1480" s="18" t="s">
        <v>140</v>
      </c>
      <c r="T1480" s="18" t="s">
        <v>141</v>
      </c>
      <c r="U1480" s="18"/>
      <c r="V1480" s="19" t="s">
        <v>29</v>
      </c>
      <c r="W1480" s="19"/>
      <c r="X1480" s="19"/>
      <c r="Y1480" s="20"/>
      <c r="Z1480" s="19"/>
      <c r="AA1480" s="18" t="str">
        <f aca="false">IF(OR(V1480="Aprobada"),R1480,IF(AND(OR(V1480="Aprobada con ajuste",V1480="Rechazada"),W1480&lt;&gt;""),W1480,""))</f>
        <v/>
      </c>
    </row>
    <row r="1481" customFormat="false" ht="85.05" hidden="false" customHeight="false" outlineLevel="0" collapsed="false">
      <c r="A1481" s="18" t="s">
        <v>6503</v>
      </c>
      <c r="B1481" s="18" t="s">
        <v>66</v>
      </c>
      <c r="C1481" s="18" t="s">
        <v>67</v>
      </c>
      <c r="D1481" s="18" t="s">
        <v>5475</v>
      </c>
      <c r="E1481" s="18" t="n">
        <v>29</v>
      </c>
      <c r="F1481" s="18" t="s">
        <v>127</v>
      </c>
      <c r="G1481" s="18" t="s">
        <v>145</v>
      </c>
      <c r="H1481" s="18" t="s">
        <v>129</v>
      </c>
      <c r="I1481" s="18" t="s">
        <v>298</v>
      </c>
      <c r="J1481" s="18" t="s">
        <v>6504</v>
      </c>
      <c r="K1481" s="18"/>
      <c r="L1481" s="18" t="s">
        <v>162</v>
      </c>
      <c r="M1481" s="18" t="s">
        <v>162</v>
      </c>
      <c r="N1481" s="18" t="s">
        <v>6505</v>
      </c>
      <c r="O1481" s="18"/>
      <c r="P1481" s="18" t="s">
        <v>6506</v>
      </c>
      <c r="Q1481" s="18" t="s">
        <v>138</v>
      </c>
      <c r="R1481" s="18" t="s">
        <v>6507</v>
      </c>
      <c r="S1481" s="18" t="s">
        <v>140</v>
      </c>
      <c r="T1481" s="18" t="s">
        <v>141</v>
      </c>
      <c r="U1481" s="18"/>
      <c r="V1481" s="19" t="s">
        <v>29</v>
      </c>
      <c r="W1481" s="19"/>
      <c r="X1481" s="19"/>
      <c r="Y1481" s="20"/>
      <c r="Z1481" s="19"/>
      <c r="AA1481" s="18" t="str">
        <f aca="false">IF(OR(V1481="Aprobada"),R1481,IF(AND(OR(V1481="Aprobada con ajuste",V1481="Rechazada"),W1481&lt;&gt;""),W1481,""))</f>
        <v/>
      </c>
    </row>
    <row r="1482" customFormat="false" ht="105.95" hidden="false" customHeight="false" outlineLevel="0" collapsed="false">
      <c r="A1482" s="18" t="s">
        <v>6508</v>
      </c>
      <c r="B1482" s="18" t="s">
        <v>66</v>
      </c>
      <c r="C1482" s="18" t="s">
        <v>67</v>
      </c>
      <c r="D1482" s="18" t="s">
        <v>5475</v>
      </c>
      <c r="E1482" s="18" t="n">
        <v>29</v>
      </c>
      <c r="F1482" s="18" t="s">
        <v>5081</v>
      </c>
      <c r="G1482" s="18" t="s">
        <v>180</v>
      </c>
      <c r="H1482" s="18" t="s">
        <v>129</v>
      </c>
      <c r="I1482" s="18"/>
      <c r="J1482" s="18"/>
      <c r="K1482" s="18"/>
      <c r="L1482" s="18" t="s">
        <v>129</v>
      </c>
      <c r="M1482" s="18" t="s">
        <v>162</v>
      </c>
      <c r="N1482" s="18" t="s">
        <v>6509</v>
      </c>
      <c r="O1482" s="18"/>
      <c r="P1482" s="18" t="s">
        <v>6510</v>
      </c>
      <c r="Q1482" s="18" t="s">
        <v>149</v>
      </c>
      <c r="R1482" s="18" t="s">
        <v>6511</v>
      </c>
      <c r="S1482" s="18" t="s">
        <v>133</v>
      </c>
      <c r="T1482" s="18" t="s">
        <v>6512</v>
      </c>
      <c r="U1482" s="18"/>
      <c r="V1482" s="19" t="s">
        <v>29</v>
      </c>
      <c r="W1482" s="19"/>
      <c r="X1482" s="19"/>
      <c r="Y1482" s="20"/>
      <c r="Z1482" s="19"/>
      <c r="AA1482" s="18" t="str">
        <f aca="false">IF(OR(V1482="Aprobada"),R1482,IF(AND(OR(V1482="Aprobada con ajuste",V1482="Rechazada"),W1482&lt;&gt;""),W1482,""))</f>
        <v/>
      </c>
    </row>
    <row r="1483" customFormat="false" ht="43.25" hidden="false" customHeight="false" outlineLevel="0" collapsed="false">
      <c r="A1483" s="18" t="s">
        <v>6513</v>
      </c>
      <c r="B1483" s="18" t="s">
        <v>66</v>
      </c>
      <c r="C1483" s="18" t="s">
        <v>67</v>
      </c>
      <c r="D1483" s="18" t="s">
        <v>5475</v>
      </c>
      <c r="E1483" s="18" t="n">
        <v>29</v>
      </c>
      <c r="F1483" s="18" t="s">
        <v>2414</v>
      </c>
      <c r="G1483" s="18" t="s">
        <v>137</v>
      </c>
      <c r="H1483" s="18" t="s">
        <v>129</v>
      </c>
      <c r="I1483" s="18"/>
      <c r="J1483" s="18"/>
      <c r="K1483" s="18"/>
      <c r="L1483" s="18" t="s">
        <v>129</v>
      </c>
      <c r="M1483" s="18" t="s">
        <v>129</v>
      </c>
      <c r="N1483" s="18"/>
      <c r="O1483" s="18"/>
      <c r="P1483" s="18" t="s">
        <v>6514</v>
      </c>
      <c r="Q1483" s="18" t="s">
        <v>138</v>
      </c>
      <c r="R1483" s="18" t="s">
        <v>2416</v>
      </c>
      <c r="S1483" s="18" t="s">
        <v>140</v>
      </c>
      <c r="T1483" s="18" t="s">
        <v>141</v>
      </c>
      <c r="U1483" s="18"/>
      <c r="V1483" s="19" t="s">
        <v>29</v>
      </c>
      <c r="W1483" s="19"/>
      <c r="X1483" s="19"/>
      <c r="Y1483" s="20"/>
      <c r="Z1483" s="19"/>
      <c r="AA1483" s="18" t="str">
        <f aca="false">IF(OR(V1483="Aprobada"),R1483,IF(AND(OR(V1483="Aprobada con ajuste",V1483="Rechazada"),W1483&lt;&gt;""),W1483,""))</f>
        <v/>
      </c>
    </row>
    <row r="1484" customFormat="false" ht="43.25" hidden="false" customHeight="false" outlineLevel="0" collapsed="false">
      <c r="A1484" s="18" t="s">
        <v>6515</v>
      </c>
      <c r="B1484" s="18" t="s">
        <v>66</v>
      </c>
      <c r="C1484" s="18" t="s">
        <v>67</v>
      </c>
      <c r="D1484" s="18" t="s">
        <v>5475</v>
      </c>
      <c r="E1484" s="18" t="n">
        <v>29</v>
      </c>
      <c r="F1484" s="18" t="s">
        <v>2418</v>
      </c>
      <c r="G1484" s="18" t="s">
        <v>137</v>
      </c>
      <c r="H1484" s="18" t="s">
        <v>129</v>
      </c>
      <c r="I1484" s="18"/>
      <c r="J1484" s="18"/>
      <c r="K1484" s="18"/>
      <c r="L1484" s="18" t="s">
        <v>129</v>
      </c>
      <c r="M1484" s="18" t="s">
        <v>129</v>
      </c>
      <c r="N1484" s="18"/>
      <c r="O1484" s="18"/>
      <c r="P1484" s="18" t="s">
        <v>6516</v>
      </c>
      <c r="Q1484" s="18" t="s">
        <v>138</v>
      </c>
      <c r="R1484" s="18" t="s">
        <v>2420</v>
      </c>
      <c r="S1484" s="18" t="s">
        <v>140</v>
      </c>
      <c r="T1484" s="18" t="s">
        <v>141</v>
      </c>
      <c r="U1484" s="18"/>
      <c r="V1484" s="19" t="s">
        <v>29</v>
      </c>
      <c r="W1484" s="19"/>
      <c r="X1484" s="19"/>
      <c r="Y1484" s="20"/>
      <c r="Z1484" s="19"/>
      <c r="AA1484" s="18" t="str">
        <f aca="false">IF(OR(V1484="Aprobada"),R1484,IF(AND(OR(V1484="Aprobada con ajuste",V1484="Rechazada"),W1484&lt;&gt;""),W1484,""))</f>
        <v/>
      </c>
    </row>
    <row r="1485" customFormat="false" ht="32.8" hidden="false" customHeight="false" outlineLevel="0" collapsed="false">
      <c r="A1485" s="18" t="s">
        <v>6517</v>
      </c>
      <c r="B1485" s="18" t="s">
        <v>66</v>
      </c>
      <c r="C1485" s="18" t="s">
        <v>67</v>
      </c>
      <c r="D1485" s="18" t="s">
        <v>5475</v>
      </c>
      <c r="E1485" s="18" t="n">
        <v>29</v>
      </c>
      <c r="F1485" s="18" t="s">
        <v>6518</v>
      </c>
      <c r="G1485" s="18" t="s">
        <v>128</v>
      </c>
      <c r="H1485" s="18" t="s">
        <v>162</v>
      </c>
      <c r="I1485" s="18"/>
      <c r="J1485" s="18"/>
      <c r="K1485" s="18"/>
      <c r="L1485" s="18" t="s">
        <v>129</v>
      </c>
      <c r="M1485" s="18" t="s">
        <v>129</v>
      </c>
      <c r="N1485" s="18"/>
      <c r="O1485" s="18"/>
      <c r="P1485" s="18" t="s">
        <v>6519</v>
      </c>
      <c r="Q1485" s="18" t="s">
        <v>149</v>
      </c>
      <c r="R1485" s="18" t="s">
        <v>6520</v>
      </c>
      <c r="S1485" s="18" t="s">
        <v>140</v>
      </c>
      <c r="T1485" s="18" t="s">
        <v>858</v>
      </c>
      <c r="U1485" s="18" t="s">
        <v>6521</v>
      </c>
      <c r="V1485" s="19" t="s">
        <v>29</v>
      </c>
      <c r="W1485" s="19"/>
      <c r="X1485" s="19"/>
      <c r="Y1485" s="20"/>
      <c r="Z1485" s="19"/>
      <c r="AA1485" s="18" t="str">
        <f aca="false">IF(OR(V1485="Aprobada"),R1485,IF(AND(OR(V1485="Aprobada con ajuste",V1485="Rechazada"),W1485&lt;&gt;""),W1485,""))</f>
        <v/>
      </c>
    </row>
    <row r="1486" customFormat="false" ht="32.8" hidden="false" customHeight="false" outlineLevel="0" collapsed="false">
      <c r="A1486" s="18" t="s">
        <v>6522</v>
      </c>
      <c r="B1486" s="18" t="s">
        <v>66</v>
      </c>
      <c r="C1486" s="18" t="s">
        <v>67</v>
      </c>
      <c r="D1486" s="18" t="s">
        <v>5475</v>
      </c>
      <c r="E1486" s="18" t="n">
        <v>29</v>
      </c>
      <c r="F1486" s="18" t="s">
        <v>6523</v>
      </c>
      <c r="G1486" s="18" t="s">
        <v>161</v>
      </c>
      <c r="H1486" s="18" t="s">
        <v>162</v>
      </c>
      <c r="I1486" s="18"/>
      <c r="J1486" s="18"/>
      <c r="K1486" s="18"/>
      <c r="L1486" s="18" t="s">
        <v>129</v>
      </c>
      <c r="M1486" s="18" t="s">
        <v>129</v>
      </c>
      <c r="N1486" s="18"/>
      <c r="O1486" s="18"/>
      <c r="P1486" s="18" t="s">
        <v>6524</v>
      </c>
      <c r="Q1486" s="18" t="s">
        <v>149</v>
      </c>
      <c r="R1486" s="18" t="s">
        <v>5486</v>
      </c>
      <c r="S1486" s="18" t="s">
        <v>133</v>
      </c>
      <c r="T1486" s="18" t="s">
        <v>6525</v>
      </c>
      <c r="U1486" s="18"/>
      <c r="V1486" s="19" t="s">
        <v>29</v>
      </c>
      <c r="W1486" s="19"/>
      <c r="X1486" s="19"/>
      <c r="Y1486" s="20"/>
      <c r="Z1486" s="19"/>
      <c r="AA1486" s="18" t="str">
        <f aca="false">IF(OR(V1486="Aprobada"),R1486,IF(AND(OR(V1486="Aprobada con ajuste",V1486="Rechazada"),W1486&lt;&gt;""),W1486,""))</f>
        <v/>
      </c>
    </row>
    <row r="1487" customFormat="false" ht="32.8" hidden="false" customHeight="false" outlineLevel="0" collapsed="false">
      <c r="A1487" s="18" t="s">
        <v>6526</v>
      </c>
      <c r="B1487" s="18" t="s">
        <v>66</v>
      </c>
      <c r="C1487" s="18" t="s">
        <v>67</v>
      </c>
      <c r="D1487" s="18" t="s">
        <v>5475</v>
      </c>
      <c r="E1487" s="18" t="n">
        <v>29</v>
      </c>
      <c r="F1487" s="18" t="s">
        <v>5489</v>
      </c>
      <c r="G1487" s="18" t="s">
        <v>161</v>
      </c>
      <c r="H1487" s="18" t="s">
        <v>162</v>
      </c>
      <c r="I1487" s="18"/>
      <c r="J1487" s="18"/>
      <c r="K1487" s="18"/>
      <c r="L1487" s="18" t="s">
        <v>129</v>
      </c>
      <c r="M1487" s="18" t="s">
        <v>129</v>
      </c>
      <c r="N1487" s="18"/>
      <c r="O1487" s="18"/>
      <c r="P1487" s="18" t="s">
        <v>6527</v>
      </c>
      <c r="Q1487" s="18" t="s">
        <v>149</v>
      </c>
      <c r="R1487" s="18" t="s">
        <v>6528</v>
      </c>
      <c r="S1487" s="18" t="s">
        <v>133</v>
      </c>
      <c r="T1487" s="18" t="s">
        <v>6529</v>
      </c>
      <c r="U1487" s="18"/>
      <c r="V1487" s="19" t="s">
        <v>29</v>
      </c>
      <c r="W1487" s="19"/>
      <c r="X1487" s="19"/>
      <c r="Y1487" s="20"/>
      <c r="Z1487" s="19"/>
      <c r="AA1487" s="18" t="str">
        <f aca="false">IF(OR(V1487="Aprobada"),R1487,IF(AND(OR(V1487="Aprobada con ajuste",V1487="Rechazada"),W1487&lt;&gt;""),W1487,""))</f>
        <v/>
      </c>
    </row>
    <row r="1488" customFormat="false" ht="95.5" hidden="false" customHeight="false" outlineLevel="0" collapsed="false">
      <c r="A1488" s="18" t="s">
        <v>6530</v>
      </c>
      <c r="B1488" s="18" t="s">
        <v>66</v>
      </c>
      <c r="C1488" s="18" t="s">
        <v>67</v>
      </c>
      <c r="D1488" s="18" t="s">
        <v>5475</v>
      </c>
      <c r="E1488" s="18" t="n">
        <v>29</v>
      </c>
      <c r="F1488" s="18" t="s">
        <v>185</v>
      </c>
      <c r="G1488" s="18" t="s">
        <v>145</v>
      </c>
      <c r="H1488" s="18" t="s">
        <v>129</v>
      </c>
      <c r="I1488" s="18" t="s">
        <v>298</v>
      </c>
      <c r="J1488" s="18" t="s">
        <v>6531</v>
      </c>
      <c r="K1488" s="18"/>
      <c r="L1488" s="18" t="s">
        <v>162</v>
      </c>
      <c r="M1488" s="18" t="s">
        <v>162</v>
      </c>
      <c r="N1488" s="18" t="s">
        <v>6532</v>
      </c>
      <c r="O1488" s="18" t="s">
        <v>6533</v>
      </c>
      <c r="P1488" s="18" t="s">
        <v>6534</v>
      </c>
      <c r="Q1488" s="18" t="s">
        <v>138</v>
      </c>
      <c r="R1488" s="18" t="s">
        <v>6535</v>
      </c>
      <c r="S1488" s="18" t="s">
        <v>140</v>
      </c>
      <c r="T1488" s="18" t="s">
        <v>141</v>
      </c>
      <c r="U1488" s="18"/>
      <c r="V1488" s="19" t="s">
        <v>29</v>
      </c>
      <c r="W1488" s="19"/>
      <c r="X1488" s="19"/>
      <c r="Y1488" s="20"/>
      <c r="Z1488" s="19"/>
      <c r="AA1488" s="18" t="str">
        <f aca="false">IF(OR(V1488="Aprobada"),R1488,IF(AND(OR(V1488="Aprobada con ajuste",V1488="Rechazada"),W1488&lt;&gt;""),W1488,""))</f>
        <v/>
      </c>
    </row>
    <row r="1489" customFormat="false" ht="95.5" hidden="false" customHeight="false" outlineLevel="0" collapsed="false">
      <c r="A1489" s="18" t="s">
        <v>6536</v>
      </c>
      <c r="B1489" s="18" t="s">
        <v>66</v>
      </c>
      <c r="C1489" s="18" t="s">
        <v>67</v>
      </c>
      <c r="D1489" s="18" t="s">
        <v>5475</v>
      </c>
      <c r="E1489" s="18" t="n">
        <v>29</v>
      </c>
      <c r="F1489" s="18" t="s">
        <v>5500</v>
      </c>
      <c r="G1489" s="18" t="s">
        <v>503</v>
      </c>
      <c r="H1489" s="18" t="s">
        <v>162</v>
      </c>
      <c r="I1489" s="18" t="s">
        <v>298</v>
      </c>
      <c r="J1489" s="18"/>
      <c r="K1489" s="18"/>
      <c r="L1489" s="18" t="s">
        <v>129</v>
      </c>
      <c r="M1489" s="18" t="s">
        <v>162</v>
      </c>
      <c r="N1489" s="18" t="s">
        <v>6537</v>
      </c>
      <c r="O1489" s="18"/>
      <c r="P1489" s="18" t="s">
        <v>6538</v>
      </c>
      <c r="Q1489" s="18" t="s">
        <v>149</v>
      </c>
      <c r="R1489" s="18" t="s">
        <v>6539</v>
      </c>
      <c r="S1489" s="18" t="s">
        <v>133</v>
      </c>
      <c r="T1489" s="18" t="s">
        <v>6540</v>
      </c>
      <c r="U1489" s="18"/>
      <c r="V1489" s="19" t="s">
        <v>29</v>
      </c>
      <c r="W1489" s="19"/>
      <c r="X1489" s="19"/>
      <c r="Y1489" s="20"/>
      <c r="Z1489" s="19"/>
      <c r="AA1489" s="18" t="str">
        <f aca="false">IF(OR(V1489="Aprobada"),R1489,IF(AND(OR(V1489="Aprobada con ajuste",V1489="Rechazada"),W1489&lt;&gt;""),W1489,""))</f>
        <v/>
      </c>
    </row>
    <row r="1490" customFormat="false" ht="32.8" hidden="false" customHeight="false" outlineLevel="0" collapsed="false">
      <c r="A1490" s="18" t="s">
        <v>6541</v>
      </c>
      <c r="B1490" s="18" t="s">
        <v>66</v>
      </c>
      <c r="C1490" s="18" t="s">
        <v>67</v>
      </c>
      <c r="D1490" s="18" t="s">
        <v>5475</v>
      </c>
      <c r="E1490" s="18" t="n">
        <v>29</v>
      </c>
      <c r="F1490" s="18" t="s">
        <v>886</v>
      </c>
      <c r="G1490" s="18" t="s">
        <v>128</v>
      </c>
      <c r="H1490" s="18" t="s">
        <v>162</v>
      </c>
      <c r="I1490" s="18"/>
      <c r="J1490" s="18"/>
      <c r="K1490" s="18"/>
      <c r="L1490" s="18" t="s">
        <v>129</v>
      </c>
      <c r="M1490" s="18" t="s">
        <v>129</v>
      </c>
      <c r="N1490" s="18"/>
      <c r="O1490" s="18"/>
      <c r="P1490" s="18" t="s">
        <v>6542</v>
      </c>
      <c r="Q1490" s="18" t="s">
        <v>138</v>
      </c>
      <c r="R1490" s="18" t="s">
        <v>1693</v>
      </c>
      <c r="S1490" s="18" t="s">
        <v>140</v>
      </c>
      <c r="T1490" s="18" t="s">
        <v>141</v>
      </c>
      <c r="U1490" s="18"/>
      <c r="V1490" s="19" t="s">
        <v>29</v>
      </c>
      <c r="W1490" s="19"/>
      <c r="X1490" s="19"/>
      <c r="Y1490" s="20"/>
      <c r="Z1490" s="19"/>
      <c r="AA1490" s="18" t="str">
        <f aca="false">IF(OR(V1490="Aprobada"),R1490,IF(AND(OR(V1490="Aprobada con ajuste",V1490="Rechazada"),W1490&lt;&gt;""),W1490,""))</f>
        <v/>
      </c>
    </row>
    <row r="1491" customFormat="false" ht="43.25" hidden="false" customHeight="false" outlineLevel="0" collapsed="false">
      <c r="A1491" s="18" t="s">
        <v>6543</v>
      </c>
      <c r="B1491" s="18" t="s">
        <v>66</v>
      </c>
      <c r="C1491" s="18" t="s">
        <v>67</v>
      </c>
      <c r="D1491" s="18" t="s">
        <v>5475</v>
      </c>
      <c r="E1491" s="18" t="n">
        <v>29</v>
      </c>
      <c r="F1491" s="18" t="s">
        <v>5179</v>
      </c>
      <c r="G1491" s="18" t="s">
        <v>192</v>
      </c>
      <c r="H1491" s="18" t="s">
        <v>162</v>
      </c>
      <c r="I1491" s="18"/>
      <c r="J1491" s="18"/>
      <c r="K1491" s="18"/>
      <c r="L1491" s="18" t="s">
        <v>129</v>
      </c>
      <c r="M1491" s="18" t="s">
        <v>129</v>
      </c>
      <c r="N1491" s="18"/>
      <c r="O1491" s="18"/>
      <c r="P1491" s="18" t="s">
        <v>6544</v>
      </c>
      <c r="Q1491" s="18" t="s">
        <v>149</v>
      </c>
      <c r="R1491" s="18" t="s">
        <v>6545</v>
      </c>
      <c r="S1491" s="18" t="s">
        <v>140</v>
      </c>
      <c r="T1491" s="18" t="s">
        <v>6546</v>
      </c>
      <c r="U1491" s="18" t="s">
        <v>6547</v>
      </c>
      <c r="V1491" s="19" t="s">
        <v>29</v>
      </c>
      <c r="W1491" s="19"/>
      <c r="X1491" s="19"/>
      <c r="Y1491" s="20"/>
      <c r="Z1491" s="19"/>
      <c r="AA1491" s="18" t="str">
        <f aca="false">IF(OR(V1491="Aprobada"),R1491,IF(AND(OR(V1491="Aprobada con ajuste",V1491="Rechazada"),W1491&lt;&gt;""),W1491,""))</f>
        <v/>
      </c>
    </row>
    <row r="1492" customFormat="false" ht="43.25" hidden="false" customHeight="false" outlineLevel="0" collapsed="false">
      <c r="A1492" s="18" t="s">
        <v>6548</v>
      </c>
      <c r="B1492" s="18" t="s">
        <v>66</v>
      </c>
      <c r="C1492" s="18" t="s">
        <v>67</v>
      </c>
      <c r="D1492" s="18" t="s">
        <v>5475</v>
      </c>
      <c r="E1492" s="18" t="n">
        <v>29</v>
      </c>
      <c r="F1492" s="18" t="s">
        <v>6549</v>
      </c>
      <c r="G1492" s="18" t="s">
        <v>503</v>
      </c>
      <c r="H1492" s="18" t="s">
        <v>162</v>
      </c>
      <c r="I1492" s="18"/>
      <c r="J1492" s="18"/>
      <c r="K1492" s="18"/>
      <c r="L1492" s="18" t="s">
        <v>129</v>
      </c>
      <c r="M1492" s="18" t="s">
        <v>129</v>
      </c>
      <c r="N1492" s="18"/>
      <c r="O1492" s="18"/>
      <c r="P1492" s="18" t="s">
        <v>6550</v>
      </c>
      <c r="Q1492" s="18" t="s">
        <v>131</v>
      </c>
      <c r="R1492" s="18" t="s">
        <v>6551</v>
      </c>
      <c r="S1492" s="18" t="s">
        <v>133</v>
      </c>
      <c r="T1492" s="18" t="s">
        <v>6552</v>
      </c>
      <c r="U1492" s="18"/>
      <c r="V1492" s="19" t="s">
        <v>29</v>
      </c>
      <c r="W1492" s="19"/>
      <c r="X1492" s="19"/>
      <c r="Y1492" s="20"/>
      <c r="Z1492" s="19"/>
      <c r="AA1492" s="18" t="str">
        <f aca="false">IF(OR(V1492="Aprobada"),R1492,IF(AND(OR(V1492="Aprobada con ajuste",V1492="Rechazada"),W1492&lt;&gt;""),W1492,""))</f>
        <v/>
      </c>
    </row>
    <row r="1493" customFormat="false" ht="43.25" hidden="false" customHeight="false" outlineLevel="0" collapsed="false">
      <c r="A1493" s="18" t="s">
        <v>6553</v>
      </c>
      <c r="B1493" s="18" t="s">
        <v>66</v>
      </c>
      <c r="C1493" s="18" t="s">
        <v>67</v>
      </c>
      <c r="D1493" s="18" t="s">
        <v>5475</v>
      </c>
      <c r="E1493" s="18" t="n">
        <v>29</v>
      </c>
      <c r="F1493" s="18" t="s">
        <v>6554</v>
      </c>
      <c r="G1493" s="18" t="s">
        <v>503</v>
      </c>
      <c r="H1493" s="18" t="s">
        <v>162</v>
      </c>
      <c r="I1493" s="18"/>
      <c r="J1493" s="18"/>
      <c r="K1493" s="18"/>
      <c r="L1493" s="18" t="s">
        <v>129</v>
      </c>
      <c r="M1493" s="18" t="s">
        <v>129</v>
      </c>
      <c r="N1493" s="18"/>
      <c r="O1493" s="18"/>
      <c r="P1493" s="18" t="s">
        <v>6555</v>
      </c>
      <c r="Q1493" s="18" t="s">
        <v>131</v>
      </c>
      <c r="R1493" s="18" t="s">
        <v>6556</v>
      </c>
      <c r="S1493" s="18" t="s">
        <v>133</v>
      </c>
      <c r="T1493" s="18" t="s">
        <v>6557</v>
      </c>
      <c r="U1493" s="18"/>
      <c r="V1493" s="19" t="s">
        <v>29</v>
      </c>
      <c r="W1493" s="19"/>
      <c r="X1493" s="19"/>
      <c r="Y1493" s="20"/>
      <c r="Z1493" s="19"/>
      <c r="AA1493" s="18" t="str">
        <f aca="false">IF(OR(V1493="Aprobada"),R1493,IF(AND(OR(V1493="Aprobada con ajuste",V1493="Rechazada"),W1493&lt;&gt;""),W1493,""))</f>
        <v/>
      </c>
    </row>
    <row r="1494" customFormat="false" ht="43.25" hidden="false" customHeight="false" outlineLevel="0" collapsed="false">
      <c r="A1494" s="18" t="s">
        <v>6558</v>
      </c>
      <c r="B1494" s="18" t="s">
        <v>66</v>
      </c>
      <c r="C1494" s="18" t="s">
        <v>67</v>
      </c>
      <c r="D1494" s="18" t="s">
        <v>5475</v>
      </c>
      <c r="E1494" s="18" t="n">
        <v>29</v>
      </c>
      <c r="F1494" s="18" t="s">
        <v>6559</v>
      </c>
      <c r="G1494" s="18" t="s">
        <v>503</v>
      </c>
      <c r="H1494" s="18" t="s">
        <v>162</v>
      </c>
      <c r="I1494" s="18"/>
      <c r="J1494" s="18"/>
      <c r="K1494" s="18"/>
      <c r="L1494" s="18" t="s">
        <v>129</v>
      </c>
      <c r="M1494" s="18" t="s">
        <v>129</v>
      </c>
      <c r="N1494" s="18"/>
      <c r="O1494" s="18"/>
      <c r="P1494" s="18" t="s">
        <v>6560</v>
      </c>
      <c r="Q1494" s="18" t="s">
        <v>131</v>
      </c>
      <c r="R1494" s="18" t="s">
        <v>6561</v>
      </c>
      <c r="S1494" s="18" t="s">
        <v>133</v>
      </c>
      <c r="T1494" s="18" t="s">
        <v>6562</v>
      </c>
      <c r="U1494" s="18"/>
      <c r="V1494" s="19" t="s">
        <v>29</v>
      </c>
      <c r="W1494" s="19"/>
      <c r="X1494" s="19"/>
      <c r="Y1494" s="20"/>
      <c r="Z1494" s="19"/>
      <c r="AA1494" s="18" t="str">
        <f aca="false">IF(OR(V1494="Aprobada"),R1494,IF(AND(OR(V1494="Aprobada con ajuste",V1494="Rechazada"),W1494&lt;&gt;""),W1494,""))</f>
        <v/>
      </c>
    </row>
    <row r="1495" customFormat="false" ht="43.25" hidden="false" customHeight="false" outlineLevel="0" collapsed="false">
      <c r="A1495" s="18" t="s">
        <v>6563</v>
      </c>
      <c r="B1495" s="18" t="s">
        <v>66</v>
      </c>
      <c r="C1495" s="18" t="s">
        <v>67</v>
      </c>
      <c r="D1495" s="18" t="s">
        <v>5475</v>
      </c>
      <c r="E1495" s="18" t="n">
        <v>29</v>
      </c>
      <c r="F1495" s="18" t="s">
        <v>6564</v>
      </c>
      <c r="G1495" s="18" t="s">
        <v>205</v>
      </c>
      <c r="H1495" s="18" t="s">
        <v>162</v>
      </c>
      <c r="I1495" s="18"/>
      <c r="J1495" s="18"/>
      <c r="K1495" s="18"/>
      <c r="L1495" s="18" t="s">
        <v>129</v>
      </c>
      <c r="M1495" s="18" t="s">
        <v>129</v>
      </c>
      <c r="N1495" s="18"/>
      <c r="O1495" s="18"/>
      <c r="P1495" s="18" t="s">
        <v>6565</v>
      </c>
      <c r="Q1495" s="18" t="s">
        <v>131</v>
      </c>
      <c r="R1495" s="18" t="s">
        <v>6566</v>
      </c>
      <c r="S1495" s="18" t="s">
        <v>133</v>
      </c>
      <c r="T1495" s="18" t="s">
        <v>6567</v>
      </c>
      <c r="U1495" s="18"/>
      <c r="V1495" s="19" t="s">
        <v>29</v>
      </c>
      <c r="W1495" s="19"/>
      <c r="X1495" s="19"/>
      <c r="Y1495" s="20"/>
      <c r="Z1495" s="19"/>
      <c r="AA1495" s="18" t="str">
        <f aca="false">IF(OR(V1495="Aprobada"),R1495,IF(AND(OR(V1495="Aprobada con ajuste",V1495="Rechazada"),W1495&lt;&gt;""),W1495,""))</f>
        <v/>
      </c>
    </row>
    <row r="1496" customFormat="false" ht="43.25" hidden="false" customHeight="false" outlineLevel="0" collapsed="false">
      <c r="A1496" s="18" t="s">
        <v>6568</v>
      </c>
      <c r="B1496" s="18" t="s">
        <v>66</v>
      </c>
      <c r="C1496" s="18" t="s">
        <v>67</v>
      </c>
      <c r="D1496" s="18" t="s">
        <v>5475</v>
      </c>
      <c r="E1496" s="18" t="n">
        <v>29</v>
      </c>
      <c r="F1496" s="18" t="s">
        <v>6569</v>
      </c>
      <c r="G1496" s="18" t="s">
        <v>161</v>
      </c>
      <c r="H1496" s="18" t="s">
        <v>162</v>
      </c>
      <c r="I1496" s="18"/>
      <c r="J1496" s="18"/>
      <c r="K1496" s="18"/>
      <c r="L1496" s="18" t="s">
        <v>129</v>
      </c>
      <c r="M1496" s="18" t="s">
        <v>129</v>
      </c>
      <c r="N1496" s="18"/>
      <c r="O1496" s="18"/>
      <c r="P1496" s="18" t="s">
        <v>6570</v>
      </c>
      <c r="Q1496" s="18" t="s">
        <v>131</v>
      </c>
      <c r="R1496" s="18" t="s">
        <v>6571</v>
      </c>
      <c r="S1496" s="18" t="s">
        <v>133</v>
      </c>
      <c r="T1496" s="18" t="s">
        <v>6572</v>
      </c>
      <c r="U1496" s="18"/>
      <c r="V1496" s="19" t="s">
        <v>29</v>
      </c>
      <c r="W1496" s="19"/>
      <c r="X1496" s="19"/>
      <c r="Y1496" s="20"/>
      <c r="Z1496" s="19"/>
      <c r="AA1496" s="18" t="str">
        <f aca="false">IF(OR(V1496="Aprobada"),R1496,IF(AND(OR(V1496="Aprobada con ajuste",V1496="Rechazada"),W1496&lt;&gt;""),W1496,""))</f>
        <v/>
      </c>
    </row>
    <row r="1497" customFormat="false" ht="43.25" hidden="false" customHeight="false" outlineLevel="0" collapsed="false">
      <c r="A1497" s="18" t="s">
        <v>6573</v>
      </c>
      <c r="B1497" s="18" t="s">
        <v>66</v>
      </c>
      <c r="C1497" s="18" t="s">
        <v>67</v>
      </c>
      <c r="D1497" s="18" t="s">
        <v>5475</v>
      </c>
      <c r="E1497" s="18" t="n">
        <v>29</v>
      </c>
      <c r="F1497" s="18" t="s">
        <v>6574</v>
      </c>
      <c r="G1497" s="18" t="s">
        <v>128</v>
      </c>
      <c r="H1497" s="18" t="s">
        <v>162</v>
      </c>
      <c r="I1497" s="18"/>
      <c r="J1497" s="18"/>
      <c r="K1497" s="18"/>
      <c r="L1497" s="18" t="s">
        <v>129</v>
      </c>
      <c r="M1497" s="18" t="s">
        <v>129</v>
      </c>
      <c r="N1497" s="18"/>
      <c r="O1497" s="18"/>
      <c r="P1497" s="18" t="s">
        <v>6575</v>
      </c>
      <c r="Q1497" s="18" t="s">
        <v>131</v>
      </c>
      <c r="R1497" s="18" t="s">
        <v>6576</v>
      </c>
      <c r="S1497" s="18" t="s">
        <v>133</v>
      </c>
      <c r="T1497" s="18" t="s">
        <v>6577</v>
      </c>
      <c r="U1497" s="18"/>
      <c r="V1497" s="19" t="s">
        <v>29</v>
      </c>
      <c r="W1497" s="19"/>
      <c r="X1497" s="19"/>
      <c r="Y1497" s="20"/>
      <c r="Z1497" s="19"/>
      <c r="AA1497" s="18" t="str">
        <f aca="false">IF(OR(V1497="Aprobada"),R1497,IF(AND(OR(V1497="Aprobada con ajuste",V1497="Rechazada"),W1497&lt;&gt;""),W1497,""))</f>
        <v/>
      </c>
    </row>
    <row r="1498" customFormat="false" ht="43.25" hidden="false" customHeight="false" outlineLevel="0" collapsed="false">
      <c r="A1498" s="18" t="s">
        <v>6578</v>
      </c>
      <c r="B1498" s="18" t="s">
        <v>66</v>
      </c>
      <c r="C1498" s="18" t="s">
        <v>67</v>
      </c>
      <c r="D1498" s="18" t="s">
        <v>5475</v>
      </c>
      <c r="E1498" s="18" t="n">
        <v>29</v>
      </c>
      <c r="F1498" s="18" t="s">
        <v>6579</v>
      </c>
      <c r="G1498" s="18" t="s">
        <v>173</v>
      </c>
      <c r="H1498" s="18" t="s">
        <v>162</v>
      </c>
      <c r="I1498" s="18"/>
      <c r="J1498" s="18"/>
      <c r="K1498" s="18"/>
      <c r="L1498" s="18" t="s">
        <v>129</v>
      </c>
      <c r="M1498" s="18" t="s">
        <v>129</v>
      </c>
      <c r="N1498" s="18"/>
      <c r="O1498" s="18"/>
      <c r="P1498" s="18" t="s">
        <v>6580</v>
      </c>
      <c r="Q1498" s="18" t="s">
        <v>131</v>
      </c>
      <c r="R1498" s="18" t="s">
        <v>6581</v>
      </c>
      <c r="S1498" s="18" t="s">
        <v>133</v>
      </c>
      <c r="T1498" s="18" t="s">
        <v>6582</v>
      </c>
      <c r="U1498" s="18"/>
      <c r="V1498" s="19" t="s">
        <v>29</v>
      </c>
      <c r="W1498" s="19"/>
      <c r="X1498" s="19"/>
      <c r="Y1498" s="20"/>
      <c r="Z1498" s="19"/>
      <c r="AA1498" s="18" t="str">
        <f aca="false">IF(OR(V1498="Aprobada"),R1498,IF(AND(OR(V1498="Aprobada con ajuste",V1498="Rechazada"),W1498&lt;&gt;""),W1498,""))</f>
        <v/>
      </c>
    </row>
    <row r="1499" customFormat="false" ht="43.25" hidden="false" customHeight="false" outlineLevel="0" collapsed="false">
      <c r="A1499" s="18" t="s">
        <v>6583</v>
      </c>
      <c r="B1499" s="18" t="s">
        <v>66</v>
      </c>
      <c r="C1499" s="18" t="s">
        <v>67</v>
      </c>
      <c r="D1499" s="18" t="s">
        <v>5475</v>
      </c>
      <c r="E1499" s="18" t="n">
        <v>29</v>
      </c>
      <c r="F1499" s="18" t="s">
        <v>6584</v>
      </c>
      <c r="G1499" s="18" t="s">
        <v>173</v>
      </c>
      <c r="H1499" s="18" t="s">
        <v>162</v>
      </c>
      <c r="I1499" s="18"/>
      <c r="J1499" s="18"/>
      <c r="K1499" s="18"/>
      <c r="L1499" s="18" t="s">
        <v>129</v>
      </c>
      <c r="M1499" s="18" t="s">
        <v>129</v>
      </c>
      <c r="N1499" s="18"/>
      <c r="O1499" s="18"/>
      <c r="P1499" s="18" t="s">
        <v>6585</v>
      </c>
      <c r="Q1499" s="18" t="s">
        <v>131</v>
      </c>
      <c r="R1499" s="18" t="s">
        <v>6586</v>
      </c>
      <c r="S1499" s="18" t="s">
        <v>133</v>
      </c>
      <c r="T1499" s="18" t="s">
        <v>6587</v>
      </c>
      <c r="U1499" s="18"/>
      <c r="V1499" s="19" t="s">
        <v>29</v>
      </c>
      <c r="W1499" s="19"/>
      <c r="X1499" s="19"/>
      <c r="Y1499" s="20"/>
      <c r="Z1499" s="19"/>
      <c r="AA1499" s="18" t="str">
        <f aca="false">IF(OR(V1499="Aprobada"),R1499,IF(AND(OR(V1499="Aprobada con ajuste",V1499="Rechazada"),W1499&lt;&gt;""),W1499,""))</f>
        <v/>
      </c>
    </row>
    <row r="1500" customFormat="false" ht="43.25" hidden="false" customHeight="false" outlineLevel="0" collapsed="false">
      <c r="A1500" s="18" t="s">
        <v>6588</v>
      </c>
      <c r="B1500" s="18" t="s">
        <v>66</v>
      </c>
      <c r="C1500" s="18" t="s">
        <v>67</v>
      </c>
      <c r="D1500" s="18" t="s">
        <v>5475</v>
      </c>
      <c r="E1500" s="18" t="n">
        <v>29</v>
      </c>
      <c r="F1500" s="18" t="s">
        <v>6589</v>
      </c>
      <c r="G1500" s="18" t="s">
        <v>503</v>
      </c>
      <c r="H1500" s="18" t="s">
        <v>162</v>
      </c>
      <c r="I1500" s="18"/>
      <c r="J1500" s="18"/>
      <c r="K1500" s="18"/>
      <c r="L1500" s="18" t="s">
        <v>129</v>
      </c>
      <c r="M1500" s="18" t="s">
        <v>129</v>
      </c>
      <c r="N1500" s="18"/>
      <c r="O1500" s="18"/>
      <c r="P1500" s="18" t="s">
        <v>6590</v>
      </c>
      <c r="Q1500" s="18" t="s">
        <v>131</v>
      </c>
      <c r="R1500" s="18" t="s">
        <v>6591</v>
      </c>
      <c r="S1500" s="18" t="s">
        <v>133</v>
      </c>
      <c r="T1500" s="18" t="s">
        <v>6592</v>
      </c>
      <c r="U1500" s="18"/>
      <c r="V1500" s="19" t="s">
        <v>29</v>
      </c>
      <c r="W1500" s="19"/>
      <c r="X1500" s="19"/>
      <c r="Y1500" s="20"/>
      <c r="Z1500" s="19"/>
      <c r="AA1500" s="18" t="str">
        <f aca="false">IF(OR(V1500="Aprobada"),R1500,IF(AND(OR(V1500="Aprobada con ajuste",V1500="Rechazada"),W1500&lt;&gt;""),W1500,""))</f>
        <v/>
      </c>
    </row>
    <row r="1501" customFormat="false" ht="43.25" hidden="false" customHeight="false" outlineLevel="0" collapsed="false">
      <c r="A1501" s="18" t="s">
        <v>6593</v>
      </c>
      <c r="B1501" s="18" t="s">
        <v>66</v>
      </c>
      <c r="C1501" s="18" t="s">
        <v>67</v>
      </c>
      <c r="D1501" s="18" t="s">
        <v>5475</v>
      </c>
      <c r="E1501" s="18" t="n">
        <v>29</v>
      </c>
      <c r="F1501" s="18" t="s">
        <v>6594</v>
      </c>
      <c r="G1501" s="18" t="s">
        <v>173</v>
      </c>
      <c r="H1501" s="18" t="s">
        <v>162</v>
      </c>
      <c r="I1501" s="18"/>
      <c r="J1501" s="18"/>
      <c r="K1501" s="18"/>
      <c r="L1501" s="18" t="s">
        <v>129</v>
      </c>
      <c r="M1501" s="18" t="s">
        <v>129</v>
      </c>
      <c r="N1501" s="18"/>
      <c r="O1501" s="18"/>
      <c r="P1501" s="18" t="s">
        <v>6595</v>
      </c>
      <c r="Q1501" s="18" t="s">
        <v>131</v>
      </c>
      <c r="R1501" s="18" t="s">
        <v>6596</v>
      </c>
      <c r="S1501" s="18" t="s">
        <v>133</v>
      </c>
      <c r="T1501" s="18" t="s">
        <v>6597</v>
      </c>
      <c r="U1501" s="18"/>
      <c r="V1501" s="19" t="s">
        <v>29</v>
      </c>
      <c r="W1501" s="19"/>
      <c r="X1501" s="19"/>
      <c r="Y1501" s="20"/>
      <c r="Z1501" s="19"/>
      <c r="AA1501" s="18" t="str">
        <f aca="false">IF(OR(V1501="Aprobada"),R1501,IF(AND(OR(V1501="Aprobada con ajuste",V1501="Rechazada"),W1501&lt;&gt;""),W1501,""))</f>
        <v/>
      </c>
    </row>
    <row r="1502" customFormat="false" ht="43.25" hidden="false" customHeight="false" outlineLevel="0" collapsed="false">
      <c r="A1502" s="18" t="s">
        <v>6598</v>
      </c>
      <c r="B1502" s="18" t="s">
        <v>66</v>
      </c>
      <c r="C1502" s="18" t="s">
        <v>67</v>
      </c>
      <c r="D1502" s="18" t="s">
        <v>5475</v>
      </c>
      <c r="E1502" s="18" t="n">
        <v>29</v>
      </c>
      <c r="F1502" s="18" t="s">
        <v>6599</v>
      </c>
      <c r="G1502" s="18" t="s">
        <v>128</v>
      </c>
      <c r="H1502" s="18" t="s">
        <v>162</v>
      </c>
      <c r="I1502" s="18"/>
      <c r="J1502" s="18"/>
      <c r="K1502" s="18"/>
      <c r="L1502" s="18" t="s">
        <v>129</v>
      </c>
      <c r="M1502" s="18" t="s">
        <v>129</v>
      </c>
      <c r="N1502" s="18"/>
      <c r="O1502" s="18"/>
      <c r="P1502" s="18" t="s">
        <v>6600</v>
      </c>
      <c r="Q1502" s="18" t="s">
        <v>131</v>
      </c>
      <c r="R1502" s="18" t="s">
        <v>6601</v>
      </c>
      <c r="S1502" s="18" t="s">
        <v>133</v>
      </c>
      <c r="T1502" s="18" t="s">
        <v>6602</v>
      </c>
      <c r="U1502" s="18"/>
      <c r="V1502" s="19" t="s">
        <v>29</v>
      </c>
      <c r="W1502" s="19"/>
      <c r="X1502" s="19"/>
      <c r="Y1502" s="20"/>
      <c r="Z1502" s="19"/>
      <c r="AA1502" s="18" t="str">
        <f aca="false">IF(OR(V1502="Aprobada"),R1502,IF(AND(OR(V1502="Aprobada con ajuste",V1502="Rechazada"),W1502&lt;&gt;""),W1502,""))</f>
        <v/>
      </c>
    </row>
    <row r="1503" customFormat="false" ht="22.35" hidden="false" customHeight="false" outlineLevel="0" collapsed="false">
      <c r="A1503" s="18" t="s">
        <v>6603</v>
      </c>
      <c r="B1503" s="18" t="s">
        <v>66</v>
      </c>
      <c r="C1503" s="18" t="s">
        <v>67</v>
      </c>
      <c r="D1503" s="18" t="s">
        <v>6604</v>
      </c>
      <c r="E1503" s="18" t="n">
        <v>0</v>
      </c>
      <c r="F1503" s="18" t="s">
        <v>676</v>
      </c>
      <c r="G1503" s="18" t="s">
        <v>503</v>
      </c>
      <c r="H1503" s="18" t="s">
        <v>129</v>
      </c>
      <c r="I1503" s="18"/>
      <c r="J1503" s="18"/>
      <c r="K1503" s="18"/>
      <c r="L1503" s="18" t="s">
        <v>129</v>
      </c>
      <c r="M1503" s="18" t="s">
        <v>129</v>
      </c>
      <c r="N1503" s="18"/>
      <c r="O1503" s="18"/>
      <c r="P1503" s="18"/>
      <c r="Q1503" s="18" t="s">
        <v>138</v>
      </c>
      <c r="R1503" s="18" t="s">
        <v>677</v>
      </c>
      <c r="S1503" s="18" t="s">
        <v>140</v>
      </c>
      <c r="T1503" s="18" t="s">
        <v>141</v>
      </c>
      <c r="U1503" s="18"/>
      <c r="V1503" s="19" t="s">
        <v>29</v>
      </c>
      <c r="W1503" s="19"/>
      <c r="X1503" s="19"/>
      <c r="Y1503" s="20"/>
      <c r="Z1503" s="19"/>
      <c r="AA1503" s="18" t="str">
        <f aca="false">IF(OR(V1503="Aprobada"),R1503,IF(AND(OR(V1503="Aprobada con ajuste",V1503="Rechazada"),W1503&lt;&gt;""),W1503,""))</f>
        <v/>
      </c>
    </row>
    <row r="1504" customFormat="false" ht="22.35" hidden="false" customHeight="false" outlineLevel="0" collapsed="false">
      <c r="A1504" s="18" t="s">
        <v>6605</v>
      </c>
      <c r="B1504" s="18" t="s">
        <v>66</v>
      </c>
      <c r="C1504" s="18" t="s">
        <v>67</v>
      </c>
      <c r="D1504" s="18" t="s">
        <v>6604</v>
      </c>
      <c r="E1504" s="18" t="n">
        <v>0</v>
      </c>
      <c r="F1504" s="18" t="s">
        <v>160</v>
      </c>
      <c r="G1504" s="18" t="s">
        <v>128</v>
      </c>
      <c r="H1504" s="18" t="s">
        <v>129</v>
      </c>
      <c r="I1504" s="18"/>
      <c r="J1504" s="18"/>
      <c r="K1504" s="18"/>
      <c r="L1504" s="18" t="s">
        <v>129</v>
      </c>
      <c r="M1504" s="18" t="s">
        <v>129</v>
      </c>
      <c r="N1504" s="18"/>
      <c r="O1504" s="18"/>
      <c r="P1504" s="18"/>
      <c r="Q1504" s="18" t="s">
        <v>138</v>
      </c>
      <c r="R1504" s="18" t="s">
        <v>6606</v>
      </c>
      <c r="S1504" s="18" t="s">
        <v>140</v>
      </c>
      <c r="T1504" s="18" t="s">
        <v>141</v>
      </c>
      <c r="U1504" s="18"/>
      <c r="V1504" s="19" t="s">
        <v>29</v>
      </c>
      <c r="W1504" s="19"/>
      <c r="X1504" s="19"/>
      <c r="Y1504" s="20"/>
      <c r="Z1504" s="19"/>
      <c r="AA1504" s="18" t="str">
        <f aca="false">IF(OR(V1504="Aprobada"),R1504,IF(AND(OR(V1504="Aprobada con ajuste",V1504="Rechazada"),W1504&lt;&gt;""),W1504,""))</f>
        <v/>
      </c>
    </row>
    <row r="1505" customFormat="false" ht="22.35" hidden="false" customHeight="false" outlineLevel="0" collapsed="false">
      <c r="A1505" s="18" t="s">
        <v>6607</v>
      </c>
      <c r="B1505" s="18" t="s">
        <v>66</v>
      </c>
      <c r="C1505" s="18" t="s">
        <v>67</v>
      </c>
      <c r="D1505" s="18" t="s">
        <v>6604</v>
      </c>
      <c r="E1505" s="18" t="n">
        <v>0</v>
      </c>
      <c r="F1505" s="18" t="s">
        <v>127</v>
      </c>
      <c r="G1505" s="18" t="s">
        <v>145</v>
      </c>
      <c r="H1505" s="18" t="s">
        <v>129</v>
      </c>
      <c r="I1505" s="18" t="s">
        <v>298</v>
      </c>
      <c r="J1505" s="18" t="s">
        <v>6504</v>
      </c>
      <c r="K1505" s="18"/>
      <c r="L1505" s="18" t="s">
        <v>162</v>
      </c>
      <c r="M1505" s="18" t="s">
        <v>129</v>
      </c>
      <c r="N1505" s="18"/>
      <c r="O1505" s="18"/>
      <c r="P1505" s="18"/>
      <c r="Q1505" s="18" t="s">
        <v>138</v>
      </c>
      <c r="R1505" s="18" t="s">
        <v>6608</v>
      </c>
      <c r="S1505" s="18" t="s">
        <v>140</v>
      </c>
      <c r="T1505" s="18" t="s">
        <v>141</v>
      </c>
      <c r="U1505" s="18"/>
      <c r="V1505" s="19" t="s">
        <v>29</v>
      </c>
      <c r="W1505" s="19"/>
      <c r="X1505" s="19"/>
      <c r="Y1505" s="20"/>
      <c r="Z1505" s="19"/>
      <c r="AA1505" s="18" t="str">
        <f aca="false">IF(OR(V1505="Aprobada"),R1505,IF(AND(OR(V1505="Aprobada con ajuste",V1505="Rechazada"),W1505&lt;&gt;""),W1505,""))</f>
        <v/>
      </c>
    </row>
    <row r="1506" customFormat="false" ht="22.35" hidden="false" customHeight="false" outlineLevel="0" collapsed="false">
      <c r="A1506" s="18" t="s">
        <v>6609</v>
      </c>
      <c r="B1506" s="18" t="s">
        <v>66</v>
      </c>
      <c r="C1506" s="18" t="s">
        <v>67</v>
      </c>
      <c r="D1506" s="18" t="s">
        <v>6604</v>
      </c>
      <c r="E1506" s="18" t="n">
        <v>0</v>
      </c>
      <c r="F1506" s="18" t="s">
        <v>5081</v>
      </c>
      <c r="G1506" s="18" t="s">
        <v>180</v>
      </c>
      <c r="H1506" s="18" t="s">
        <v>129</v>
      </c>
      <c r="I1506" s="18"/>
      <c r="J1506" s="18"/>
      <c r="K1506" s="18"/>
      <c r="L1506" s="18" t="s">
        <v>129</v>
      </c>
      <c r="M1506" s="18" t="s">
        <v>129</v>
      </c>
      <c r="N1506" s="18"/>
      <c r="O1506" s="18"/>
      <c r="P1506" s="18"/>
      <c r="Q1506" s="18" t="s">
        <v>149</v>
      </c>
      <c r="R1506" s="18" t="s">
        <v>6610</v>
      </c>
      <c r="S1506" s="18" t="s">
        <v>133</v>
      </c>
      <c r="T1506" s="18" t="s">
        <v>4079</v>
      </c>
      <c r="U1506" s="18"/>
      <c r="V1506" s="19" t="s">
        <v>29</v>
      </c>
      <c r="W1506" s="19"/>
      <c r="X1506" s="19"/>
      <c r="Y1506" s="20"/>
      <c r="Z1506" s="19"/>
      <c r="AA1506" s="18" t="str">
        <f aca="false">IF(OR(V1506="Aprobada"),R1506,IF(AND(OR(V1506="Aprobada con ajuste",V1506="Rechazada"),W1506&lt;&gt;""),W1506,""))</f>
        <v/>
      </c>
    </row>
    <row r="1507" customFormat="false" ht="22.35" hidden="false" customHeight="false" outlineLevel="0" collapsed="false">
      <c r="A1507" s="18" t="s">
        <v>6611</v>
      </c>
      <c r="B1507" s="18" t="s">
        <v>66</v>
      </c>
      <c r="C1507" s="18" t="s">
        <v>67</v>
      </c>
      <c r="D1507" s="18" t="s">
        <v>6604</v>
      </c>
      <c r="E1507" s="18" t="n">
        <v>0</v>
      </c>
      <c r="F1507" s="18" t="s">
        <v>2414</v>
      </c>
      <c r="G1507" s="18" t="s">
        <v>137</v>
      </c>
      <c r="H1507" s="18" t="s">
        <v>129</v>
      </c>
      <c r="I1507" s="18"/>
      <c r="J1507" s="18"/>
      <c r="K1507" s="18"/>
      <c r="L1507" s="18" t="s">
        <v>129</v>
      </c>
      <c r="M1507" s="18" t="s">
        <v>129</v>
      </c>
      <c r="N1507" s="18"/>
      <c r="O1507" s="18"/>
      <c r="P1507" s="18"/>
      <c r="Q1507" s="18" t="s">
        <v>138</v>
      </c>
      <c r="R1507" s="18" t="s">
        <v>2416</v>
      </c>
      <c r="S1507" s="18" t="s">
        <v>140</v>
      </c>
      <c r="T1507" s="18" t="s">
        <v>141</v>
      </c>
      <c r="U1507" s="18"/>
      <c r="V1507" s="19" t="s">
        <v>29</v>
      </c>
      <c r="W1507" s="19"/>
      <c r="X1507" s="19"/>
      <c r="Y1507" s="20"/>
      <c r="Z1507" s="19"/>
      <c r="AA1507" s="18" t="str">
        <f aca="false">IF(OR(V1507="Aprobada"),R1507,IF(AND(OR(V1507="Aprobada con ajuste",V1507="Rechazada"),W1507&lt;&gt;""),W1507,""))</f>
        <v/>
      </c>
    </row>
    <row r="1508" customFormat="false" ht="22.35" hidden="false" customHeight="false" outlineLevel="0" collapsed="false">
      <c r="A1508" s="18" t="s">
        <v>6612</v>
      </c>
      <c r="B1508" s="18" t="s">
        <v>66</v>
      </c>
      <c r="C1508" s="18" t="s">
        <v>67</v>
      </c>
      <c r="D1508" s="18" t="s">
        <v>6604</v>
      </c>
      <c r="E1508" s="18" t="n">
        <v>0</v>
      </c>
      <c r="F1508" s="18" t="s">
        <v>2418</v>
      </c>
      <c r="G1508" s="18" t="s">
        <v>137</v>
      </c>
      <c r="H1508" s="18" t="s">
        <v>129</v>
      </c>
      <c r="I1508" s="18"/>
      <c r="J1508" s="18"/>
      <c r="K1508" s="18"/>
      <c r="L1508" s="18" t="s">
        <v>129</v>
      </c>
      <c r="M1508" s="18" t="s">
        <v>129</v>
      </c>
      <c r="N1508" s="18"/>
      <c r="O1508" s="18"/>
      <c r="P1508" s="18"/>
      <c r="Q1508" s="18" t="s">
        <v>138</v>
      </c>
      <c r="R1508" s="18" t="s">
        <v>2420</v>
      </c>
      <c r="S1508" s="18" t="s">
        <v>140</v>
      </c>
      <c r="T1508" s="18" t="s">
        <v>141</v>
      </c>
      <c r="U1508" s="18"/>
      <c r="V1508" s="19" t="s">
        <v>29</v>
      </c>
      <c r="W1508" s="19"/>
      <c r="X1508" s="19"/>
      <c r="Y1508" s="20"/>
      <c r="Z1508" s="19"/>
      <c r="AA1508" s="18" t="str">
        <f aca="false">IF(OR(V1508="Aprobada"),R1508,IF(AND(OR(V1508="Aprobada con ajuste",V1508="Rechazada"),W1508&lt;&gt;""),W1508,""))</f>
        <v/>
      </c>
    </row>
    <row r="1509" customFormat="false" ht="22.35" hidden="false" customHeight="false" outlineLevel="0" collapsed="false">
      <c r="A1509" s="18" t="s">
        <v>6613</v>
      </c>
      <c r="B1509" s="18" t="s">
        <v>66</v>
      </c>
      <c r="C1509" s="18" t="s">
        <v>67</v>
      </c>
      <c r="D1509" s="18" t="s">
        <v>6604</v>
      </c>
      <c r="E1509" s="18" t="n">
        <v>0</v>
      </c>
      <c r="F1509" s="18" t="s">
        <v>185</v>
      </c>
      <c r="G1509" s="18" t="s">
        <v>145</v>
      </c>
      <c r="H1509" s="18" t="s">
        <v>129</v>
      </c>
      <c r="I1509" s="18" t="s">
        <v>298</v>
      </c>
      <c r="J1509" s="18" t="s">
        <v>6614</v>
      </c>
      <c r="K1509" s="18"/>
      <c r="L1509" s="18" t="s">
        <v>162</v>
      </c>
      <c r="M1509" s="18" t="s">
        <v>129</v>
      </c>
      <c r="N1509" s="18"/>
      <c r="O1509" s="18" t="s">
        <v>6615</v>
      </c>
      <c r="P1509" s="18"/>
      <c r="Q1509" s="18" t="s">
        <v>138</v>
      </c>
      <c r="R1509" s="18" t="s">
        <v>6616</v>
      </c>
      <c r="S1509" s="18" t="s">
        <v>140</v>
      </c>
      <c r="T1509" s="18" t="s">
        <v>141</v>
      </c>
      <c r="U1509" s="18"/>
      <c r="V1509" s="19" t="s">
        <v>29</v>
      </c>
      <c r="W1509" s="19"/>
      <c r="X1509" s="19"/>
      <c r="Y1509" s="20"/>
      <c r="Z1509" s="19"/>
      <c r="AA1509" s="18" t="str">
        <f aca="false">IF(OR(V1509="Aprobada"),R1509,IF(AND(OR(V1509="Aprobada con ajuste",V1509="Rechazada"),W1509&lt;&gt;""),W1509,""))</f>
        <v/>
      </c>
    </row>
    <row r="1510" customFormat="false" ht="22.35" hidden="false" customHeight="false" outlineLevel="0" collapsed="false">
      <c r="A1510" s="18" t="s">
        <v>6617</v>
      </c>
      <c r="B1510" s="18" t="s">
        <v>66</v>
      </c>
      <c r="C1510" s="18" t="s">
        <v>67</v>
      </c>
      <c r="D1510" s="18" t="s">
        <v>6604</v>
      </c>
      <c r="E1510" s="18" t="n">
        <v>0</v>
      </c>
      <c r="F1510" s="18" t="s">
        <v>6618</v>
      </c>
      <c r="G1510" s="18" t="s">
        <v>503</v>
      </c>
      <c r="H1510" s="18" t="s">
        <v>129</v>
      </c>
      <c r="I1510" s="18"/>
      <c r="J1510" s="18"/>
      <c r="K1510" s="18"/>
      <c r="L1510" s="18" t="s">
        <v>129</v>
      </c>
      <c r="M1510" s="18" t="s">
        <v>129</v>
      </c>
      <c r="N1510" s="18"/>
      <c r="O1510" s="18"/>
      <c r="P1510" s="18"/>
      <c r="Q1510" s="18" t="s">
        <v>149</v>
      </c>
      <c r="R1510" s="18" t="s">
        <v>6619</v>
      </c>
      <c r="S1510" s="18" t="s">
        <v>140</v>
      </c>
      <c r="T1510" s="18" t="s">
        <v>858</v>
      </c>
      <c r="U1510" s="18" t="s">
        <v>6620</v>
      </c>
      <c r="V1510" s="19" t="s">
        <v>29</v>
      </c>
      <c r="W1510" s="19"/>
      <c r="X1510" s="19"/>
      <c r="Y1510" s="20"/>
      <c r="Z1510" s="19"/>
      <c r="AA1510" s="18" t="str">
        <f aca="false">IF(OR(V1510="Aprobada"),R1510,IF(AND(OR(V1510="Aprobada con ajuste",V1510="Rechazada"),W1510&lt;&gt;""),W1510,""))</f>
        <v/>
      </c>
    </row>
    <row r="1511" customFormat="false" ht="22.35" hidden="false" customHeight="false" outlineLevel="0" collapsed="false">
      <c r="A1511" s="18" t="s">
        <v>6621</v>
      </c>
      <c r="B1511" s="18" t="s">
        <v>66</v>
      </c>
      <c r="C1511" s="18" t="s">
        <v>67</v>
      </c>
      <c r="D1511" s="18" t="s">
        <v>6604</v>
      </c>
      <c r="E1511" s="18" t="n">
        <v>0</v>
      </c>
      <c r="F1511" s="18" t="s">
        <v>5179</v>
      </c>
      <c r="G1511" s="18" t="s">
        <v>192</v>
      </c>
      <c r="H1511" s="18" t="s">
        <v>129</v>
      </c>
      <c r="I1511" s="18"/>
      <c r="J1511" s="18"/>
      <c r="K1511" s="18"/>
      <c r="L1511" s="18" t="s">
        <v>129</v>
      </c>
      <c r="M1511" s="18" t="s">
        <v>129</v>
      </c>
      <c r="N1511" s="18"/>
      <c r="O1511" s="18"/>
      <c r="P1511" s="18"/>
      <c r="Q1511" s="18" t="s">
        <v>149</v>
      </c>
      <c r="R1511" s="18" t="s">
        <v>6622</v>
      </c>
      <c r="S1511" s="18" t="s">
        <v>140</v>
      </c>
      <c r="T1511" s="18" t="s">
        <v>3193</v>
      </c>
      <c r="U1511" s="18" t="s">
        <v>6623</v>
      </c>
      <c r="V1511" s="19" t="s">
        <v>29</v>
      </c>
      <c r="W1511" s="19"/>
      <c r="X1511" s="19"/>
      <c r="Y1511" s="20"/>
      <c r="Z1511" s="19"/>
      <c r="AA1511" s="18" t="str">
        <f aca="false">IF(OR(V1511="Aprobada"),R1511,IF(AND(OR(V1511="Aprobada con ajuste",V1511="Rechazada"),W1511&lt;&gt;""),W1511,""))</f>
        <v/>
      </c>
    </row>
    <row r="1512" customFormat="false" ht="22.35" hidden="false" customHeight="false" outlineLevel="0" collapsed="false">
      <c r="A1512" s="18" t="s">
        <v>6624</v>
      </c>
      <c r="B1512" s="18" t="s">
        <v>66</v>
      </c>
      <c r="C1512" s="18" t="s">
        <v>67</v>
      </c>
      <c r="D1512" s="18" t="s">
        <v>6604</v>
      </c>
      <c r="E1512" s="18" t="n">
        <v>0</v>
      </c>
      <c r="F1512" s="18" t="s">
        <v>886</v>
      </c>
      <c r="G1512" s="18" t="s">
        <v>128</v>
      </c>
      <c r="H1512" s="18" t="s">
        <v>162</v>
      </c>
      <c r="I1512" s="18"/>
      <c r="J1512" s="18"/>
      <c r="K1512" s="18"/>
      <c r="L1512" s="18" t="s">
        <v>129</v>
      </c>
      <c r="M1512" s="18" t="s">
        <v>129</v>
      </c>
      <c r="N1512" s="18"/>
      <c r="O1512" s="18"/>
      <c r="P1512" s="18"/>
      <c r="Q1512" s="18" t="s">
        <v>138</v>
      </c>
      <c r="R1512" s="18" t="s">
        <v>1693</v>
      </c>
      <c r="S1512" s="18" t="s">
        <v>140</v>
      </c>
      <c r="T1512" s="18" t="s">
        <v>141</v>
      </c>
      <c r="U1512" s="18"/>
      <c r="V1512" s="19" t="s">
        <v>29</v>
      </c>
      <c r="W1512" s="19"/>
      <c r="X1512" s="19"/>
      <c r="Y1512" s="20"/>
      <c r="Z1512" s="19"/>
      <c r="AA1512" s="18" t="str">
        <f aca="false">IF(OR(V1512="Aprobada"),R1512,IF(AND(OR(V1512="Aprobada con ajuste",V1512="Rechazada"),W1512&lt;&gt;""),W1512,""))</f>
        <v/>
      </c>
    </row>
    <row r="1513" customFormat="false" ht="22.35" hidden="false" customHeight="false" outlineLevel="0" collapsed="false">
      <c r="A1513" s="18" t="s">
        <v>6625</v>
      </c>
      <c r="B1513" s="18" t="s">
        <v>66</v>
      </c>
      <c r="C1513" s="18" t="s">
        <v>67</v>
      </c>
      <c r="D1513" s="18" t="s">
        <v>6626</v>
      </c>
      <c r="E1513" s="18" t="n">
        <v>0</v>
      </c>
      <c r="F1513" s="18" t="s">
        <v>275</v>
      </c>
      <c r="G1513" s="18" t="s">
        <v>161</v>
      </c>
      <c r="H1513" s="18" t="s">
        <v>129</v>
      </c>
      <c r="I1513" s="18"/>
      <c r="J1513" s="18"/>
      <c r="K1513" s="18"/>
      <c r="L1513" s="18" t="s">
        <v>129</v>
      </c>
      <c r="M1513" s="18" t="s">
        <v>129</v>
      </c>
      <c r="N1513" s="18"/>
      <c r="O1513" s="18"/>
      <c r="P1513" s="18"/>
      <c r="Q1513" s="18" t="s">
        <v>138</v>
      </c>
      <c r="R1513" s="18" t="s">
        <v>6627</v>
      </c>
      <c r="S1513" s="18" t="s">
        <v>140</v>
      </c>
      <c r="T1513" s="18" t="s">
        <v>141</v>
      </c>
      <c r="U1513" s="18"/>
      <c r="V1513" s="19" t="s">
        <v>29</v>
      </c>
      <c r="W1513" s="19"/>
      <c r="X1513" s="19"/>
      <c r="Y1513" s="20"/>
      <c r="Z1513" s="19"/>
      <c r="AA1513" s="18" t="str">
        <f aca="false">IF(OR(V1513="Aprobada"),R1513,IF(AND(OR(V1513="Aprobada con ajuste",V1513="Rechazada"),W1513&lt;&gt;""),W1513,""))</f>
        <v/>
      </c>
    </row>
    <row r="1514" customFormat="false" ht="22.35" hidden="false" customHeight="false" outlineLevel="0" collapsed="false">
      <c r="A1514" s="18" t="s">
        <v>6628</v>
      </c>
      <c r="B1514" s="18" t="s">
        <v>66</v>
      </c>
      <c r="C1514" s="18" t="s">
        <v>67</v>
      </c>
      <c r="D1514" s="18" t="s">
        <v>6626</v>
      </c>
      <c r="E1514" s="18" t="n">
        <v>0</v>
      </c>
      <c r="F1514" s="18" t="s">
        <v>160</v>
      </c>
      <c r="G1514" s="18" t="s">
        <v>128</v>
      </c>
      <c r="H1514" s="18" t="s">
        <v>162</v>
      </c>
      <c r="I1514" s="18"/>
      <c r="J1514" s="18"/>
      <c r="K1514" s="18"/>
      <c r="L1514" s="18" t="s">
        <v>129</v>
      </c>
      <c r="M1514" s="18" t="s">
        <v>129</v>
      </c>
      <c r="N1514" s="18"/>
      <c r="O1514" s="18"/>
      <c r="P1514" s="18"/>
      <c r="Q1514" s="18" t="s">
        <v>138</v>
      </c>
      <c r="R1514" s="18" t="s">
        <v>6629</v>
      </c>
      <c r="S1514" s="18" t="s">
        <v>140</v>
      </c>
      <c r="T1514" s="18" t="s">
        <v>141</v>
      </c>
      <c r="U1514" s="18"/>
      <c r="V1514" s="19" t="s">
        <v>29</v>
      </c>
      <c r="W1514" s="19"/>
      <c r="X1514" s="19"/>
      <c r="Y1514" s="20"/>
      <c r="Z1514" s="19"/>
      <c r="AA1514" s="18" t="str">
        <f aca="false">IF(OR(V1514="Aprobada"),R1514,IF(AND(OR(V1514="Aprobada con ajuste",V1514="Rechazada"),W1514&lt;&gt;""),W1514,""))</f>
        <v/>
      </c>
    </row>
    <row r="1515" customFormat="false" ht="22.35" hidden="false" customHeight="false" outlineLevel="0" collapsed="false">
      <c r="A1515" s="18" t="s">
        <v>6630</v>
      </c>
      <c r="B1515" s="18" t="s">
        <v>66</v>
      </c>
      <c r="C1515" s="18" t="s">
        <v>67</v>
      </c>
      <c r="D1515" s="18" t="s">
        <v>6626</v>
      </c>
      <c r="E1515" s="18" t="n">
        <v>0</v>
      </c>
      <c r="F1515" s="18" t="s">
        <v>127</v>
      </c>
      <c r="G1515" s="18" t="s">
        <v>486</v>
      </c>
      <c r="H1515" s="18" t="s">
        <v>129</v>
      </c>
      <c r="I1515" s="18"/>
      <c r="J1515" s="18"/>
      <c r="K1515" s="18"/>
      <c r="L1515" s="18" t="s">
        <v>129</v>
      </c>
      <c r="M1515" s="18" t="s">
        <v>129</v>
      </c>
      <c r="N1515" s="18"/>
      <c r="O1515" s="18"/>
      <c r="P1515" s="18"/>
      <c r="Q1515" s="18" t="s">
        <v>138</v>
      </c>
      <c r="R1515" s="18" t="s">
        <v>6631</v>
      </c>
      <c r="S1515" s="18" t="s">
        <v>140</v>
      </c>
      <c r="T1515" s="18" t="s">
        <v>141</v>
      </c>
      <c r="U1515" s="18"/>
      <c r="V1515" s="19" t="s">
        <v>29</v>
      </c>
      <c r="W1515" s="19"/>
      <c r="X1515" s="19"/>
      <c r="Y1515" s="20"/>
      <c r="Z1515" s="19"/>
      <c r="AA1515" s="18" t="str">
        <f aca="false">IF(OR(V1515="Aprobada"),R1515,IF(AND(OR(V1515="Aprobada con ajuste",V1515="Rechazada"),W1515&lt;&gt;""),W1515,""))</f>
        <v/>
      </c>
    </row>
    <row r="1516" customFormat="false" ht="22.35" hidden="false" customHeight="false" outlineLevel="0" collapsed="false">
      <c r="A1516" s="18" t="s">
        <v>6632</v>
      </c>
      <c r="B1516" s="18" t="s">
        <v>66</v>
      </c>
      <c r="C1516" s="18" t="s">
        <v>67</v>
      </c>
      <c r="D1516" s="18" t="s">
        <v>6626</v>
      </c>
      <c r="E1516" s="18" t="n">
        <v>0</v>
      </c>
      <c r="F1516" s="18" t="s">
        <v>185</v>
      </c>
      <c r="G1516" s="18" t="s">
        <v>145</v>
      </c>
      <c r="H1516" s="18" t="s">
        <v>129</v>
      </c>
      <c r="I1516" s="18" t="s">
        <v>298</v>
      </c>
      <c r="J1516" s="18" t="s">
        <v>6633</v>
      </c>
      <c r="K1516" s="18"/>
      <c r="L1516" s="18" t="s">
        <v>162</v>
      </c>
      <c r="M1516" s="18" t="s">
        <v>129</v>
      </c>
      <c r="N1516" s="18"/>
      <c r="O1516" s="18"/>
      <c r="P1516" s="18"/>
      <c r="Q1516" s="18" t="s">
        <v>138</v>
      </c>
      <c r="R1516" s="18" t="s">
        <v>6634</v>
      </c>
      <c r="S1516" s="18" t="s">
        <v>140</v>
      </c>
      <c r="T1516" s="18" t="s">
        <v>141</v>
      </c>
      <c r="U1516" s="18"/>
      <c r="V1516" s="19" t="s">
        <v>29</v>
      </c>
      <c r="W1516" s="19"/>
      <c r="X1516" s="19"/>
      <c r="Y1516" s="20"/>
      <c r="Z1516" s="19"/>
      <c r="AA1516" s="18" t="str">
        <f aca="false">IF(OR(V1516="Aprobada"),R1516,IF(AND(OR(V1516="Aprobada con ajuste",V1516="Rechazada"),W1516&lt;&gt;""),W1516,""))</f>
        <v/>
      </c>
    </row>
    <row r="1517" customFormat="false" ht="22.35" hidden="false" customHeight="false" outlineLevel="0" collapsed="false">
      <c r="A1517" s="18" t="s">
        <v>6635</v>
      </c>
      <c r="B1517" s="18" t="s">
        <v>66</v>
      </c>
      <c r="C1517" s="18" t="s">
        <v>67</v>
      </c>
      <c r="D1517" s="18" t="s">
        <v>6626</v>
      </c>
      <c r="E1517" s="18" t="n">
        <v>0</v>
      </c>
      <c r="F1517" s="18" t="s">
        <v>5081</v>
      </c>
      <c r="G1517" s="18" t="s">
        <v>180</v>
      </c>
      <c r="H1517" s="18" t="s">
        <v>162</v>
      </c>
      <c r="I1517" s="18"/>
      <c r="J1517" s="18"/>
      <c r="K1517" s="18"/>
      <c r="L1517" s="18" t="s">
        <v>129</v>
      </c>
      <c r="M1517" s="18" t="s">
        <v>129</v>
      </c>
      <c r="N1517" s="18"/>
      <c r="O1517" s="18"/>
      <c r="P1517" s="18"/>
      <c r="Q1517" s="18" t="s">
        <v>149</v>
      </c>
      <c r="R1517" s="18" t="s">
        <v>6636</v>
      </c>
      <c r="S1517" s="18" t="s">
        <v>140</v>
      </c>
      <c r="T1517" s="18" t="s">
        <v>4074</v>
      </c>
      <c r="U1517" s="18" t="s">
        <v>6637</v>
      </c>
      <c r="V1517" s="19" t="s">
        <v>29</v>
      </c>
      <c r="W1517" s="19"/>
      <c r="X1517" s="19"/>
      <c r="Y1517" s="20"/>
      <c r="Z1517" s="19"/>
      <c r="AA1517" s="18" t="str">
        <f aca="false">IF(OR(V1517="Aprobada"),R1517,IF(AND(OR(V1517="Aprobada con ajuste",V1517="Rechazada"),W1517&lt;&gt;""),W1517,""))</f>
        <v/>
      </c>
    </row>
    <row r="1518" customFormat="false" ht="22.35" hidden="false" customHeight="false" outlineLevel="0" collapsed="false">
      <c r="A1518" s="18" t="s">
        <v>6638</v>
      </c>
      <c r="B1518" s="18" t="s">
        <v>66</v>
      </c>
      <c r="C1518" s="18" t="s">
        <v>67</v>
      </c>
      <c r="D1518" s="18" t="s">
        <v>6626</v>
      </c>
      <c r="E1518" s="18" t="n">
        <v>0</v>
      </c>
      <c r="F1518" s="18" t="s">
        <v>6639</v>
      </c>
      <c r="G1518" s="18" t="s">
        <v>137</v>
      </c>
      <c r="H1518" s="18" t="s">
        <v>162</v>
      </c>
      <c r="I1518" s="18"/>
      <c r="J1518" s="18"/>
      <c r="K1518" s="18"/>
      <c r="L1518" s="18" t="s">
        <v>129</v>
      </c>
      <c r="M1518" s="18" t="s">
        <v>129</v>
      </c>
      <c r="N1518" s="18"/>
      <c r="O1518" s="18"/>
      <c r="P1518" s="18"/>
      <c r="Q1518" s="18" t="s">
        <v>138</v>
      </c>
      <c r="R1518" s="18" t="s">
        <v>6640</v>
      </c>
      <c r="S1518" s="18" t="s">
        <v>140</v>
      </c>
      <c r="T1518" s="18" t="s">
        <v>141</v>
      </c>
      <c r="U1518" s="18"/>
      <c r="V1518" s="19" t="s">
        <v>29</v>
      </c>
      <c r="W1518" s="19"/>
      <c r="X1518" s="19"/>
      <c r="Y1518" s="20"/>
      <c r="Z1518" s="19"/>
      <c r="AA1518" s="18" t="str">
        <f aca="false">IF(OR(V1518="Aprobada"),R1518,IF(AND(OR(V1518="Aprobada con ajuste",V1518="Rechazada"),W1518&lt;&gt;""),W1518,""))</f>
        <v/>
      </c>
    </row>
    <row r="1519" customFormat="false" ht="22.35" hidden="false" customHeight="false" outlineLevel="0" collapsed="false">
      <c r="A1519" s="18" t="s">
        <v>6641</v>
      </c>
      <c r="B1519" s="18" t="s">
        <v>66</v>
      </c>
      <c r="C1519" s="18" t="s">
        <v>67</v>
      </c>
      <c r="D1519" s="18" t="s">
        <v>6626</v>
      </c>
      <c r="E1519" s="18" t="n">
        <v>0</v>
      </c>
      <c r="F1519" s="18" t="s">
        <v>6642</v>
      </c>
      <c r="G1519" s="18" t="s">
        <v>173</v>
      </c>
      <c r="H1519" s="18" t="s">
        <v>162</v>
      </c>
      <c r="I1519" s="18" t="s">
        <v>298</v>
      </c>
      <c r="J1519" s="18"/>
      <c r="K1519" s="18"/>
      <c r="L1519" s="18" t="s">
        <v>129</v>
      </c>
      <c r="M1519" s="18" t="s">
        <v>129</v>
      </c>
      <c r="N1519" s="18"/>
      <c r="O1519" s="18"/>
      <c r="P1519" s="18"/>
      <c r="Q1519" s="18" t="s">
        <v>138</v>
      </c>
      <c r="R1519" s="18" t="s">
        <v>6643</v>
      </c>
      <c r="S1519" s="18" t="s">
        <v>140</v>
      </c>
      <c r="T1519" s="18" t="s">
        <v>141</v>
      </c>
      <c r="U1519" s="18"/>
      <c r="V1519" s="19" t="s">
        <v>29</v>
      </c>
      <c r="W1519" s="19"/>
      <c r="X1519" s="19"/>
      <c r="Y1519" s="20"/>
      <c r="Z1519" s="19"/>
      <c r="AA1519" s="18" t="str">
        <f aca="false">IF(OR(V1519="Aprobada"),R1519,IF(AND(OR(V1519="Aprobada con ajuste",V1519="Rechazada"),W1519&lt;&gt;""),W1519,""))</f>
        <v/>
      </c>
    </row>
    <row r="1520" customFormat="false" ht="22.35" hidden="false" customHeight="false" outlineLevel="0" collapsed="false">
      <c r="A1520" s="18" t="s">
        <v>6644</v>
      </c>
      <c r="B1520" s="18" t="s">
        <v>66</v>
      </c>
      <c r="C1520" s="18" t="s">
        <v>67</v>
      </c>
      <c r="D1520" s="18" t="s">
        <v>6626</v>
      </c>
      <c r="E1520" s="18" t="n">
        <v>0</v>
      </c>
      <c r="F1520" s="18" t="s">
        <v>6645</v>
      </c>
      <c r="G1520" s="18" t="s">
        <v>317</v>
      </c>
      <c r="H1520" s="18" t="s">
        <v>162</v>
      </c>
      <c r="I1520" s="18"/>
      <c r="J1520" s="18"/>
      <c r="K1520" s="18"/>
      <c r="L1520" s="18" t="s">
        <v>129</v>
      </c>
      <c r="M1520" s="18" t="s">
        <v>129</v>
      </c>
      <c r="N1520" s="18"/>
      <c r="O1520" s="18"/>
      <c r="P1520" s="18"/>
      <c r="Q1520" s="18" t="s">
        <v>138</v>
      </c>
      <c r="R1520" s="18" t="s">
        <v>6646</v>
      </c>
      <c r="S1520" s="18" t="s">
        <v>140</v>
      </c>
      <c r="T1520" s="18" t="s">
        <v>141</v>
      </c>
      <c r="U1520" s="18"/>
      <c r="V1520" s="19" t="s">
        <v>29</v>
      </c>
      <c r="W1520" s="19"/>
      <c r="X1520" s="19"/>
      <c r="Y1520" s="20"/>
      <c r="Z1520" s="19"/>
      <c r="AA1520" s="18" t="str">
        <f aca="false">IF(OR(V1520="Aprobada"),R1520,IF(AND(OR(V1520="Aprobada con ajuste",V1520="Rechazada"),W1520&lt;&gt;""),W1520,""))</f>
        <v/>
      </c>
    </row>
    <row r="1521" customFormat="false" ht="126.85" hidden="false" customHeight="false" outlineLevel="0" collapsed="false">
      <c r="A1521" s="18" t="s">
        <v>6647</v>
      </c>
      <c r="B1521" s="18" t="s">
        <v>66</v>
      </c>
      <c r="C1521" s="18" t="s">
        <v>67</v>
      </c>
      <c r="D1521" s="18" t="s">
        <v>6648</v>
      </c>
      <c r="E1521" s="18" t="n">
        <v>1604</v>
      </c>
      <c r="F1521" s="18" t="s">
        <v>6649</v>
      </c>
      <c r="G1521" s="18" t="s">
        <v>312</v>
      </c>
      <c r="H1521" s="18" t="s">
        <v>129</v>
      </c>
      <c r="I1521" s="18"/>
      <c r="J1521" s="18"/>
      <c r="K1521" s="18"/>
      <c r="L1521" s="18" t="s">
        <v>129</v>
      </c>
      <c r="M1521" s="18" t="s">
        <v>162</v>
      </c>
      <c r="N1521" s="18" t="s">
        <v>6650</v>
      </c>
      <c r="O1521" s="18" t="s">
        <v>6651</v>
      </c>
      <c r="P1521" s="18" t="s">
        <v>6652</v>
      </c>
      <c r="Q1521" s="18" t="s">
        <v>149</v>
      </c>
      <c r="R1521" s="18" t="s">
        <v>6653</v>
      </c>
      <c r="S1521" s="18" t="s">
        <v>133</v>
      </c>
      <c r="T1521" s="18" t="s">
        <v>6654</v>
      </c>
      <c r="U1521" s="18"/>
      <c r="V1521" s="19" t="s">
        <v>29</v>
      </c>
      <c r="W1521" s="19"/>
      <c r="X1521" s="19"/>
      <c r="Y1521" s="20"/>
      <c r="Z1521" s="19"/>
      <c r="AA1521" s="18" t="str">
        <f aca="false">IF(OR(V1521="Aprobada"),R1521,IF(AND(OR(V1521="Aprobada con ajuste",V1521="Rechazada"),W1521&lt;&gt;""),W1521,""))</f>
        <v/>
      </c>
    </row>
    <row r="1522" customFormat="false" ht="64.15" hidden="false" customHeight="false" outlineLevel="0" collapsed="false">
      <c r="A1522" s="18" t="s">
        <v>6655</v>
      </c>
      <c r="B1522" s="18" t="s">
        <v>66</v>
      </c>
      <c r="C1522" s="18" t="s">
        <v>67</v>
      </c>
      <c r="D1522" s="18" t="s">
        <v>6648</v>
      </c>
      <c r="E1522" s="18" t="n">
        <v>1604</v>
      </c>
      <c r="F1522" s="18" t="s">
        <v>275</v>
      </c>
      <c r="G1522" s="18" t="s">
        <v>161</v>
      </c>
      <c r="H1522" s="18" t="s">
        <v>129</v>
      </c>
      <c r="I1522" s="18"/>
      <c r="J1522" s="18"/>
      <c r="K1522" s="18"/>
      <c r="L1522" s="18" t="s">
        <v>129</v>
      </c>
      <c r="M1522" s="18" t="s">
        <v>162</v>
      </c>
      <c r="N1522" s="18" t="s">
        <v>6656</v>
      </c>
      <c r="O1522" s="18"/>
      <c r="P1522" s="18" t="s">
        <v>6657</v>
      </c>
      <c r="Q1522" s="18" t="s">
        <v>138</v>
      </c>
      <c r="R1522" s="18" t="s">
        <v>6658</v>
      </c>
      <c r="S1522" s="18" t="s">
        <v>140</v>
      </c>
      <c r="T1522" s="18" t="s">
        <v>141</v>
      </c>
      <c r="U1522" s="18"/>
      <c r="V1522" s="19" t="s">
        <v>29</v>
      </c>
      <c r="W1522" s="19"/>
      <c r="X1522" s="19"/>
      <c r="Y1522" s="20"/>
      <c r="Z1522" s="19"/>
      <c r="AA1522" s="18" t="str">
        <f aca="false">IF(OR(V1522="Aprobada"),R1522,IF(AND(OR(V1522="Aprobada con ajuste",V1522="Rechazada"),W1522&lt;&gt;""),W1522,""))</f>
        <v/>
      </c>
    </row>
    <row r="1523" customFormat="false" ht="43.25" hidden="false" customHeight="false" outlineLevel="0" collapsed="false">
      <c r="A1523" s="18" t="s">
        <v>6659</v>
      </c>
      <c r="B1523" s="18" t="s">
        <v>66</v>
      </c>
      <c r="C1523" s="18" t="s">
        <v>67</v>
      </c>
      <c r="D1523" s="18" t="s">
        <v>6648</v>
      </c>
      <c r="E1523" s="18" t="n">
        <v>1604</v>
      </c>
      <c r="F1523" s="18" t="s">
        <v>160</v>
      </c>
      <c r="G1523" s="18" t="s">
        <v>128</v>
      </c>
      <c r="H1523" s="18" t="s">
        <v>162</v>
      </c>
      <c r="I1523" s="18"/>
      <c r="J1523" s="18"/>
      <c r="K1523" s="18"/>
      <c r="L1523" s="18" t="s">
        <v>129</v>
      </c>
      <c r="M1523" s="18" t="s">
        <v>129</v>
      </c>
      <c r="N1523" s="18"/>
      <c r="O1523" s="18"/>
      <c r="P1523" s="18" t="s">
        <v>6660</v>
      </c>
      <c r="Q1523" s="18" t="s">
        <v>138</v>
      </c>
      <c r="R1523" s="18" t="s">
        <v>6661</v>
      </c>
      <c r="S1523" s="18" t="s">
        <v>140</v>
      </c>
      <c r="T1523" s="18" t="s">
        <v>141</v>
      </c>
      <c r="U1523" s="18"/>
      <c r="V1523" s="19" t="s">
        <v>29</v>
      </c>
      <c r="W1523" s="19"/>
      <c r="X1523" s="19"/>
      <c r="Y1523" s="20"/>
      <c r="Z1523" s="19"/>
      <c r="AA1523" s="18" t="str">
        <f aca="false">IF(OR(V1523="Aprobada"),R1523,IF(AND(OR(V1523="Aprobada con ajuste",V1523="Rechazada"),W1523&lt;&gt;""),W1523,""))</f>
        <v/>
      </c>
    </row>
    <row r="1524" customFormat="false" ht="43.25" hidden="false" customHeight="false" outlineLevel="0" collapsed="false">
      <c r="A1524" s="18" t="s">
        <v>6662</v>
      </c>
      <c r="B1524" s="18" t="s">
        <v>66</v>
      </c>
      <c r="C1524" s="18" t="s">
        <v>67</v>
      </c>
      <c r="D1524" s="18" t="s">
        <v>6648</v>
      </c>
      <c r="E1524" s="18" t="n">
        <v>1604</v>
      </c>
      <c r="F1524" s="18" t="s">
        <v>5081</v>
      </c>
      <c r="G1524" s="18" t="s">
        <v>180</v>
      </c>
      <c r="H1524" s="18" t="s">
        <v>129</v>
      </c>
      <c r="I1524" s="18"/>
      <c r="J1524" s="18"/>
      <c r="K1524" s="18"/>
      <c r="L1524" s="18" t="s">
        <v>129</v>
      </c>
      <c r="M1524" s="18" t="s">
        <v>129</v>
      </c>
      <c r="N1524" s="18"/>
      <c r="O1524" s="18"/>
      <c r="P1524" s="18" t="s">
        <v>6663</v>
      </c>
      <c r="Q1524" s="18" t="s">
        <v>149</v>
      </c>
      <c r="R1524" s="18" t="s">
        <v>6664</v>
      </c>
      <c r="S1524" s="18" t="s">
        <v>133</v>
      </c>
      <c r="T1524" s="18" t="s">
        <v>6665</v>
      </c>
      <c r="U1524" s="18"/>
      <c r="V1524" s="19" t="s">
        <v>29</v>
      </c>
      <c r="W1524" s="19"/>
      <c r="X1524" s="19"/>
      <c r="Y1524" s="20"/>
      <c r="Z1524" s="19"/>
      <c r="AA1524" s="18" t="str">
        <f aca="false">IF(OR(V1524="Aprobada"),R1524,IF(AND(OR(V1524="Aprobada con ajuste",V1524="Rechazada"),W1524&lt;&gt;""),W1524,""))</f>
        <v/>
      </c>
    </row>
    <row r="1525" customFormat="false" ht="43.25" hidden="false" customHeight="false" outlineLevel="0" collapsed="false">
      <c r="A1525" s="18" t="s">
        <v>6666</v>
      </c>
      <c r="B1525" s="18" t="s">
        <v>66</v>
      </c>
      <c r="C1525" s="18" t="s">
        <v>67</v>
      </c>
      <c r="D1525" s="18" t="s">
        <v>6648</v>
      </c>
      <c r="E1525" s="18" t="n">
        <v>1604</v>
      </c>
      <c r="F1525" s="18" t="s">
        <v>2414</v>
      </c>
      <c r="G1525" s="18" t="s">
        <v>137</v>
      </c>
      <c r="H1525" s="18" t="s">
        <v>129</v>
      </c>
      <c r="I1525" s="18"/>
      <c r="J1525" s="18"/>
      <c r="K1525" s="18"/>
      <c r="L1525" s="18" t="s">
        <v>129</v>
      </c>
      <c r="M1525" s="18" t="s">
        <v>162</v>
      </c>
      <c r="N1525" s="18" t="s">
        <v>6667</v>
      </c>
      <c r="O1525" s="18"/>
      <c r="P1525" s="18" t="s">
        <v>6668</v>
      </c>
      <c r="Q1525" s="18" t="s">
        <v>138</v>
      </c>
      <c r="R1525" s="18" t="s">
        <v>2416</v>
      </c>
      <c r="S1525" s="18" t="s">
        <v>140</v>
      </c>
      <c r="T1525" s="18" t="s">
        <v>141</v>
      </c>
      <c r="U1525" s="18"/>
      <c r="V1525" s="19" t="s">
        <v>29</v>
      </c>
      <c r="W1525" s="19"/>
      <c r="X1525" s="19"/>
      <c r="Y1525" s="20"/>
      <c r="Z1525" s="19"/>
      <c r="AA1525" s="18" t="str">
        <f aca="false">IF(OR(V1525="Aprobada"),R1525,IF(AND(OR(V1525="Aprobada con ajuste",V1525="Rechazada"),W1525&lt;&gt;""),W1525,""))</f>
        <v/>
      </c>
    </row>
    <row r="1526" customFormat="false" ht="43.25" hidden="false" customHeight="false" outlineLevel="0" collapsed="false">
      <c r="A1526" s="18" t="s">
        <v>6669</v>
      </c>
      <c r="B1526" s="18" t="s">
        <v>66</v>
      </c>
      <c r="C1526" s="18" t="s">
        <v>67</v>
      </c>
      <c r="D1526" s="18" t="s">
        <v>6648</v>
      </c>
      <c r="E1526" s="18" t="n">
        <v>1604</v>
      </c>
      <c r="F1526" s="18" t="s">
        <v>2418</v>
      </c>
      <c r="G1526" s="18" t="s">
        <v>137</v>
      </c>
      <c r="H1526" s="18" t="s">
        <v>129</v>
      </c>
      <c r="I1526" s="18"/>
      <c r="J1526" s="18"/>
      <c r="K1526" s="18"/>
      <c r="L1526" s="18" t="s">
        <v>129</v>
      </c>
      <c r="M1526" s="18" t="s">
        <v>129</v>
      </c>
      <c r="N1526" s="18"/>
      <c r="O1526" s="18"/>
      <c r="P1526" s="18" t="s">
        <v>6670</v>
      </c>
      <c r="Q1526" s="18" t="s">
        <v>138</v>
      </c>
      <c r="R1526" s="18" t="s">
        <v>2420</v>
      </c>
      <c r="S1526" s="18" t="s">
        <v>140</v>
      </c>
      <c r="T1526" s="18" t="s">
        <v>141</v>
      </c>
      <c r="U1526" s="18"/>
      <c r="V1526" s="19" t="s">
        <v>29</v>
      </c>
      <c r="W1526" s="19"/>
      <c r="X1526" s="19"/>
      <c r="Y1526" s="20"/>
      <c r="Z1526" s="19"/>
      <c r="AA1526" s="18" t="str">
        <f aca="false">IF(OR(V1526="Aprobada"),R1526,IF(AND(OR(V1526="Aprobada con ajuste",V1526="Rechazada"),W1526&lt;&gt;""),W1526,""))</f>
        <v/>
      </c>
    </row>
    <row r="1527" customFormat="false" ht="64.15" hidden="false" customHeight="false" outlineLevel="0" collapsed="false">
      <c r="A1527" s="18" t="s">
        <v>6671</v>
      </c>
      <c r="B1527" s="18" t="s">
        <v>66</v>
      </c>
      <c r="C1527" s="18" t="s">
        <v>67</v>
      </c>
      <c r="D1527" s="18" t="s">
        <v>6648</v>
      </c>
      <c r="E1527" s="18" t="n">
        <v>1604</v>
      </c>
      <c r="F1527" s="18" t="s">
        <v>185</v>
      </c>
      <c r="G1527" s="18" t="s">
        <v>145</v>
      </c>
      <c r="H1527" s="18" t="s">
        <v>129</v>
      </c>
      <c r="I1527" s="18" t="s">
        <v>298</v>
      </c>
      <c r="J1527" s="18" t="s">
        <v>6672</v>
      </c>
      <c r="K1527" s="18"/>
      <c r="L1527" s="18" t="s">
        <v>162</v>
      </c>
      <c r="M1527" s="18" t="s">
        <v>162</v>
      </c>
      <c r="N1527" s="18" t="s">
        <v>6673</v>
      </c>
      <c r="O1527" s="18" t="s">
        <v>6674</v>
      </c>
      <c r="P1527" s="18" t="s">
        <v>6675</v>
      </c>
      <c r="Q1527" s="18" t="s">
        <v>138</v>
      </c>
      <c r="R1527" s="18" t="s">
        <v>6676</v>
      </c>
      <c r="S1527" s="18" t="s">
        <v>140</v>
      </c>
      <c r="T1527" s="18" t="s">
        <v>141</v>
      </c>
      <c r="U1527" s="18"/>
      <c r="V1527" s="19" t="s">
        <v>29</v>
      </c>
      <c r="W1527" s="19"/>
      <c r="X1527" s="19"/>
      <c r="Y1527" s="20"/>
      <c r="Z1527" s="19"/>
      <c r="AA1527" s="18" t="str">
        <f aca="false">IF(OR(V1527="Aprobada"),R1527,IF(AND(OR(V1527="Aprobada con ajuste",V1527="Rechazada"),W1527&lt;&gt;""),W1527,""))</f>
        <v/>
      </c>
    </row>
    <row r="1528" customFormat="false" ht="74.6" hidden="false" customHeight="false" outlineLevel="0" collapsed="false">
      <c r="A1528" s="18" t="s">
        <v>6677</v>
      </c>
      <c r="B1528" s="18" t="s">
        <v>66</v>
      </c>
      <c r="C1528" s="18" t="s">
        <v>67</v>
      </c>
      <c r="D1528" s="18" t="s">
        <v>6648</v>
      </c>
      <c r="E1528" s="18" t="n">
        <v>1604</v>
      </c>
      <c r="F1528" s="18" t="s">
        <v>5500</v>
      </c>
      <c r="G1528" s="18" t="s">
        <v>503</v>
      </c>
      <c r="H1528" s="18" t="s">
        <v>162</v>
      </c>
      <c r="I1528" s="18" t="s">
        <v>298</v>
      </c>
      <c r="J1528" s="18"/>
      <c r="K1528" s="18"/>
      <c r="L1528" s="18" t="s">
        <v>129</v>
      </c>
      <c r="M1528" s="18" t="s">
        <v>162</v>
      </c>
      <c r="N1528" s="18" t="s">
        <v>6678</v>
      </c>
      <c r="O1528" s="18"/>
      <c r="P1528" s="18" t="s">
        <v>6679</v>
      </c>
      <c r="Q1528" s="18" t="s">
        <v>149</v>
      </c>
      <c r="R1528" s="18" t="s">
        <v>6680</v>
      </c>
      <c r="S1528" s="18" t="s">
        <v>133</v>
      </c>
      <c r="T1528" s="18" t="s">
        <v>6681</v>
      </c>
      <c r="U1528" s="18"/>
      <c r="V1528" s="19" t="s">
        <v>29</v>
      </c>
      <c r="W1528" s="19"/>
      <c r="X1528" s="19"/>
      <c r="Y1528" s="20"/>
      <c r="Z1528" s="19"/>
      <c r="AA1528" s="18" t="str">
        <f aca="false">IF(OR(V1528="Aprobada"),R1528,IF(AND(OR(V1528="Aprobada con ajuste",V1528="Rechazada"),W1528&lt;&gt;""),W1528,""))</f>
        <v/>
      </c>
    </row>
    <row r="1529" customFormat="false" ht="43.25" hidden="false" customHeight="false" outlineLevel="0" collapsed="false">
      <c r="A1529" s="18" t="s">
        <v>6682</v>
      </c>
      <c r="B1529" s="18" t="s">
        <v>66</v>
      </c>
      <c r="C1529" s="18" t="s">
        <v>67</v>
      </c>
      <c r="D1529" s="18" t="s">
        <v>6648</v>
      </c>
      <c r="E1529" s="18" t="n">
        <v>1604</v>
      </c>
      <c r="F1529" s="18" t="s">
        <v>886</v>
      </c>
      <c r="G1529" s="18" t="s">
        <v>128</v>
      </c>
      <c r="H1529" s="18" t="s">
        <v>162</v>
      </c>
      <c r="I1529" s="18"/>
      <c r="J1529" s="18"/>
      <c r="K1529" s="18"/>
      <c r="L1529" s="18" t="s">
        <v>129</v>
      </c>
      <c r="M1529" s="18" t="s">
        <v>129</v>
      </c>
      <c r="N1529" s="18"/>
      <c r="O1529" s="18"/>
      <c r="P1529" s="18" t="s">
        <v>6683</v>
      </c>
      <c r="Q1529" s="18" t="s">
        <v>138</v>
      </c>
      <c r="R1529" s="18" t="s">
        <v>1693</v>
      </c>
      <c r="S1529" s="18" t="s">
        <v>140</v>
      </c>
      <c r="T1529" s="18" t="s">
        <v>141</v>
      </c>
      <c r="U1529" s="18"/>
      <c r="V1529" s="19" t="s">
        <v>29</v>
      </c>
      <c r="W1529" s="19"/>
      <c r="X1529" s="19"/>
      <c r="Y1529" s="20"/>
      <c r="Z1529" s="19"/>
      <c r="AA1529" s="18" t="str">
        <f aca="false">IF(OR(V1529="Aprobada"),R1529,IF(AND(OR(V1529="Aprobada con ajuste",V1529="Rechazada"),W1529&lt;&gt;""),W1529,""))</f>
        <v/>
      </c>
    </row>
    <row r="1530" customFormat="false" ht="74.6" hidden="false" customHeight="false" outlineLevel="0" collapsed="false">
      <c r="A1530" s="18" t="s">
        <v>6684</v>
      </c>
      <c r="B1530" s="18" t="s">
        <v>66</v>
      </c>
      <c r="C1530" s="18" t="s">
        <v>67</v>
      </c>
      <c r="D1530" s="18" t="s">
        <v>6648</v>
      </c>
      <c r="E1530" s="18" t="n">
        <v>1604</v>
      </c>
      <c r="F1530" s="18" t="s">
        <v>4777</v>
      </c>
      <c r="G1530" s="18" t="s">
        <v>205</v>
      </c>
      <c r="H1530" s="18" t="s">
        <v>129</v>
      </c>
      <c r="I1530" s="18" t="s">
        <v>298</v>
      </c>
      <c r="J1530" s="18" t="s">
        <v>5203</v>
      </c>
      <c r="K1530" s="18"/>
      <c r="L1530" s="18" t="s">
        <v>162</v>
      </c>
      <c r="M1530" s="18" t="s">
        <v>129</v>
      </c>
      <c r="N1530" s="18"/>
      <c r="O1530" s="18"/>
      <c r="P1530" s="18" t="s">
        <v>6685</v>
      </c>
      <c r="Q1530" s="18" t="s">
        <v>149</v>
      </c>
      <c r="R1530" s="18" t="s">
        <v>6686</v>
      </c>
      <c r="S1530" s="18" t="s">
        <v>133</v>
      </c>
      <c r="T1530" s="18" t="s">
        <v>6687</v>
      </c>
      <c r="U1530" s="18"/>
      <c r="V1530" s="19" t="s">
        <v>29</v>
      </c>
      <c r="W1530" s="19"/>
      <c r="X1530" s="19"/>
      <c r="Y1530" s="20"/>
      <c r="Z1530" s="19"/>
      <c r="AA1530" s="18" t="str">
        <f aca="false">IF(OR(V1530="Aprobada"),R1530,IF(AND(OR(V1530="Aprobada con ajuste",V1530="Rechazada"),W1530&lt;&gt;""),W1530,""))</f>
        <v/>
      </c>
    </row>
    <row r="1531" customFormat="false" ht="85.05" hidden="false" customHeight="false" outlineLevel="0" collapsed="false">
      <c r="A1531" s="18" t="s">
        <v>6688</v>
      </c>
      <c r="B1531" s="18" t="s">
        <v>66</v>
      </c>
      <c r="C1531" s="18" t="s">
        <v>67</v>
      </c>
      <c r="D1531" s="18" t="s">
        <v>6648</v>
      </c>
      <c r="E1531" s="18" t="n">
        <v>1604</v>
      </c>
      <c r="F1531" s="18" t="s">
        <v>172</v>
      </c>
      <c r="G1531" s="18" t="s">
        <v>173</v>
      </c>
      <c r="H1531" s="18" t="s">
        <v>162</v>
      </c>
      <c r="I1531" s="18"/>
      <c r="J1531" s="18"/>
      <c r="K1531" s="18"/>
      <c r="L1531" s="18" t="s">
        <v>129</v>
      </c>
      <c r="M1531" s="18" t="s">
        <v>129</v>
      </c>
      <c r="N1531" s="18"/>
      <c r="O1531" s="18" t="s">
        <v>6689</v>
      </c>
      <c r="P1531" s="18" t="s">
        <v>6690</v>
      </c>
      <c r="Q1531" s="18" t="s">
        <v>131</v>
      </c>
      <c r="R1531" s="18" t="s">
        <v>6691</v>
      </c>
      <c r="S1531" s="18" t="s">
        <v>133</v>
      </c>
      <c r="T1531" s="18" t="s">
        <v>873</v>
      </c>
      <c r="U1531" s="18"/>
      <c r="V1531" s="19" t="s">
        <v>29</v>
      </c>
      <c r="W1531" s="19"/>
      <c r="X1531" s="19"/>
      <c r="Y1531" s="20"/>
      <c r="Z1531" s="19"/>
      <c r="AA1531" s="18" t="str">
        <f aca="false">IF(OR(V1531="Aprobada"),R1531,IF(AND(OR(V1531="Aprobada con ajuste",V1531="Rechazada"),W1531&lt;&gt;""),W1531,""))</f>
        <v/>
      </c>
    </row>
    <row r="1532" customFormat="false" ht="74.6" hidden="false" customHeight="false" outlineLevel="0" collapsed="false">
      <c r="A1532" s="18" t="s">
        <v>6692</v>
      </c>
      <c r="B1532" s="18" t="s">
        <v>66</v>
      </c>
      <c r="C1532" s="18" t="s">
        <v>67</v>
      </c>
      <c r="D1532" s="18" t="s">
        <v>6648</v>
      </c>
      <c r="E1532" s="18" t="n">
        <v>1604</v>
      </c>
      <c r="F1532" s="18" t="s">
        <v>6693</v>
      </c>
      <c r="G1532" s="18" t="s">
        <v>503</v>
      </c>
      <c r="H1532" s="18" t="s">
        <v>162</v>
      </c>
      <c r="I1532" s="18"/>
      <c r="J1532" s="18"/>
      <c r="K1532" s="18"/>
      <c r="L1532" s="18" t="s">
        <v>129</v>
      </c>
      <c r="M1532" s="18" t="s">
        <v>162</v>
      </c>
      <c r="N1532" s="18" t="s">
        <v>6694</v>
      </c>
      <c r="O1532" s="18"/>
      <c r="P1532" s="18" t="s">
        <v>6695</v>
      </c>
      <c r="Q1532" s="18" t="s">
        <v>131</v>
      </c>
      <c r="R1532" s="18" t="s">
        <v>6696</v>
      </c>
      <c r="S1532" s="18" t="s">
        <v>133</v>
      </c>
      <c r="T1532" s="18" t="s">
        <v>6697</v>
      </c>
      <c r="U1532" s="18"/>
      <c r="V1532" s="19" t="s">
        <v>29</v>
      </c>
      <c r="W1532" s="19"/>
      <c r="X1532" s="19"/>
      <c r="Y1532" s="20"/>
      <c r="Z1532" s="19"/>
      <c r="AA1532" s="18" t="str">
        <f aca="false">IF(OR(V1532="Aprobada"),R1532,IF(AND(OR(V1532="Aprobada con ajuste",V1532="Rechazada"),W1532&lt;&gt;""),W1532,""))</f>
        <v/>
      </c>
    </row>
    <row r="1533" customFormat="false" ht="74.6" hidden="false" customHeight="false" outlineLevel="0" collapsed="false">
      <c r="A1533" s="18" t="s">
        <v>6698</v>
      </c>
      <c r="B1533" s="18" t="s">
        <v>66</v>
      </c>
      <c r="C1533" s="18" t="s">
        <v>67</v>
      </c>
      <c r="D1533" s="18" t="s">
        <v>6648</v>
      </c>
      <c r="E1533" s="18" t="n">
        <v>1604</v>
      </c>
      <c r="F1533" s="18" t="s">
        <v>6699</v>
      </c>
      <c r="G1533" s="18" t="s">
        <v>503</v>
      </c>
      <c r="H1533" s="18" t="s">
        <v>162</v>
      </c>
      <c r="I1533" s="18"/>
      <c r="J1533" s="18"/>
      <c r="K1533" s="18"/>
      <c r="L1533" s="18" t="s">
        <v>129</v>
      </c>
      <c r="M1533" s="18" t="s">
        <v>162</v>
      </c>
      <c r="N1533" s="18" t="s">
        <v>6700</v>
      </c>
      <c r="O1533" s="18"/>
      <c r="P1533" s="18" t="s">
        <v>6701</v>
      </c>
      <c r="Q1533" s="18" t="s">
        <v>131</v>
      </c>
      <c r="R1533" s="18" t="s">
        <v>6702</v>
      </c>
      <c r="S1533" s="18" t="s">
        <v>133</v>
      </c>
      <c r="T1533" s="18" t="s">
        <v>6697</v>
      </c>
      <c r="U1533" s="18"/>
      <c r="V1533" s="19" t="s">
        <v>29</v>
      </c>
      <c r="W1533" s="19"/>
      <c r="X1533" s="19"/>
      <c r="Y1533" s="20"/>
      <c r="Z1533" s="19"/>
      <c r="AA1533" s="18" t="str">
        <f aca="false">IF(OR(V1533="Aprobada"),R1533,IF(AND(OR(V1533="Aprobada con ajuste",V1533="Rechazada"),W1533&lt;&gt;""),W1533,""))</f>
        <v/>
      </c>
    </row>
    <row r="1534" customFormat="false" ht="43.25" hidden="false" customHeight="false" outlineLevel="0" collapsed="false">
      <c r="A1534" s="18" t="s">
        <v>6703</v>
      </c>
      <c r="B1534" s="18" t="s">
        <v>66</v>
      </c>
      <c r="C1534" s="18" t="s">
        <v>67</v>
      </c>
      <c r="D1534" s="18" t="s">
        <v>6704</v>
      </c>
      <c r="E1534" s="18" t="n">
        <v>0</v>
      </c>
      <c r="F1534" s="18" t="s">
        <v>6705</v>
      </c>
      <c r="G1534" s="18" t="s">
        <v>145</v>
      </c>
      <c r="H1534" s="18" t="s">
        <v>129</v>
      </c>
      <c r="I1534" s="18" t="s">
        <v>298</v>
      </c>
      <c r="J1534" s="18" t="s">
        <v>6706</v>
      </c>
      <c r="K1534" s="18"/>
      <c r="L1534" s="18" t="s">
        <v>162</v>
      </c>
      <c r="M1534" s="18" t="s">
        <v>162</v>
      </c>
      <c r="N1534" s="18" t="s">
        <v>6707</v>
      </c>
      <c r="O1534" s="18" t="s">
        <v>6708</v>
      </c>
      <c r="P1534" s="18"/>
      <c r="Q1534" s="18" t="s">
        <v>149</v>
      </c>
      <c r="R1534" s="18" t="s">
        <v>6709</v>
      </c>
      <c r="S1534" s="18" t="s">
        <v>133</v>
      </c>
      <c r="T1534" s="18" t="s">
        <v>6710</v>
      </c>
      <c r="U1534" s="18"/>
      <c r="V1534" s="19" t="s">
        <v>29</v>
      </c>
      <c r="W1534" s="19"/>
      <c r="X1534" s="19"/>
      <c r="Y1534" s="20"/>
      <c r="Z1534" s="19"/>
      <c r="AA1534" s="18" t="str">
        <f aca="false">IF(OR(V1534="Aprobada"),R1534,IF(AND(OR(V1534="Aprobada con ajuste",V1534="Rechazada"),W1534&lt;&gt;""),W1534,""))</f>
        <v/>
      </c>
    </row>
    <row r="1535" customFormat="false" ht="22.35" hidden="false" customHeight="false" outlineLevel="0" collapsed="false">
      <c r="A1535" s="18" t="s">
        <v>6711</v>
      </c>
      <c r="B1535" s="18" t="s">
        <v>66</v>
      </c>
      <c r="C1535" s="18" t="s">
        <v>67</v>
      </c>
      <c r="D1535" s="18" t="s">
        <v>6704</v>
      </c>
      <c r="E1535" s="18" t="n">
        <v>0</v>
      </c>
      <c r="F1535" s="18" t="s">
        <v>275</v>
      </c>
      <c r="G1535" s="18" t="s">
        <v>180</v>
      </c>
      <c r="H1535" s="18" t="s">
        <v>129</v>
      </c>
      <c r="I1535" s="18"/>
      <c r="J1535" s="18"/>
      <c r="K1535" s="18"/>
      <c r="L1535" s="18" t="s">
        <v>129</v>
      </c>
      <c r="M1535" s="18" t="s">
        <v>129</v>
      </c>
      <c r="N1535" s="18"/>
      <c r="O1535" s="18"/>
      <c r="P1535" s="18"/>
      <c r="Q1535" s="18" t="s">
        <v>138</v>
      </c>
      <c r="R1535" s="18" t="s">
        <v>6712</v>
      </c>
      <c r="S1535" s="18" t="s">
        <v>140</v>
      </c>
      <c r="T1535" s="18" t="s">
        <v>141</v>
      </c>
      <c r="U1535" s="18"/>
      <c r="V1535" s="19" t="s">
        <v>29</v>
      </c>
      <c r="W1535" s="19"/>
      <c r="X1535" s="19"/>
      <c r="Y1535" s="20"/>
      <c r="Z1535" s="19"/>
      <c r="AA1535" s="18" t="str">
        <f aca="false">IF(OR(V1535="Aprobada"),R1535,IF(AND(OR(V1535="Aprobada con ajuste",V1535="Rechazada"),W1535&lt;&gt;""),W1535,""))</f>
        <v/>
      </c>
    </row>
    <row r="1536" customFormat="false" ht="22.35" hidden="false" customHeight="false" outlineLevel="0" collapsed="false">
      <c r="A1536" s="18" t="s">
        <v>6713</v>
      </c>
      <c r="B1536" s="18" t="s">
        <v>66</v>
      </c>
      <c r="C1536" s="18" t="s">
        <v>67</v>
      </c>
      <c r="D1536" s="18" t="s">
        <v>6704</v>
      </c>
      <c r="E1536" s="18" t="n">
        <v>0</v>
      </c>
      <c r="F1536" s="18" t="s">
        <v>160</v>
      </c>
      <c r="G1536" s="18" t="s">
        <v>128</v>
      </c>
      <c r="H1536" s="18" t="s">
        <v>162</v>
      </c>
      <c r="I1536" s="18"/>
      <c r="J1536" s="18"/>
      <c r="K1536" s="18"/>
      <c r="L1536" s="18" t="s">
        <v>129</v>
      </c>
      <c r="M1536" s="18" t="s">
        <v>129</v>
      </c>
      <c r="N1536" s="18"/>
      <c r="O1536" s="18"/>
      <c r="P1536" s="18"/>
      <c r="Q1536" s="18" t="s">
        <v>138</v>
      </c>
      <c r="R1536" s="18" t="s">
        <v>6714</v>
      </c>
      <c r="S1536" s="18" t="s">
        <v>140</v>
      </c>
      <c r="T1536" s="18" t="s">
        <v>141</v>
      </c>
      <c r="U1536" s="18"/>
      <c r="V1536" s="19" t="s">
        <v>29</v>
      </c>
      <c r="W1536" s="19"/>
      <c r="X1536" s="19"/>
      <c r="Y1536" s="20"/>
      <c r="Z1536" s="19"/>
      <c r="AA1536" s="18" t="str">
        <f aca="false">IF(OR(V1536="Aprobada"),R1536,IF(AND(OR(V1536="Aprobada con ajuste",V1536="Rechazada"),W1536&lt;&gt;""),W1536,""))</f>
        <v/>
      </c>
    </row>
    <row r="1537" customFormat="false" ht="32.8" hidden="false" customHeight="false" outlineLevel="0" collapsed="false">
      <c r="A1537" s="18" t="s">
        <v>6715</v>
      </c>
      <c r="B1537" s="18" t="s">
        <v>66</v>
      </c>
      <c r="C1537" s="18" t="s">
        <v>67</v>
      </c>
      <c r="D1537" s="18" t="s">
        <v>6704</v>
      </c>
      <c r="E1537" s="18" t="n">
        <v>0</v>
      </c>
      <c r="F1537" s="18" t="s">
        <v>937</v>
      </c>
      <c r="G1537" s="18" t="s">
        <v>503</v>
      </c>
      <c r="H1537" s="18" t="s">
        <v>129</v>
      </c>
      <c r="I1537" s="18" t="s">
        <v>298</v>
      </c>
      <c r="J1537" s="18"/>
      <c r="K1537" s="18"/>
      <c r="L1537" s="18" t="s">
        <v>129</v>
      </c>
      <c r="M1537" s="18" t="s">
        <v>129</v>
      </c>
      <c r="N1537" s="18"/>
      <c r="O1537" s="18" t="s">
        <v>6716</v>
      </c>
      <c r="P1537" s="18" t="s">
        <v>6717</v>
      </c>
      <c r="Q1537" s="18" t="s">
        <v>131</v>
      </c>
      <c r="R1537" s="18" t="s">
        <v>6718</v>
      </c>
      <c r="S1537" s="18" t="s">
        <v>133</v>
      </c>
      <c r="T1537" s="18" t="s">
        <v>6719</v>
      </c>
      <c r="U1537" s="18"/>
      <c r="V1537" s="19" t="s">
        <v>29</v>
      </c>
      <c r="W1537" s="19"/>
      <c r="X1537" s="19"/>
      <c r="Y1537" s="20"/>
      <c r="Z1537" s="19"/>
      <c r="AA1537" s="18" t="str">
        <f aca="false">IF(OR(V1537="Aprobada"),R1537,IF(AND(OR(V1537="Aprobada con ajuste",V1537="Rechazada"),W1537&lt;&gt;""),W1537,""))</f>
        <v/>
      </c>
    </row>
    <row r="1538" customFormat="false" ht="64.15" hidden="false" customHeight="false" outlineLevel="0" collapsed="false">
      <c r="A1538" s="18" t="s">
        <v>6720</v>
      </c>
      <c r="B1538" s="18" t="s">
        <v>66</v>
      </c>
      <c r="C1538" s="18" t="s">
        <v>67</v>
      </c>
      <c r="D1538" s="18" t="s">
        <v>6704</v>
      </c>
      <c r="E1538" s="18" t="n">
        <v>0</v>
      </c>
      <c r="F1538" s="18" t="s">
        <v>185</v>
      </c>
      <c r="G1538" s="18" t="s">
        <v>145</v>
      </c>
      <c r="H1538" s="18" t="s">
        <v>129</v>
      </c>
      <c r="I1538" s="18" t="s">
        <v>298</v>
      </c>
      <c r="J1538" s="18" t="s">
        <v>6633</v>
      </c>
      <c r="K1538" s="18"/>
      <c r="L1538" s="18" t="s">
        <v>162</v>
      </c>
      <c r="M1538" s="18" t="s">
        <v>162</v>
      </c>
      <c r="N1538" s="18" t="s">
        <v>6721</v>
      </c>
      <c r="O1538" s="18" t="s">
        <v>6722</v>
      </c>
      <c r="P1538" s="18"/>
      <c r="Q1538" s="18" t="s">
        <v>138</v>
      </c>
      <c r="R1538" s="18" t="s">
        <v>6723</v>
      </c>
      <c r="S1538" s="18" t="s">
        <v>140</v>
      </c>
      <c r="T1538" s="18" t="s">
        <v>141</v>
      </c>
      <c r="U1538" s="18"/>
      <c r="V1538" s="19" t="s">
        <v>29</v>
      </c>
      <c r="W1538" s="19"/>
      <c r="X1538" s="19"/>
      <c r="Y1538" s="20"/>
      <c r="Z1538" s="19"/>
      <c r="AA1538" s="18" t="str">
        <f aca="false">IF(OR(V1538="Aprobada"),R1538,IF(AND(OR(V1538="Aprobada con ajuste",V1538="Rechazada"),W1538&lt;&gt;""),W1538,""))</f>
        <v/>
      </c>
    </row>
    <row r="1539" customFormat="false" ht="22.35" hidden="false" customHeight="false" outlineLevel="0" collapsed="false">
      <c r="A1539" s="18" t="s">
        <v>6724</v>
      </c>
      <c r="B1539" s="18" t="s">
        <v>66</v>
      </c>
      <c r="C1539" s="18" t="s">
        <v>67</v>
      </c>
      <c r="D1539" s="18" t="s">
        <v>6704</v>
      </c>
      <c r="E1539" s="18" t="n">
        <v>0</v>
      </c>
      <c r="F1539" s="18" t="s">
        <v>6639</v>
      </c>
      <c r="G1539" s="18" t="s">
        <v>137</v>
      </c>
      <c r="H1539" s="18" t="s">
        <v>162</v>
      </c>
      <c r="I1539" s="18"/>
      <c r="J1539" s="18"/>
      <c r="K1539" s="18"/>
      <c r="L1539" s="18" t="s">
        <v>129</v>
      </c>
      <c r="M1539" s="18" t="s">
        <v>129</v>
      </c>
      <c r="N1539" s="18"/>
      <c r="O1539" s="18"/>
      <c r="P1539" s="18"/>
      <c r="Q1539" s="18" t="s">
        <v>138</v>
      </c>
      <c r="R1539" s="18" t="s">
        <v>6640</v>
      </c>
      <c r="S1539" s="18" t="s">
        <v>140</v>
      </c>
      <c r="T1539" s="18" t="s">
        <v>141</v>
      </c>
      <c r="U1539" s="18"/>
      <c r="V1539" s="19" t="s">
        <v>29</v>
      </c>
      <c r="W1539" s="19"/>
      <c r="X1539" s="19"/>
      <c r="Y1539" s="20"/>
      <c r="Z1539" s="19"/>
      <c r="AA1539" s="18" t="str">
        <f aca="false">IF(OR(V1539="Aprobada"),R1539,IF(AND(OR(V1539="Aprobada con ajuste",V1539="Rechazada"),W1539&lt;&gt;""),W1539,""))</f>
        <v/>
      </c>
    </row>
    <row r="1540" customFormat="false" ht="22.35" hidden="false" customHeight="false" outlineLevel="0" collapsed="false">
      <c r="A1540" s="18" t="s">
        <v>6725</v>
      </c>
      <c r="B1540" s="18" t="s">
        <v>66</v>
      </c>
      <c r="C1540" s="18" t="s">
        <v>67</v>
      </c>
      <c r="D1540" s="18" t="s">
        <v>6704</v>
      </c>
      <c r="E1540" s="18" t="n">
        <v>0</v>
      </c>
      <c r="F1540" s="18" t="s">
        <v>6645</v>
      </c>
      <c r="G1540" s="18" t="s">
        <v>317</v>
      </c>
      <c r="H1540" s="18" t="s">
        <v>162</v>
      </c>
      <c r="I1540" s="18"/>
      <c r="J1540" s="18"/>
      <c r="K1540" s="18"/>
      <c r="L1540" s="18" t="s">
        <v>129</v>
      </c>
      <c r="M1540" s="18" t="s">
        <v>129</v>
      </c>
      <c r="N1540" s="18"/>
      <c r="O1540" s="18"/>
      <c r="P1540" s="18"/>
      <c r="Q1540" s="18" t="s">
        <v>138</v>
      </c>
      <c r="R1540" s="18" t="s">
        <v>6646</v>
      </c>
      <c r="S1540" s="18" t="s">
        <v>140</v>
      </c>
      <c r="T1540" s="18" t="s">
        <v>141</v>
      </c>
      <c r="U1540" s="18"/>
      <c r="V1540" s="19" t="s">
        <v>29</v>
      </c>
      <c r="W1540" s="19"/>
      <c r="X1540" s="19"/>
      <c r="Y1540" s="20"/>
      <c r="Z1540" s="19"/>
      <c r="AA1540" s="18" t="str">
        <f aca="false">IF(OR(V1540="Aprobada"),R1540,IF(AND(OR(V1540="Aprobada con ajuste",V1540="Rechazada"),W1540&lt;&gt;""),W1540,""))</f>
        <v/>
      </c>
    </row>
    <row r="1541" customFormat="false" ht="22.35" hidden="false" customHeight="false" outlineLevel="0" collapsed="false">
      <c r="A1541" s="18" t="s">
        <v>6726</v>
      </c>
      <c r="B1541" s="18" t="s">
        <v>66</v>
      </c>
      <c r="C1541" s="18" t="s">
        <v>67</v>
      </c>
      <c r="D1541" s="18" t="s">
        <v>6704</v>
      </c>
      <c r="E1541" s="18" t="n">
        <v>0</v>
      </c>
      <c r="F1541" s="18" t="s">
        <v>886</v>
      </c>
      <c r="G1541" s="18" t="s">
        <v>128</v>
      </c>
      <c r="H1541" s="18" t="s">
        <v>162</v>
      </c>
      <c r="I1541" s="18"/>
      <c r="J1541" s="18"/>
      <c r="K1541" s="18"/>
      <c r="L1541" s="18" t="s">
        <v>129</v>
      </c>
      <c r="M1541" s="18" t="s">
        <v>129</v>
      </c>
      <c r="N1541" s="18"/>
      <c r="O1541" s="18"/>
      <c r="P1541" s="18"/>
      <c r="Q1541" s="18" t="s">
        <v>138</v>
      </c>
      <c r="R1541" s="18" t="s">
        <v>1693</v>
      </c>
      <c r="S1541" s="18" t="s">
        <v>140</v>
      </c>
      <c r="T1541" s="18" t="s">
        <v>141</v>
      </c>
      <c r="U1541" s="18"/>
      <c r="V1541" s="19" t="s">
        <v>29</v>
      </c>
      <c r="W1541" s="19"/>
      <c r="X1541" s="19"/>
      <c r="Y1541" s="20"/>
      <c r="Z1541" s="19"/>
      <c r="AA1541" s="18" t="str">
        <f aca="false">IF(OR(V1541="Aprobada"),R1541,IF(AND(OR(V1541="Aprobada con ajuste",V1541="Rechazada"),W1541&lt;&gt;""),W1541,""))</f>
        <v/>
      </c>
    </row>
    <row r="1542" customFormat="false" ht="22.35" hidden="false" customHeight="false" outlineLevel="0" collapsed="false">
      <c r="A1542" s="18" t="s">
        <v>6727</v>
      </c>
      <c r="B1542" s="18" t="s">
        <v>66</v>
      </c>
      <c r="C1542" s="18" t="s">
        <v>67</v>
      </c>
      <c r="D1542" s="18" t="s">
        <v>6728</v>
      </c>
      <c r="E1542" s="18" t="n">
        <v>0</v>
      </c>
      <c r="F1542" s="18" t="s">
        <v>275</v>
      </c>
      <c r="G1542" s="18" t="s">
        <v>180</v>
      </c>
      <c r="H1542" s="18" t="s">
        <v>129</v>
      </c>
      <c r="I1542" s="18"/>
      <c r="J1542" s="18"/>
      <c r="K1542" s="18"/>
      <c r="L1542" s="18" t="s">
        <v>129</v>
      </c>
      <c r="M1542" s="18" t="s">
        <v>129</v>
      </c>
      <c r="N1542" s="18"/>
      <c r="O1542" s="18"/>
      <c r="P1542" s="18"/>
      <c r="Q1542" s="18" t="s">
        <v>138</v>
      </c>
      <c r="R1542" s="18" t="s">
        <v>6729</v>
      </c>
      <c r="S1542" s="18" t="s">
        <v>140</v>
      </c>
      <c r="T1542" s="18" t="s">
        <v>141</v>
      </c>
      <c r="U1542" s="18"/>
      <c r="V1542" s="19" t="s">
        <v>29</v>
      </c>
      <c r="W1542" s="19"/>
      <c r="X1542" s="19"/>
      <c r="Y1542" s="20"/>
      <c r="Z1542" s="19"/>
      <c r="AA1542" s="18" t="str">
        <f aca="false">IF(OR(V1542="Aprobada"),R1542,IF(AND(OR(V1542="Aprobada con ajuste",V1542="Rechazada"),W1542&lt;&gt;""),W1542,""))</f>
        <v/>
      </c>
    </row>
    <row r="1543" customFormat="false" ht="22.35" hidden="false" customHeight="false" outlineLevel="0" collapsed="false">
      <c r="A1543" s="18" t="s">
        <v>6730</v>
      </c>
      <c r="B1543" s="18" t="s">
        <v>66</v>
      </c>
      <c r="C1543" s="18" t="s">
        <v>67</v>
      </c>
      <c r="D1543" s="18" t="s">
        <v>6728</v>
      </c>
      <c r="E1543" s="18" t="n">
        <v>0</v>
      </c>
      <c r="F1543" s="18" t="s">
        <v>160</v>
      </c>
      <c r="G1543" s="18" t="s">
        <v>128</v>
      </c>
      <c r="H1543" s="18" t="s">
        <v>162</v>
      </c>
      <c r="I1543" s="18"/>
      <c r="J1543" s="18"/>
      <c r="K1543" s="18"/>
      <c r="L1543" s="18" t="s">
        <v>129</v>
      </c>
      <c r="M1543" s="18" t="s">
        <v>129</v>
      </c>
      <c r="N1543" s="18"/>
      <c r="O1543" s="18"/>
      <c r="P1543" s="18"/>
      <c r="Q1543" s="18" t="s">
        <v>138</v>
      </c>
      <c r="R1543" s="18" t="s">
        <v>6731</v>
      </c>
      <c r="S1543" s="18" t="s">
        <v>140</v>
      </c>
      <c r="T1543" s="18" t="s">
        <v>141</v>
      </c>
      <c r="U1543" s="18"/>
      <c r="V1543" s="19" t="s">
        <v>29</v>
      </c>
      <c r="W1543" s="19"/>
      <c r="X1543" s="19"/>
      <c r="Y1543" s="20"/>
      <c r="Z1543" s="19"/>
      <c r="AA1543" s="18" t="str">
        <f aca="false">IF(OR(V1543="Aprobada"),R1543,IF(AND(OR(V1543="Aprobada con ajuste",V1543="Rechazada"),W1543&lt;&gt;""),W1543,""))</f>
        <v/>
      </c>
    </row>
    <row r="1544" customFormat="false" ht="22.35" hidden="false" customHeight="false" outlineLevel="0" collapsed="false">
      <c r="A1544" s="18" t="s">
        <v>6732</v>
      </c>
      <c r="B1544" s="18" t="s">
        <v>66</v>
      </c>
      <c r="C1544" s="18" t="s">
        <v>67</v>
      </c>
      <c r="D1544" s="18" t="s">
        <v>6728</v>
      </c>
      <c r="E1544" s="18" t="n">
        <v>0</v>
      </c>
      <c r="F1544" s="18" t="s">
        <v>937</v>
      </c>
      <c r="G1544" s="18" t="s">
        <v>503</v>
      </c>
      <c r="H1544" s="18" t="s">
        <v>162</v>
      </c>
      <c r="I1544" s="18"/>
      <c r="J1544" s="18"/>
      <c r="K1544" s="18"/>
      <c r="L1544" s="18" t="s">
        <v>129</v>
      </c>
      <c r="M1544" s="18" t="s">
        <v>129</v>
      </c>
      <c r="N1544" s="18"/>
      <c r="O1544" s="18"/>
      <c r="P1544" s="18"/>
      <c r="Q1544" s="18" t="s">
        <v>138</v>
      </c>
      <c r="R1544" s="18" t="s">
        <v>939</v>
      </c>
      <c r="S1544" s="18" t="s">
        <v>140</v>
      </c>
      <c r="T1544" s="18" t="s">
        <v>141</v>
      </c>
      <c r="U1544" s="18"/>
      <c r="V1544" s="19" t="s">
        <v>29</v>
      </c>
      <c r="W1544" s="19"/>
      <c r="X1544" s="19"/>
      <c r="Y1544" s="20"/>
      <c r="Z1544" s="19"/>
      <c r="AA1544" s="18" t="str">
        <f aca="false">IF(OR(V1544="Aprobada"),R1544,IF(AND(OR(V1544="Aprobada con ajuste",V1544="Rechazada"),W1544&lt;&gt;""),W1544,""))</f>
        <v/>
      </c>
    </row>
    <row r="1545" customFormat="false" ht="22.35" hidden="false" customHeight="false" outlineLevel="0" collapsed="false">
      <c r="A1545" s="18" t="s">
        <v>6733</v>
      </c>
      <c r="B1545" s="18" t="s">
        <v>66</v>
      </c>
      <c r="C1545" s="18" t="s">
        <v>67</v>
      </c>
      <c r="D1545" s="18" t="s">
        <v>6728</v>
      </c>
      <c r="E1545" s="18" t="n">
        <v>0</v>
      </c>
      <c r="F1545" s="18" t="s">
        <v>1688</v>
      </c>
      <c r="G1545" s="18" t="s">
        <v>173</v>
      </c>
      <c r="H1545" s="18" t="s">
        <v>162</v>
      </c>
      <c r="I1545" s="18"/>
      <c r="J1545" s="18"/>
      <c r="K1545" s="18"/>
      <c r="L1545" s="18" t="s">
        <v>129</v>
      </c>
      <c r="M1545" s="18" t="s">
        <v>129</v>
      </c>
      <c r="N1545" s="18"/>
      <c r="O1545" s="18"/>
      <c r="P1545" s="18"/>
      <c r="Q1545" s="18" t="s">
        <v>138</v>
      </c>
      <c r="R1545" s="18" t="s">
        <v>176</v>
      </c>
      <c r="S1545" s="18" t="s">
        <v>140</v>
      </c>
      <c r="T1545" s="18" t="s">
        <v>141</v>
      </c>
      <c r="U1545" s="18"/>
      <c r="V1545" s="19" t="s">
        <v>29</v>
      </c>
      <c r="W1545" s="19"/>
      <c r="X1545" s="19"/>
      <c r="Y1545" s="20"/>
      <c r="Z1545" s="19"/>
      <c r="AA1545" s="18" t="str">
        <f aca="false">IF(OR(V1545="Aprobada"),R1545,IF(AND(OR(V1545="Aprobada con ajuste",V1545="Rechazada"),W1545&lt;&gt;""),W1545,""))</f>
        <v/>
      </c>
    </row>
    <row r="1546" customFormat="false" ht="53.7" hidden="false" customHeight="false" outlineLevel="0" collapsed="false">
      <c r="A1546" s="18" t="s">
        <v>6734</v>
      </c>
      <c r="B1546" s="18" t="s">
        <v>66</v>
      </c>
      <c r="C1546" s="18" t="s">
        <v>67</v>
      </c>
      <c r="D1546" s="18" t="s">
        <v>6735</v>
      </c>
      <c r="E1546" s="18" t="n">
        <v>21</v>
      </c>
      <c r="F1546" s="18" t="s">
        <v>275</v>
      </c>
      <c r="G1546" s="18" t="s">
        <v>180</v>
      </c>
      <c r="H1546" s="18" t="s">
        <v>129</v>
      </c>
      <c r="I1546" s="18"/>
      <c r="J1546" s="18"/>
      <c r="K1546" s="18"/>
      <c r="L1546" s="18" t="s">
        <v>129</v>
      </c>
      <c r="M1546" s="18" t="s">
        <v>129</v>
      </c>
      <c r="N1546" s="18"/>
      <c r="O1546" s="18"/>
      <c r="P1546" s="18" t="s">
        <v>6736</v>
      </c>
      <c r="Q1546" s="18" t="s">
        <v>131</v>
      </c>
      <c r="R1546" s="18" t="s">
        <v>6737</v>
      </c>
      <c r="S1546" s="18" t="s">
        <v>133</v>
      </c>
      <c r="T1546" s="18" t="s">
        <v>6738</v>
      </c>
      <c r="U1546" s="18"/>
      <c r="V1546" s="19" t="s">
        <v>29</v>
      </c>
      <c r="W1546" s="19"/>
      <c r="X1546" s="19"/>
      <c r="Y1546" s="20"/>
      <c r="Z1546" s="19"/>
      <c r="AA1546" s="18" t="str">
        <f aca="false">IF(OR(V1546="Aprobada"),R1546,IF(AND(OR(V1546="Aprobada con ajuste",V1546="Rechazada"),W1546&lt;&gt;""),W1546,""))</f>
        <v/>
      </c>
    </row>
    <row r="1547" customFormat="false" ht="43.25" hidden="false" customHeight="false" outlineLevel="0" collapsed="false">
      <c r="A1547" s="18" t="s">
        <v>6739</v>
      </c>
      <c r="B1547" s="18" t="s">
        <v>66</v>
      </c>
      <c r="C1547" s="18" t="s">
        <v>67</v>
      </c>
      <c r="D1547" s="18" t="s">
        <v>6735</v>
      </c>
      <c r="E1547" s="18" t="n">
        <v>21</v>
      </c>
      <c r="F1547" s="18" t="s">
        <v>3723</v>
      </c>
      <c r="G1547" s="18" t="s">
        <v>317</v>
      </c>
      <c r="H1547" s="18" t="s">
        <v>162</v>
      </c>
      <c r="I1547" s="18"/>
      <c r="J1547" s="18"/>
      <c r="K1547" s="18"/>
      <c r="L1547" s="18" t="s">
        <v>129</v>
      </c>
      <c r="M1547" s="18" t="s">
        <v>129</v>
      </c>
      <c r="N1547" s="18"/>
      <c r="O1547" s="18" t="s">
        <v>6740</v>
      </c>
      <c r="P1547" s="18" t="s">
        <v>6741</v>
      </c>
      <c r="Q1547" s="18" t="s">
        <v>131</v>
      </c>
      <c r="R1547" s="18" t="s">
        <v>6742</v>
      </c>
      <c r="S1547" s="18" t="s">
        <v>133</v>
      </c>
      <c r="T1547" s="18" t="s">
        <v>6743</v>
      </c>
      <c r="U1547" s="18"/>
      <c r="V1547" s="19" t="s">
        <v>29</v>
      </c>
      <c r="W1547" s="19"/>
      <c r="X1547" s="19"/>
      <c r="Y1547" s="20"/>
      <c r="Z1547" s="19"/>
      <c r="AA1547" s="18" t="str">
        <f aca="false">IF(OR(V1547="Aprobada"),R1547,IF(AND(OR(V1547="Aprobada con ajuste",V1547="Rechazada"),W1547&lt;&gt;""),W1547,""))</f>
        <v/>
      </c>
    </row>
    <row r="1548" customFormat="false" ht="32.8" hidden="false" customHeight="false" outlineLevel="0" collapsed="false">
      <c r="A1548" s="18" t="s">
        <v>6744</v>
      </c>
      <c r="B1548" s="18" t="s">
        <v>66</v>
      </c>
      <c r="C1548" s="18" t="s">
        <v>67</v>
      </c>
      <c r="D1548" s="18" t="s">
        <v>6735</v>
      </c>
      <c r="E1548" s="18" t="n">
        <v>21</v>
      </c>
      <c r="F1548" s="18" t="s">
        <v>3131</v>
      </c>
      <c r="G1548" s="18" t="s">
        <v>180</v>
      </c>
      <c r="H1548" s="18" t="s">
        <v>162</v>
      </c>
      <c r="I1548" s="18"/>
      <c r="J1548" s="18"/>
      <c r="K1548" s="18"/>
      <c r="L1548" s="18" t="s">
        <v>129</v>
      </c>
      <c r="M1548" s="18" t="s">
        <v>129</v>
      </c>
      <c r="N1548" s="18"/>
      <c r="O1548" s="18"/>
      <c r="P1548" s="18" t="s">
        <v>6745</v>
      </c>
      <c r="Q1548" s="18" t="s">
        <v>131</v>
      </c>
      <c r="R1548" s="18" t="s">
        <v>6746</v>
      </c>
      <c r="S1548" s="18" t="s">
        <v>133</v>
      </c>
      <c r="T1548" s="18" t="s">
        <v>6747</v>
      </c>
      <c r="U1548" s="18"/>
      <c r="V1548" s="19" t="s">
        <v>29</v>
      </c>
      <c r="W1548" s="19"/>
      <c r="X1548" s="19"/>
      <c r="Y1548" s="20"/>
      <c r="Z1548" s="19"/>
      <c r="AA1548" s="18" t="str">
        <f aca="false">IF(OR(V1548="Aprobada"),R1548,IF(AND(OR(V1548="Aprobada con ajuste",V1548="Rechazada"),W1548&lt;&gt;""),W1548,""))</f>
        <v/>
      </c>
    </row>
    <row r="1549" customFormat="false" ht="43.25" hidden="false" customHeight="false" outlineLevel="0" collapsed="false">
      <c r="A1549" s="18" t="s">
        <v>6748</v>
      </c>
      <c r="B1549" s="18" t="s">
        <v>66</v>
      </c>
      <c r="C1549" s="18" t="s">
        <v>67</v>
      </c>
      <c r="D1549" s="18" t="s">
        <v>6735</v>
      </c>
      <c r="E1549" s="18" t="n">
        <v>21</v>
      </c>
      <c r="F1549" s="18" t="s">
        <v>6749</v>
      </c>
      <c r="G1549" s="18" t="s">
        <v>294</v>
      </c>
      <c r="H1549" s="18" t="s">
        <v>162</v>
      </c>
      <c r="I1549" s="18"/>
      <c r="J1549" s="18"/>
      <c r="K1549" s="18"/>
      <c r="L1549" s="18" t="s">
        <v>129</v>
      </c>
      <c r="M1549" s="18" t="s">
        <v>129</v>
      </c>
      <c r="N1549" s="18"/>
      <c r="O1549" s="18"/>
      <c r="P1549" s="18" t="s">
        <v>6750</v>
      </c>
      <c r="Q1549" s="18" t="s">
        <v>131</v>
      </c>
      <c r="R1549" s="18" t="s">
        <v>6751</v>
      </c>
      <c r="S1549" s="18" t="s">
        <v>133</v>
      </c>
      <c r="T1549" s="18" t="s">
        <v>6752</v>
      </c>
      <c r="U1549" s="18"/>
      <c r="V1549" s="19" t="s">
        <v>29</v>
      </c>
      <c r="W1549" s="19"/>
      <c r="X1549" s="19"/>
      <c r="Y1549" s="20"/>
      <c r="Z1549" s="19"/>
      <c r="AA1549" s="18" t="str">
        <f aca="false">IF(OR(V1549="Aprobada"),R1549,IF(AND(OR(V1549="Aprobada con ajuste",V1549="Rechazada"),W1549&lt;&gt;""),W1549,""))</f>
        <v/>
      </c>
    </row>
    <row r="1550" customFormat="false" ht="43.25" hidden="false" customHeight="false" outlineLevel="0" collapsed="false">
      <c r="A1550" s="18" t="s">
        <v>6753</v>
      </c>
      <c r="B1550" s="18" t="s">
        <v>66</v>
      </c>
      <c r="C1550" s="18" t="s">
        <v>67</v>
      </c>
      <c r="D1550" s="18" t="s">
        <v>6735</v>
      </c>
      <c r="E1550" s="18" t="n">
        <v>21</v>
      </c>
      <c r="F1550" s="18" t="s">
        <v>6754</v>
      </c>
      <c r="G1550" s="18" t="s">
        <v>180</v>
      </c>
      <c r="H1550" s="18" t="s">
        <v>162</v>
      </c>
      <c r="I1550" s="18"/>
      <c r="J1550" s="18"/>
      <c r="K1550" s="18"/>
      <c r="L1550" s="18" t="s">
        <v>129</v>
      </c>
      <c r="M1550" s="18" t="s">
        <v>129</v>
      </c>
      <c r="N1550" s="18"/>
      <c r="O1550" s="18"/>
      <c r="P1550" s="18" t="s">
        <v>6755</v>
      </c>
      <c r="Q1550" s="18" t="s">
        <v>131</v>
      </c>
      <c r="R1550" s="18" t="s">
        <v>6756</v>
      </c>
      <c r="S1550" s="18" t="s">
        <v>133</v>
      </c>
      <c r="T1550" s="18" t="s">
        <v>6757</v>
      </c>
      <c r="U1550" s="18"/>
      <c r="V1550" s="19" t="s">
        <v>29</v>
      </c>
      <c r="W1550" s="19"/>
      <c r="X1550" s="19"/>
      <c r="Y1550" s="20"/>
      <c r="Z1550" s="19"/>
      <c r="AA1550" s="18" t="str">
        <f aca="false">IF(OR(V1550="Aprobada"),R1550,IF(AND(OR(V1550="Aprobada con ajuste",V1550="Rechazada"),W1550&lt;&gt;""),W1550,""))</f>
        <v/>
      </c>
    </row>
    <row r="1551" customFormat="false" ht="74.6" hidden="false" customHeight="false" outlineLevel="0" collapsed="false">
      <c r="A1551" s="18" t="s">
        <v>6758</v>
      </c>
      <c r="B1551" s="18" t="s">
        <v>66</v>
      </c>
      <c r="C1551" s="18" t="s">
        <v>67</v>
      </c>
      <c r="D1551" s="18" t="s">
        <v>6759</v>
      </c>
      <c r="E1551" s="18" t="n">
        <v>21</v>
      </c>
      <c r="F1551" s="18" t="s">
        <v>127</v>
      </c>
      <c r="G1551" s="18" t="s">
        <v>145</v>
      </c>
      <c r="H1551" s="18" t="s">
        <v>129</v>
      </c>
      <c r="I1551" s="18"/>
      <c r="J1551" s="18"/>
      <c r="K1551" s="18"/>
      <c r="L1551" s="18" t="s">
        <v>129</v>
      </c>
      <c r="M1551" s="18" t="s">
        <v>129</v>
      </c>
      <c r="N1551" s="18"/>
      <c r="O1551" s="18"/>
      <c r="P1551" s="18" t="s">
        <v>6760</v>
      </c>
      <c r="Q1551" s="18" t="s">
        <v>131</v>
      </c>
      <c r="R1551" s="18" t="s">
        <v>6761</v>
      </c>
      <c r="S1551" s="18" t="s">
        <v>140</v>
      </c>
      <c r="T1551" s="18" t="s">
        <v>6762</v>
      </c>
      <c r="U1551" s="18" t="s">
        <v>6763</v>
      </c>
      <c r="V1551" s="19" t="s">
        <v>29</v>
      </c>
      <c r="W1551" s="19"/>
      <c r="X1551" s="19"/>
      <c r="Y1551" s="20"/>
      <c r="Z1551" s="19"/>
      <c r="AA1551" s="18" t="str">
        <f aca="false">IF(OR(V1551="Aprobada"),R1551,IF(AND(OR(V1551="Aprobada con ajuste",V1551="Rechazada"),W1551&lt;&gt;""),W1551,""))</f>
        <v/>
      </c>
    </row>
    <row r="1552" customFormat="false" ht="43.25" hidden="false" customHeight="false" outlineLevel="0" collapsed="false">
      <c r="A1552" s="18" t="s">
        <v>6764</v>
      </c>
      <c r="B1552" s="18" t="s">
        <v>66</v>
      </c>
      <c r="C1552" s="18" t="s">
        <v>67</v>
      </c>
      <c r="D1552" s="18" t="s">
        <v>6759</v>
      </c>
      <c r="E1552" s="18" t="n">
        <v>21</v>
      </c>
      <c r="F1552" s="18" t="s">
        <v>160</v>
      </c>
      <c r="G1552" s="18" t="s">
        <v>128</v>
      </c>
      <c r="H1552" s="18" t="s">
        <v>162</v>
      </c>
      <c r="I1552" s="18"/>
      <c r="J1552" s="18"/>
      <c r="K1552" s="18"/>
      <c r="L1552" s="18" t="s">
        <v>129</v>
      </c>
      <c r="M1552" s="18" t="s">
        <v>129</v>
      </c>
      <c r="N1552" s="18"/>
      <c r="O1552" s="18"/>
      <c r="P1552" s="18" t="s">
        <v>6765</v>
      </c>
      <c r="Q1552" s="18" t="s">
        <v>131</v>
      </c>
      <c r="R1552" s="18" t="s">
        <v>6766</v>
      </c>
      <c r="S1552" s="18" t="s">
        <v>133</v>
      </c>
      <c r="T1552" s="18" t="s">
        <v>6767</v>
      </c>
      <c r="U1552" s="18"/>
      <c r="V1552" s="19" t="s">
        <v>29</v>
      </c>
      <c r="W1552" s="19"/>
      <c r="X1552" s="19"/>
      <c r="Y1552" s="20"/>
      <c r="Z1552" s="19"/>
      <c r="AA1552" s="18" t="str">
        <f aca="false">IF(OR(V1552="Aprobada"),R1552,IF(AND(OR(V1552="Aprobada con ajuste",V1552="Rechazada"),W1552&lt;&gt;""),W1552,""))</f>
        <v/>
      </c>
    </row>
    <row r="1553" customFormat="false" ht="32.8" hidden="false" customHeight="false" outlineLevel="0" collapsed="false">
      <c r="A1553" s="18" t="s">
        <v>6768</v>
      </c>
      <c r="B1553" s="18" t="s">
        <v>66</v>
      </c>
      <c r="C1553" s="18" t="s">
        <v>67</v>
      </c>
      <c r="D1553" s="18" t="s">
        <v>6759</v>
      </c>
      <c r="E1553" s="18" t="n">
        <v>21</v>
      </c>
      <c r="F1553" s="18" t="s">
        <v>6769</v>
      </c>
      <c r="G1553" s="18" t="s">
        <v>584</v>
      </c>
      <c r="H1553" s="18" t="s">
        <v>162</v>
      </c>
      <c r="I1553" s="18"/>
      <c r="J1553" s="18"/>
      <c r="K1553" s="18"/>
      <c r="L1553" s="18" t="s">
        <v>129</v>
      </c>
      <c r="M1553" s="18" t="s">
        <v>129</v>
      </c>
      <c r="N1553" s="18"/>
      <c r="O1553" s="18"/>
      <c r="P1553" s="18" t="s">
        <v>6770</v>
      </c>
      <c r="Q1553" s="18" t="s">
        <v>138</v>
      </c>
      <c r="R1553" s="18" t="s">
        <v>6771</v>
      </c>
      <c r="S1553" s="18" t="s">
        <v>140</v>
      </c>
      <c r="T1553" s="18" t="s">
        <v>141</v>
      </c>
      <c r="U1553" s="18"/>
      <c r="V1553" s="19" t="s">
        <v>29</v>
      </c>
      <c r="W1553" s="19"/>
      <c r="X1553" s="19"/>
      <c r="Y1553" s="20"/>
      <c r="Z1553" s="19"/>
      <c r="AA1553" s="18" t="str">
        <f aca="false">IF(OR(V1553="Aprobada"),R1553,IF(AND(OR(V1553="Aprobada con ajuste",V1553="Rechazada"),W1553&lt;&gt;""),W1553,""))</f>
        <v/>
      </c>
    </row>
    <row r="1554" customFormat="false" ht="43.25" hidden="false" customHeight="false" outlineLevel="0" collapsed="false">
      <c r="A1554" s="18" t="s">
        <v>6772</v>
      </c>
      <c r="B1554" s="18" t="s">
        <v>66</v>
      </c>
      <c r="C1554" s="18" t="s">
        <v>67</v>
      </c>
      <c r="D1554" s="18" t="s">
        <v>6759</v>
      </c>
      <c r="E1554" s="18" t="n">
        <v>21</v>
      </c>
      <c r="F1554" s="18" t="s">
        <v>6773</v>
      </c>
      <c r="G1554" s="18" t="s">
        <v>173</v>
      </c>
      <c r="H1554" s="18" t="s">
        <v>162</v>
      </c>
      <c r="I1554" s="18"/>
      <c r="J1554" s="18"/>
      <c r="K1554" s="18"/>
      <c r="L1554" s="18" t="s">
        <v>129</v>
      </c>
      <c r="M1554" s="18" t="s">
        <v>129</v>
      </c>
      <c r="N1554" s="18"/>
      <c r="O1554" s="18"/>
      <c r="P1554" s="18" t="s">
        <v>6774</v>
      </c>
      <c r="Q1554" s="18" t="s">
        <v>131</v>
      </c>
      <c r="R1554" s="18" t="s">
        <v>6775</v>
      </c>
      <c r="S1554" s="18" t="s">
        <v>133</v>
      </c>
      <c r="T1554" s="18" t="s">
        <v>6776</v>
      </c>
      <c r="U1554" s="18"/>
      <c r="V1554" s="19" t="s">
        <v>29</v>
      </c>
      <c r="W1554" s="19"/>
      <c r="X1554" s="19"/>
      <c r="Y1554" s="20"/>
      <c r="Z1554" s="19"/>
      <c r="AA1554" s="18" t="str">
        <f aca="false">IF(OR(V1554="Aprobada"),R1554,IF(AND(OR(V1554="Aprobada con ajuste",V1554="Rechazada"),W1554&lt;&gt;""),W1554,""))</f>
        <v/>
      </c>
    </row>
    <row r="1555" customFormat="false" ht="43.25" hidden="false" customHeight="false" outlineLevel="0" collapsed="false">
      <c r="A1555" s="18" t="s">
        <v>6777</v>
      </c>
      <c r="B1555" s="18" t="s">
        <v>66</v>
      </c>
      <c r="C1555" s="18" t="s">
        <v>67</v>
      </c>
      <c r="D1555" s="18" t="s">
        <v>6759</v>
      </c>
      <c r="E1555" s="18" t="n">
        <v>21</v>
      </c>
      <c r="F1555" s="18" t="s">
        <v>6778</v>
      </c>
      <c r="G1555" s="18" t="s">
        <v>584</v>
      </c>
      <c r="H1555" s="18" t="s">
        <v>162</v>
      </c>
      <c r="I1555" s="18"/>
      <c r="J1555" s="18"/>
      <c r="K1555" s="18"/>
      <c r="L1555" s="18" t="s">
        <v>129</v>
      </c>
      <c r="M1555" s="18" t="s">
        <v>129</v>
      </c>
      <c r="N1555" s="18"/>
      <c r="O1555" s="18"/>
      <c r="P1555" s="18" t="s">
        <v>6779</v>
      </c>
      <c r="Q1555" s="18" t="s">
        <v>131</v>
      </c>
      <c r="R1555" s="18" t="s">
        <v>6780</v>
      </c>
      <c r="S1555" s="18" t="s">
        <v>133</v>
      </c>
      <c r="T1555" s="18" t="s">
        <v>6781</v>
      </c>
      <c r="U1555" s="18"/>
      <c r="V1555" s="19" t="s">
        <v>29</v>
      </c>
      <c r="W1555" s="19"/>
      <c r="X1555" s="19"/>
      <c r="Y1555" s="20"/>
      <c r="Z1555" s="19"/>
      <c r="AA1555" s="18" t="str">
        <f aca="false">IF(OR(V1555="Aprobada"),R1555,IF(AND(OR(V1555="Aprobada con ajuste",V1555="Rechazada"),W1555&lt;&gt;""),W1555,""))</f>
        <v/>
      </c>
    </row>
    <row r="1556" customFormat="false" ht="43.25" hidden="false" customHeight="false" outlineLevel="0" collapsed="false">
      <c r="A1556" s="18" t="s">
        <v>6782</v>
      </c>
      <c r="B1556" s="18" t="s">
        <v>66</v>
      </c>
      <c r="C1556" s="18" t="s">
        <v>67</v>
      </c>
      <c r="D1556" s="18" t="s">
        <v>6759</v>
      </c>
      <c r="E1556" s="18" t="n">
        <v>21</v>
      </c>
      <c r="F1556" s="18" t="s">
        <v>6783</v>
      </c>
      <c r="G1556" s="18" t="s">
        <v>180</v>
      </c>
      <c r="H1556" s="18" t="s">
        <v>162</v>
      </c>
      <c r="I1556" s="18"/>
      <c r="J1556" s="18"/>
      <c r="K1556" s="18"/>
      <c r="L1556" s="18" t="s">
        <v>129</v>
      </c>
      <c r="M1556" s="18" t="s">
        <v>129</v>
      </c>
      <c r="N1556" s="18"/>
      <c r="O1556" s="18"/>
      <c r="P1556" s="18" t="s">
        <v>6784</v>
      </c>
      <c r="Q1556" s="18" t="s">
        <v>131</v>
      </c>
      <c r="R1556" s="18" t="s">
        <v>6785</v>
      </c>
      <c r="S1556" s="18" t="s">
        <v>133</v>
      </c>
      <c r="T1556" s="18" t="s">
        <v>6786</v>
      </c>
      <c r="U1556" s="18"/>
      <c r="V1556" s="19" t="s">
        <v>29</v>
      </c>
      <c r="W1556" s="19"/>
      <c r="X1556" s="19"/>
      <c r="Y1556" s="20"/>
      <c r="Z1556" s="19"/>
      <c r="AA1556" s="18" t="str">
        <f aca="false">IF(OR(V1556="Aprobada"),R1556,IF(AND(OR(V1556="Aprobada con ajuste",V1556="Rechazada"),W1556&lt;&gt;""),W1556,""))</f>
        <v/>
      </c>
    </row>
    <row r="1557" customFormat="false" ht="22.35" hidden="false" customHeight="false" outlineLevel="0" collapsed="false">
      <c r="A1557" s="18" t="s">
        <v>6787</v>
      </c>
      <c r="B1557" s="18" t="s">
        <v>66</v>
      </c>
      <c r="C1557" s="18" t="s">
        <v>67</v>
      </c>
      <c r="D1557" s="18" t="s">
        <v>6788</v>
      </c>
      <c r="E1557" s="18" t="n">
        <v>0</v>
      </c>
      <c r="F1557" s="18" t="s">
        <v>6789</v>
      </c>
      <c r="G1557" s="18" t="s">
        <v>137</v>
      </c>
      <c r="H1557" s="18" t="s">
        <v>129</v>
      </c>
      <c r="I1557" s="18"/>
      <c r="J1557" s="18"/>
      <c r="K1557" s="18"/>
      <c r="L1557" s="18" t="s">
        <v>129</v>
      </c>
      <c r="M1557" s="18" t="s">
        <v>129</v>
      </c>
      <c r="N1557" s="18"/>
      <c r="O1557" s="18"/>
      <c r="P1557" s="18"/>
      <c r="Q1557" s="18" t="s">
        <v>138</v>
      </c>
      <c r="R1557" s="18" t="s">
        <v>6790</v>
      </c>
      <c r="S1557" s="18" t="s">
        <v>140</v>
      </c>
      <c r="T1557" s="18" t="s">
        <v>141</v>
      </c>
      <c r="U1557" s="18"/>
      <c r="V1557" s="19" t="s">
        <v>29</v>
      </c>
      <c r="W1557" s="19"/>
      <c r="X1557" s="19"/>
      <c r="Y1557" s="20"/>
      <c r="Z1557" s="19"/>
      <c r="AA1557" s="18" t="str">
        <f aca="false">IF(OR(V1557="Aprobada"),R1557,IF(AND(OR(V1557="Aprobada con ajuste",V1557="Rechazada"),W1557&lt;&gt;""),W1557,""))</f>
        <v/>
      </c>
    </row>
    <row r="1558" customFormat="false" ht="22.35" hidden="false" customHeight="false" outlineLevel="0" collapsed="false">
      <c r="A1558" s="18" t="s">
        <v>6791</v>
      </c>
      <c r="B1558" s="18" t="s">
        <v>66</v>
      </c>
      <c r="C1558" s="18" t="s">
        <v>67</v>
      </c>
      <c r="D1558" s="18" t="s">
        <v>6788</v>
      </c>
      <c r="E1558" s="18" t="n">
        <v>0</v>
      </c>
      <c r="F1558" s="18" t="s">
        <v>6792</v>
      </c>
      <c r="G1558" s="18" t="s">
        <v>137</v>
      </c>
      <c r="H1558" s="18" t="s">
        <v>129</v>
      </c>
      <c r="I1558" s="18"/>
      <c r="J1558" s="18"/>
      <c r="K1558" s="18"/>
      <c r="L1558" s="18" t="s">
        <v>129</v>
      </c>
      <c r="M1558" s="18" t="s">
        <v>129</v>
      </c>
      <c r="N1558" s="18"/>
      <c r="O1558" s="18"/>
      <c r="P1558" s="18"/>
      <c r="Q1558" s="18" t="s">
        <v>138</v>
      </c>
      <c r="R1558" s="18" t="s">
        <v>6793</v>
      </c>
      <c r="S1558" s="18" t="s">
        <v>140</v>
      </c>
      <c r="T1558" s="18" t="s">
        <v>141</v>
      </c>
      <c r="U1558" s="18"/>
      <c r="V1558" s="19" t="s">
        <v>29</v>
      </c>
      <c r="W1558" s="19"/>
      <c r="X1558" s="19"/>
      <c r="Y1558" s="20"/>
      <c r="Z1558" s="19"/>
      <c r="AA1558" s="18" t="str">
        <f aca="false">IF(OR(V1558="Aprobada"),R1558,IF(AND(OR(V1558="Aprobada con ajuste",V1558="Rechazada"),W1558&lt;&gt;""),W1558,""))</f>
        <v/>
      </c>
    </row>
    <row r="1559" customFormat="false" ht="22.35" hidden="false" customHeight="false" outlineLevel="0" collapsed="false">
      <c r="A1559" s="18" t="s">
        <v>6794</v>
      </c>
      <c r="B1559" s="18" t="s">
        <v>66</v>
      </c>
      <c r="C1559" s="18" t="s">
        <v>67</v>
      </c>
      <c r="D1559" s="18" t="s">
        <v>6788</v>
      </c>
      <c r="E1559" s="18" t="n">
        <v>0</v>
      </c>
      <c r="F1559" s="18" t="s">
        <v>6278</v>
      </c>
      <c r="G1559" s="18" t="s">
        <v>317</v>
      </c>
      <c r="H1559" s="18" t="s">
        <v>129</v>
      </c>
      <c r="I1559" s="18"/>
      <c r="J1559" s="18"/>
      <c r="K1559" s="18"/>
      <c r="L1559" s="18" t="s">
        <v>129</v>
      </c>
      <c r="M1559" s="18" t="s">
        <v>129</v>
      </c>
      <c r="N1559" s="18"/>
      <c r="O1559" s="18" t="s">
        <v>6795</v>
      </c>
      <c r="P1559" s="18"/>
      <c r="Q1559" s="18" t="s">
        <v>138</v>
      </c>
      <c r="R1559" s="18" t="s">
        <v>6280</v>
      </c>
      <c r="S1559" s="18" t="s">
        <v>140</v>
      </c>
      <c r="T1559" s="18" t="s">
        <v>141</v>
      </c>
      <c r="U1559" s="18"/>
      <c r="V1559" s="19" t="s">
        <v>29</v>
      </c>
      <c r="W1559" s="19"/>
      <c r="X1559" s="19"/>
      <c r="Y1559" s="20"/>
      <c r="Z1559" s="19"/>
      <c r="AA1559" s="18" t="str">
        <f aca="false">IF(OR(V1559="Aprobada"),R1559,IF(AND(OR(V1559="Aprobada con ajuste",V1559="Rechazada"),W1559&lt;&gt;""),W1559,""))</f>
        <v/>
      </c>
    </row>
    <row r="1560" customFormat="false" ht="22.35" hidden="false" customHeight="false" outlineLevel="0" collapsed="false">
      <c r="A1560" s="18" t="s">
        <v>6796</v>
      </c>
      <c r="B1560" s="18" t="s">
        <v>66</v>
      </c>
      <c r="C1560" s="18" t="s">
        <v>67</v>
      </c>
      <c r="D1560" s="18" t="s">
        <v>6788</v>
      </c>
      <c r="E1560" s="18" t="n">
        <v>0</v>
      </c>
      <c r="F1560" s="18" t="s">
        <v>4792</v>
      </c>
      <c r="G1560" s="18" t="s">
        <v>317</v>
      </c>
      <c r="H1560" s="18" t="s">
        <v>162</v>
      </c>
      <c r="I1560" s="18"/>
      <c r="J1560" s="18"/>
      <c r="K1560" s="18"/>
      <c r="L1560" s="18" t="s">
        <v>129</v>
      </c>
      <c r="M1560" s="18" t="s">
        <v>129</v>
      </c>
      <c r="N1560" s="18"/>
      <c r="O1560" s="18"/>
      <c r="P1560" s="18"/>
      <c r="Q1560" s="18" t="s">
        <v>138</v>
      </c>
      <c r="R1560" s="18" t="s">
        <v>4794</v>
      </c>
      <c r="S1560" s="18" t="s">
        <v>140</v>
      </c>
      <c r="T1560" s="18" t="s">
        <v>141</v>
      </c>
      <c r="U1560" s="18"/>
      <c r="V1560" s="19" t="s">
        <v>29</v>
      </c>
      <c r="W1560" s="19"/>
      <c r="X1560" s="19"/>
      <c r="Y1560" s="20"/>
      <c r="Z1560" s="19"/>
      <c r="AA1560" s="18" t="str">
        <f aca="false">IF(OR(V1560="Aprobada"),R1560,IF(AND(OR(V1560="Aprobada con ajuste",V1560="Rechazada"),W1560&lt;&gt;""),W1560,""))</f>
        <v/>
      </c>
    </row>
    <row r="1561" customFormat="false" ht="22.35" hidden="false" customHeight="false" outlineLevel="0" collapsed="false">
      <c r="A1561" s="18" t="s">
        <v>6797</v>
      </c>
      <c r="B1561" s="18" t="s">
        <v>66</v>
      </c>
      <c r="C1561" s="18" t="s">
        <v>67</v>
      </c>
      <c r="D1561" s="18" t="s">
        <v>6788</v>
      </c>
      <c r="E1561" s="18" t="n">
        <v>0</v>
      </c>
      <c r="F1561" s="18" t="s">
        <v>3183</v>
      </c>
      <c r="G1561" s="18" t="s">
        <v>128</v>
      </c>
      <c r="H1561" s="18" t="s">
        <v>129</v>
      </c>
      <c r="I1561" s="18"/>
      <c r="J1561" s="18"/>
      <c r="K1561" s="18"/>
      <c r="L1561" s="18" t="s">
        <v>129</v>
      </c>
      <c r="M1561" s="18" t="s">
        <v>129</v>
      </c>
      <c r="N1561" s="18"/>
      <c r="O1561" s="18"/>
      <c r="P1561" s="18"/>
      <c r="Q1561" s="18" t="s">
        <v>149</v>
      </c>
      <c r="R1561" s="18" t="s">
        <v>6798</v>
      </c>
      <c r="S1561" s="18" t="s">
        <v>133</v>
      </c>
      <c r="T1561" s="18" t="s">
        <v>4079</v>
      </c>
      <c r="U1561" s="18"/>
      <c r="V1561" s="19" t="s">
        <v>29</v>
      </c>
      <c r="W1561" s="19"/>
      <c r="X1561" s="19"/>
      <c r="Y1561" s="20"/>
      <c r="Z1561" s="19"/>
      <c r="AA1561" s="18" t="str">
        <f aca="false">IF(OR(V1561="Aprobada"),R1561,IF(AND(OR(V1561="Aprobada con ajuste",V1561="Rechazada"),W1561&lt;&gt;""),W1561,""))</f>
        <v/>
      </c>
    </row>
    <row r="1562" customFormat="false" ht="22.35" hidden="false" customHeight="false" outlineLevel="0" collapsed="false">
      <c r="A1562" s="18" t="s">
        <v>6799</v>
      </c>
      <c r="B1562" s="18" t="s">
        <v>66</v>
      </c>
      <c r="C1562" s="18" t="s">
        <v>67</v>
      </c>
      <c r="D1562" s="18" t="s">
        <v>6788</v>
      </c>
      <c r="E1562" s="18" t="n">
        <v>0</v>
      </c>
      <c r="F1562" s="18" t="s">
        <v>6800</v>
      </c>
      <c r="G1562" s="18" t="s">
        <v>128</v>
      </c>
      <c r="H1562" s="18" t="s">
        <v>162</v>
      </c>
      <c r="I1562" s="18"/>
      <c r="J1562" s="18"/>
      <c r="K1562" s="18"/>
      <c r="L1562" s="18" t="s">
        <v>129</v>
      </c>
      <c r="M1562" s="18" t="s">
        <v>129</v>
      </c>
      <c r="N1562" s="18"/>
      <c r="O1562" s="18"/>
      <c r="P1562" s="18"/>
      <c r="Q1562" s="18" t="s">
        <v>138</v>
      </c>
      <c r="R1562" s="18" t="s">
        <v>6801</v>
      </c>
      <c r="S1562" s="18" t="s">
        <v>140</v>
      </c>
      <c r="T1562" s="18" t="s">
        <v>141</v>
      </c>
      <c r="U1562" s="18"/>
      <c r="V1562" s="19" t="s">
        <v>29</v>
      </c>
      <c r="W1562" s="19"/>
      <c r="X1562" s="19"/>
      <c r="Y1562" s="20"/>
      <c r="Z1562" s="19"/>
      <c r="AA1562" s="18" t="str">
        <f aca="false">IF(OR(V1562="Aprobada"),R1562,IF(AND(OR(V1562="Aprobada con ajuste",V1562="Rechazada"),W1562&lt;&gt;""),W1562,""))</f>
        <v/>
      </c>
    </row>
    <row r="1563" customFormat="false" ht="22.35" hidden="false" customHeight="false" outlineLevel="0" collapsed="false">
      <c r="A1563" s="18" t="s">
        <v>6802</v>
      </c>
      <c r="B1563" s="18" t="s">
        <v>66</v>
      </c>
      <c r="C1563" s="18" t="s">
        <v>67</v>
      </c>
      <c r="D1563" s="18" t="s">
        <v>6788</v>
      </c>
      <c r="E1563" s="18" t="n">
        <v>0</v>
      </c>
      <c r="F1563" s="18" t="s">
        <v>305</v>
      </c>
      <c r="G1563" s="18" t="s">
        <v>128</v>
      </c>
      <c r="H1563" s="18" t="s">
        <v>162</v>
      </c>
      <c r="I1563" s="18"/>
      <c r="J1563" s="18"/>
      <c r="K1563" s="18"/>
      <c r="L1563" s="18" t="s">
        <v>129</v>
      </c>
      <c r="M1563" s="18" t="s">
        <v>129</v>
      </c>
      <c r="N1563" s="18"/>
      <c r="O1563" s="18"/>
      <c r="P1563" s="18"/>
      <c r="Q1563" s="18" t="s">
        <v>149</v>
      </c>
      <c r="R1563" s="18" t="s">
        <v>6803</v>
      </c>
      <c r="S1563" s="18" t="s">
        <v>140</v>
      </c>
      <c r="T1563" s="18" t="s">
        <v>858</v>
      </c>
      <c r="U1563" s="18" t="s">
        <v>6804</v>
      </c>
      <c r="V1563" s="19" t="s">
        <v>29</v>
      </c>
      <c r="W1563" s="19"/>
      <c r="X1563" s="19"/>
      <c r="Y1563" s="20"/>
      <c r="Z1563" s="19"/>
      <c r="AA1563" s="18" t="str">
        <f aca="false">IF(OR(V1563="Aprobada"),R1563,IF(AND(OR(V1563="Aprobada con ajuste",V1563="Rechazada"),W1563&lt;&gt;""),W1563,""))</f>
        <v/>
      </c>
    </row>
    <row r="1564" customFormat="false" ht="22.35" hidden="false" customHeight="false" outlineLevel="0" collapsed="false">
      <c r="A1564" s="18" t="s">
        <v>6805</v>
      </c>
      <c r="B1564" s="18" t="s">
        <v>66</v>
      </c>
      <c r="C1564" s="18" t="s">
        <v>67</v>
      </c>
      <c r="D1564" s="18" t="s">
        <v>6788</v>
      </c>
      <c r="E1564" s="18" t="n">
        <v>0</v>
      </c>
      <c r="F1564" s="18" t="s">
        <v>6303</v>
      </c>
      <c r="G1564" s="18" t="s">
        <v>486</v>
      </c>
      <c r="H1564" s="18" t="s">
        <v>129</v>
      </c>
      <c r="I1564" s="18"/>
      <c r="J1564" s="18"/>
      <c r="K1564" s="18"/>
      <c r="L1564" s="18" t="s">
        <v>129</v>
      </c>
      <c r="M1564" s="18" t="s">
        <v>129</v>
      </c>
      <c r="N1564" s="18"/>
      <c r="O1564" s="18"/>
      <c r="P1564" s="18"/>
      <c r="Q1564" s="18" t="s">
        <v>138</v>
      </c>
      <c r="R1564" s="18" t="s">
        <v>6305</v>
      </c>
      <c r="S1564" s="18" t="s">
        <v>140</v>
      </c>
      <c r="T1564" s="18" t="s">
        <v>141</v>
      </c>
      <c r="U1564" s="18"/>
      <c r="V1564" s="19" t="s">
        <v>29</v>
      </c>
      <c r="W1564" s="19"/>
      <c r="X1564" s="19"/>
      <c r="Y1564" s="20"/>
      <c r="Z1564" s="19"/>
      <c r="AA1564" s="18" t="str">
        <f aca="false">IF(OR(V1564="Aprobada"),R1564,IF(AND(OR(V1564="Aprobada con ajuste",V1564="Rechazada"),W1564&lt;&gt;""),W1564,""))</f>
        <v/>
      </c>
    </row>
    <row r="1565" customFormat="false" ht="32.8" hidden="false" customHeight="false" outlineLevel="0" collapsed="false">
      <c r="A1565" s="18" t="s">
        <v>6806</v>
      </c>
      <c r="B1565" s="18" t="s">
        <v>66</v>
      </c>
      <c r="C1565" s="18" t="s">
        <v>67</v>
      </c>
      <c r="D1565" s="18" t="s">
        <v>6788</v>
      </c>
      <c r="E1565" s="18" t="n">
        <v>0</v>
      </c>
      <c r="F1565" s="18" t="s">
        <v>6807</v>
      </c>
      <c r="G1565" s="18" t="s">
        <v>486</v>
      </c>
      <c r="H1565" s="18" t="s">
        <v>162</v>
      </c>
      <c r="I1565" s="18"/>
      <c r="J1565" s="18"/>
      <c r="K1565" s="18"/>
      <c r="L1565" s="18" t="s">
        <v>129</v>
      </c>
      <c r="M1565" s="18" t="s">
        <v>129</v>
      </c>
      <c r="N1565" s="18"/>
      <c r="O1565" s="18"/>
      <c r="P1565" s="18"/>
      <c r="Q1565" s="18" t="s">
        <v>149</v>
      </c>
      <c r="R1565" s="18" t="s">
        <v>6808</v>
      </c>
      <c r="S1565" s="18" t="s">
        <v>140</v>
      </c>
      <c r="T1565" s="18" t="s">
        <v>6809</v>
      </c>
      <c r="U1565" s="18" t="s">
        <v>6810</v>
      </c>
      <c r="V1565" s="19" t="s">
        <v>29</v>
      </c>
      <c r="W1565" s="19"/>
      <c r="X1565" s="19"/>
      <c r="Y1565" s="20"/>
      <c r="Z1565" s="19"/>
      <c r="AA1565" s="18" t="str">
        <f aca="false">IF(OR(V1565="Aprobada"),R1565,IF(AND(OR(V1565="Aprobada con ajuste",V1565="Rechazada"),W1565&lt;&gt;""),W1565,""))</f>
        <v/>
      </c>
    </row>
    <row r="1566" customFormat="false" ht="43.25" hidden="false" customHeight="false" outlineLevel="0" collapsed="false">
      <c r="A1566" s="18" t="s">
        <v>6811</v>
      </c>
      <c r="B1566" s="18" t="s">
        <v>66</v>
      </c>
      <c r="C1566" s="18" t="s">
        <v>67</v>
      </c>
      <c r="D1566" s="18" t="s">
        <v>6812</v>
      </c>
      <c r="E1566" s="18" t="n">
        <v>10</v>
      </c>
      <c r="F1566" s="18" t="s">
        <v>611</v>
      </c>
      <c r="G1566" s="18" t="s">
        <v>180</v>
      </c>
      <c r="H1566" s="18" t="s">
        <v>162</v>
      </c>
      <c r="I1566" s="18" t="s">
        <v>146</v>
      </c>
      <c r="J1566" s="18"/>
      <c r="K1566" s="18"/>
      <c r="L1566" s="18" t="s">
        <v>129</v>
      </c>
      <c r="M1566" s="18" t="s">
        <v>129</v>
      </c>
      <c r="N1566" s="18"/>
      <c r="O1566" s="18" t="s">
        <v>6813</v>
      </c>
      <c r="P1566" s="18" t="s">
        <v>6814</v>
      </c>
      <c r="Q1566" s="18" t="s">
        <v>138</v>
      </c>
      <c r="R1566" s="18" t="s">
        <v>6815</v>
      </c>
      <c r="S1566" s="18" t="s">
        <v>140</v>
      </c>
      <c r="T1566" s="18" t="s">
        <v>141</v>
      </c>
      <c r="U1566" s="18"/>
      <c r="V1566" s="19" t="s">
        <v>29</v>
      </c>
      <c r="W1566" s="19"/>
      <c r="X1566" s="19"/>
      <c r="Y1566" s="20"/>
      <c r="Z1566" s="19"/>
      <c r="AA1566" s="18" t="str">
        <f aca="false">IF(OR(V1566="Aprobada"),R1566,IF(AND(OR(V1566="Aprobada con ajuste",V1566="Rechazada"),W1566&lt;&gt;""),W1566,""))</f>
        <v/>
      </c>
    </row>
    <row r="1567" customFormat="false" ht="85.05" hidden="false" customHeight="false" outlineLevel="0" collapsed="false">
      <c r="A1567" s="18" t="s">
        <v>6816</v>
      </c>
      <c r="B1567" s="18" t="s">
        <v>66</v>
      </c>
      <c r="C1567" s="18" t="s">
        <v>67</v>
      </c>
      <c r="D1567" s="18" t="s">
        <v>6812</v>
      </c>
      <c r="E1567" s="18" t="n">
        <v>10</v>
      </c>
      <c r="F1567" s="18" t="s">
        <v>127</v>
      </c>
      <c r="G1567" s="18" t="s">
        <v>486</v>
      </c>
      <c r="H1567" s="18" t="s">
        <v>162</v>
      </c>
      <c r="I1567" s="18" t="s">
        <v>298</v>
      </c>
      <c r="J1567" s="18" t="s">
        <v>6817</v>
      </c>
      <c r="K1567" s="18"/>
      <c r="L1567" s="18" t="s">
        <v>162</v>
      </c>
      <c r="M1567" s="18" t="s">
        <v>129</v>
      </c>
      <c r="N1567" s="18"/>
      <c r="O1567" s="18" t="s">
        <v>6818</v>
      </c>
      <c r="P1567" s="18" t="s">
        <v>6819</v>
      </c>
      <c r="Q1567" s="18" t="s">
        <v>138</v>
      </c>
      <c r="R1567" s="18" t="s">
        <v>6820</v>
      </c>
      <c r="S1567" s="18" t="s">
        <v>140</v>
      </c>
      <c r="T1567" s="18" t="s">
        <v>141</v>
      </c>
      <c r="U1567" s="18"/>
      <c r="V1567" s="19" t="s">
        <v>29</v>
      </c>
      <c r="W1567" s="19"/>
      <c r="X1567" s="19"/>
      <c r="Y1567" s="20"/>
      <c r="Z1567" s="19"/>
      <c r="AA1567" s="18" t="str">
        <f aca="false">IF(OR(V1567="Aprobada"),R1567,IF(AND(OR(V1567="Aprobada con ajuste",V1567="Rechazada"),W1567&lt;&gt;""),W1567,""))</f>
        <v/>
      </c>
    </row>
    <row r="1568" customFormat="false" ht="53.7" hidden="false" customHeight="false" outlineLevel="0" collapsed="false">
      <c r="A1568" s="18" t="s">
        <v>6821</v>
      </c>
      <c r="B1568" s="18" t="s">
        <v>66</v>
      </c>
      <c r="C1568" s="18" t="s">
        <v>67</v>
      </c>
      <c r="D1568" s="18" t="s">
        <v>6812</v>
      </c>
      <c r="E1568" s="18" t="n">
        <v>10</v>
      </c>
      <c r="F1568" s="18" t="s">
        <v>4369</v>
      </c>
      <c r="G1568" s="18" t="s">
        <v>161</v>
      </c>
      <c r="H1568" s="18" t="s">
        <v>162</v>
      </c>
      <c r="I1568" s="18"/>
      <c r="J1568" s="18"/>
      <c r="K1568" s="18"/>
      <c r="L1568" s="18" t="s">
        <v>129</v>
      </c>
      <c r="M1568" s="18" t="s">
        <v>129</v>
      </c>
      <c r="N1568" s="18"/>
      <c r="O1568" s="18"/>
      <c r="P1568" s="18" t="s">
        <v>6822</v>
      </c>
      <c r="Q1568" s="18" t="s">
        <v>149</v>
      </c>
      <c r="R1568" s="18" t="s">
        <v>6823</v>
      </c>
      <c r="S1568" s="18" t="s">
        <v>133</v>
      </c>
      <c r="T1568" s="18" t="s">
        <v>6824</v>
      </c>
      <c r="U1568" s="18"/>
      <c r="V1568" s="19" t="s">
        <v>29</v>
      </c>
      <c r="W1568" s="19"/>
      <c r="X1568" s="19"/>
      <c r="Y1568" s="20"/>
      <c r="Z1568" s="19"/>
      <c r="AA1568" s="18" t="str">
        <f aca="false">IF(OR(V1568="Aprobada"),R1568,IF(AND(OR(V1568="Aprobada con ajuste",V1568="Rechazada"),W1568&lt;&gt;""),W1568,""))</f>
        <v/>
      </c>
    </row>
    <row r="1569" customFormat="false" ht="43.25" hidden="false" customHeight="false" outlineLevel="0" collapsed="false">
      <c r="A1569" s="18" t="s">
        <v>6825</v>
      </c>
      <c r="B1569" s="18" t="s">
        <v>66</v>
      </c>
      <c r="C1569" s="18" t="s">
        <v>67</v>
      </c>
      <c r="D1569" s="18" t="s">
        <v>6812</v>
      </c>
      <c r="E1569" s="18" t="n">
        <v>10</v>
      </c>
      <c r="F1569" s="18" t="s">
        <v>160</v>
      </c>
      <c r="G1569" s="18" t="s">
        <v>128</v>
      </c>
      <c r="H1569" s="18" t="s">
        <v>162</v>
      </c>
      <c r="I1569" s="18"/>
      <c r="J1569" s="18"/>
      <c r="K1569" s="18"/>
      <c r="L1569" s="18" t="s">
        <v>129</v>
      </c>
      <c r="M1569" s="18" t="s">
        <v>129</v>
      </c>
      <c r="N1569" s="18"/>
      <c r="O1569" s="18"/>
      <c r="P1569" s="18" t="s">
        <v>6826</v>
      </c>
      <c r="Q1569" s="18" t="s">
        <v>138</v>
      </c>
      <c r="R1569" s="18" t="s">
        <v>6827</v>
      </c>
      <c r="S1569" s="18" t="s">
        <v>140</v>
      </c>
      <c r="T1569" s="18" t="s">
        <v>141</v>
      </c>
      <c r="U1569" s="18"/>
      <c r="V1569" s="19" t="s">
        <v>29</v>
      </c>
      <c r="W1569" s="19"/>
      <c r="X1569" s="19"/>
      <c r="Y1569" s="20"/>
      <c r="Z1569" s="19"/>
      <c r="AA1569" s="18" t="str">
        <f aca="false">IF(OR(V1569="Aprobada"),R1569,IF(AND(OR(V1569="Aprobada con ajuste",V1569="Rechazada"),W1569&lt;&gt;""),W1569,""))</f>
        <v/>
      </c>
    </row>
    <row r="1570" customFormat="false" ht="43.25" hidden="false" customHeight="false" outlineLevel="0" collapsed="false">
      <c r="A1570" s="18" t="s">
        <v>6828</v>
      </c>
      <c r="B1570" s="18" t="s">
        <v>66</v>
      </c>
      <c r="C1570" s="18" t="s">
        <v>67</v>
      </c>
      <c r="D1570" s="18" t="s">
        <v>6812</v>
      </c>
      <c r="E1570" s="18" t="n">
        <v>10</v>
      </c>
      <c r="F1570" s="18" t="s">
        <v>6829</v>
      </c>
      <c r="G1570" s="18" t="s">
        <v>180</v>
      </c>
      <c r="H1570" s="18" t="s">
        <v>162</v>
      </c>
      <c r="I1570" s="18"/>
      <c r="J1570" s="18"/>
      <c r="K1570" s="18"/>
      <c r="L1570" s="18" t="s">
        <v>129</v>
      </c>
      <c r="M1570" s="18" t="s">
        <v>129</v>
      </c>
      <c r="N1570" s="18"/>
      <c r="O1570" s="18"/>
      <c r="P1570" s="18" t="s">
        <v>6830</v>
      </c>
      <c r="Q1570" s="18" t="s">
        <v>149</v>
      </c>
      <c r="R1570" s="18" t="s">
        <v>6831</v>
      </c>
      <c r="S1570" s="18" t="s">
        <v>140</v>
      </c>
      <c r="T1570" s="18" t="s">
        <v>858</v>
      </c>
      <c r="U1570" s="18" t="s">
        <v>6832</v>
      </c>
      <c r="V1570" s="19" t="s">
        <v>29</v>
      </c>
      <c r="W1570" s="19"/>
      <c r="X1570" s="19"/>
      <c r="Y1570" s="20"/>
      <c r="Z1570" s="19"/>
      <c r="AA1570" s="18" t="str">
        <f aca="false">IF(OR(V1570="Aprobada"),R1570,IF(AND(OR(V1570="Aprobada con ajuste",V1570="Rechazada"),W1570&lt;&gt;""),W1570,""))</f>
        <v/>
      </c>
    </row>
    <row r="1571" customFormat="false" ht="43.25" hidden="false" customHeight="false" outlineLevel="0" collapsed="false">
      <c r="A1571" s="18" t="s">
        <v>6833</v>
      </c>
      <c r="B1571" s="18" t="s">
        <v>66</v>
      </c>
      <c r="C1571" s="18" t="s">
        <v>67</v>
      </c>
      <c r="D1571" s="18" t="s">
        <v>6812</v>
      </c>
      <c r="E1571" s="18" t="n">
        <v>10</v>
      </c>
      <c r="F1571" s="18" t="s">
        <v>6278</v>
      </c>
      <c r="G1571" s="18" t="s">
        <v>137</v>
      </c>
      <c r="H1571" s="18" t="s">
        <v>162</v>
      </c>
      <c r="I1571" s="18"/>
      <c r="J1571" s="18"/>
      <c r="K1571" s="18"/>
      <c r="L1571" s="18" t="s">
        <v>129</v>
      </c>
      <c r="M1571" s="18" t="s">
        <v>129</v>
      </c>
      <c r="N1571" s="18"/>
      <c r="O1571" s="18" t="s">
        <v>6834</v>
      </c>
      <c r="P1571" s="18" t="s">
        <v>6835</v>
      </c>
      <c r="Q1571" s="18" t="s">
        <v>138</v>
      </c>
      <c r="R1571" s="18" t="s">
        <v>6280</v>
      </c>
      <c r="S1571" s="18" t="s">
        <v>140</v>
      </c>
      <c r="T1571" s="18" t="s">
        <v>141</v>
      </c>
      <c r="U1571" s="18"/>
      <c r="V1571" s="19" t="s">
        <v>29</v>
      </c>
      <c r="W1571" s="19"/>
      <c r="X1571" s="19"/>
      <c r="Y1571" s="20"/>
      <c r="Z1571" s="19"/>
      <c r="AA1571" s="18" t="str">
        <f aca="false">IF(OR(V1571="Aprobada"),R1571,IF(AND(OR(V1571="Aprobada con ajuste",V1571="Rechazada"),W1571&lt;&gt;""),W1571,""))</f>
        <v/>
      </c>
    </row>
    <row r="1572" customFormat="false" ht="74.6" hidden="false" customHeight="false" outlineLevel="0" collapsed="false">
      <c r="A1572" s="18" t="s">
        <v>6836</v>
      </c>
      <c r="B1572" s="18" t="s">
        <v>66</v>
      </c>
      <c r="C1572" s="18" t="s">
        <v>67</v>
      </c>
      <c r="D1572" s="18" t="s">
        <v>6812</v>
      </c>
      <c r="E1572" s="18" t="n">
        <v>10</v>
      </c>
      <c r="F1572" s="18" t="s">
        <v>4777</v>
      </c>
      <c r="G1572" s="18" t="s">
        <v>205</v>
      </c>
      <c r="H1572" s="18" t="s">
        <v>129</v>
      </c>
      <c r="I1572" s="18" t="s">
        <v>298</v>
      </c>
      <c r="J1572" s="18" t="s">
        <v>5203</v>
      </c>
      <c r="K1572" s="18"/>
      <c r="L1572" s="18" t="s">
        <v>162</v>
      </c>
      <c r="M1572" s="18" t="s">
        <v>129</v>
      </c>
      <c r="N1572" s="18"/>
      <c r="O1572" s="18" t="s">
        <v>6837</v>
      </c>
      <c r="P1572" s="18" t="s">
        <v>6838</v>
      </c>
      <c r="Q1572" s="18" t="s">
        <v>149</v>
      </c>
      <c r="R1572" s="18" t="s">
        <v>6839</v>
      </c>
      <c r="S1572" s="18" t="s">
        <v>133</v>
      </c>
      <c r="T1572" s="18" t="s">
        <v>6687</v>
      </c>
      <c r="U1572" s="18"/>
      <c r="V1572" s="19" t="s">
        <v>29</v>
      </c>
      <c r="W1572" s="19"/>
      <c r="X1572" s="19"/>
      <c r="Y1572" s="20"/>
      <c r="Z1572" s="19"/>
      <c r="AA1572" s="18" t="str">
        <f aca="false">IF(OR(V1572="Aprobada"),R1572,IF(AND(OR(V1572="Aprobada con ajuste",V1572="Rechazada"),W1572&lt;&gt;""),W1572,""))</f>
        <v/>
      </c>
    </row>
    <row r="1573" customFormat="false" ht="64.15" hidden="false" customHeight="false" outlineLevel="0" collapsed="false">
      <c r="A1573" s="18" t="s">
        <v>6840</v>
      </c>
      <c r="B1573" s="18" t="s">
        <v>66</v>
      </c>
      <c r="C1573" s="18" t="s">
        <v>67</v>
      </c>
      <c r="D1573" s="18" t="s">
        <v>6812</v>
      </c>
      <c r="E1573" s="18" t="n">
        <v>10</v>
      </c>
      <c r="F1573" s="18" t="s">
        <v>185</v>
      </c>
      <c r="G1573" s="18" t="s">
        <v>145</v>
      </c>
      <c r="H1573" s="18" t="s">
        <v>129</v>
      </c>
      <c r="I1573" s="18" t="s">
        <v>298</v>
      </c>
      <c r="J1573" s="18" t="s">
        <v>6841</v>
      </c>
      <c r="K1573" s="18"/>
      <c r="L1573" s="18" t="s">
        <v>162</v>
      </c>
      <c r="M1573" s="18" t="s">
        <v>162</v>
      </c>
      <c r="N1573" s="18" t="s">
        <v>6842</v>
      </c>
      <c r="O1573" s="18" t="s">
        <v>6843</v>
      </c>
      <c r="P1573" s="18" t="s">
        <v>6844</v>
      </c>
      <c r="Q1573" s="18" t="s">
        <v>138</v>
      </c>
      <c r="R1573" s="18" t="s">
        <v>6845</v>
      </c>
      <c r="S1573" s="18" t="s">
        <v>140</v>
      </c>
      <c r="T1573" s="18" t="s">
        <v>141</v>
      </c>
      <c r="U1573" s="18"/>
      <c r="V1573" s="19" t="s">
        <v>29</v>
      </c>
      <c r="W1573" s="19"/>
      <c r="X1573" s="19"/>
      <c r="Y1573" s="20"/>
      <c r="Z1573" s="19"/>
      <c r="AA1573" s="18" t="str">
        <f aca="false">IF(OR(V1573="Aprobada"),R1573,IF(AND(OR(V1573="Aprobada con ajuste",V1573="Rechazada"),W1573&lt;&gt;""),W1573,""))</f>
        <v/>
      </c>
    </row>
    <row r="1574" customFormat="false" ht="43.25" hidden="false" customHeight="false" outlineLevel="0" collapsed="false">
      <c r="A1574" s="18" t="s">
        <v>6846</v>
      </c>
      <c r="B1574" s="18" t="s">
        <v>66</v>
      </c>
      <c r="C1574" s="18" t="s">
        <v>67</v>
      </c>
      <c r="D1574" s="18" t="s">
        <v>6812</v>
      </c>
      <c r="E1574" s="18" t="n">
        <v>10</v>
      </c>
      <c r="F1574" s="18" t="s">
        <v>5413</v>
      </c>
      <c r="G1574" s="18" t="s">
        <v>180</v>
      </c>
      <c r="H1574" s="18" t="s">
        <v>162</v>
      </c>
      <c r="I1574" s="18"/>
      <c r="J1574" s="18"/>
      <c r="K1574" s="18"/>
      <c r="L1574" s="18" t="s">
        <v>129</v>
      </c>
      <c r="M1574" s="18" t="s">
        <v>129</v>
      </c>
      <c r="N1574" s="18"/>
      <c r="O1574" s="18"/>
      <c r="P1574" s="18" t="s">
        <v>6847</v>
      </c>
      <c r="Q1574" s="18" t="s">
        <v>149</v>
      </c>
      <c r="R1574" s="18" t="s">
        <v>6848</v>
      </c>
      <c r="S1574" s="18" t="s">
        <v>140</v>
      </c>
      <c r="T1574" s="18" t="s">
        <v>6849</v>
      </c>
      <c r="U1574" s="18" t="s">
        <v>6850</v>
      </c>
      <c r="V1574" s="19" t="s">
        <v>29</v>
      </c>
      <c r="W1574" s="19"/>
      <c r="X1574" s="19"/>
      <c r="Y1574" s="20"/>
      <c r="Z1574" s="19"/>
      <c r="AA1574" s="18" t="str">
        <f aca="false">IF(OR(V1574="Aprobada"),R1574,IF(AND(OR(V1574="Aprobada con ajuste",V1574="Rechazada"),W1574&lt;&gt;""),W1574,""))</f>
        <v/>
      </c>
    </row>
    <row r="1575" customFormat="false" ht="43.25" hidden="false" customHeight="false" outlineLevel="0" collapsed="false">
      <c r="A1575" s="18" t="s">
        <v>6851</v>
      </c>
      <c r="B1575" s="18" t="s">
        <v>66</v>
      </c>
      <c r="C1575" s="18" t="s">
        <v>67</v>
      </c>
      <c r="D1575" s="18" t="s">
        <v>6812</v>
      </c>
      <c r="E1575" s="18" t="n">
        <v>10</v>
      </c>
      <c r="F1575" s="18" t="s">
        <v>6852</v>
      </c>
      <c r="G1575" s="18" t="s">
        <v>180</v>
      </c>
      <c r="H1575" s="18" t="s">
        <v>162</v>
      </c>
      <c r="I1575" s="18"/>
      <c r="J1575" s="18"/>
      <c r="K1575" s="18"/>
      <c r="L1575" s="18" t="s">
        <v>129</v>
      </c>
      <c r="M1575" s="18" t="s">
        <v>129</v>
      </c>
      <c r="N1575" s="18"/>
      <c r="O1575" s="18"/>
      <c r="P1575" s="18" t="s">
        <v>6853</v>
      </c>
      <c r="Q1575" s="18" t="s">
        <v>149</v>
      </c>
      <c r="R1575" s="18" t="s">
        <v>6854</v>
      </c>
      <c r="S1575" s="18" t="s">
        <v>140</v>
      </c>
      <c r="T1575" s="18" t="s">
        <v>6855</v>
      </c>
      <c r="U1575" s="18" t="s">
        <v>6856</v>
      </c>
      <c r="V1575" s="19" t="s">
        <v>29</v>
      </c>
      <c r="W1575" s="19"/>
      <c r="X1575" s="19"/>
      <c r="Y1575" s="20"/>
      <c r="Z1575" s="19"/>
      <c r="AA1575" s="18" t="str">
        <f aca="false">IF(OR(V1575="Aprobada"),R1575,IF(AND(OR(V1575="Aprobada con ajuste",V1575="Rechazada"),W1575&lt;&gt;""),W1575,""))</f>
        <v/>
      </c>
    </row>
    <row r="1576" customFormat="false" ht="43.25" hidden="false" customHeight="false" outlineLevel="0" collapsed="false">
      <c r="A1576" s="18" t="s">
        <v>6857</v>
      </c>
      <c r="B1576" s="18" t="s">
        <v>66</v>
      </c>
      <c r="C1576" s="18" t="s">
        <v>67</v>
      </c>
      <c r="D1576" s="18" t="s">
        <v>6812</v>
      </c>
      <c r="E1576" s="18" t="n">
        <v>10</v>
      </c>
      <c r="F1576" s="18" t="s">
        <v>6858</v>
      </c>
      <c r="G1576" s="18" t="s">
        <v>180</v>
      </c>
      <c r="H1576" s="18" t="s">
        <v>162</v>
      </c>
      <c r="I1576" s="18"/>
      <c r="J1576" s="18"/>
      <c r="K1576" s="18"/>
      <c r="L1576" s="18" t="s">
        <v>129</v>
      </c>
      <c r="M1576" s="18" t="s">
        <v>129</v>
      </c>
      <c r="N1576" s="18"/>
      <c r="O1576" s="18"/>
      <c r="P1576" s="18" t="s">
        <v>6859</v>
      </c>
      <c r="Q1576" s="18" t="s">
        <v>149</v>
      </c>
      <c r="R1576" s="18" t="s">
        <v>6860</v>
      </c>
      <c r="S1576" s="18" t="s">
        <v>242</v>
      </c>
      <c r="T1576" s="18" t="s">
        <v>858</v>
      </c>
      <c r="U1576" s="18" t="s">
        <v>6861</v>
      </c>
      <c r="V1576" s="19" t="s">
        <v>29</v>
      </c>
      <c r="W1576" s="19"/>
      <c r="X1576" s="19"/>
      <c r="Y1576" s="20"/>
      <c r="Z1576" s="19"/>
      <c r="AA1576" s="18" t="str">
        <f aca="false">IF(OR(V1576="Aprobada"),R1576,IF(AND(OR(V1576="Aprobada con ajuste",V1576="Rechazada"),W1576&lt;&gt;""),W1576,""))</f>
        <v/>
      </c>
    </row>
    <row r="1577" customFormat="false" ht="43.25" hidden="false" customHeight="false" outlineLevel="0" collapsed="false">
      <c r="A1577" s="18" t="s">
        <v>6862</v>
      </c>
      <c r="B1577" s="18" t="s">
        <v>66</v>
      </c>
      <c r="C1577" s="18" t="s">
        <v>67</v>
      </c>
      <c r="D1577" s="18" t="s">
        <v>6812</v>
      </c>
      <c r="E1577" s="18" t="n">
        <v>10</v>
      </c>
      <c r="F1577" s="18" t="s">
        <v>6863</v>
      </c>
      <c r="G1577" s="18" t="s">
        <v>503</v>
      </c>
      <c r="H1577" s="18" t="s">
        <v>162</v>
      </c>
      <c r="I1577" s="18"/>
      <c r="J1577" s="18"/>
      <c r="K1577" s="18"/>
      <c r="L1577" s="18" t="s">
        <v>129</v>
      </c>
      <c r="M1577" s="18" t="s">
        <v>129</v>
      </c>
      <c r="N1577" s="18"/>
      <c r="O1577" s="18"/>
      <c r="P1577" s="18" t="s">
        <v>6864</v>
      </c>
      <c r="Q1577" s="18" t="s">
        <v>131</v>
      </c>
      <c r="R1577" s="18" t="s">
        <v>6865</v>
      </c>
      <c r="S1577" s="18" t="s">
        <v>133</v>
      </c>
      <c r="T1577" s="18" t="s">
        <v>6866</v>
      </c>
      <c r="U1577" s="18"/>
      <c r="V1577" s="19" t="s">
        <v>29</v>
      </c>
      <c r="W1577" s="19"/>
      <c r="X1577" s="19"/>
      <c r="Y1577" s="20"/>
      <c r="Z1577" s="19"/>
      <c r="AA1577" s="18" t="str">
        <f aca="false">IF(OR(V1577="Aprobada"),R1577,IF(AND(OR(V1577="Aprobada con ajuste",V1577="Rechazada"),W1577&lt;&gt;""),W1577,""))</f>
        <v/>
      </c>
    </row>
    <row r="1578" customFormat="false" ht="74.6" hidden="false" customHeight="false" outlineLevel="0" collapsed="false">
      <c r="A1578" s="18" t="s">
        <v>6867</v>
      </c>
      <c r="B1578" s="18" t="s">
        <v>66</v>
      </c>
      <c r="C1578" s="18" t="s">
        <v>67</v>
      </c>
      <c r="D1578" s="18" t="s">
        <v>6812</v>
      </c>
      <c r="E1578" s="18" t="n">
        <v>10</v>
      </c>
      <c r="F1578" s="18" t="s">
        <v>4639</v>
      </c>
      <c r="G1578" s="18" t="s">
        <v>180</v>
      </c>
      <c r="H1578" s="18" t="s">
        <v>162</v>
      </c>
      <c r="I1578" s="18"/>
      <c r="J1578" s="18"/>
      <c r="K1578" s="18"/>
      <c r="L1578" s="18" t="s">
        <v>129</v>
      </c>
      <c r="M1578" s="18" t="s">
        <v>162</v>
      </c>
      <c r="N1578" s="18" t="s">
        <v>6868</v>
      </c>
      <c r="O1578" s="18"/>
      <c r="P1578" s="18" t="s">
        <v>6869</v>
      </c>
      <c r="Q1578" s="18" t="s">
        <v>138</v>
      </c>
      <c r="R1578" s="18" t="s">
        <v>4640</v>
      </c>
      <c r="S1578" s="18" t="s">
        <v>140</v>
      </c>
      <c r="T1578" s="18" t="s">
        <v>141</v>
      </c>
      <c r="U1578" s="18"/>
      <c r="V1578" s="19" t="s">
        <v>29</v>
      </c>
      <c r="W1578" s="19"/>
      <c r="X1578" s="19"/>
      <c r="Y1578" s="20"/>
      <c r="Z1578" s="19"/>
      <c r="AA1578" s="18" t="str">
        <f aca="false">IF(OR(V1578="Aprobada"),R1578,IF(AND(OR(V1578="Aprobada con ajuste",V1578="Rechazada"),W1578&lt;&gt;""),W1578,""))</f>
        <v/>
      </c>
    </row>
    <row r="1579" customFormat="false" ht="43.25" hidden="false" customHeight="false" outlineLevel="0" collapsed="false">
      <c r="A1579" s="18" t="s">
        <v>6870</v>
      </c>
      <c r="B1579" s="18" t="s">
        <v>66</v>
      </c>
      <c r="C1579" s="18" t="s">
        <v>67</v>
      </c>
      <c r="D1579" s="18" t="s">
        <v>6812</v>
      </c>
      <c r="E1579" s="18" t="n">
        <v>10</v>
      </c>
      <c r="F1579" s="18" t="s">
        <v>2681</v>
      </c>
      <c r="G1579" s="18" t="s">
        <v>317</v>
      </c>
      <c r="H1579" s="18" t="s">
        <v>162</v>
      </c>
      <c r="I1579" s="18"/>
      <c r="J1579" s="18"/>
      <c r="K1579" s="18"/>
      <c r="L1579" s="18" t="s">
        <v>129</v>
      </c>
      <c r="M1579" s="18" t="s">
        <v>129</v>
      </c>
      <c r="N1579" s="18"/>
      <c r="O1579" s="18"/>
      <c r="P1579" s="18" t="s">
        <v>6871</v>
      </c>
      <c r="Q1579" s="18" t="s">
        <v>138</v>
      </c>
      <c r="R1579" s="18" t="s">
        <v>2683</v>
      </c>
      <c r="S1579" s="18" t="s">
        <v>140</v>
      </c>
      <c r="T1579" s="18" t="s">
        <v>141</v>
      </c>
      <c r="U1579" s="18"/>
      <c r="V1579" s="19" t="s">
        <v>29</v>
      </c>
      <c r="W1579" s="19"/>
      <c r="X1579" s="19"/>
      <c r="Y1579" s="20"/>
      <c r="Z1579" s="19"/>
      <c r="AA1579" s="18" t="str">
        <f aca="false">IF(OR(V1579="Aprobada"),R1579,IF(AND(OR(V1579="Aprobada con ajuste",V1579="Rechazada"),W1579&lt;&gt;""),W1579,""))</f>
        <v/>
      </c>
    </row>
    <row r="1580" customFormat="false" ht="32.8" hidden="false" customHeight="false" outlineLevel="0" collapsed="false">
      <c r="A1580" s="18" t="s">
        <v>6872</v>
      </c>
      <c r="B1580" s="18" t="s">
        <v>66</v>
      </c>
      <c r="C1580" s="18" t="s">
        <v>67</v>
      </c>
      <c r="D1580" s="18" t="s">
        <v>6812</v>
      </c>
      <c r="E1580" s="18" t="n">
        <v>10</v>
      </c>
      <c r="F1580" s="18" t="s">
        <v>6873</v>
      </c>
      <c r="G1580" s="18" t="s">
        <v>180</v>
      </c>
      <c r="H1580" s="18" t="s">
        <v>162</v>
      </c>
      <c r="I1580" s="18"/>
      <c r="J1580" s="18"/>
      <c r="K1580" s="18"/>
      <c r="L1580" s="18" t="s">
        <v>129</v>
      </c>
      <c r="M1580" s="18" t="s">
        <v>129</v>
      </c>
      <c r="N1580" s="18"/>
      <c r="O1580" s="18"/>
      <c r="P1580" s="18" t="s">
        <v>6874</v>
      </c>
      <c r="Q1580" s="18" t="s">
        <v>138</v>
      </c>
      <c r="R1580" s="18" t="s">
        <v>6875</v>
      </c>
      <c r="S1580" s="18" t="s">
        <v>140</v>
      </c>
      <c r="T1580" s="18" t="s">
        <v>141</v>
      </c>
      <c r="U1580" s="18"/>
      <c r="V1580" s="19" t="s">
        <v>29</v>
      </c>
      <c r="W1580" s="19"/>
      <c r="X1580" s="19"/>
      <c r="Y1580" s="20"/>
      <c r="Z1580" s="19"/>
      <c r="AA1580" s="18" t="str">
        <f aca="false">IF(OR(V1580="Aprobada"),R1580,IF(AND(OR(V1580="Aprobada con ajuste",V1580="Rechazada"),W1580&lt;&gt;""),W1580,""))</f>
        <v/>
      </c>
    </row>
    <row r="1581" customFormat="false" ht="32.8" hidden="false" customHeight="false" outlineLevel="0" collapsed="false">
      <c r="A1581" s="18" t="s">
        <v>6876</v>
      </c>
      <c r="B1581" s="18" t="s">
        <v>66</v>
      </c>
      <c r="C1581" s="18" t="s">
        <v>67</v>
      </c>
      <c r="D1581" s="18" t="s">
        <v>6812</v>
      </c>
      <c r="E1581" s="18" t="n">
        <v>10</v>
      </c>
      <c r="F1581" s="18" t="s">
        <v>6877</v>
      </c>
      <c r="G1581" s="18" t="s">
        <v>317</v>
      </c>
      <c r="H1581" s="18" t="s">
        <v>162</v>
      </c>
      <c r="I1581" s="18"/>
      <c r="J1581" s="18"/>
      <c r="K1581" s="18"/>
      <c r="L1581" s="18" t="s">
        <v>129</v>
      </c>
      <c r="M1581" s="18" t="s">
        <v>129</v>
      </c>
      <c r="N1581" s="18"/>
      <c r="O1581" s="18"/>
      <c r="P1581" s="18" t="s">
        <v>6878</v>
      </c>
      <c r="Q1581" s="18" t="s">
        <v>138</v>
      </c>
      <c r="R1581" s="18" t="s">
        <v>6879</v>
      </c>
      <c r="S1581" s="18" t="s">
        <v>140</v>
      </c>
      <c r="T1581" s="18" t="s">
        <v>141</v>
      </c>
      <c r="U1581" s="18"/>
      <c r="V1581" s="19" t="s">
        <v>29</v>
      </c>
      <c r="W1581" s="19"/>
      <c r="X1581" s="19"/>
      <c r="Y1581" s="20"/>
      <c r="Z1581" s="19"/>
      <c r="AA1581" s="18" t="str">
        <f aca="false">IF(OR(V1581="Aprobada"),R1581,IF(AND(OR(V1581="Aprobada con ajuste",V1581="Rechazada"),W1581&lt;&gt;""),W1581,""))</f>
        <v/>
      </c>
    </row>
    <row r="1582" customFormat="false" ht="32.8" hidden="false" customHeight="false" outlineLevel="0" collapsed="false">
      <c r="A1582" s="18" t="s">
        <v>6880</v>
      </c>
      <c r="B1582" s="18" t="s">
        <v>66</v>
      </c>
      <c r="C1582" s="18" t="s">
        <v>67</v>
      </c>
      <c r="D1582" s="18" t="s">
        <v>6812</v>
      </c>
      <c r="E1582" s="18" t="n">
        <v>10</v>
      </c>
      <c r="F1582" s="18" t="s">
        <v>6800</v>
      </c>
      <c r="G1582" s="18" t="s">
        <v>128</v>
      </c>
      <c r="H1582" s="18" t="s">
        <v>162</v>
      </c>
      <c r="I1582" s="18"/>
      <c r="J1582" s="18"/>
      <c r="K1582" s="18"/>
      <c r="L1582" s="18" t="s">
        <v>129</v>
      </c>
      <c r="M1582" s="18" t="s">
        <v>129</v>
      </c>
      <c r="N1582" s="18"/>
      <c r="O1582" s="18"/>
      <c r="P1582" s="18" t="s">
        <v>6881</v>
      </c>
      <c r="Q1582" s="18" t="s">
        <v>131</v>
      </c>
      <c r="R1582" s="18" t="s">
        <v>6882</v>
      </c>
      <c r="S1582" s="18" t="s">
        <v>133</v>
      </c>
      <c r="T1582" s="18" t="s">
        <v>6883</v>
      </c>
      <c r="U1582" s="18"/>
      <c r="V1582" s="19" t="s">
        <v>29</v>
      </c>
      <c r="W1582" s="19"/>
      <c r="X1582" s="19"/>
      <c r="Y1582" s="20"/>
      <c r="Z1582" s="19"/>
      <c r="AA1582" s="18" t="str">
        <f aca="false">IF(OR(V1582="Aprobada"),R1582,IF(AND(OR(V1582="Aprobada con ajuste",V1582="Rechazada"),W1582&lt;&gt;""),W1582,""))</f>
        <v/>
      </c>
    </row>
    <row r="1583" customFormat="false" ht="32.8" hidden="false" customHeight="false" outlineLevel="0" collapsed="false">
      <c r="A1583" s="18" t="s">
        <v>6884</v>
      </c>
      <c r="B1583" s="18" t="s">
        <v>66</v>
      </c>
      <c r="C1583" s="18" t="s">
        <v>67</v>
      </c>
      <c r="D1583" s="18" t="s">
        <v>6812</v>
      </c>
      <c r="E1583" s="18" t="n">
        <v>10</v>
      </c>
      <c r="F1583" s="18" t="s">
        <v>886</v>
      </c>
      <c r="G1583" s="18" t="s">
        <v>128</v>
      </c>
      <c r="H1583" s="18" t="s">
        <v>162</v>
      </c>
      <c r="I1583" s="18"/>
      <c r="J1583" s="18"/>
      <c r="K1583" s="18"/>
      <c r="L1583" s="18" t="s">
        <v>129</v>
      </c>
      <c r="M1583" s="18" t="s">
        <v>129</v>
      </c>
      <c r="N1583" s="18"/>
      <c r="O1583" s="18"/>
      <c r="P1583" s="18" t="s">
        <v>6885</v>
      </c>
      <c r="Q1583" s="18" t="s">
        <v>131</v>
      </c>
      <c r="R1583" s="18" t="s">
        <v>6886</v>
      </c>
      <c r="S1583" s="18" t="s">
        <v>140</v>
      </c>
      <c r="T1583" s="18" t="s">
        <v>6887</v>
      </c>
      <c r="U1583" s="18" t="s">
        <v>6888</v>
      </c>
      <c r="V1583" s="19" t="s">
        <v>29</v>
      </c>
      <c r="W1583" s="19"/>
      <c r="X1583" s="19"/>
      <c r="Y1583" s="20"/>
      <c r="Z1583" s="19"/>
      <c r="AA1583" s="18" t="str">
        <f aca="false">IF(OR(V1583="Aprobada"),R1583,IF(AND(OR(V1583="Aprobada con ajuste",V1583="Rechazada"),W1583&lt;&gt;""),W1583,""))</f>
        <v/>
      </c>
    </row>
    <row r="1584" customFormat="false" ht="43.25" hidden="false" customHeight="false" outlineLevel="0" collapsed="false">
      <c r="A1584" s="18" t="s">
        <v>6889</v>
      </c>
      <c r="B1584" s="18" t="s">
        <v>66</v>
      </c>
      <c r="C1584" s="18" t="s">
        <v>67</v>
      </c>
      <c r="D1584" s="18" t="s">
        <v>6812</v>
      </c>
      <c r="E1584" s="18" t="n">
        <v>10</v>
      </c>
      <c r="F1584" s="18" t="s">
        <v>6890</v>
      </c>
      <c r="G1584" s="18" t="s">
        <v>180</v>
      </c>
      <c r="H1584" s="18" t="s">
        <v>162</v>
      </c>
      <c r="I1584" s="18"/>
      <c r="J1584" s="18"/>
      <c r="K1584" s="18"/>
      <c r="L1584" s="18" t="s">
        <v>129</v>
      </c>
      <c r="M1584" s="18" t="s">
        <v>129</v>
      </c>
      <c r="N1584" s="18"/>
      <c r="O1584" s="18"/>
      <c r="P1584" s="18" t="s">
        <v>6891</v>
      </c>
      <c r="Q1584" s="18" t="s">
        <v>149</v>
      </c>
      <c r="R1584" s="18" t="s">
        <v>6892</v>
      </c>
      <c r="S1584" s="18" t="s">
        <v>140</v>
      </c>
      <c r="T1584" s="18" t="s">
        <v>6893</v>
      </c>
      <c r="U1584" s="18" t="s">
        <v>6894</v>
      </c>
      <c r="V1584" s="19" t="s">
        <v>29</v>
      </c>
      <c r="W1584" s="19"/>
      <c r="X1584" s="19"/>
      <c r="Y1584" s="20"/>
      <c r="Z1584" s="19"/>
      <c r="AA1584" s="18" t="str">
        <f aca="false">IF(OR(V1584="Aprobada"),R1584,IF(AND(OR(V1584="Aprobada con ajuste",V1584="Rechazada"),W1584&lt;&gt;""),W1584,""))</f>
        <v/>
      </c>
    </row>
    <row r="1585" customFormat="false" ht="32.8" hidden="false" customHeight="false" outlineLevel="0" collapsed="false">
      <c r="A1585" s="18" t="s">
        <v>6895</v>
      </c>
      <c r="B1585" s="18" t="s">
        <v>66</v>
      </c>
      <c r="C1585" s="18" t="s">
        <v>67</v>
      </c>
      <c r="D1585" s="18" t="s">
        <v>6896</v>
      </c>
      <c r="E1585" s="18" t="n">
        <v>0</v>
      </c>
      <c r="F1585" s="18" t="s">
        <v>4269</v>
      </c>
      <c r="G1585" s="18" t="s">
        <v>486</v>
      </c>
      <c r="H1585" s="18" t="s">
        <v>162</v>
      </c>
      <c r="I1585" s="18"/>
      <c r="J1585" s="18"/>
      <c r="K1585" s="18"/>
      <c r="L1585" s="18" t="s">
        <v>129</v>
      </c>
      <c r="M1585" s="18" t="s">
        <v>162</v>
      </c>
      <c r="N1585" s="18" t="s">
        <v>543</v>
      </c>
      <c r="O1585" s="18"/>
      <c r="P1585" s="18" t="s">
        <v>6897</v>
      </c>
      <c r="Q1585" s="18" t="s">
        <v>131</v>
      </c>
      <c r="R1585" s="18" t="s">
        <v>6898</v>
      </c>
      <c r="S1585" s="18" t="s">
        <v>133</v>
      </c>
      <c r="T1585" s="18" t="s">
        <v>6899</v>
      </c>
      <c r="U1585" s="18"/>
      <c r="V1585" s="19" t="s">
        <v>29</v>
      </c>
      <c r="W1585" s="19"/>
      <c r="X1585" s="19"/>
      <c r="Y1585" s="20"/>
      <c r="Z1585" s="19"/>
      <c r="AA1585" s="18" t="str">
        <f aca="false">IF(OR(V1585="Aprobada"),R1585,IF(AND(OR(V1585="Aprobada con ajuste",V1585="Rechazada"),W1585&lt;&gt;""),W1585,""))</f>
        <v/>
      </c>
    </row>
    <row r="1586" customFormat="false" ht="32.8" hidden="false" customHeight="false" outlineLevel="0" collapsed="false">
      <c r="A1586" s="18" t="s">
        <v>6900</v>
      </c>
      <c r="B1586" s="18" t="s">
        <v>66</v>
      </c>
      <c r="C1586" s="18" t="s">
        <v>67</v>
      </c>
      <c r="D1586" s="18" t="s">
        <v>6896</v>
      </c>
      <c r="E1586" s="18" t="n">
        <v>0</v>
      </c>
      <c r="F1586" s="18" t="s">
        <v>6901</v>
      </c>
      <c r="G1586" s="18" t="s">
        <v>145</v>
      </c>
      <c r="H1586" s="18" t="s">
        <v>162</v>
      </c>
      <c r="I1586" s="18" t="s">
        <v>298</v>
      </c>
      <c r="J1586" s="18" t="s">
        <v>6902</v>
      </c>
      <c r="K1586" s="18"/>
      <c r="L1586" s="18" t="s">
        <v>162</v>
      </c>
      <c r="M1586" s="18" t="s">
        <v>162</v>
      </c>
      <c r="N1586" s="18" t="s">
        <v>535</v>
      </c>
      <c r="O1586" s="18"/>
      <c r="P1586" s="18" t="s">
        <v>6903</v>
      </c>
      <c r="Q1586" s="18" t="s">
        <v>149</v>
      </c>
      <c r="R1586" s="18" t="s">
        <v>6904</v>
      </c>
      <c r="S1586" s="18" t="s">
        <v>133</v>
      </c>
      <c r="T1586" s="18" t="s">
        <v>6905</v>
      </c>
      <c r="U1586" s="18"/>
      <c r="V1586" s="19" t="s">
        <v>29</v>
      </c>
      <c r="W1586" s="19"/>
      <c r="X1586" s="19"/>
      <c r="Y1586" s="20"/>
      <c r="Z1586" s="19"/>
      <c r="AA1586" s="18" t="str">
        <f aca="false">IF(OR(V1586="Aprobada"),R1586,IF(AND(OR(V1586="Aprobada con ajuste",V1586="Rechazada"),W1586&lt;&gt;""),W1586,""))</f>
        <v/>
      </c>
    </row>
    <row r="1587" customFormat="false" ht="32.8" hidden="false" customHeight="false" outlineLevel="0" collapsed="false">
      <c r="A1587" s="18" t="s">
        <v>6906</v>
      </c>
      <c r="B1587" s="18" t="s">
        <v>66</v>
      </c>
      <c r="C1587" s="18" t="s">
        <v>67</v>
      </c>
      <c r="D1587" s="18" t="s">
        <v>6896</v>
      </c>
      <c r="E1587" s="18" t="n">
        <v>0</v>
      </c>
      <c r="F1587" s="18" t="s">
        <v>6907</v>
      </c>
      <c r="G1587" s="18" t="s">
        <v>137</v>
      </c>
      <c r="H1587" s="18" t="s">
        <v>162</v>
      </c>
      <c r="I1587" s="18"/>
      <c r="J1587" s="18"/>
      <c r="K1587" s="18"/>
      <c r="L1587" s="18" t="s">
        <v>129</v>
      </c>
      <c r="M1587" s="18" t="s">
        <v>162</v>
      </c>
      <c r="N1587" s="18" t="s">
        <v>535</v>
      </c>
      <c r="O1587" s="18"/>
      <c r="P1587" s="18" t="s">
        <v>6908</v>
      </c>
      <c r="Q1587" s="18" t="s">
        <v>138</v>
      </c>
      <c r="R1587" s="18" t="s">
        <v>6909</v>
      </c>
      <c r="S1587" s="18" t="s">
        <v>140</v>
      </c>
      <c r="T1587" s="18" t="s">
        <v>141</v>
      </c>
      <c r="U1587" s="18"/>
      <c r="V1587" s="19" t="s">
        <v>29</v>
      </c>
      <c r="W1587" s="19"/>
      <c r="X1587" s="19"/>
      <c r="Y1587" s="20"/>
      <c r="Z1587" s="19"/>
      <c r="AA1587" s="18" t="str">
        <f aca="false">IF(OR(V1587="Aprobada"),R1587,IF(AND(OR(V1587="Aprobada con ajuste",V1587="Rechazada"),W1587&lt;&gt;""),W1587,""))</f>
        <v/>
      </c>
    </row>
    <row r="1588" customFormat="false" ht="43.25" hidden="false" customHeight="false" outlineLevel="0" collapsed="false">
      <c r="A1588" s="18" t="s">
        <v>6910</v>
      </c>
      <c r="B1588" s="18" t="s">
        <v>66</v>
      </c>
      <c r="C1588" s="18" t="s">
        <v>67</v>
      </c>
      <c r="D1588" s="18" t="s">
        <v>6896</v>
      </c>
      <c r="E1588" s="18" t="n">
        <v>0</v>
      </c>
      <c r="F1588" s="18" t="s">
        <v>886</v>
      </c>
      <c r="G1588" s="18" t="s">
        <v>128</v>
      </c>
      <c r="H1588" s="18" t="s">
        <v>162</v>
      </c>
      <c r="I1588" s="18"/>
      <c r="J1588" s="18"/>
      <c r="K1588" s="18"/>
      <c r="L1588" s="18" t="s">
        <v>129</v>
      </c>
      <c r="M1588" s="18" t="s">
        <v>162</v>
      </c>
      <c r="N1588" s="18" t="s">
        <v>535</v>
      </c>
      <c r="O1588" s="18"/>
      <c r="P1588" s="18" t="s">
        <v>6911</v>
      </c>
      <c r="Q1588" s="18" t="s">
        <v>138</v>
      </c>
      <c r="R1588" s="18" t="s">
        <v>1693</v>
      </c>
      <c r="S1588" s="18" t="s">
        <v>140</v>
      </c>
      <c r="T1588" s="18" t="s">
        <v>141</v>
      </c>
      <c r="U1588" s="18"/>
      <c r="V1588" s="19" t="s">
        <v>29</v>
      </c>
      <c r="W1588" s="19"/>
      <c r="X1588" s="19"/>
      <c r="Y1588" s="20"/>
      <c r="Z1588" s="19"/>
      <c r="AA1588" s="18" t="str">
        <f aca="false">IF(OR(V1588="Aprobada"),R1588,IF(AND(OR(V1588="Aprobada con ajuste",V1588="Rechazada"),W1588&lt;&gt;""),W1588,""))</f>
        <v/>
      </c>
    </row>
    <row r="1589" customFormat="false" ht="43.25" hidden="false" customHeight="false" outlineLevel="0" collapsed="false">
      <c r="A1589" s="18" t="s">
        <v>6912</v>
      </c>
      <c r="B1589" s="18" t="s">
        <v>66</v>
      </c>
      <c r="C1589" s="18" t="s">
        <v>67</v>
      </c>
      <c r="D1589" s="18" t="s">
        <v>6896</v>
      </c>
      <c r="E1589" s="18" t="n">
        <v>0</v>
      </c>
      <c r="F1589" s="18" t="s">
        <v>172</v>
      </c>
      <c r="G1589" s="18" t="s">
        <v>173</v>
      </c>
      <c r="H1589" s="18" t="s">
        <v>162</v>
      </c>
      <c r="I1589" s="18"/>
      <c r="J1589" s="18"/>
      <c r="K1589" s="18"/>
      <c r="L1589" s="18" t="s">
        <v>129</v>
      </c>
      <c r="M1589" s="18" t="s">
        <v>162</v>
      </c>
      <c r="N1589" s="18" t="s">
        <v>543</v>
      </c>
      <c r="O1589" s="18" t="s">
        <v>6913</v>
      </c>
      <c r="P1589" s="18" t="s">
        <v>6914</v>
      </c>
      <c r="Q1589" s="18" t="s">
        <v>138</v>
      </c>
      <c r="R1589" s="18" t="s">
        <v>176</v>
      </c>
      <c r="S1589" s="18" t="s">
        <v>140</v>
      </c>
      <c r="T1589" s="18" t="s">
        <v>141</v>
      </c>
      <c r="U1589" s="18"/>
      <c r="V1589" s="19" t="s">
        <v>29</v>
      </c>
      <c r="W1589" s="19"/>
      <c r="X1589" s="19"/>
      <c r="Y1589" s="20"/>
      <c r="Z1589" s="19"/>
      <c r="AA1589" s="18" t="str">
        <f aca="false">IF(OR(V1589="Aprobada"),R1589,IF(AND(OR(V1589="Aprobada con ajuste",V1589="Rechazada"),W1589&lt;&gt;""),W1589,""))</f>
        <v/>
      </c>
    </row>
    <row r="1590" customFormat="false" ht="32.8" hidden="false" customHeight="false" outlineLevel="0" collapsed="false">
      <c r="A1590" s="18" t="s">
        <v>6915</v>
      </c>
      <c r="B1590" s="18" t="s">
        <v>66</v>
      </c>
      <c r="C1590" s="18" t="s">
        <v>67</v>
      </c>
      <c r="D1590" s="18" t="s">
        <v>6916</v>
      </c>
      <c r="E1590" s="18" t="n">
        <v>70</v>
      </c>
      <c r="F1590" s="18" t="s">
        <v>611</v>
      </c>
      <c r="G1590" s="18" t="s">
        <v>180</v>
      </c>
      <c r="H1590" s="18" t="s">
        <v>129</v>
      </c>
      <c r="I1590" s="18" t="s">
        <v>146</v>
      </c>
      <c r="J1590" s="18"/>
      <c r="K1590" s="18"/>
      <c r="L1590" s="18" t="s">
        <v>129</v>
      </c>
      <c r="M1590" s="18" t="s">
        <v>162</v>
      </c>
      <c r="N1590" s="18" t="s">
        <v>6917</v>
      </c>
      <c r="O1590" s="18" t="s">
        <v>6918</v>
      </c>
      <c r="P1590" s="18" t="s">
        <v>6919</v>
      </c>
      <c r="Q1590" s="18" t="s">
        <v>131</v>
      </c>
      <c r="R1590" s="18" t="s">
        <v>6920</v>
      </c>
      <c r="S1590" s="18" t="s">
        <v>133</v>
      </c>
      <c r="T1590" s="18" t="s">
        <v>6921</v>
      </c>
      <c r="U1590" s="18"/>
      <c r="V1590" s="19" t="s">
        <v>29</v>
      </c>
      <c r="W1590" s="19"/>
      <c r="X1590" s="19"/>
      <c r="Y1590" s="20"/>
      <c r="Z1590" s="19"/>
      <c r="AA1590" s="18" t="str">
        <f aca="false">IF(OR(V1590="Aprobada"),R1590,IF(AND(OR(V1590="Aprobada con ajuste",V1590="Rechazada"),W1590&lt;&gt;""),W1590,""))</f>
        <v/>
      </c>
    </row>
    <row r="1591" customFormat="false" ht="85.05" hidden="false" customHeight="false" outlineLevel="0" collapsed="false">
      <c r="A1591" s="18" t="s">
        <v>6922</v>
      </c>
      <c r="B1591" s="18" t="s">
        <v>66</v>
      </c>
      <c r="C1591" s="18" t="s">
        <v>67</v>
      </c>
      <c r="D1591" s="18" t="s">
        <v>6916</v>
      </c>
      <c r="E1591" s="18" t="n">
        <v>70</v>
      </c>
      <c r="F1591" s="18" t="s">
        <v>275</v>
      </c>
      <c r="G1591" s="18" t="s">
        <v>161</v>
      </c>
      <c r="H1591" s="18" t="s">
        <v>129</v>
      </c>
      <c r="I1591" s="18"/>
      <c r="J1591" s="18"/>
      <c r="K1591" s="18"/>
      <c r="L1591" s="18" t="s">
        <v>129</v>
      </c>
      <c r="M1591" s="18" t="s">
        <v>162</v>
      </c>
      <c r="N1591" s="18" t="s">
        <v>6923</v>
      </c>
      <c r="O1591" s="18"/>
      <c r="P1591" s="18" t="s">
        <v>6924</v>
      </c>
      <c r="Q1591" s="18" t="s">
        <v>138</v>
      </c>
      <c r="R1591" s="18" t="s">
        <v>6925</v>
      </c>
      <c r="S1591" s="18" t="s">
        <v>140</v>
      </c>
      <c r="T1591" s="18" t="s">
        <v>141</v>
      </c>
      <c r="U1591" s="18"/>
      <c r="V1591" s="19" t="s">
        <v>29</v>
      </c>
      <c r="W1591" s="19"/>
      <c r="X1591" s="19"/>
      <c r="Y1591" s="20"/>
      <c r="Z1591" s="19"/>
      <c r="AA1591" s="18" t="str">
        <f aca="false">IF(OR(V1591="Aprobada"),R1591,IF(AND(OR(V1591="Aprobada con ajuste",V1591="Rechazada"),W1591&lt;&gt;""),W1591,""))</f>
        <v/>
      </c>
    </row>
    <row r="1592" customFormat="false" ht="126.85" hidden="false" customHeight="false" outlineLevel="0" collapsed="false">
      <c r="A1592" s="18" t="s">
        <v>6926</v>
      </c>
      <c r="B1592" s="18" t="s">
        <v>66</v>
      </c>
      <c r="C1592" s="18" t="s">
        <v>67</v>
      </c>
      <c r="D1592" s="18" t="s">
        <v>6916</v>
      </c>
      <c r="E1592" s="18" t="n">
        <v>70</v>
      </c>
      <c r="F1592" s="18" t="s">
        <v>127</v>
      </c>
      <c r="G1592" s="18" t="s">
        <v>145</v>
      </c>
      <c r="H1592" s="18" t="s">
        <v>129</v>
      </c>
      <c r="I1592" s="18"/>
      <c r="J1592" s="18"/>
      <c r="K1592" s="18"/>
      <c r="L1592" s="18" t="s">
        <v>129</v>
      </c>
      <c r="M1592" s="18" t="s">
        <v>162</v>
      </c>
      <c r="N1592" s="18" t="s">
        <v>6927</v>
      </c>
      <c r="O1592" s="18" t="s">
        <v>6928</v>
      </c>
      <c r="P1592" s="18" t="s">
        <v>6929</v>
      </c>
      <c r="Q1592" s="18" t="s">
        <v>131</v>
      </c>
      <c r="R1592" s="18" t="s">
        <v>6930</v>
      </c>
      <c r="S1592" s="18" t="s">
        <v>140</v>
      </c>
      <c r="T1592" s="18" t="s">
        <v>6931</v>
      </c>
      <c r="U1592" s="18" t="s">
        <v>6932</v>
      </c>
      <c r="V1592" s="19" t="s">
        <v>29</v>
      </c>
      <c r="W1592" s="19"/>
      <c r="X1592" s="19"/>
      <c r="Y1592" s="20"/>
      <c r="Z1592" s="19"/>
      <c r="AA1592" s="18" t="str">
        <f aca="false">IF(OR(V1592="Aprobada"),R1592,IF(AND(OR(V1592="Aprobada con ajuste",V1592="Rechazada"),W1592&lt;&gt;""),W1592,""))</f>
        <v/>
      </c>
    </row>
    <row r="1593" customFormat="false" ht="43.25" hidden="false" customHeight="false" outlineLevel="0" collapsed="false">
      <c r="A1593" s="18" t="s">
        <v>6933</v>
      </c>
      <c r="B1593" s="18" t="s">
        <v>66</v>
      </c>
      <c r="C1593" s="18" t="s">
        <v>67</v>
      </c>
      <c r="D1593" s="18" t="s">
        <v>6916</v>
      </c>
      <c r="E1593" s="18" t="n">
        <v>70</v>
      </c>
      <c r="F1593" s="18" t="s">
        <v>5413</v>
      </c>
      <c r="G1593" s="18" t="s">
        <v>180</v>
      </c>
      <c r="H1593" s="18" t="s">
        <v>129</v>
      </c>
      <c r="I1593" s="18" t="s">
        <v>298</v>
      </c>
      <c r="J1593" s="18"/>
      <c r="K1593" s="18"/>
      <c r="L1593" s="18" t="s">
        <v>129</v>
      </c>
      <c r="M1593" s="18" t="s">
        <v>162</v>
      </c>
      <c r="N1593" s="18" t="s">
        <v>3663</v>
      </c>
      <c r="O1593" s="18" t="s">
        <v>6934</v>
      </c>
      <c r="P1593" s="18" t="s">
        <v>6935</v>
      </c>
      <c r="Q1593" s="18" t="s">
        <v>149</v>
      </c>
      <c r="R1593" s="18" t="s">
        <v>6936</v>
      </c>
      <c r="S1593" s="18" t="s">
        <v>140</v>
      </c>
      <c r="T1593" s="18" t="s">
        <v>6937</v>
      </c>
      <c r="U1593" s="18" t="s">
        <v>6850</v>
      </c>
      <c r="V1593" s="19" t="s">
        <v>29</v>
      </c>
      <c r="W1593" s="19"/>
      <c r="X1593" s="19"/>
      <c r="Y1593" s="20"/>
      <c r="Z1593" s="19"/>
      <c r="AA1593" s="18" t="str">
        <f aca="false">IF(OR(V1593="Aprobada"),R1593,IF(AND(OR(V1593="Aprobada con ajuste",V1593="Rechazada"),W1593&lt;&gt;""),W1593,""))</f>
        <v/>
      </c>
    </row>
    <row r="1594" customFormat="false" ht="85.05" hidden="false" customHeight="false" outlineLevel="0" collapsed="false">
      <c r="A1594" s="18" t="s">
        <v>6938</v>
      </c>
      <c r="B1594" s="18" t="s">
        <v>66</v>
      </c>
      <c r="C1594" s="18" t="s">
        <v>67</v>
      </c>
      <c r="D1594" s="18" t="s">
        <v>6916</v>
      </c>
      <c r="E1594" s="18" t="n">
        <v>70</v>
      </c>
      <c r="F1594" s="18" t="s">
        <v>6939</v>
      </c>
      <c r="G1594" s="18" t="s">
        <v>503</v>
      </c>
      <c r="H1594" s="18" t="s">
        <v>162</v>
      </c>
      <c r="I1594" s="18" t="s">
        <v>298</v>
      </c>
      <c r="J1594" s="18"/>
      <c r="K1594" s="18"/>
      <c r="L1594" s="18" t="s">
        <v>129</v>
      </c>
      <c r="M1594" s="18" t="s">
        <v>162</v>
      </c>
      <c r="N1594" s="18" t="s">
        <v>6940</v>
      </c>
      <c r="O1594" s="18"/>
      <c r="P1594" s="18" t="s">
        <v>6941</v>
      </c>
      <c r="Q1594" s="18" t="s">
        <v>131</v>
      </c>
      <c r="R1594" s="18" t="s">
        <v>6942</v>
      </c>
      <c r="S1594" s="18" t="s">
        <v>133</v>
      </c>
      <c r="T1594" s="18" t="s">
        <v>6943</v>
      </c>
      <c r="U1594" s="18"/>
      <c r="V1594" s="19" t="s">
        <v>29</v>
      </c>
      <c r="W1594" s="19"/>
      <c r="X1594" s="19"/>
      <c r="Y1594" s="20"/>
      <c r="Z1594" s="19"/>
      <c r="AA1594" s="18" t="str">
        <f aca="false">IF(OR(V1594="Aprobada"),R1594,IF(AND(OR(V1594="Aprobada con ajuste",V1594="Rechazada"),W1594&lt;&gt;""),W1594,""))</f>
        <v/>
      </c>
    </row>
    <row r="1595" customFormat="false" ht="116.4" hidden="false" customHeight="false" outlineLevel="0" collapsed="false">
      <c r="A1595" s="18" t="s">
        <v>6944</v>
      </c>
      <c r="B1595" s="18" t="s">
        <v>66</v>
      </c>
      <c r="C1595" s="18" t="s">
        <v>67</v>
      </c>
      <c r="D1595" s="18" t="s">
        <v>6916</v>
      </c>
      <c r="E1595" s="18" t="n">
        <v>70</v>
      </c>
      <c r="F1595" s="18" t="s">
        <v>4777</v>
      </c>
      <c r="G1595" s="18" t="s">
        <v>205</v>
      </c>
      <c r="H1595" s="18" t="s">
        <v>129</v>
      </c>
      <c r="I1595" s="18" t="s">
        <v>298</v>
      </c>
      <c r="J1595" s="18" t="s">
        <v>5203</v>
      </c>
      <c r="K1595" s="18"/>
      <c r="L1595" s="18" t="s">
        <v>162</v>
      </c>
      <c r="M1595" s="18" t="s">
        <v>162</v>
      </c>
      <c r="N1595" s="18" t="s">
        <v>3663</v>
      </c>
      <c r="O1595" s="18" t="s">
        <v>6945</v>
      </c>
      <c r="P1595" s="18" t="s">
        <v>6946</v>
      </c>
      <c r="Q1595" s="18" t="s">
        <v>131</v>
      </c>
      <c r="R1595" s="18" t="s">
        <v>6947</v>
      </c>
      <c r="S1595" s="18" t="s">
        <v>133</v>
      </c>
      <c r="T1595" s="18" t="s">
        <v>801</v>
      </c>
      <c r="U1595" s="18"/>
      <c r="V1595" s="19" t="s">
        <v>29</v>
      </c>
      <c r="W1595" s="19"/>
      <c r="X1595" s="19"/>
      <c r="Y1595" s="20"/>
      <c r="Z1595" s="19"/>
      <c r="AA1595" s="18" t="str">
        <f aca="false">IF(OR(V1595="Aprobada"),R1595,IF(AND(OR(V1595="Aprobada con ajuste",V1595="Rechazada"),W1595&lt;&gt;""),W1595,""))</f>
        <v/>
      </c>
    </row>
    <row r="1596" customFormat="false" ht="85.05" hidden="false" customHeight="false" outlineLevel="0" collapsed="false">
      <c r="A1596" s="18" t="s">
        <v>6948</v>
      </c>
      <c r="B1596" s="18" t="s">
        <v>66</v>
      </c>
      <c r="C1596" s="18" t="s">
        <v>67</v>
      </c>
      <c r="D1596" s="18" t="s">
        <v>6916</v>
      </c>
      <c r="E1596" s="18" t="n">
        <v>70</v>
      </c>
      <c r="F1596" s="18" t="s">
        <v>5433</v>
      </c>
      <c r="G1596" s="18" t="s">
        <v>503</v>
      </c>
      <c r="H1596" s="18" t="s">
        <v>162</v>
      </c>
      <c r="I1596" s="18" t="s">
        <v>298</v>
      </c>
      <c r="J1596" s="18"/>
      <c r="K1596" s="18"/>
      <c r="L1596" s="18" t="s">
        <v>129</v>
      </c>
      <c r="M1596" s="18" t="s">
        <v>162</v>
      </c>
      <c r="N1596" s="18" t="s">
        <v>6940</v>
      </c>
      <c r="O1596" s="18"/>
      <c r="P1596" s="18" t="s">
        <v>6949</v>
      </c>
      <c r="Q1596" s="18" t="s">
        <v>131</v>
      </c>
      <c r="R1596" s="18" t="s">
        <v>6950</v>
      </c>
      <c r="S1596" s="18" t="s">
        <v>140</v>
      </c>
      <c r="T1596" s="18" t="s">
        <v>183</v>
      </c>
      <c r="U1596" s="18" t="s">
        <v>6951</v>
      </c>
      <c r="V1596" s="19" t="s">
        <v>29</v>
      </c>
      <c r="W1596" s="19"/>
      <c r="X1596" s="19"/>
      <c r="Y1596" s="20"/>
      <c r="Z1596" s="19"/>
      <c r="AA1596" s="18" t="str">
        <f aca="false">IF(OR(V1596="Aprobada"),R1596,IF(AND(OR(V1596="Aprobada con ajuste",V1596="Rechazada"),W1596&lt;&gt;""),W1596,""))</f>
        <v/>
      </c>
    </row>
    <row r="1597" customFormat="false" ht="85.05" hidden="false" customHeight="false" outlineLevel="0" collapsed="false">
      <c r="A1597" s="18" t="s">
        <v>6952</v>
      </c>
      <c r="B1597" s="18" t="s">
        <v>66</v>
      </c>
      <c r="C1597" s="18" t="s">
        <v>67</v>
      </c>
      <c r="D1597" s="18" t="s">
        <v>6916</v>
      </c>
      <c r="E1597" s="18" t="n">
        <v>70</v>
      </c>
      <c r="F1597" s="18" t="s">
        <v>6953</v>
      </c>
      <c r="G1597" s="18" t="s">
        <v>205</v>
      </c>
      <c r="H1597" s="18" t="s">
        <v>162</v>
      </c>
      <c r="I1597" s="18" t="s">
        <v>298</v>
      </c>
      <c r="J1597" s="18" t="s">
        <v>6954</v>
      </c>
      <c r="K1597" s="18"/>
      <c r="L1597" s="18" t="s">
        <v>162</v>
      </c>
      <c r="M1597" s="18" t="s">
        <v>162</v>
      </c>
      <c r="N1597" s="18" t="s">
        <v>5495</v>
      </c>
      <c r="O1597" s="18" t="s">
        <v>6955</v>
      </c>
      <c r="P1597" s="18" t="s">
        <v>6956</v>
      </c>
      <c r="Q1597" s="18" t="s">
        <v>131</v>
      </c>
      <c r="R1597" s="18" t="s">
        <v>6957</v>
      </c>
      <c r="S1597" s="18" t="s">
        <v>140</v>
      </c>
      <c r="T1597" s="18" t="s">
        <v>801</v>
      </c>
      <c r="U1597" s="18" t="s">
        <v>6958</v>
      </c>
      <c r="V1597" s="19" t="s">
        <v>29</v>
      </c>
      <c r="W1597" s="19"/>
      <c r="X1597" s="19"/>
      <c r="Y1597" s="20"/>
      <c r="Z1597" s="19"/>
      <c r="AA1597" s="18" t="str">
        <f aca="false">IF(OR(V1597="Aprobada"),R1597,IF(AND(OR(V1597="Aprobada con ajuste",V1597="Rechazada"),W1597&lt;&gt;""),W1597,""))</f>
        <v/>
      </c>
    </row>
    <row r="1598" customFormat="false" ht="85.05" hidden="false" customHeight="false" outlineLevel="0" collapsed="false">
      <c r="A1598" s="18" t="s">
        <v>6959</v>
      </c>
      <c r="B1598" s="18" t="s">
        <v>66</v>
      </c>
      <c r="C1598" s="18" t="s">
        <v>67</v>
      </c>
      <c r="D1598" s="18" t="s">
        <v>6916</v>
      </c>
      <c r="E1598" s="18" t="n">
        <v>70</v>
      </c>
      <c r="F1598" s="18" t="s">
        <v>6960</v>
      </c>
      <c r="G1598" s="18" t="s">
        <v>145</v>
      </c>
      <c r="H1598" s="18" t="s">
        <v>162</v>
      </c>
      <c r="I1598" s="18" t="s">
        <v>298</v>
      </c>
      <c r="J1598" s="18" t="s">
        <v>6961</v>
      </c>
      <c r="K1598" s="18"/>
      <c r="L1598" s="18" t="s">
        <v>162</v>
      </c>
      <c r="M1598" s="18" t="s">
        <v>162</v>
      </c>
      <c r="N1598" s="18" t="s">
        <v>3663</v>
      </c>
      <c r="O1598" s="18" t="s">
        <v>6962</v>
      </c>
      <c r="P1598" s="18" t="s">
        <v>6963</v>
      </c>
      <c r="Q1598" s="18" t="s">
        <v>131</v>
      </c>
      <c r="R1598" s="18" t="s">
        <v>6964</v>
      </c>
      <c r="S1598" s="18" t="s">
        <v>140</v>
      </c>
      <c r="T1598" s="18" t="s">
        <v>801</v>
      </c>
      <c r="U1598" s="18" t="s">
        <v>6965</v>
      </c>
      <c r="V1598" s="19" t="s">
        <v>29</v>
      </c>
      <c r="W1598" s="19"/>
      <c r="X1598" s="19"/>
      <c r="Y1598" s="20"/>
      <c r="Z1598" s="19"/>
      <c r="AA1598" s="18" t="str">
        <f aca="false">IF(OR(V1598="Aprobada"),R1598,IF(AND(OR(V1598="Aprobada con ajuste",V1598="Rechazada"),W1598&lt;&gt;""),W1598,""))</f>
        <v/>
      </c>
    </row>
    <row r="1599" customFormat="false" ht="85.05" hidden="false" customHeight="false" outlineLevel="0" collapsed="false">
      <c r="A1599" s="18" t="s">
        <v>6966</v>
      </c>
      <c r="B1599" s="18" t="s">
        <v>66</v>
      </c>
      <c r="C1599" s="18" t="s">
        <v>67</v>
      </c>
      <c r="D1599" s="18" t="s">
        <v>6916</v>
      </c>
      <c r="E1599" s="18" t="n">
        <v>70</v>
      </c>
      <c r="F1599" s="18" t="s">
        <v>6967</v>
      </c>
      <c r="G1599" s="18" t="s">
        <v>205</v>
      </c>
      <c r="H1599" s="18" t="s">
        <v>162</v>
      </c>
      <c r="I1599" s="18" t="s">
        <v>298</v>
      </c>
      <c r="J1599" s="18" t="s">
        <v>6968</v>
      </c>
      <c r="K1599" s="18"/>
      <c r="L1599" s="18" t="s">
        <v>162</v>
      </c>
      <c r="M1599" s="18" t="s">
        <v>162</v>
      </c>
      <c r="N1599" s="18" t="s">
        <v>3663</v>
      </c>
      <c r="O1599" s="18" t="s">
        <v>6969</v>
      </c>
      <c r="P1599" s="18" t="s">
        <v>6970</v>
      </c>
      <c r="Q1599" s="18" t="s">
        <v>131</v>
      </c>
      <c r="R1599" s="18" t="s">
        <v>6971</v>
      </c>
      <c r="S1599" s="18" t="s">
        <v>140</v>
      </c>
      <c r="T1599" s="18" t="s">
        <v>801</v>
      </c>
      <c r="U1599" s="18" t="s">
        <v>6972</v>
      </c>
      <c r="V1599" s="19" t="s">
        <v>29</v>
      </c>
      <c r="W1599" s="19"/>
      <c r="X1599" s="19"/>
      <c r="Y1599" s="20"/>
      <c r="Z1599" s="19"/>
      <c r="AA1599" s="18" t="str">
        <f aca="false">IF(OR(V1599="Aprobada"),R1599,IF(AND(OR(V1599="Aprobada con ajuste",V1599="Rechazada"),W1599&lt;&gt;""),W1599,""))</f>
        <v/>
      </c>
    </row>
    <row r="1600" customFormat="false" ht="85.05" hidden="false" customHeight="false" outlineLevel="0" collapsed="false">
      <c r="A1600" s="18" t="s">
        <v>6973</v>
      </c>
      <c r="B1600" s="18" t="s">
        <v>66</v>
      </c>
      <c r="C1600" s="18" t="s">
        <v>67</v>
      </c>
      <c r="D1600" s="18" t="s">
        <v>6916</v>
      </c>
      <c r="E1600" s="18" t="n">
        <v>70</v>
      </c>
      <c r="F1600" s="18" t="s">
        <v>6974</v>
      </c>
      <c r="G1600" s="18" t="s">
        <v>180</v>
      </c>
      <c r="H1600" s="18" t="s">
        <v>162</v>
      </c>
      <c r="I1600" s="18"/>
      <c r="J1600" s="18"/>
      <c r="K1600" s="18"/>
      <c r="L1600" s="18" t="s">
        <v>129</v>
      </c>
      <c r="M1600" s="18" t="s">
        <v>162</v>
      </c>
      <c r="N1600" s="18" t="s">
        <v>3663</v>
      </c>
      <c r="O1600" s="18"/>
      <c r="P1600" s="18" t="s">
        <v>6975</v>
      </c>
      <c r="Q1600" s="18" t="s">
        <v>131</v>
      </c>
      <c r="R1600" s="18" t="s">
        <v>6976</v>
      </c>
      <c r="S1600" s="18" t="s">
        <v>140</v>
      </c>
      <c r="T1600" s="18" t="s">
        <v>183</v>
      </c>
      <c r="U1600" s="18" t="s">
        <v>6977</v>
      </c>
      <c r="V1600" s="19" t="s">
        <v>29</v>
      </c>
      <c r="W1600" s="19"/>
      <c r="X1600" s="19"/>
      <c r="Y1600" s="20"/>
      <c r="Z1600" s="19"/>
      <c r="AA1600" s="18" t="str">
        <f aca="false">IF(OR(V1600="Aprobada"),R1600,IF(AND(OR(V1600="Aprobada con ajuste",V1600="Rechazada"),W1600&lt;&gt;""),W1600,""))</f>
        <v/>
      </c>
    </row>
    <row r="1601" customFormat="false" ht="85.05" hidden="false" customHeight="false" outlineLevel="0" collapsed="false">
      <c r="A1601" s="18" t="s">
        <v>6978</v>
      </c>
      <c r="B1601" s="18" t="s">
        <v>66</v>
      </c>
      <c r="C1601" s="18" t="s">
        <v>67</v>
      </c>
      <c r="D1601" s="18" t="s">
        <v>6916</v>
      </c>
      <c r="E1601" s="18" t="n">
        <v>70</v>
      </c>
      <c r="F1601" s="18" t="s">
        <v>6979</v>
      </c>
      <c r="G1601" s="18" t="s">
        <v>173</v>
      </c>
      <c r="H1601" s="18" t="s">
        <v>162</v>
      </c>
      <c r="I1601" s="18"/>
      <c r="J1601" s="18"/>
      <c r="K1601" s="18"/>
      <c r="L1601" s="18" t="s">
        <v>129</v>
      </c>
      <c r="M1601" s="18" t="s">
        <v>129</v>
      </c>
      <c r="N1601" s="18"/>
      <c r="O1601" s="18"/>
      <c r="P1601" s="18" t="s">
        <v>6980</v>
      </c>
      <c r="Q1601" s="18" t="s">
        <v>131</v>
      </c>
      <c r="R1601" s="18" t="s">
        <v>6981</v>
      </c>
      <c r="S1601" s="18" t="s">
        <v>140</v>
      </c>
      <c r="T1601" s="18" t="s">
        <v>873</v>
      </c>
      <c r="U1601" s="18" t="s">
        <v>6982</v>
      </c>
      <c r="V1601" s="19" t="s">
        <v>29</v>
      </c>
      <c r="W1601" s="19"/>
      <c r="X1601" s="19"/>
      <c r="Y1601" s="20"/>
      <c r="Z1601" s="19"/>
      <c r="AA1601" s="18" t="str">
        <f aca="false">IF(OR(V1601="Aprobada"),R1601,IF(AND(OR(V1601="Aprobada con ajuste",V1601="Rechazada"),W1601&lt;&gt;""),W1601,""))</f>
        <v/>
      </c>
    </row>
    <row r="1602" customFormat="false" ht="105.95" hidden="false" customHeight="false" outlineLevel="0" collapsed="false">
      <c r="A1602" s="18" t="s">
        <v>6983</v>
      </c>
      <c r="B1602" s="18" t="s">
        <v>66</v>
      </c>
      <c r="C1602" s="18" t="s">
        <v>67</v>
      </c>
      <c r="D1602" s="18" t="s">
        <v>6916</v>
      </c>
      <c r="E1602" s="18" t="n">
        <v>70</v>
      </c>
      <c r="F1602" s="18" t="s">
        <v>727</v>
      </c>
      <c r="G1602" s="18" t="s">
        <v>128</v>
      </c>
      <c r="H1602" s="18" t="s">
        <v>162</v>
      </c>
      <c r="I1602" s="18"/>
      <c r="J1602" s="18"/>
      <c r="K1602" s="18"/>
      <c r="L1602" s="18" t="s">
        <v>129</v>
      </c>
      <c r="M1602" s="18" t="s">
        <v>162</v>
      </c>
      <c r="N1602" s="18" t="s">
        <v>3663</v>
      </c>
      <c r="O1602" s="18"/>
      <c r="P1602" s="18" t="s">
        <v>6984</v>
      </c>
      <c r="Q1602" s="18" t="s">
        <v>131</v>
      </c>
      <c r="R1602" s="18" t="s">
        <v>6985</v>
      </c>
      <c r="S1602" s="18" t="s">
        <v>133</v>
      </c>
      <c r="T1602" s="18" t="s">
        <v>6986</v>
      </c>
      <c r="U1602" s="18"/>
      <c r="V1602" s="19" t="s">
        <v>29</v>
      </c>
      <c r="W1602" s="19"/>
      <c r="X1602" s="19"/>
      <c r="Y1602" s="20"/>
      <c r="Z1602" s="19"/>
      <c r="AA1602" s="18" t="str">
        <f aca="false">IF(OR(V1602="Aprobada"),R1602,IF(AND(OR(V1602="Aprobada con ajuste",V1602="Rechazada"),W1602&lt;&gt;""),W1602,""))</f>
        <v/>
      </c>
    </row>
    <row r="1603" customFormat="false" ht="85.05" hidden="false" customHeight="false" outlineLevel="0" collapsed="false">
      <c r="A1603" s="18" t="s">
        <v>6987</v>
      </c>
      <c r="B1603" s="18" t="s">
        <v>66</v>
      </c>
      <c r="C1603" s="18" t="s">
        <v>67</v>
      </c>
      <c r="D1603" s="18" t="s">
        <v>6916</v>
      </c>
      <c r="E1603" s="18" t="n">
        <v>70</v>
      </c>
      <c r="F1603" s="18" t="s">
        <v>6988</v>
      </c>
      <c r="G1603" s="18" t="s">
        <v>161</v>
      </c>
      <c r="H1603" s="18" t="s">
        <v>162</v>
      </c>
      <c r="I1603" s="18"/>
      <c r="J1603" s="18"/>
      <c r="K1603" s="18"/>
      <c r="L1603" s="18" t="s">
        <v>129</v>
      </c>
      <c r="M1603" s="18" t="s">
        <v>162</v>
      </c>
      <c r="N1603" s="18" t="s">
        <v>3663</v>
      </c>
      <c r="O1603" s="18"/>
      <c r="P1603" s="18" t="s">
        <v>6989</v>
      </c>
      <c r="Q1603" s="18" t="s">
        <v>131</v>
      </c>
      <c r="R1603" s="18" t="s">
        <v>6990</v>
      </c>
      <c r="S1603" s="18" t="s">
        <v>140</v>
      </c>
      <c r="T1603" s="18" t="s">
        <v>183</v>
      </c>
      <c r="U1603" s="18" t="s">
        <v>6991</v>
      </c>
      <c r="V1603" s="19" t="s">
        <v>29</v>
      </c>
      <c r="W1603" s="19"/>
      <c r="X1603" s="19"/>
      <c r="Y1603" s="20"/>
      <c r="Z1603" s="19"/>
      <c r="AA1603" s="18" t="str">
        <f aca="false">IF(OR(V1603="Aprobada"),R1603,IF(AND(OR(V1603="Aprobada con ajuste",V1603="Rechazada"),W1603&lt;&gt;""),W1603,""))</f>
        <v/>
      </c>
    </row>
    <row r="1604" customFormat="false" ht="85.05" hidden="false" customHeight="false" outlineLevel="0" collapsed="false">
      <c r="A1604" s="18" t="s">
        <v>6992</v>
      </c>
      <c r="B1604" s="18" t="s">
        <v>66</v>
      </c>
      <c r="C1604" s="18" t="s">
        <v>67</v>
      </c>
      <c r="D1604" s="18" t="s">
        <v>6916</v>
      </c>
      <c r="E1604" s="18" t="n">
        <v>70</v>
      </c>
      <c r="F1604" s="18" t="s">
        <v>6993</v>
      </c>
      <c r="G1604" s="18" t="s">
        <v>180</v>
      </c>
      <c r="H1604" s="18" t="s">
        <v>162</v>
      </c>
      <c r="I1604" s="18"/>
      <c r="J1604" s="18"/>
      <c r="K1604" s="18"/>
      <c r="L1604" s="18" t="s">
        <v>129</v>
      </c>
      <c r="M1604" s="18" t="s">
        <v>162</v>
      </c>
      <c r="N1604" s="18" t="s">
        <v>3663</v>
      </c>
      <c r="O1604" s="18"/>
      <c r="P1604" s="18" t="s">
        <v>6994</v>
      </c>
      <c r="Q1604" s="18" t="s">
        <v>131</v>
      </c>
      <c r="R1604" s="18" t="s">
        <v>6995</v>
      </c>
      <c r="S1604" s="18" t="s">
        <v>133</v>
      </c>
      <c r="T1604" s="18" t="s">
        <v>183</v>
      </c>
      <c r="U1604" s="18"/>
      <c r="V1604" s="19" t="s">
        <v>29</v>
      </c>
      <c r="W1604" s="19"/>
      <c r="X1604" s="19"/>
      <c r="Y1604" s="20"/>
      <c r="Z1604" s="19"/>
      <c r="AA1604" s="18" t="str">
        <f aca="false">IF(OR(V1604="Aprobada"),R1604,IF(AND(OR(V1604="Aprobada con ajuste",V1604="Rechazada"),W1604&lt;&gt;""),W1604,""))</f>
        <v/>
      </c>
    </row>
    <row r="1605" customFormat="false" ht="85.05" hidden="false" customHeight="false" outlineLevel="0" collapsed="false">
      <c r="A1605" s="18" t="s">
        <v>6996</v>
      </c>
      <c r="B1605" s="18" t="s">
        <v>66</v>
      </c>
      <c r="C1605" s="18" t="s">
        <v>67</v>
      </c>
      <c r="D1605" s="18" t="s">
        <v>6916</v>
      </c>
      <c r="E1605" s="18" t="n">
        <v>70</v>
      </c>
      <c r="F1605" s="18" t="s">
        <v>6997</v>
      </c>
      <c r="G1605" s="18" t="s">
        <v>180</v>
      </c>
      <c r="H1605" s="18" t="s">
        <v>162</v>
      </c>
      <c r="I1605" s="18"/>
      <c r="J1605" s="18"/>
      <c r="K1605" s="18"/>
      <c r="L1605" s="18" t="s">
        <v>129</v>
      </c>
      <c r="M1605" s="18" t="s">
        <v>162</v>
      </c>
      <c r="N1605" s="18" t="s">
        <v>3663</v>
      </c>
      <c r="O1605" s="18"/>
      <c r="P1605" s="18" t="s">
        <v>6998</v>
      </c>
      <c r="Q1605" s="18" t="s">
        <v>131</v>
      </c>
      <c r="R1605" s="18" t="s">
        <v>6999</v>
      </c>
      <c r="S1605" s="18" t="s">
        <v>133</v>
      </c>
      <c r="T1605" s="18" t="s">
        <v>183</v>
      </c>
      <c r="U1605" s="18"/>
      <c r="V1605" s="19" t="s">
        <v>29</v>
      </c>
      <c r="W1605" s="19"/>
      <c r="X1605" s="19"/>
      <c r="Y1605" s="20"/>
      <c r="Z1605" s="19"/>
      <c r="AA1605" s="18" t="str">
        <f aca="false">IF(OR(V1605="Aprobada"),R1605,IF(AND(OR(V1605="Aprobada con ajuste",V1605="Rechazada"),W1605&lt;&gt;""),W1605,""))</f>
        <v/>
      </c>
    </row>
    <row r="1606" customFormat="false" ht="85.05" hidden="false" customHeight="false" outlineLevel="0" collapsed="false">
      <c r="A1606" s="18" t="s">
        <v>7000</v>
      </c>
      <c r="B1606" s="18" t="s">
        <v>66</v>
      </c>
      <c r="C1606" s="18" t="s">
        <v>67</v>
      </c>
      <c r="D1606" s="18" t="s">
        <v>6916</v>
      </c>
      <c r="E1606" s="18" t="n">
        <v>70</v>
      </c>
      <c r="F1606" s="18" t="s">
        <v>7001</v>
      </c>
      <c r="G1606" s="18" t="s">
        <v>180</v>
      </c>
      <c r="H1606" s="18" t="s">
        <v>162</v>
      </c>
      <c r="I1606" s="18"/>
      <c r="J1606" s="18"/>
      <c r="K1606" s="18"/>
      <c r="L1606" s="18" t="s">
        <v>129</v>
      </c>
      <c r="M1606" s="18" t="s">
        <v>162</v>
      </c>
      <c r="N1606" s="18" t="s">
        <v>3663</v>
      </c>
      <c r="O1606" s="18"/>
      <c r="P1606" s="18" t="s">
        <v>7002</v>
      </c>
      <c r="Q1606" s="18" t="s">
        <v>131</v>
      </c>
      <c r="R1606" s="18" t="s">
        <v>7003</v>
      </c>
      <c r="S1606" s="18" t="s">
        <v>133</v>
      </c>
      <c r="T1606" s="18" t="s">
        <v>183</v>
      </c>
      <c r="U1606" s="18"/>
      <c r="V1606" s="19" t="s">
        <v>29</v>
      </c>
      <c r="W1606" s="19"/>
      <c r="X1606" s="19"/>
      <c r="Y1606" s="20"/>
      <c r="Z1606" s="19"/>
      <c r="AA1606" s="18" t="str">
        <f aca="false">IF(OR(V1606="Aprobada"),R1606,IF(AND(OR(V1606="Aprobada con ajuste",V1606="Rechazada"),W1606&lt;&gt;""),W1606,""))</f>
        <v/>
      </c>
    </row>
    <row r="1607" customFormat="false" ht="85.05" hidden="false" customHeight="false" outlineLevel="0" collapsed="false">
      <c r="A1607" s="18" t="s">
        <v>7004</v>
      </c>
      <c r="B1607" s="18" t="s">
        <v>66</v>
      </c>
      <c r="C1607" s="18" t="s">
        <v>67</v>
      </c>
      <c r="D1607" s="18" t="s">
        <v>6916</v>
      </c>
      <c r="E1607" s="18" t="n">
        <v>70</v>
      </c>
      <c r="F1607" s="18" t="s">
        <v>7005</v>
      </c>
      <c r="G1607" s="18" t="s">
        <v>317</v>
      </c>
      <c r="H1607" s="18" t="s">
        <v>162</v>
      </c>
      <c r="I1607" s="18"/>
      <c r="J1607" s="18"/>
      <c r="K1607" s="18"/>
      <c r="L1607" s="18" t="s">
        <v>129</v>
      </c>
      <c r="M1607" s="18" t="s">
        <v>162</v>
      </c>
      <c r="N1607" s="18" t="s">
        <v>3663</v>
      </c>
      <c r="O1607" s="18" t="s">
        <v>7006</v>
      </c>
      <c r="P1607" s="18" t="s">
        <v>7007</v>
      </c>
      <c r="Q1607" s="18" t="s">
        <v>131</v>
      </c>
      <c r="R1607" s="18" t="s">
        <v>7008</v>
      </c>
      <c r="S1607" s="18" t="s">
        <v>133</v>
      </c>
      <c r="T1607" s="18" t="s">
        <v>873</v>
      </c>
      <c r="U1607" s="18"/>
      <c r="V1607" s="19" t="s">
        <v>29</v>
      </c>
      <c r="W1607" s="19"/>
      <c r="X1607" s="19"/>
      <c r="Y1607" s="20"/>
      <c r="Z1607" s="19"/>
      <c r="AA1607" s="18" t="str">
        <f aca="false">IF(OR(V1607="Aprobada"),R1607,IF(AND(OR(V1607="Aprobada con ajuste",V1607="Rechazada"),W1607&lt;&gt;""),W1607,""))</f>
        <v/>
      </c>
    </row>
    <row r="1608" customFormat="false" ht="22.35" hidden="false" customHeight="false" outlineLevel="0" collapsed="false">
      <c r="A1608" s="18" t="s">
        <v>7009</v>
      </c>
      <c r="B1608" s="18" t="s">
        <v>66</v>
      </c>
      <c r="C1608" s="18" t="s">
        <v>67</v>
      </c>
      <c r="D1608" s="18" t="s">
        <v>6916</v>
      </c>
      <c r="E1608" s="18" t="n">
        <v>70</v>
      </c>
      <c r="F1608" s="18" t="s">
        <v>7010</v>
      </c>
      <c r="G1608" s="18" t="s">
        <v>128</v>
      </c>
      <c r="H1608" s="18" t="s">
        <v>162</v>
      </c>
      <c r="I1608" s="18"/>
      <c r="J1608" s="18"/>
      <c r="K1608" s="18"/>
      <c r="L1608" s="18" t="s">
        <v>129</v>
      </c>
      <c r="M1608" s="18" t="s">
        <v>129</v>
      </c>
      <c r="N1608" s="18"/>
      <c r="O1608" s="18"/>
      <c r="P1608" s="18"/>
      <c r="Q1608" s="18" t="s">
        <v>149</v>
      </c>
      <c r="R1608" s="18" t="s">
        <v>7011</v>
      </c>
      <c r="S1608" s="18" t="s">
        <v>133</v>
      </c>
      <c r="T1608" s="18" t="s">
        <v>7012</v>
      </c>
      <c r="U1608" s="18"/>
      <c r="V1608" s="19" t="s">
        <v>29</v>
      </c>
      <c r="W1608" s="19"/>
      <c r="X1608" s="19"/>
      <c r="Y1608" s="20"/>
      <c r="Z1608" s="19"/>
      <c r="AA1608" s="18" t="str">
        <f aca="false">IF(OR(V1608="Aprobada"),R1608,IF(AND(OR(V1608="Aprobada con ajuste",V1608="Rechazada"),W1608&lt;&gt;""),W1608,""))</f>
        <v/>
      </c>
    </row>
    <row r="1609" customFormat="false" ht="22.35" hidden="false" customHeight="false" outlineLevel="0" collapsed="false">
      <c r="A1609" s="18" t="s">
        <v>7013</v>
      </c>
      <c r="B1609" s="18" t="s">
        <v>66</v>
      </c>
      <c r="C1609" s="18" t="s">
        <v>67</v>
      </c>
      <c r="D1609" s="18" t="s">
        <v>6916</v>
      </c>
      <c r="E1609" s="18" t="n">
        <v>70</v>
      </c>
      <c r="F1609" s="18" t="s">
        <v>7014</v>
      </c>
      <c r="G1609" s="18" t="s">
        <v>205</v>
      </c>
      <c r="H1609" s="18" t="s">
        <v>162</v>
      </c>
      <c r="I1609" s="18" t="s">
        <v>298</v>
      </c>
      <c r="J1609" s="18" t="s">
        <v>7015</v>
      </c>
      <c r="K1609" s="18"/>
      <c r="L1609" s="18" t="s">
        <v>162</v>
      </c>
      <c r="M1609" s="18" t="s">
        <v>129</v>
      </c>
      <c r="N1609" s="18"/>
      <c r="O1609" s="18"/>
      <c r="P1609" s="18"/>
      <c r="Q1609" s="18" t="s">
        <v>149</v>
      </c>
      <c r="R1609" s="18" t="s">
        <v>7016</v>
      </c>
      <c r="S1609" s="18" t="s">
        <v>133</v>
      </c>
      <c r="T1609" s="18" t="s">
        <v>6687</v>
      </c>
      <c r="U1609" s="18"/>
      <c r="V1609" s="19" t="s">
        <v>29</v>
      </c>
      <c r="W1609" s="19"/>
      <c r="X1609" s="19"/>
      <c r="Y1609" s="20"/>
      <c r="Z1609" s="19"/>
      <c r="AA1609" s="18" t="str">
        <f aca="false">IF(OR(V1609="Aprobada"),R1609,IF(AND(OR(V1609="Aprobada con ajuste",V1609="Rechazada"),W1609&lt;&gt;""),W1609,""))</f>
        <v/>
      </c>
    </row>
    <row r="1610" customFormat="false" ht="85.05" hidden="false" customHeight="false" outlineLevel="0" collapsed="false">
      <c r="A1610" s="18" t="s">
        <v>7017</v>
      </c>
      <c r="B1610" s="18" t="s">
        <v>66</v>
      </c>
      <c r="C1610" s="18" t="s">
        <v>67</v>
      </c>
      <c r="D1610" s="18" t="s">
        <v>6916</v>
      </c>
      <c r="E1610" s="18" t="n">
        <v>70</v>
      </c>
      <c r="F1610" s="18" t="s">
        <v>7018</v>
      </c>
      <c r="G1610" s="18" t="s">
        <v>5268</v>
      </c>
      <c r="H1610" s="18" t="s">
        <v>162</v>
      </c>
      <c r="I1610" s="18"/>
      <c r="J1610" s="18"/>
      <c r="K1610" s="18"/>
      <c r="L1610" s="18" t="s">
        <v>129</v>
      </c>
      <c r="M1610" s="18" t="s">
        <v>129</v>
      </c>
      <c r="N1610" s="18"/>
      <c r="O1610" s="18"/>
      <c r="P1610" s="18" t="s">
        <v>7019</v>
      </c>
      <c r="Q1610" s="18" t="s">
        <v>131</v>
      </c>
      <c r="R1610" s="18" t="s">
        <v>7020</v>
      </c>
      <c r="S1610" s="18" t="s">
        <v>140</v>
      </c>
      <c r="T1610" s="18" t="s">
        <v>858</v>
      </c>
      <c r="U1610" s="18" t="s">
        <v>7021</v>
      </c>
      <c r="V1610" s="19" t="s">
        <v>29</v>
      </c>
      <c r="W1610" s="19"/>
      <c r="X1610" s="19"/>
      <c r="Y1610" s="20"/>
      <c r="Z1610" s="19"/>
      <c r="AA1610" s="18" t="str">
        <f aca="false">IF(OR(V1610="Aprobada"),R1610,IF(AND(OR(V1610="Aprobada con ajuste",V1610="Rechazada"),W1610&lt;&gt;""),W1610,""))</f>
        <v/>
      </c>
    </row>
    <row r="1611" customFormat="false" ht="85.05" hidden="false" customHeight="false" outlineLevel="0" collapsed="false">
      <c r="A1611" s="18" t="s">
        <v>7022</v>
      </c>
      <c r="B1611" s="18" t="s">
        <v>66</v>
      </c>
      <c r="C1611" s="18" t="s">
        <v>67</v>
      </c>
      <c r="D1611" s="18" t="s">
        <v>6916</v>
      </c>
      <c r="E1611" s="18" t="n">
        <v>70</v>
      </c>
      <c r="F1611" s="18" t="s">
        <v>7023</v>
      </c>
      <c r="G1611" s="18" t="s">
        <v>128</v>
      </c>
      <c r="H1611" s="18" t="s">
        <v>162</v>
      </c>
      <c r="I1611" s="18"/>
      <c r="J1611" s="18"/>
      <c r="K1611" s="18"/>
      <c r="L1611" s="18" t="s">
        <v>129</v>
      </c>
      <c r="M1611" s="18" t="s">
        <v>129</v>
      </c>
      <c r="N1611" s="18"/>
      <c r="O1611" s="18"/>
      <c r="P1611" s="18" t="s">
        <v>7024</v>
      </c>
      <c r="Q1611" s="18" t="s">
        <v>131</v>
      </c>
      <c r="R1611" s="18" t="s">
        <v>7025</v>
      </c>
      <c r="S1611" s="18" t="s">
        <v>133</v>
      </c>
      <c r="T1611" s="18" t="s">
        <v>858</v>
      </c>
      <c r="U1611" s="18"/>
      <c r="V1611" s="19" t="s">
        <v>29</v>
      </c>
      <c r="W1611" s="19"/>
      <c r="X1611" s="19"/>
      <c r="Y1611" s="20"/>
      <c r="Z1611" s="19"/>
      <c r="AA1611" s="18" t="str">
        <f aca="false">IF(OR(V1611="Aprobada"),R1611,IF(AND(OR(V1611="Aprobada con ajuste",V1611="Rechazada"),W1611&lt;&gt;""),W1611,""))</f>
        <v/>
      </c>
    </row>
    <row r="1612" customFormat="false" ht="147.75" hidden="false" customHeight="false" outlineLevel="0" collapsed="false">
      <c r="A1612" s="18" t="s">
        <v>7026</v>
      </c>
      <c r="B1612" s="18" t="s">
        <v>66</v>
      </c>
      <c r="C1612" s="18" t="s">
        <v>67</v>
      </c>
      <c r="D1612" s="18" t="s">
        <v>6916</v>
      </c>
      <c r="E1612" s="18" t="n">
        <v>70</v>
      </c>
      <c r="F1612" s="18" t="s">
        <v>7027</v>
      </c>
      <c r="G1612" s="18" t="s">
        <v>173</v>
      </c>
      <c r="H1612" s="18" t="s">
        <v>162</v>
      </c>
      <c r="I1612" s="18"/>
      <c r="J1612" s="18"/>
      <c r="K1612" s="18"/>
      <c r="L1612" s="18" t="s">
        <v>129</v>
      </c>
      <c r="M1612" s="18" t="s">
        <v>162</v>
      </c>
      <c r="N1612" s="18" t="s">
        <v>7028</v>
      </c>
      <c r="O1612" s="18" t="s">
        <v>7029</v>
      </c>
      <c r="P1612" s="18" t="s">
        <v>7030</v>
      </c>
      <c r="Q1612" s="18" t="s">
        <v>131</v>
      </c>
      <c r="R1612" s="18" t="s">
        <v>7031</v>
      </c>
      <c r="S1612" s="18" t="s">
        <v>133</v>
      </c>
      <c r="T1612" s="18" t="s">
        <v>7032</v>
      </c>
      <c r="U1612" s="18"/>
      <c r="V1612" s="19" t="s">
        <v>29</v>
      </c>
      <c r="W1612" s="19"/>
      <c r="X1612" s="19"/>
      <c r="Y1612" s="20"/>
      <c r="Z1612" s="19"/>
      <c r="AA1612" s="18" t="str">
        <f aca="false">IF(OR(V1612="Aprobada"),R1612,IF(AND(OR(V1612="Aprobada con ajuste",V1612="Rechazada"),W1612&lt;&gt;""),W1612,""))</f>
        <v/>
      </c>
    </row>
    <row r="1613" customFormat="false" ht="85.05" hidden="false" customHeight="false" outlineLevel="0" collapsed="false">
      <c r="A1613" s="18" t="s">
        <v>7033</v>
      </c>
      <c r="B1613" s="18" t="s">
        <v>66</v>
      </c>
      <c r="C1613" s="18" t="s">
        <v>67</v>
      </c>
      <c r="D1613" s="18" t="s">
        <v>6916</v>
      </c>
      <c r="E1613" s="18" t="n">
        <v>70</v>
      </c>
      <c r="F1613" s="18" t="s">
        <v>4851</v>
      </c>
      <c r="G1613" s="18" t="s">
        <v>317</v>
      </c>
      <c r="H1613" s="18" t="s">
        <v>162</v>
      </c>
      <c r="I1613" s="18"/>
      <c r="J1613" s="18"/>
      <c r="K1613" s="18"/>
      <c r="L1613" s="18" t="s">
        <v>129</v>
      </c>
      <c r="M1613" s="18" t="s">
        <v>129</v>
      </c>
      <c r="N1613" s="18"/>
      <c r="O1613" s="18"/>
      <c r="P1613" s="18" t="s">
        <v>7034</v>
      </c>
      <c r="Q1613" s="18" t="s">
        <v>131</v>
      </c>
      <c r="R1613" s="18" t="s">
        <v>7035</v>
      </c>
      <c r="S1613" s="18" t="s">
        <v>133</v>
      </c>
      <c r="T1613" s="18" t="s">
        <v>7036</v>
      </c>
      <c r="U1613" s="18"/>
      <c r="V1613" s="19" t="s">
        <v>29</v>
      </c>
      <c r="W1613" s="19"/>
      <c r="X1613" s="19"/>
      <c r="Y1613" s="20"/>
      <c r="Z1613" s="19"/>
      <c r="AA1613" s="18" t="str">
        <f aca="false">IF(OR(V1613="Aprobada"),R1613,IF(AND(OR(V1613="Aprobada con ajuste",V1613="Rechazada"),W1613&lt;&gt;""),W1613,""))</f>
        <v/>
      </c>
    </row>
    <row r="1614" customFormat="false" ht="74.6" hidden="false" customHeight="false" outlineLevel="0" collapsed="false">
      <c r="A1614" s="18" t="s">
        <v>7037</v>
      </c>
      <c r="B1614" s="18" t="s">
        <v>66</v>
      </c>
      <c r="C1614" s="18" t="s">
        <v>67</v>
      </c>
      <c r="D1614" s="18" t="s">
        <v>6916</v>
      </c>
      <c r="E1614" s="18" t="n">
        <v>70</v>
      </c>
      <c r="F1614" s="18" t="s">
        <v>7038</v>
      </c>
      <c r="G1614" s="18" t="s">
        <v>317</v>
      </c>
      <c r="H1614" s="18" t="s">
        <v>162</v>
      </c>
      <c r="I1614" s="18"/>
      <c r="J1614" s="18"/>
      <c r="K1614" s="18"/>
      <c r="L1614" s="18" t="s">
        <v>129</v>
      </c>
      <c r="M1614" s="18" t="s">
        <v>129</v>
      </c>
      <c r="N1614" s="18"/>
      <c r="O1614" s="18"/>
      <c r="P1614" s="18" t="s">
        <v>7039</v>
      </c>
      <c r="Q1614" s="18" t="s">
        <v>131</v>
      </c>
      <c r="R1614" s="18" t="s">
        <v>7040</v>
      </c>
      <c r="S1614" s="18" t="s">
        <v>140</v>
      </c>
      <c r="T1614" s="18" t="s">
        <v>7041</v>
      </c>
      <c r="U1614" s="18" t="s">
        <v>7042</v>
      </c>
      <c r="V1614" s="19" t="s">
        <v>29</v>
      </c>
      <c r="W1614" s="19"/>
      <c r="X1614" s="19"/>
      <c r="Y1614" s="20"/>
      <c r="Z1614" s="19"/>
      <c r="AA1614" s="18" t="str">
        <f aca="false">IF(OR(V1614="Aprobada"),R1614,IF(AND(OR(V1614="Aprobada con ajuste",V1614="Rechazada"),W1614&lt;&gt;""),W1614,""))</f>
        <v/>
      </c>
    </row>
    <row r="1615" customFormat="false" ht="85.05" hidden="false" customHeight="false" outlineLevel="0" collapsed="false">
      <c r="A1615" s="18" t="s">
        <v>7043</v>
      </c>
      <c r="B1615" s="18" t="s">
        <v>66</v>
      </c>
      <c r="C1615" s="18" t="s">
        <v>67</v>
      </c>
      <c r="D1615" s="18" t="s">
        <v>6916</v>
      </c>
      <c r="E1615" s="18" t="n">
        <v>70</v>
      </c>
      <c r="F1615" s="18" t="s">
        <v>7044</v>
      </c>
      <c r="G1615" s="18" t="s">
        <v>205</v>
      </c>
      <c r="H1615" s="18" t="s">
        <v>162</v>
      </c>
      <c r="I1615" s="18" t="s">
        <v>298</v>
      </c>
      <c r="J1615" s="18" t="s">
        <v>7045</v>
      </c>
      <c r="K1615" s="18"/>
      <c r="L1615" s="18" t="s">
        <v>162</v>
      </c>
      <c r="M1615" s="18" t="s">
        <v>162</v>
      </c>
      <c r="N1615" s="18" t="s">
        <v>3663</v>
      </c>
      <c r="O1615" s="18" t="s">
        <v>7046</v>
      </c>
      <c r="P1615" s="18" t="s">
        <v>7047</v>
      </c>
      <c r="Q1615" s="18" t="s">
        <v>131</v>
      </c>
      <c r="R1615" s="18" t="s">
        <v>7048</v>
      </c>
      <c r="S1615" s="18" t="s">
        <v>140</v>
      </c>
      <c r="T1615" s="18" t="s">
        <v>801</v>
      </c>
      <c r="U1615" s="18" t="s">
        <v>7049</v>
      </c>
      <c r="V1615" s="19" t="s">
        <v>29</v>
      </c>
      <c r="W1615" s="19"/>
      <c r="X1615" s="19"/>
      <c r="Y1615" s="20"/>
      <c r="Z1615" s="19"/>
      <c r="AA1615" s="18" t="str">
        <f aca="false">IF(OR(V1615="Aprobada"),R1615,IF(AND(OR(V1615="Aprobada con ajuste",V1615="Rechazada"),W1615&lt;&gt;""),W1615,""))</f>
        <v/>
      </c>
    </row>
    <row r="1616" customFormat="false" ht="85.05" hidden="false" customHeight="false" outlineLevel="0" collapsed="false">
      <c r="A1616" s="18" t="s">
        <v>7050</v>
      </c>
      <c r="B1616" s="18" t="s">
        <v>66</v>
      </c>
      <c r="C1616" s="18" t="s">
        <v>67</v>
      </c>
      <c r="D1616" s="18" t="s">
        <v>6916</v>
      </c>
      <c r="E1616" s="18" t="n">
        <v>70</v>
      </c>
      <c r="F1616" s="18" t="s">
        <v>5293</v>
      </c>
      <c r="G1616" s="18" t="s">
        <v>128</v>
      </c>
      <c r="H1616" s="18" t="s">
        <v>162</v>
      </c>
      <c r="I1616" s="18"/>
      <c r="J1616" s="18"/>
      <c r="K1616" s="18"/>
      <c r="L1616" s="18" t="s">
        <v>129</v>
      </c>
      <c r="M1616" s="18" t="s">
        <v>162</v>
      </c>
      <c r="N1616" s="18" t="s">
        <v>3663</v>
      </c>
      <c r="O1616" s="18"/>
      <c r="P1616" s="18" t="s">
        <v>7051</v>
      </c>
      <c r="Q1616" s="18" t="s">
        <v>131</v>
      </c>
      <c r="R1616" s="18" t="s">
        <v>7052</v>
      </c>
      <c r="S1616" s="18" t="s">
        <v>140</v>
      </c>
      <c r="T1616" s="18" t="s">
        <v>183</v>
      </c>
      <c r="U1616" s="18" t="s">
        <v>7053</v>
      </c>
      <c r="V1616" s="19" t="s">
        <v>29</v>
      </c>
      <c r="W1616" s="19"/>
      <c r="X1616" s="19"/>
      <c r="Y1616" s="20"/>
      <c r="Z1616" s="19"/>
      <c r="AA1616" s="18" t="str">
        <f aca="false">IF(OR(V1616="Aprobada"),R1616,IF(AND(OR(V1616="Aprobada con ajuste",V1616="Rechazada"),W1616&lt;&gt;""),W1616,""))</f>
        <v/>
      </c>
    </row>
    <row r="1617" customFormat="false" ht="85.05" hidden="false" customHeight="false" outlineLevel="0" collapsed="false">
      <c r="A1617" s="18" t="s">
        <v>7054</v>
      </c>
      <c r="B1617" s="18" t="s">
        <v>66</v>
      </c>
      <c r="C1617" s="18" t="s">
        <v>67</v>
      </c>
      <c r="D1617" s="18" t="s">
        <v>6916</v>
      </c>
      <c r="E1617" s="18" t="n">
        <v>70</v>
      </c>
      <c r="F1617" s="18" t="s">
        <v>7055</v>
      </c>
      <c r="G1617" s="18" t="s">
        <v>503</v>
      </c>
      <c r="H1617" s="18" t="s">
        <v>162</v>
      </c>
      <c r="I1617" s="18"/>
      <c r="J1617" s="18"/>
      <c r="K1617" s="18"/>
      <c r="L1617" s="18" t="s">
        <v>129</v>
      </c>
      <c r="M1617" s="18" t="s">
        <v>162</v>
      </c>
      <c r="N1617" s="18" t="s">
        <v>3663</v>
      </c>
      <c r="O1617" s="18"/>
      <c r="P1617" s="18" t="s">
        <v>7056</v>
      </c>
      <c r="Q1617" s="18" t="s">
        <v>131</v>
      </c>
      <c r="R1617" s="18" t="s">
        <v>7057</v>
      </c>
      <c r="S1617" s="18" t="s">
        <v>140</v>
      </c>
      <c r="T1617" s="18" t="s">
        <v>183</v>
      </c>
      <c r="U1617" s="18" t="s">
        <v>7058</v>
      </c>
      <c r="V1617" s="19" t="s">
        <v>29</v>
      </c>
      <c r="W1617" s="19"/>
      <c r="X1617" s="19"/>
      <c r="Y1617" s="20"/>
      <c r="Z1617" s="19"/>
      <c r="AA1617" s="18" t="str">
        <f aca="false">IF(OR(V1617="Aprobada"),R1617,IF(AND(OR(V1617="Aprobada con ajuste",V1617="Rechazada"),W1617&lt;&gt;""),W1617,""))</f>
        <v/>
      </c>
    </row>
    <row r="1618" customFormat="false" ht="85.05" hidden="false" customHeight="false" outlineLevel="0" collapsed="false">
      <c r="A1618" s="18" t="s">
        <v>7059</v>
      </c>
      <c r="B1618" s="18" t="s">
        <v>66</v>
      </c>
      <c r="C1618" s="18" t="s">
        <v>67</v>
      </c>
      <c r="D1618" s="18" t="s">
        <v>6916</v>
      </c>
      <c r="E1618" s="18" t="n">
        <v>70</v>
      </c>
      <c r="F1618" s="18" t="s">
        <v>7060</v>
      </c>
      <c r="G1618" s="18" t="s">
        <v>503</v>
      </c>
      <c r="H1618" s="18" t="s">
        <v>162</v>
      </c>
      <c r="I1618" s="18" t="s">
        <v>298</v>
      </c>
      <c r="J1618" s="18"/>
      <c r="K1618" s="18"/>
      <c r="L1618" s="18" t="s">
        <v>129</v>
      </c>
      <c r="M1618" s="18" t="s">
        <v>162</v>
      </c>
      <c r="N1618" s="18" t="s">
        <v>3663</v>
      </c>
      <c r="O1618" s="18"/>
      <c r="P1618" s="18" t="s">
        <v>7061</v>
      </c>
      <c r="Q1618" s="18" t="s">
        <v>131</v>
      </c>
      <c r="R1618" s="18" t="s">
        <v>7062</v>
      </c>
      <c r="S1618" s="18" t="s">
        <v>140</v>
      </c>
      <c r="T1618" s="18" t="s">
        <v>7063</v>
      </c>
      <c r="U1618" s="18" t="s">
        <v>7064</v>
      </c>
      <c r="V1618" s="19" t="s">
        <v>29</v>
      </c>
      <c r="W1618" s="19"/>
      <c r="X1618" s="19"/>
      <c r="Y1618" s="20"/>
      <c r="Z1618" s="19"/>
      <c r="AA1618" s="18" t="str">
        <f aca="false">IF(OR(V1618="Aprobada"),R1618,IF(AND(OR(V1618="Aprobada con ajuste",V1618="Rechazada"),W1618&lt;&gt;""),W1618,""))</f>
        <v/>
      </c>
    </row>
    <row r="1619" customFormat="false" ht="85.05" hidden="false" customHeight="false" outlineLevel="0" collapsed="false">
      <c r="A1619" s="18" t="s">
        <v>7065</v>
      </c>
      <c r="B1619" s="18" t="s">
        <v>66</v>
      </c>
      <c r="C1619" s="18" t="s">
        <v>67</v>
      </c>
      <c r="D1619" s="18" t="s">
        <v>6916</v>
      </c>
      <c r="E1619" s="18" t="n">
        <v>70</v>
      </c>
      <c r="F1619" s="18" t="s">
        <v>7066</v>
      </c>
      <c r="G1619" s="18" t="s">
        <v>503</v>
      </c>
      <c r="H1619" s="18" t="s">
        <v>162</v>
      </c>
      <c r="I1619" s="18"/>
      <c r="J1619" s="18"/>
      <c r="K1619" s="18"/>
      <c r="L1619" s="18" t="s">
        <v>129</v>
      </c>
      <c r="M1619" s="18" t="s">
        <v>162</v>
      </c>
      <c r="N1619" s="18" t="s">
        <v>7067</v>
      </c>
      <c r="O1619" s="18"/>
      <c r="P1619" s="18" t="s">
        <v>7068</v>
      </c>
      <c r="Q1619" s="18" t="s">
        <v>131</v>
      </c>
      <c r="R1619" s="18" t="s">
        <v>7069</v>
      </c>
      <c r="S1619" s="18" t="s">
        <v>133</v>
      </c>
      <c r="T1619" s="18" t="s">
        <v>7070</v>
      </c>
      <c r="U1619" s="18"/>
      <c r="V1619" s="19" t="s">
        <v>29</v>
      </c>
      <c r="W1619" s="19"/>
      <c r="X1619" s="19"/>
      <c r="Y1619" s="20"/>
      <c r="Z1619" s="19"/>
      <c r="AA1619" s="18" t="str">
        <f aca="false">IF(OR(V1619="Aprobada"),R1619,IF(AND(OR(V1619="Aprobada con ajuste",V1619="Rechazada"),W1619&lt;&gt;""),W1619,""))</f>
        <v/>
      </c>
    </row>
    <row r="1620" customFormat="false" ht="85.05" hidden="false" customHeight="false" outlineLevel="0" collapsed="false">
      <c r="A1620" s="18" t="s">
        <v>7071</v>
      </c>
      <c r="B1620" s="18" t="s">
        <v>66</v>
      </c>
      <c r="C1620" s="18" t="s">
        <v>67</v>
      </c>
      <c r="D1620" s="18" t="s">
        <v>6916</v>
      </c>
      <c r="E1620" s="18" t="n">
        <v>70</v>
      </c>
      <c r="F1620" s="18" t="s">
        <v>7072</v>
      </c>
      <c r="G1620" s="18" t="s">
        <v>503</v>
      </c>
      <c r="H1620" s="18" t="s">
        <v>162</v>
      </c>
      <c r="I1620" s="18"/>
      <c r="J1620" s="18"/>
      <c r="K1620" s="18"/>
      <c r="L1620" s="18" t="s">
        <v>129</v>
      </c>
      <c r="M1620" s="18" t="s">
        <v>162</v>
      </c>
      <c r="N1620" s="18" t="s">
        <v>7073</v>
      </c>
      <c r="O1620" s="18"/>
      <c r="P1620" s="18" t="s">
        <v>7074</v>
      </c>
      <c r="Q1620" s="18" t="s">
        <v>131</v>
      </c>
      <c r="R1620" s="18" t="s">
        <v>7075</v>
      </c>
      <c r="S1620" s="18" t="s">
        <v>133</v>
      </c>
      <c r="T1620" s="18" t="s">
        <v>7070</v>
      </c>
      <c r="U1620" s="18"/>
      <c r="V1620" s="19" t="s">
        <v>29</v>
      </c>
      <c r="W1620" s="19"/>
      <c r="X1620" s="19"/>
      <c r="Y1620" s="20"/>
      <c r="Z1620" s="19"/>
      <c r="AA1620" s="18" t="str">
        <f aca="false">IF(OR(V1620="Aprobada"),R1620,IF(AND(OR(V1620="Aprobada con ajuste",V1620="Rechazada"),W1620&lt;&gt;""),W1620,""))</f>
        <v/>
      </c>
    </row>
    <row r="1621" customFormat="false" ht="85.05" hidden="false" customHeight="false" outlineLevel="0" collapsed="false">
      <c r="A1621" s="18" t="s">
        <v>7076</v>
      </c>
      <c r="B1621" s="18" t="s">
        <v>66</v>
      </c>
      <c r="C1621" s="18" t="s">
        <v>67</v>
      </c>
      <c r="D1621" s="18" t="s">
        <v>6916</v>
      </c>
      <c r="E1621" s="18" t="n">
        <v>70</v>
      </c>
      <c r="F1621" s="18" t="s">
        <v>7077</v>
      </c>
      <c r="G1621" s="18" t="s">
        <v>503</v>
      </c>
      <c r="H1621" s="18" t="s">
        <v>162</v>
      </c>
      <c r="I1621" s="18"/>
      <c r="J1621" s="18"/>
      <c r="K1621" s="18"/>
      <c r="L1621" s="18" t="s">
        <v>129</v>
      </c>
      <c r="M1621" s="18" t="s">
        <v>162</v>
      </c>
      <c r="N1621" s="18" t="s">
        <v>3663</v>
      </c>
      <c r="O1621" s="18"/>
      <c r="P1621" s="18" t="s">
        <v>7078</v>
      </c>
      <c r="Q1621" s="18" t="s">
        <v>131</v>
      </c>
      <c r="R1621" s="18" t="s">
        <v>7079</v>
      </c>
      <c r="S1621" s="18" t="s">
        <v>140</v>
      </c>
      <c r="T1621" s="18" t="s">
        <v>183</v>
      </c>
      <c r="U1621" s="18" t="s">
        <v>7080</v>
      </c>
      <c r="V1621" s="19" t="s">
        <v>29</v>
      </c>
      <c r="W1621" s="19"/>
      <c r="X1621" s="19"/>
      <c r="Y1621" s="20"/>
      <c r="Z1621" s="19"/>
      <c r="AA1621" s="18" t="str">
        <f aca="false">IF(OR(V1621="Aprobada"),R1621,IF(AND(OR(V1621="Aprobada con ajuste",V1621="Rechazada"),W1621&lt;&gt;""),W1621,""))</f>
        <v/>
      </c>
    </row>
    <row r="1622" customFormat="false" ht="85.05" hidden="false" customHeight="false" outlineLevel="0" collapsed="false">
      <c r="A1622" s="18" t="s">
        <v>7081</v>
      </c>
      <c r="B1622" s="18" t="s">
        <v>66</v>
      </c>
      <c r="C1622" s="18" t="s">
        <v>67</v>
      </c>
      <c r="D1622" s="18" t="s">
        <v>6916</v>
      </c>
      <c r="E1622" s="18" t="n">
        <v>70</v>
      </c>
      <c r="F1622" s="18" t="s">
        <v>7082</v>
      </c>
      <c r="G1622" s="18" t="s">
        <v>173</v>
      </c>
      <c r="H1622" s="18" t="s">
        <v>162</v>
      </c>
      <c r="I1622" s="18"/>
      <c r="J1622" s="18"/>
      <c r="K1622" s="18"/>
      <c r="L1622" s="18" t="s">
        <v>129</v>
      </c>
      <c r="M1622" s="18" t="s">
        <v>162</v>
      </c>
      <c r="N1622" s="18" t="s">
        <v>7083</v>
      </c>
      <c r="O1622" s="18"/>
      <c r="P1622" s="18" t="s">
        <v>7084</v>
      </c>
      <c r="Q1622" s="18" t="s">
        <v>131</v>
      </c>
      <c r="R1622" s="18" t="s">
        <v>7085</v>
      </c>
      <c r="S1622" s="18" t="s">
        <v>133</v>
      </c>
      <c r="T1622" s="18" t="s">
        <v>7086</v>
      </c>
      <c r="U1622" s="18"/>
      <c r="V1622" s="19" t="s">
        <v>29</v>
      </c>
      <c r="W1622" s="19"/>
      <c r="X1622" s="19"/>
      <c r="Y1622" s="20"/>
      <c r="Z1622" s="19"/>
      <c r="AA1622" s="18" t="str">
        <f aca="false">IF(OR(V1622="Aprobada"),R1622,IF(AND(OR(V1622="Aprobada con ajuste",V1622="Rechazada"),W1622&lt;&gt;""),W1622,""))</f>
        <v/>
      </c>
    </row>
    <row r="1623" customFormat="false" ht="85.05" hidden="false" customHeight="false" outlineLevel="0" collapsed="false">
      <c r="A1623" s="18" t="s">
        <v>7087</v>
      </c>
      <c r="B1623" s="18" t="s">
        <v>66</v>
      </c>
      <c r="C1623" s="18" t="s">
        <v>67</v>
      </c>
      <c r="D1623" s="18" t="s">
        <v>6916</v>
      </c>
      <c r="E1623" s="18" t="n">
        <v>70</v>
      </c>
      <c r="F1623" s="18" t="s">
        <v>7088</v>
      </c>
      <c r="G1623" s="18" t="s">
        <v>503</v>
      </c>
      <c r="H1623" s="18" t="s">
        <v>162</v>
      </c>
      <c r="I1623" s="18" t="s">
        <v>298</v>
      </c>
      <c r="J1623" s="18"/>
      <c r="K1623" s="18"/>
      <c r="L1623" s="18" t="s">
        <v>129</v>
      </c>
      <c r="M1623" s="18" t="s">
        <v>162</v>
      </c>
      <c r="N1623" s="18" t="s">
        <v>7089</v>
      </c>
      <c r="O1623" s="18"/>
      <c r="P1623" s="18" t="s">
        <v>7090</v>
      </c>
      <c r="Q1623" s="18" t="s">
        <v>131</v>
      </c>
      <c r="R1623" s="18" t="s">
        <v>7091</v>
      </c>
      <c r="S1623" s="18" t="s">
        <v>133</v>
      </c>
      <c r="T1623" s="18" t="s">
        <v>7086</v>
      </c>
      <c r="U1623" s="18"/>
      <c r="V1623" s="19" t="s">
        <v>29</v>
      </c>
      <c r="W1623" s="19"/>
      <c r="X1623" s="19"/>
      <c r="Y1623" s="20"/>
      <c r="Z1623" s="19"/>
      <c r="AA1623" s="18" t="str">
        <f aca="false">IF(OR(V1623="Aprobada"),R1623,IF(AND(OR(V1623="Aprobada con ajuste",V1623="Rechazada"),W1623&lt;&gt;""),W1623,""))</f>
        <v/>
      </c>
    </row>
    <row r="1624" customFormat="false" ht="85.05" hidden="false" customHeight="false" outlineLevel="0" collapsed="false">
      <c r="A1624" s="18" t="s">
        <v>7092</v>
      </c>
      <c r="B1624" s="18" t="s">
        <v>66</v>
      </c>
      <c r="C1624" s="18" t="s">
        <v>67</v>
      </c>
      <c r="D1624" s="18" t="s">
        <v>6916</v>
      </c>
      <c r="E1624" s="18" t="n">
        <v>70</v>
      </c>
      <c r="F1624" s="18" t="s">
        <v>7093</v>
      </c>
      <c r="G1624" s="18" t="s">
        <v>137</v>
      </c>
      <c r="H1624" s="18" t="s">
        <v>162</v>
      </c>
      <c r="I1624" s="18"/>
      <c r="J1624" s="18"/>
      <c r="K1624" s="18"/>
      <c r="L1624" s="18" t="s">
        <v>129</v>
      </c>
      <c r="M1624" s="18" t="s">
        <v>129</v>
      </c>
      <c r="N1624" s="18"/>
      <c r="O1624" s="18"/>
      <c r="P1624" s="18" t="s">
        <v>7094</v>
      </c>
      <c r="Q1624" s="18" t="s">
        <v>131</v>
      </c>
      <c r="R1624" s="18" t="s">
        <v>7095</v>
      </c>
      <c r="S1624" s="18" t="s">
        <v>140</v>
      </c>
      <c r="T1624" s="18" t="s">
        <v>7096</v>
      </c>
      <c r="U1624" s="18" t="s">
        <v>7097</v>
      </c>
      <c r="V1624" s="19" t="s">
        <v>29</v>
      </c>
      <c r="W1624" s="19"/>
      <c r="X1624" s="19"/>
      <c r="Y1624" s="20"/>
      <c r="Z1624" s="19"/>
      <c r="AA1624" s="18" t="str">
        <f aca="false">IF(OR(V1624="Aprobada"),R1624,IF(AND(OR(V1624="Aprobada con ajuste",V1624="Rechazada"),W1624&lt;&gt;""),W1624,""))</f>
        <v/>
      </c>
    </row>
    <row r="1625" customFormat="false" ht="85.05" hidden="false" customHeight="false" outlineLevel="0" collapsed="false">
      <c r="A1625" s="18" t="s">
        <v>7098</v>
      </c>
      <c r="B1625" s="18" t="s">
        <v>66</v>
      </c>
      <c r="C1625" s="18" t="s">
        <v>67</v>
      </c>
      <c r="D1625" s="18" t="s">
        <v>6916</v>
      </c>
      <c r="E1625" s="18" t="n">
        <v>70</v>
      </c>
      <c r="F1625" s="18" t="s">
        <v>7099</v>
      </c>
      <c r="G1625" s="18" t="s">
        <v>137</v>
      </c>
      <c r="H1625" s="18" t="s">
        <v>162</v>
      </c>
      <c r="I1625" s="18"/>
      <c r="J1625" s="18"/>
      <c r="K1625" s="18"/>
      <c r="L1625" s="18" t="s">
        <v>129</v>
      </c>
      <c r="M1625" s="18" t="s">
        <v>129</v>
      </c>
      <c r="N1625" s="18"/>
      <c r="O1625" s="18"/>
      <c r="P1625" s="18" t="s">
        <v>7100</v>
      </c>
      <c r="Q1625" s="18" t="s">
        <v>131</v>
      </c>
      <c r="R1625" s="18" t="s">
        <v>7101</v>
      </c>
      <c r="S1625" s="18" t="s">
        <v>140</v>
      </c>
      <c r="T1625" s="18" t="s">
        <v>7102</v>
      </c>
      <c r="U1625" s="18" t="s">
        <v>7103</v>
      </c>
      <c r="V1625" s="19" t="s">
        <v>29</v>
      </c>
      <c r="W1625" s="19"/>
      <c r="X1625" s="19"/>
      <c r="Y1625" s="20"/>
      <c r="Z1625" s="19"/>
      <c r="AA1625" s="18" t="str">
        <f aca="false">IF(OR(V1625="Aprobada"),R1625,IF(AND(OR(V1625="Aprobada con ajuste",V1625="Rechazada"),W1625&lt;&gt;""),W1625,""))</f>
        <v/>
      </c>
    </row>
    <row r="1626" customFormat="false" ht="53.7" hidden="false" customHeight="false" outlineLevel="0" collapsed="false">
      <c r="A1626" s="18" t="s">
        <v>7104</v>
      </c>
      <c r="B1626" s="18" t="s">
        <v>66</v>
      </c>
      <c r="C1626" s="18" t="s">
        <v>67</v>
      </c>
      <c r="D1626" s="18" t="s">
        <v>7105</v>
      </c>
      <c r="E1626" s="18" t="n">
        <v>0</v>
      </c>
      <c r="F1626" s="18" t="s">
        <v>7106</v>
      </c>
      <c r="G1626" s="18" t="s">
        <v>486</v>
      </c>
      <c r="H1626" s="18" t="s">
        <v>129</v>
      </c>
      <c r="I1626" s="18" t="s">
        <v>298</v>
      </c>
      <c r="J1626" s="18" t="s">
        <v>7107</v>
      </c>
      <c r="K1626" s="18"/>
      <c r="L1626" s="18" t="s">
        <v>162</v>
      </c>
      <c r="M1626" s="18" t="s">
        <v>162</v>
      </c>
      <c r="N1626" s="18" t="s">
        <v>3663</v>
      </c>
      <c r="O1626" s="18" t="s">
        <v>7108</v>
      </c>
      <c r="P1626" s="18" t="s">
        <v>7109</v>
      </c>
      <c r="Q1626" s="18" t="s">
        <v>149</v>
      </c>
      <c r="R1626" s="18" t="s">
        <v>7110</v>
      </c>
      <c r="S1626" s="18" t="s">
        <v>133</v>
      </c>
      <c r="T1626" s="18" t="s">
        <v>6905</v>
      </c>
      <c r="U1626" s="18"/>
      <c r="V1626" s="19" t="s">
        <v>29</v>
      </c>
      <c r="W1626" s="19"/>
      <c r="X1626" s="19"/>
      <c r="Y1626" s="20"/>
      <c r="Z1626" s="19"/>
      <c r="AA1626" s="18" t="str">
        <f aca="false">IF(OR(V1626="Aprobada"),R1626,IF(AND(OR(V1626="Aprobada con ajuste",V1626="Rechazada"),W1626&lt;&gt;""),W1626,""))</f>
        <v/>
      </c>
    </row>
    <row r="1627" customFormat="false" ht="32.8" hidden="false" customHeight="false" outlineLevel="0" collapsed="false">
      <c r="A1627" s="18" t="s">
        <v>7111</v>
      </c>
      <c r="B1627" s="18" t="s">
        <v>66</v>
      </c>
      <c r="C1627" s="18" t="s">
        <v>67</v>
      </c>
      <c r="D1627" s="18" t="s">
        <v>7105</v>
      </c>
      <c r="E1627" s="18" t="n">
        <v>0</v>
      </c>
      <c r="F1627" s="18" t="s">
        <v>6829</v>
      </c>
      <c r="G1627" s="18" t="s">
        <v>180</v>
      </c>
      <c r="H1627" s="18" t="s">
        <v>129</v>
      </c>
      <c r="I1627" s="18"/>
      <c r="J1627" s="18"/>
      <c r="K1627" s="18"/>
      <c r="L1627" s="18" t="s">
        <v>129</v>
      </c>
      <c r="M1627" s="18" t="s">
        <v>162</v>
      </c>
      <c r="N1627" s="18" t="s">
        <v>3663</v>
      </c>
      <c r="O1627" s="18"/>
      <c r="P1627" s="18" t="s">
        <v>7112</v>
      </c>
      <c r="Q1627" s="18" t="s">
        <v>131</v>
      </c>
      <c r="R1627" s="18" t="s">
        <v>7113</v>
      </c>
      <c r="S1627" s="18" t="s">
        <v>133</v>
      </c>
      <c r="T1627" s="18" t="s">
        <v>7114</v>
      </c>
      <c r="U1627" s="18"/>
      <c r="V1627" s="19" t="s">
        <v>29</v>
      </c>
      <c r="W1627" s="19"/>
      <c r="X1627" s="19"/>
      <c r="Y1627" s="20"/>
      <c r="Z1627" s="19"/>
      <c r="AA1627" s="18" t="str">
        <f aca="false">IF(OR(V1627="Aprobada"),R1627,IF(AND(OR(V1627="Aprobada con ajuste",V1627="Rechazada"),W1627&lt;&gt;""),W1627,""))</f>
        <v/>
      </c>
    </row>
    <row r="1628" customFormat="false" ht="74.6" hidden="false" customHeight="false" outlineLevel="0" collapsed="false">
      <c r="A1628" s="18" t="s">
        <v>7115</v>
      </c>
      <c r="B1628" s="18" t="s">
        <v>66</v>
      </c>
      <c r="C1628" s="18" t="s">
        <v>67</v>
      </c>
      <c r="D1628" s="18" t="s">
        <v>7105</v>
      </c>
      <c r="E1628" s="18" t="n">
        <v>0</v>
      </c>
      <c r="F1628" s="18" t="s">
        <v>3183</v>
      </c>
      <c r="G1628" s="18" t="s">
        <v>128</v>
      </c>
      <c r="H1628" s="18" t="s">
        <v>129</v>
      </c>
      <c r="I1628" s="18"/>
      <c r="J1628" s="18"/>
      <c r="K1628" s="18"/>
      <c r="L1628" s="18" t="s">
        <v>129</v>
      </c>
      <c r="M1628" s="18" t="s">
        <v>162</v>
      </c>
      <c r="N1628" s="18" t="s">
        <v>3663</v>
      </c>
      <c r="O1628" s="18"/>
      <c r="P1628" s="18" t="s">
        <v>7116</v>
      </c>
      <c r="Q1628" s="18" t="s">
        <v>149</v>
      </c>
      <c r="R1628" s="18" t="s">
        <v>7117</v>
      </c>
      <c r="S1628" s="18" t="s">
        <v>133</v>
      </c>
      <c r="T1628" s="18" t="s">
        <v>7118</v>
      </c>
      <c r="U1628" s="18"/>
      <c r="V1628" s="19" t="s">
        <v>29</v>
      </c>
      <c r="W1628" s="19"/>
      <c r="X1628" s="19"/>
      <c r="Y1628" s="20"/>
      <c r="Z1628" s="19"/>
      <c r="AA1628" s="18" t="str">
        <f aca="false">IF(OR(V1628="Aprobada"),R1628,IF(AND(OR(V1628="Aprobada con ajuste",V1628="Rechazada"),W1628&lt;&gt;""),W1628,""))</f>
        <v/>
      </c>
    </row>
    <row r="1629" customFormat="false" ht="22.35" hidden="false" customHeight="false" outlineLevel="0" collapsed="false">
      <c r="A1629" s="18" t="s">
        <v>7119</v>
      </c>
      <c r="B1629" s="18" t="s">
        <v>66</v>
      </c>
      <c r="C1629" s="18" t="s">
        <v>67</v>
      </c>
      <c r="D1629" s="18" t="s">
        <v>7105</v>
      </c>
      <c r="E1629" s="18" t="n">
        <v>0</v>
      </c>
      <c r="F1629" s="18" t="s">
        <v>6278</v>
      </c>
      <c r="G1629" s="18" t="s">
        <v>137</v>
      </c>
      <c r="H1629" s="18" t="s">
        <v>162</v>
      </c>
      <c r="I1629" s="18"/>
      <c r="J1629" s="18"/>
      <c r="K1629" s="18"/>
      <c r="L1629" s="18" t="s">
        <v>129</v>
      </c>
      <c r="M1629" s="18" t="s">
        <v>129</v>
      </c>
      <c r="N1629" s="18"/>
      <c r="O1629" s="18" t="s">
        <v>7120</v>
      </c>
      <c r="P1629" s="18"/>
      <c r="Q1629" s="18" t="s">
        <v>138</v>
      </c>
      <c r="R1629" s="18" t="s">
        <v>6280</v>
      </c>
      <c r="S1629" s="18" t="s">
        <v>140</v>
      </c>
      <c r="T1629" s="18" t="s">
        <v>141</v>
      </c>
      <c r="U1629" s="18"/>
      <c r="V1629" s="19" t="s">
        <v>29</v>
      </c>
      <c r="W1629" s="19"/>
      <c r="X1629" s="19"/>
      <c r="Y1629" s="20"/>
      <c r="Z1629" s="19"/>
      <c r="AA1629" s="18" t="str">
        <f aca="false">IF(OR(V1629="Aprobada"),R1629,IF(AND(OR(V1629="Aprobada con ajuste",V1629="Rechazada"),W1629&lt;&gt;""),W1629,""))</f>
        <v/>
      </c>
    </row>
    <row r="1630" customFormat="false" ht="22.35" hidden="false" customHeight="false" outlineLevel="0" collapsed="false">
      <c r="A1630" s="18" t="s">
        <v>7121</v>
      </c>
      <c r="B1630" s="18" t="s">
        <v>66</v>
      </c>
      <c r="C1630" s="18" t="s">
        <v>67</v>
      </c>
      <c r="D1630" s="18" t="s">
        <v>7105</v>
      </c>
      <c r="E1630" s="18" t="n">
        <v>0</v>
      </c>
      <c r="F1630" s="18" t="s">
        <v>2681</v>
      </c>
      <c r="G1630" s="18" t="s">
        <v>137</v>
      </c>
      <c r="H1630" s="18" t="s">
        <v>162</v>
      </c>
      <c r="I1630" s="18"/>
      <c r="J1630" s="18"/>
      <c r="K1630" s="18"/>
      <c r="L1630" s="18" t="s">
        <v>129</v>
      </c>
      <c r="M1630" s="18" t="s">
        <v>129</v>
      </c>
      <c r="N1630" s="18"/>
      <c r="O1630" s="18"/>
      <c r="P1630" s="18"/>
      <c r="Q1630" s="18" t="s">
        <v>138</v>
      </c>
      <c r="R1630" s="18" t="s">
        <v>2683</v>
      </c>
      <c r="S1630" s="18" t="s">
        <v>140</v>
      </c>
      <c r="T1630" s="18" t="s">
        <v>141</v>
      </c>
      <c r="U1630" s="18"/>
      <c r="V1630" s="19" t="s">
        <v>29</v>
      </c>
      <c r="W1630" s="19"/>
      <c r="X1630" s="19"/>
      <c r="Y1630" s="20"/>
      <c r="Z1630" s="19"/>
      <c r="AA1630" s="18" t="str">
        <f aca="false">IF(OR(V1630="Aprobada"),R1630,IF(AND(OR(V1630="Aprobada con ajuste",V1630="Rechazada"),W1630&lt;&gt;""),W1630,""))</f>
        <v/>
      </c>
    </row>
    <row r="1631" customFormat="false" ht="22.35" hidden="false" customHeight="false" outlineLevel="0" collapsed="false">
      <c r="A1631" s="18" t="s">
        <v>7122</v>
      </c>
      <c r="B1631" s="18" t="s">
        <v>66</v>
      </c>
      <c r="C1631" s="18" t="s">
        <v>67</v>
      </c>
      <c r="D1631" s="18" t="s">
        <v>7105</v>
      </c>
      <c r="E1631" s="18" t="n">
        <v>0</v>
      </c>
      <c r="F1631" s="18" t="s">
        <v>886</v>
      </c>
      <c r="G1631" s="18" t="s">
        <v>128</v>
      </c>
      <c r="H1631" s="18" t="s">
        <v>162</v>
      </c>
      <c r="I1631" s="18"/>
      <c r="J1631" s="18"/>
      <c r="K1631" s="18"/>
      <c r="L1631" s="18" t="s">
        <v>129</v>
      </c>
      <c r="M1631" s="18" t="s">
        <v>129</v>
      </c>
      <c r="N1631" s="18"/>
      <c r="O1631" s="18"/>
      <c r="P1631" s="18"/>
      <c r="Q1631" s="18" t="s">
        <v>138</v>
      </c>
      <c r="R1631" s="18" t="s">
        <v>1693</v>
      </c>
      <c r="S1631" s="18" t="s">
        <v>140</v>
      </c>
      <c r="T1631" s="18" t="s">
        <v>141</v>
      </c>
      <c r="U1631" s="18"/>
      <c r="V1631" s="19" t="s">
        <v>29</v>
      </c>
      <c r="W1631" s="19"/>
      <c r="X1631" s="19"/>
      <c r="Y1631" s="20"/>
      <c r="Z1631" s="19"/>
      <c r="AA1631" s="18" t="str">
        <f aca="false">IF(OR(V1631="Aprobada"),R1631,IF(AND(OR(V1631="Aprobada con ajuste",V1631="Rechazada"),W1631&lt;&gt;""),W1631,""))</f>
        <v/>
      </c>
    </row>
    <row r="1632" customFormat="false" ht="43.25" hidden="false" customHeight="false" outlineLevel="0" collapsed="false">
      <c r="A1632" s="18" t="s">
        <v>7123</v>
      </c>
      <c r="B1632" s="18" t="s">
        <v>66</v>
      </c>
      <c r="C1632" s="18" t="s">
        <v>67</v>
      </c>
      <c r="D1632" s="18" t="s">
        <v>7124</v>
      </c>
      <c r="E1632" s="18" t="n">
        <v>0</v>
      </c>
      <c r="F1632" s="18" t="s">
        <v>611</v>
      </c>
      <c r="G1632" s="18" t="s">
        <v>180</v>
      </c>
      <c r="H1632" s="18" t="s">
        <v>129</v>
      </c>
      <c r="I1632" s="18" t="s">
        <v>146</v>
      </c>
      <c r="J1632" s="18"/>
      <c r="K1632" s="18"/>
      <c r="L1632" s="18" t="s">
        <v>129</v>
      </c>
      <c r="M1632" s="18" t="s">
        <v>129</v>
      </c>
      <c r="N1632" s="18"/>
      <c r="O1632" s="18" t="s">
        <v>7125</v>
      </c>
      <c r="P1632" s="18"/>
      <c r="Q1632" s="18" t="s">
        <v>138</v>
      </c>
      <c r="R1632" s="18" t="s">
        <v>7126</v>
      </c>
      <c r="S1632" s="18" t="s">
        <v>140</v>
      </c>
      <c r="T1632" s="18" t="s">
        <v>141</v>
      </c>
      <c r="U1632" s="18"/>
      <c r="V1632" s="19" t="s">
        <v>29</v>
      </c>
      <c r="W1632" s="19"/>
      <c r="X1632" s="19"/>
      <c r="Y1632" s="20"/>
      <c r="Z1632" s="19"/>
      <c r="AA1632" s="18" t="str">
        <f aca="false">IF(OR(V1632="Aprobada"),R1632,IF(AND(OR(V1632="Aprobada con ajuste",V1632="Rechazada"),W1632&lt;&gt;""),W1632,""))</f>
        <v/>
      </c>
    </row>
    <row r="1633" customFormat="false" ht="22.35" hidden="false" customHeight="false" outlineLevel="0" collapsed="false">
      <c r="A1633" s="18" t="s">
        <v>7127</v>
      </c>
      <c r="B1633" s="18" t="s">
        <v>66</v>
      </c>
      <c r="C1633" s="18" t="s">
        <v>67</v>
      </c>
      <c r="D1633" s="18" t="s">
        <v>7124</v>
      </c>
      <c r="E1633" s="18" t="n">
        <v>0</v>
      </c>
      <c r="F1633" s="18" t="s">
        <v>275</v>
      </c>
      <c r="G1633" s="18" t="s">
        <v>161</v>
      </c>
      <c r="H1633" s="18" t="s">
        <v>129</v>
      </c>
      <c r="I1633" s="18"/>
      <c r="J1633" s="18"/>
      <c r="K1633" s="18"/>
      <c r="L1633" s="18" t="s">
        <v>129</v>
      </c>
      <c r="M1633" s="18" t="s">
        <v>129</v>
      </c>
      <c r="N1633" s="18"/>
      <c r="O1633" s="18"/>
      <c r="P1633" s="18"/>
      <c r="Q1633" s="18" t="s">
        <v>138</v>
      </c>
      <c r="R1633" s="18" t="s">
        <v>7128</v>
      </c>
      <c r="S1633" s="18" t="s">
        <v>140</v>
      </c>
      <c r="T1633" s="18" t="s">
        <v>141</v>
      </c>
      <c r="U1633" s="18"/>
      <c r="V1633" s="19" t="s">
        <v>29</v>
      </c>
      <c r="W1633" s="19"/>
      <c r="X1633" s="19"/>
      <c r="Y1633" s="20"/>
      <c r="Z1633" s="19"/>
      <c r="AA1633" s="18" t="str">
        <f aca="false">IF(OR(V1633="Aprobada"),R1633,IF(AND(OR(V1633="Aprobada con ajuste",V1633="Rechazada"),W1633&lt;&gt;""),W1633,""))</f>
        <v/>
      </c>
    </row>
    <row r="1634" customFormat="false" ht="22.35" hidden="false" customHeight="false" outlineLevel="0" collapsed="false">
      <c r="A1634" s="18" t="s">
        <v>7129</v>
      </c>
      <c r="B1634" s="18" t="s">
        <v>66</v>
      </c>
      <c r="C1634" s="18" t="s">
        <v>67</v>
      </c>
      <c r="D1634" s="18" t="s">
        <v>7124</v>
      </c>
      <c r="E1634" s="18" t="n">
        <v>0</v>
      </c>
      <c r="F1634" s="18" t="s">
        <v>127</v>
      </c>
      <c r="G1634" s="18" t="s">
        <v>486</v>
      </c>
      <c r="H1634" s="18" t="s">
        <v>129</v>
      </c>
      <c r="I1634" s="18"/>
      <c r="J1634" s="18"/>
      <c r="K1634" s="18"/>
      <c r="L1634" s="18" t="s">
        <v>129</v>
      </c>
      <c r="M1634" s="18" t="s">
        <v>129</v>
      </c>
      <c r="N1634" s="18"/>
      <c r="O1634" s="18" t="s">
        <v>7130</v>
      </c>
      <c r="P1634" s="18"/>
      <c r="Q1634" s="18" t="s">
        <v>138</v>
      </c>
      <c r="R1634" s="18" t="s">
        <v>7131</v>
      </c>
      <c r="S1634" s="18" t="s">
        <v>140</v>
      </c>
      <c r="T1634" s="18" t="s">
        <v>141</v>
      </c>
      <c r="U1634" s="18"/>
      <c r="V1634" s="19" t="s">
        <v>29</v>
      </c>
      <c r="W1634" s="19"/>
      <c r="X1634" s="19"/>
      <c r="Y1634" s="20"/>
      <c r="Z1634" s="19"/>
      <c r="AA1634" s="18" t="str">
        <f aca="false">IF(OR(V1634="Aprobada"),R1634,IF(AND(OR(V1634="Aprobada con ajuste",V1634="Rechazada"),W1634&lt;&gt;""),W1634,""))</f>
        <v/>
      </c>
    </row>
    <row r="1635" customFormat="false" ht="32.8" hidden="false" customHeight="false" outlineLevel="0" collapsed="false">
      <c r="A1635" s="18" t="s">
        <v>7132</v>
      </c>
      <c r="B1635" s="18" t="s">
        <v>66</v>
      </c>
      <c r="C1635" s="18" t="s">
        <v>67</v>
      </c>
      <c r="D1635" s="18" t="s">
        <v>7124</v>
      </c>
      <c r="E1635" s="18" t="n">
        <v>0</v>
      </c>
      <c r="F1635" s="18" t="s">
        <v>6705</v>
      </c>
      <c r="G1635" s="18" t="s">
        <v>145</v>
      </c>
      <c r="H1635" s="18" t="s">
        <v>129</v>
      </c>
      <c r="I1635" s="18" t="s">
        <v>298</v>
      </c>
      <c r="J1635" s="18" t="s">
        <v>7133</v>
      </c>
      <c r="K1635" s="18"/>
      <c r="L1635" s="18" t="s">
        <v>162</v>
      </c>
      <c r="M1635" s="18" t="s">
        <v>129</v>
      </c>
      <c r="N1635" s="18"/>
      <c r="O1635" s="18" t="s">
        <v>7134</v>
      </c>
      <c r="P1635" s="18"/>
      <c r="Q1635" s="18" t="s">
        <v>149</v>
      </c>
      <c r="R1635" s="18" t="s">
        <v>7135</v>
      </c>
      <c r="S1635" s="18" t="s">
        <v>133</v>
      </c>
      <c r="T1635" s="18" t="s">
        <v>6687</v>
      </c>
      <c r="U1635" s="18"/>
      <c r="V1635" s="19" t="s">
        <v>29</v>
      </c>
      <c r="W1635" s="19"/>
      <c r="X1635" s="19"/>
      <c r="Y1635" s="20"/>
      <c r="Z1635" s="19"/>
      <c r="AA1635" s="18" t="str">
        <f aca="false">IF(OR(V1635="Aprobada"),R1635,IF(AND(OR(V1635="Aprobada con ajuste",V1635="Rechazada"),W1635&lt;&gt;""),W1635,""))</f>
        <v/>
      </c>
    </row>
    <row r="1636" customFormat="false" ht="22.35" hidden="false" customHeight="false" outlineLevel="0" collapsed="false">
      <c r="A1636" s="18" t="s">
        <v>7136</v>
      </c>
      <c r="B1636" s="18" t="s">
        <v>66</v>
      </c>
      <c r="C1636" s="18" t="s">
        <v>67</v>
      </c>
      <c r="D1636" s="18" t="s">
        <v>7124</v>
      </c>
      <c r="E1636" s="18" t="n">
        <v>0</v>
      </c>
      <c r="F1636" s="18" t="s">
        <v>5413</v>
      </c>
      <c r="G1636" s="18" t="s">
        <v>180</v>
      </c>
      <c r="H1636" s="18" t="s">
        <v>162</v>
      </c>
      <c r="I1636" s="18"/>
      <c r="J1636" s="18"/>
      <c r="K1636" s="18"/>
      <c r="L1636" s="18" t="s">
        <v>129</v>
      </c>
      <c r="M1636" s="18" t="s">
        <v>129</v>
      </c>
      <c r="N1636" s="18"/>
      <c r="O1636" s="18"/>
      <c r="P1636" s="18"/>
      <c r="Q1636" s="18" t="s">
        <v>149</v>
      </c>
      <c r="R1636" s="18" t="s">
        <v>6936</v>
      </c>
      <c r="S1636" s="18" t="s">
        <v>140</v>
      </c>
      <c r="T1636" s="18" t="s">
        <v>6849</v>
      </c>
      <c r="U1636" s="18" t="s">
        <v>6850</v>
      </c>
      <c r="V1636" s="19" t="s">
        <v>29</v>
      </c>
      <c r="W1636" s="19"/>
      <c r="X1636" s="19"/>
      <c r="Y1636" s="20"/>
      <c r="Z1636" s="19"/>
      <c r="AA1636" s="18" t="str">
        <f aca="false">IF(OR(V1636="Aprobada"),R1636,IF(AND(OR(V1636="Aprobada con ajuste",V1636="Rechazada"),W1636&lt;&gt;""),W1636,""))</f>
        <v/>
      </c>
    </row>
    <row r="1637" customFormat="false" ht="22.35" hidden="false" customHeight="false" outlineLevel="0" collapsed="false">
      <c r="A1637" s="18" t="s">
        <v>7137</v>
      </c>
      <c r="B1637" s="18" t="s">
        <v>66</v>
      </c>
      <c r="C1637" s="18" t="s">
        <v>67</v>
      </c>
      <c r="D1637" s="18" t="s">
        <v>7124</v>
      </c>
      <c r="E1637" s="18" t="n">
        <v>0</v>
      </c>
      <c r="F1637" s="18" t="s">
        <v>6852</v>
      </c>
      <c r="G1637" s="18" t="s">
        <v>180</v>
      </c>
      <c r="H1637" s="18" t="s">
        <v>162</v>
      </c>
      <c r="I1637" s="18"/>
      <c r="J1637" s="18"/>
      <c r="K1637" s="18"/>
      <c r="L1637" s="18" t="s">
        <v>129</v>
      </c>
      <c r="M1637" s="18" t="s">
        <v>129</v>
      </c>
      <c r="N1637" s="18"/>
      <c r="O1637" s="18"/>
      <c r="P1637" s="18"/>
      <c r="Q1637" s="18" t="s">
        <v>149</v>
      </c>
      <c r="R1637" s="18" t="s">
        <v>7138</v>
      </c>
      <c r="S1637" s="18" t="s">
        <v>140</v>
      </c>
      <c r="T1637" s="18" t="s">
        <v>6855</v>
      </c>
      <c r="U1637" s="18" t="s">
        <v>6856</v>
      </c>
      <c r="V1637" s="19" t="s">
        <v>29</v>
      </c>
      <c r="W1637" s="19"/>
      <c r="X1637" s="19"/>
      <c r="Y1637" s="20"/>
      <c r="Z1637" s="19"/>
      <c r="AA1637" s="18" t="str">
        <f aca="false">IF(OR(V1637="Aprobada"),R1637,IF(AND(OR(V1637="Aprobada con ajuste",V1637="Rechazada"),W1637&lt;&gt;""),W1637,""))</f>
        <v/>
      </c>
    </row>
    <row r="1638" customFormat="false" ht="22.35" hidden="false" customHeight="false" outlineLevel="0" collapsed="false">
      <c r="A1638" s="18" t="s">
        <v>7139</v>
      </c>
      <c r="B1638" s="18" t="s">
        <v>66</v>
      </c>
      <c r="C1638" s="18" t="s">
        <v>67</v>
      </c>
      <c r="D1638" s="18" t="s">
        <v>7124</v>
      </c>
      <c r="E1638" s="18" t="n">
        <v>0</v>
      </c>
      <c r="F1638" s="18" t="s">
        <v>5081</v>
      </c>
      <c r="G1638" s="18" t="s">
        <v>180</v>
      </c>
      <c r="H1638" s="18" t="s">
        <v>129</v>
      </c>
      <c r="I1638" s="18"/>
      <c r="J1638" s="18"/>
      <c r="K1638" s="18"/>
      <c r="L1638" s="18" t="s">
        <v>129</v>
      </c>
      <c r="M1638" s="18" t="s">
        <v>129</v>
      </c>
      <c r="N1638" s="18"/>
      <c r="O1638" s="18"/>
      <c r="P1638" s="18"/>
      <c r="Q1638" s="18" t="s">
        <v>149</v>
      </c>
      <c r="R1638" s="18" t="s">
        <v>7140</v>
      </c>
      <c r="S1638" s="18" t="s">
        <v>140</v>
      </c>
      <c r="T1638" s="18" t="s">
        <v>858</v>
      </c>
      <c r="U1638" s="18" t="s">
        <v>6637</v>
      </c>
      <c r="V1638" s="19" t="s">
        <v>29</v>
      </c>
      <c r="W1638" s="19"/>
      <c r="X1638" s="19"/>
      <c r="Y1638" s="20"/>
      <c r="Z1638" s="19"/>
      <c r="AA1638" s="18" t="str">
        <f aca="false">IF(OR(V1638="Aprobada"),R1638,IF(AND(OR(V1638="Aprobada con ajuste",V1638="Rechazada"),W1638&lt;&gt;""),W1638,""))</f>
        <v/>
      </c>
    </row>
    <row r="1639" customFormat="false" ht="22.35" hidden="false" customHeight="false" outlineLevel="0" collapsed="false">
      <c r="A1639" s="18" t="s">
        <v>7141</v>
      </c>
      <c r="B1639" s="18" t="s">
        <v>66</v>
      </c>
      <c r="C1639" s="18" t="s">
        <v>67</v>
      </c>
      <c r="D1639" s="18" t="s">
        <v>7124</v>
      </c>
      <c r="E1639" s="18" t="n">
        <v>0</v>
      </c>
      <c r="F1639" s="18" t="s">
        <v>2414</v>
      </c>
      <c r="G1639" s="18" t="s">
        <v>137</v>
      </c>
      <c r="H1639" s="18" t="s">
        <v>129</v>
      </c>
      <c r="I1639" s="18"/>
      <c r="J1639" s="18"/>
      <c r="K1639" s="18"/>
      <c r="L1639" s="18" t="s">
        <v>129</v>
      </c>
      <c r="M1639" s="18" t="s">
        <v>129</v>
      </c>
      <c r="N1639" s="18"/>
      <c r="O1639" s="18"/>
      <c r="P1639" s="18"/>
      <c r="Q1639" s="18" t="s">
        <v>138</v>
      </c>
      <c r="R1639" s="18" t="s">
        <v>2416</v>
      </c>
      <c r="S1639" s="18" t="s">
        <v>140</v>
      </c>
      <c r="T1639" s="18" t="s">
        <v>141</v>
      </c>
      <c r="U1639" s="18"/>
      <c r="V1639" s="19" t="s">
        <v>29</v>
      </c>
      <c r="W1639" s="19"/>
      <c r="X1639" s="19"/>
      <c r="Y1639" s="20"/>
      <c r="Z1639" s="19"/>
      <c r="AA1639" s="18" t="str">
        <f aca="false">IF(OR(V1639="Aprobada"),R1639,IF(AND(OR(V1639="Aprobada con ajuste",V1639="Rechazada"),W1639&lt;&gt;""),W1639,""))</f>
        <v/>
      </c>
    </row>
    <row r="1640" customFormat="false" ht="22.35" hidden="false" customHeight="false" outlineLevel="0" collapsed="false">
      <c r="A1640" s="18" t="s">
        <v>7142</v>
      </c>
      <c r="B1640" s="18" t="s">
        <v>66</v>
      </c>
      <c r="C1640" s="18" t="s">
        <v>67</v>
      </c>
      <c r="D1640" s="18" t="s">
        <v>7124</v>
      </c>
      <c r="E1640" s="18" t="n">
        <v>0</v>
      </c>
      <c r="F1640" s="18" t="s">
        <v>2418</v>
      </c>
      <c r="G1640" s="18" t="s">
        <v>137</v>
      </c>
      <c r="H1640" s="18" t="s">
        <v>129</v>
      </c>
      <c r="I1640" s="18"/>
      <c r="J1640" s="18"/>
      <c r="K1640" s="18"/>
      <c r="L1640" s="18" t="s">
        <v>129</v>
      </c>
      <c r="M1640" s="18" t="s">
        <v>129</v>
      </c>
      <c r="N1640" s="18"/>
      <c r="O1640" s="18"/>
      <c r="P1640" s="18"/>
      <c r="Q1640" s="18" t="s">
        <v>138</v>
      </c>
      <c r="R1640" s="18" t="s">
        <v>2420</v>
      </c>
      <c r="S1640" s="18" t="s">
        <v>140</v>
      </c>
      <c r="T1640" s="18" t="s">
        <v>141</v>
      </c>
      <c r="U1640" s="18"/>
      <c r="V1640" s="19" t="s">
        <v>29</v>
      </c>
      <c r="W1640" s="19"/>
      <c r="X1640" s="19"/>
      <c r="Y1640" s="20"/>
      <c r="Z1640" s="19"/>
      <c r="AA1640" s="18" t="str">
        <f aca="false">IF(OR(V1640="Aprobada"),R1640,IF(AND(OR(V1640="Aprobada con ajuste",V1640="Rechazada"),W1640&lt;&gt;""),W1640,""))</f>
        <v/>
      </c>
    </row>
    <row r="1641" customFormat="false" ht="22.35" hidden="false" customHeight="false" outlineLevel="0" collapsed="false">
      <c r="A1641" s="18" t="s">
        <v>7143</v>
      </c>
      <c r="B1641" s="18" t="s">
        <v>66</v>
      </c>
      <c r="C1641" s="18" t="s">
        <v>67</v>
      </c>
      <c r="D1641" s="18" t="s">
        <v>7124</v>
      </c>
      <c r="E1641" s="18" t="n">
        <v>0</v>
      </c>
      <c r="F1641" s="18" t="s">
        <v>6939</v>
      </c>
      <c r="G1641" s="18" t="s">
        <v>503</v>
      </c>
      <c r="H1641" s="18" t="s">
        <v>162</v>
      </c>
      <c r="I1641" s="18" t="s">
        <v>298</v>
      </c>
      <c r="J1641" s="18"/>
      <c r="K1641" s="18"/>
      <c r="L1641" s="18" t="s">
        <v>129</v>
      </c>
      <c r="M1641" s="18" t="s">
        <v>129</v>
      </c>
      <c r="N1641" s="18"/>
      <c r="O1641" s="18"/>
      <c r="P1641" s="18"/>
      <c r="Q1641" s="18" t="s">
        <v>149</v>
      </c>
      <c r="R1641" s="18" t="s">
        <v>7144</v>
      </c>
      <c r="S1641" s="18" t="s">
        <v>140</v>
      </c>
      <c r="T1641" s="18" t="s">
        <v>7145</v>
      </c>
      <c r="U1641" s="18" t="s">
        <v>7146</v>
      </c>
      <c r="V1641" s="19" t="s">
        <v>29</v>
      </c>
      <c r="W1641" s="19"/>
      <c r="X1641" s="19"/>
      <c r="Y1641" s="20"/>
      <c r="Z1641" s="19"/>
      <c r="AA1641" s="18" t="str">
        <f aca="false">IF(OR(V1641="Aprobada"),R1641,IF(AND(OR(V1641="Aprobada con ajuste",V1641="Rechazada"),W1641&lt;&gt;""),W1641,""))</f>
        <v/>
      </c>
    </row>
    <row r="1642" customFormat="false" ht="22.35" hidden="false" customHeight="false" outlineLevel="0" collapsed="false">
      <c r="A1642" s="18" t="s">
        <v>7147</v>
      </c>
      <c r="B1642" s="18" t="s">
        <v>66</v>
      </c>
      <c r="C1642" s="18" t="s">
        <v>67</v>
      </c>
      <c r="D1642" s="18" t="s">
        <v>7124</v>
      </c>
      <c r="E1642" s="18" t="n">
        <v>0</v>
      </c>
      <c r="F1642" s="18" t="s">
        <v>4777</v>
      </c>
      <c r="G1642" s="18" t="s">
        <v>205</v>
      </c>
      <c r="H1642" s="18" t="s">
        <v>129</v>
      </c>
      <c r="I1642" s="18" t="s">
        <v>298</v>
      </c>
      <c r="J1642" s="18" t="s">
        <v>5203</v>
      </c>
      <c r="K1642" s="18"/>
      <c r="L1642" s="18" t="s">
        <v>162</v>
      </c>
      <c r="M1642" s="18" t="s">
        <v>129</v>
      </c>
      <c r="N1642" s="18"/>
      <c r="O1642" s="18"/>
      <c r="P1642" s="18"/>
      <c r="Q1642" s="18" t="s">
        <v>149</v>
      </c>
      <c r="R1642" s="18" t="s">
        <v>6947</v>
      </c>
      <c r="S1642" s="18" t="s">
        <v>133</v>
      </c>
      <c r="T1642" s="18" t="s">
        <v>6687</v>
      </c>
      <c r="U1642" s="18"/>
      <c r="V1642" s="19" t="s">
        <v>29</v>
      </c>
      <c r="W1642" s="19"/>
      <c r="X1642" s="19"/>
      <c r="Y1642" s="20"/>
      <c r="Z1642" s="19"/>
      <c r="AA1642" s="18" t="str">
        <f aca="false">IF(OR(V1642="Aprobada"),R1642,IF(AND(OR(V1642="Aprobada con ajuste",V1642="Rechazada"),W1642&lt;&gt;""),W1642,""))</f>
        <v/>
      </c>
    </row>
    <row r="1643" customFormat="false" ht="22.35" hidden="false" customHeight="false" outlineLevel="0" collapsed="false">
      <c r="A1643" s="18" t="s">
        <v>7148</v>
      </c>
      <c r="B1643" s="18" t="s">
        <v>66</v>
      </c>
      <c r="C1643" s="18" t="s">
        <v>67</v>
      </c>
      <c r="D1643" s="18" t="s">
        <v>7124</v>
      </c>
      <c r="E1643" s="18" t="n">
        <v>0</v>
      </c>
      <c r="F1643" s="18" t="s">
        <v>7149</v>
      </c>
      <c r="G1643" s="18" t="s">
        <v>503</v>
      </c>
      <c r="H1643" s="18" t="s">
        <v>162</v>
      </c>
      <c r="I1643" s="18"/>
      <c r="J1643" s="18"/>
      <c r="K1643" s="18"/>
      <c r="L1643" s="18" t="s">
        <v>129</v>
      </c>
      <c r="M1643" s="18" t="s">
        <v>129</v>
      </c>
      <c r="N1643" s="18"/>
      <c r="O1643" s="18"/>
      <c r="P1643" s="18"/>
      <c r="Q1643" s="18" t="s">
        <v>149</v>
      </c>
      <c r="R1643" s="18" t="s">
        <v>7150</v>
      </c>
      <c r="S1643" s="18" t="s">
        <v>140</v>
      </c>
      <c r="T1643" s="18" t="s">
        <v>7145</v>
      </c>
      <c r="U1643" s="18" t="s">
        <v>7151</v>
      </c>
      <c r="V1643" s="19" t="s">
        <v>29</v>
      </c>
      <c r="W1643" s="19"/>
      <c r="X1643" s="19"/>
      <c r="Y1643" s="20"/>
      <c r="Z1643" s="19"/>
      <c r="AA1643" s="18" t="str">
        <f aca="false">IF(OR(V1643="Aprobada"),R1643,IF(AND(OR(V1643="Aprobada con ajuste",V1643="Rechazada"),W1643&lt;&gt;""),W1643,""))</f>
        <v/>
      </c>
    </row>
    <row r="1644" customFormat="false" ht="53.7" hidden="false" customHeight="false" outlineLevel="0" collapsed="false">
      <c r="A1644" s="18" t="s">
        <v>7152</v>
      </c>
      <c r="B1644" s="18" t="s">
        <v>66</v>
      </c>
      <c r="C1644" s="18" t="s">
        <v>67</v>
      </c>
      <c r="D1644" s="18" t="s">
        <v>7153</v>
      </c>
      <c r="E1644" s="18" t="n">
        <v>0</v>
      </c>
      <c r="F1644" s="18" t="s">
        <v>611</v>
      </c>
      <c r="G1644" s="18" t="s">
        <v>180</v>
      </c>
      <c r="H1644" s="18" t="s">
        <v>129</v>
      </c>
      <c r="I1644" s="18" t="s">
        <v>146</v>
      </c>
      <c r="J1644" s="18"/>
      <c r="K1644" s="18"/>
      <c r="L1644" s="18" t="s">
        <v>129</v>
      </c>
      <c r="M1644" s="18" t="s">
        <v>129</v>
      </c>
      <c r="N1644" s="18"/>
      <c r="O1644" s="18" t="s">
        <v>7154</v>
      </c>
      <c r="P1644" s="18" t="s">
        <v>7155</v>
      </c>
      <c r="Q1644" s="18" t="s">
        <v>138</v>
      </c>
      <c r="R1644" s="18" t="s">
        <v>7156</v>
      </c>
      <c r="S1644" s="18" t="s">
        <v>140</v>
      </c>
      <c r="T1644" s="18" t="s">
        <v>141</v>
      </c>
      <c r="U1644" s="18"/>
      <c r="V1644" s="19" t="s">
        <v>29</v>
      </c>
      <c r="W1644" s="19"/>
      <c r="X1644" s="19"/>
      <c r="Y1644" s="20"/>
      <c r="Z1644" s="19"/>
      <c r="AA1644" s="18" t="str">
        <f aca="false">IF(OR(V1644="Aprobada"),R1644,IF(AND(OR(V1644="Aprobada con ajuste",V1644="Rechazada"),W1644&lt;&gt;""),W1644,""))</f>
        <v/>
      </c>
    </row>
    <row r="1645" customFormat="false" ht="64.15" hidden="false" customHeight="false" outlineLevel="0" collapsed="false">
      <c r="A1645" s="18" t="s">
        <v>7157</v>
      </c>
      <c r="B1645" s="18" t="s">
        <v>66</v>
      </c>
      <c r="C1645" s="18" t="s">
        <v>67</v>
      </c>
      <c r="D1645" s="18" t="s">
        <v>7153</v>
      </c>
      <c r="E1645" s="18" t="n">
        <v>0</v>
      </c>
      <c r="F1645" s="18" t="s">
        <v>275</v>
      </c>
      <c r="G1645" s="18" t="s">
        <v>180</v>
      </c>
      <c r="H1645" s="18" t="s">
        <v>129</v>
      </c>
      <c r="I1645" s="18"/>
      <c r="J1645" s="18"/>
      <c r="K1645" s="18"/>
      <c r="L1645" s="18" t="s">
        <v>129</v>
      </c>
      <c r="M1645" s="18" t="s">
        <v>129</v>
      </c>
      <c r="N1645" s="18"/>
      <c r="O1645" s="18"/>
      <c r="P1645" s="18" t="s">
        <v>7158</v>
      </c>
      <c r="Q1645" s="18" t="s">
        <v>138</v>
      </c>
      <c r="R1645" s="18" t="s">
        <v>7159</v>
      </c>
      <c r="S1645" s="18" t="s">
        <v>140</v>
      </c>
      <c r="T1645" s="18" t="s">
        <v>141</v>
      </c>
      <c r="U1645" s="18"/>
      <c r="V1645" s="19" t="s">
        <v>29</v>
      </c>
      <c r="W1645" s="19"/>
      <c r="X1645" s="19"/>
      <c r="Y1645" s="20"/>
      <c r="Z1645" s="19"/>
      <c r="AA1645" s="18" t="str">
        <f aca="false">IF(OR(V1645="Aprobada"),R1645,IF(AND(OR(V1645="Aprobada con ajuste",V1645="Rechazada"),W1645&lt;&gt;""),W1645,""))</f>
        <v/>
      </c>
    </row>
    <row r="1646" customFormat="false" ht="53.7" hidden="false" customHeight="false" outlineLevel="0" collapsed="false">
      <c r="A1646" s="18" t="s">
        <v>7160</v>
      </c>
      <c r="B1646" s="18" t="s">
        <v>66</v>
      </c>
      <c r="C1646" s="18" t="s">
        <v>67</v>
      </c>
      <c r="D1646" s="18" t="s">
        <v>7153</v>
      </c>
      <c r="E1646" s="18" t="n">
        <v>0</v>
      </c>
      <c r="F1646" s="18" t="s">
        <v>7161</v>
      </c>
      <c r="G1646" s="18" t="s">
        <v>180</v>
      </c>
      <c r="H1646" s="18" t="s">
        <v>129</v>
      </c>
      <c r="I1646" s="18"/>
      <c r="J1646" s="18"/>
      <c r="K1646" s="18"/>
      <c r="L1646" s="18" t="s">
        <v>129</v>
      </c>
      <c r="M1646" s="18" t="s">
        <v>129</v>
      </c>
      <c r="N1646" s="18"/>
      <c r="O1646" s="18"/>
      <c r="P1646" s="18" t="s">
        <v>7162</v>
      </c>
      <c r="Q1646" s="18" t="s">
        <v>149</v>
      </c>
      <c r="R1646" s="18" t="s">
        <v>7163</v>
      </c>
      <c r="S1646" s="18" t="s">
        <v>140</v>
      </c>
      <c r="T1646" s="18" t="s">
        <v>7164</v>
      </c>
      <c r="U1646" s="18" t="s">
        <v>7165</v>
      </c>
      <c r="V1646" s="19" t="s">
        <v>29</v>
      </c>
      <c r="W1646" s="19"/>
      <c r="X1646" s="19"/>
      <c r="Y1646" s="20"/>
      <c r="Z1646" s="19"/>
      <c r="AA1646" s="18" t="str">
        <f aca="false">IF(OR(V1646="Aprobada"),R1646,IF(AND(OR(V1646="Aprobada con ajuste",V1646="Rechazada"),W1646&lt;&gt;""),W1646,""))</f>
        <v/>
      </c>
    </row>
    <row r="1647" customFormat="false" ht="53.7" hidden="false" customHeight="false" outlineLevel="0" collapsed="false">
      <c r="A1647" s="18" t="s">
        <v>7166</v>
      </c>
      <c r="B1647" s="18" t="s">
        <v>66</v>
      </c>
      <c r="C1647" s="18" t="s">
        <v>67</v>
      </c>
      <c r="D1647" s="18" t="s">
        <v>7153</v>
      </c>
      <c r="E1647" s="18" t="n">
        <v>0</v>
      </c>
      <c r="F1647" s="18" t="s">
        <v>7167</v>
      </c>
      <c r="G1647" s="18" t="s">
        <v>180</v>
      </c>
      <c r="H1647" s="18" t="s">
        <v>129</v>
      </c>
      <c r="I1647" s="18"/>
      <c r="J1647" s="18"/>
      <c r="K1647" s="18"/>
      <c r="L1647" s="18" t="s">
        <v>129</v>
      </c>
      <c r="M1647" s="18" t="s">
        <v>129</v>
      </c>
      <c r="N1647" s="18"/>
      <c r="O1647" s="18"/>
      <c r="P1647" s="18" t="s">
        <v>7168</v>
      </c>
      <c r="Q1647" s="18" t="s">
        <v>149</v>
      </c>
      <c r="R1647" s="18" t="s">
        <v>7169</v>
      </c>
      <c r="S1647" s="18" t="s">
        <v>140</v>
      </c>
      <c r="T1647" s="18" t="s">
        <v>7170</v>
      </c>
      <c r="U1647" s="18" t="s">
        <v>7171</v>
      </c>
      <c r="V1647" s="19" t="s">
        <v>29</v>
      </c>
      <c r="W1647" s="19"/>
      <c r="X1647" s="19"/>
      <c r="Y1647" s="20"/>
      <c r="Z1647" s="19"/>
      <c r="AA1647" s="18" t="str">
        <f aca="false">IF(OR(V1647="Aprobada"),R1647,IF(AND(OR(V1647="Aprobada con ajuste",V1647="Rechazada"),W1647&lt;&gt;""),W1647,""))</f>
        <v/>
      </c>
    </row>
    <row r="1648" customFormat="false" ht="85.05" hidden="false" customHeight="false" outlineLevel="0" collapsed="false">
      <c r="A1648" s="18" t="s">
        <v>7172</v>
      </c>
      <c r="B1648" s="18" t="s">
        <v>66</v>
      </c>
      <c r="C1648" s="18" t="s">
        <v>67</v>
      </c>
      <c r="D1648" s="18" t="s">
        <v>7153</v>
      </c>
      <c r="E1648" s="18" t="n">
        <v>0</v>
      </c>
      <c r="F1648" s="18" t="s">
        <v>127</v>
      </c>
      <c r="G1648" s="18" t="s">
        <v>145</v>
      </c>
      <c r="H1648" s="18" t="s">
        <v>129</v>
      </c>
      <c r="I1648" s="18" t="s">
        <v>298</v>
      </c>
      <c r="J1648" s="18" t="s">
        <v>7173</v>
      </c>
      <c r="K1648" s="18"/>
      <c r="L1648" s="18" t="s">
        <v>162</v>
      </c>
      <c r="M1648" s="18" t="s">
        <v>129</v>
      </c>
      <c r="N1648" s="18"/>
      <c r="O1648" s="18" t="s">
        <v>7174</v>
      </c>
      <c r="P1648" s="18" t="s">
        <v>7175</v>
      </c>
      <c r="Q1648" s="18" t="s">
        <v>138</v>
      </c>
      <c r="R1648" s="18" t="s">
        <v>7176</v>
      </c>
      <c r="S1648" s="18" t="s">
        <v>140</v>
      </c>
      <c r="T1648" s="18" t="s">
        <v>141</v>
      </c>
      <c r="U1648" s="18"/>
      <c r="V1648" s="19" t="s">
        <v>29</v>
      </c>
      <c r="W1648" s="19"/>
      <c r="X1648" s="19"/>
      <c r="Y1648" s="20"/>
      <c r="Z1648" s="19"/>
      <c r="AA1648" s="18" t="str">
        <f aca="false">IF(OR(V1648="Aprobada"),R1648,IF(AND(OR(V1648="Aprobada con ajuste",V1648="Rechazada"),W1648&lt;&gt;""),W1648,""))</f>
        <v/>
      </c>
    </row>
    <row r="1649" customFormat="false" ht="53.7" hidden="false" customHeight="false" outlineLevel="0" collapsed="false">
      <c r="A1649" s="18" t="s">
        <v>7177</v>
      </c>
      <c r="B1649" s="18" t="s">
        <v>66</v>
      </c>
      <c r="C1649" s="18" t="s">
        <v>67</v>
      </c>
      <c r="D1649" s="18" t="s">
        <v>7153</v>
      </c>
      <c r="E1649" s="18" t="n">
        <v>0</v>
      </c>
      <c r="F1649" s="18" t="s">
        <v>727</v>
      </c>
      <c r="G1649" s="18" t="s">
        <v>128</v>
      </c>
      <c r="H1649" s="18" t="s">
        <v>129</v>
      </c>
      <c r="I1649" s="18"/>
      <c r="J1649" s="18"/>
      <c r="K1649" s="18"/>
      <c r="L1649" s="18" t="s">
        <v>129</v>
      </c>
      <c r="M1649" s="18" t="s">
        <v>129</v>
      </c>
      <c r="N1649" s="18"/>
      <c r="O1649" s="18"/>
      <c r="P1649" s="18" t="s">
        <v>7178</v>
      </c>
      <c r="Q1649" s="18" t="s">
        <v>149</v>
      </c>
      <c r="R1649" s="18" t="s">
        <v>7179</v>
      </c>
      <c r="S1649" s="18" t="s">
        <v>133</v>
      </c>
      <c r="T1649" s="18" t="s">
        <v>7012</v>
      </c>
      <c r="U1649" s="18"/>
      <c r="V1649" s="19" t="s">
        <v>29</v>
      </c>
      <c r="W1649" s="19"/>
      <c r="X1649" s="19"/>
      <c r="Y1649" s="20"/>
      <c r="Z1649" s="19"/>
      <c r="AA1649" s="18" t="str">
        <f aca="false">IF(OR(V1649="Aprobada"),R1649,IF(AND(OR(V1649="Aprobada con ajuste",V1649="Rechazada"),W1649&lt;&gt;""),W1649,""))</f>
        <v/>
      </c>
    </row>
    <row r="1650" customFormat="false" ht="53.7" hidden="false" customHeight="false" outlineLevel="0" collapsed="false">
      <c r="A1650" s="18" t="s">
        <v>7180</v>
      </c>
      <c r="B1650" s="18" t="s">
        <v>66</v>
      </c>
      <c r="C1650" s="18" t="s">
        <v>67</v>
      </c>
      <c r="D1650" s="18" t="s">
        <v>7153</v>
      </c>
      <c r="E1650" s="18" t="n">
        <v>0</v>
      </c>
      <c r="F1650" s="18" t="s">
        <v>7181</v>
      </c>
      <c r="G1650" s="18" t="s">
        <v>180</v>
      </c>
      <c r="H1650" s="18" t="s">
        <v>129</v>
      </c>
      <c r="I1650" s="18"/>
      <c r="J1650" s="18"/>
      <c r="K1650" s="18"/>
      <c r="L1650" s="18" t="s">
        <v>129</v>
      </c>
      <c r="M1650" s="18" t="s">
        <v>129</v>
      </c>
      <c r="N1650" s="18"/>
      <c r="O1650" s="18"/>
      <c r="P1650" s="18" t="s">
        <v>7182</v>
      </c>
      <c r="Q1650" s="18" t="s">
        <v>149</v>
      </c>
      <c r="R1650" s="18" t="s">
        <v>7183</v>
      </c>
      <c r="S1650" s="18" t="s">
        <v>242</v>
      </c>
      <c r="T1650" s="18" t="s">
        <v>7184</v>
      </c>
      <c r="U1650" s="18" t="s">
        <v>7185</v>
      </c>
      <c r="V1650" s="19" t="s">
        <v>29</v>
      </c>
      <c r="W1650" s="19"/>
      <c r="X1650" s="19"/>
      <c r="Y1650" s="20"/>
      <c r="Z1650" s="19"/>
      <c r="AA1650" s="18" t="str">
        <f aca="false">IF(OR(V1650="Aprobada"),R1650,IF(AND(OR(V1650="Aprobada con ajuste",V1650="Rechazada"),W1650&lt;&gt;""),W1650,""))</f>
        <v/>
      </c>
    </row>
    <row r="1651" customFormat="false" ht="53.7" hidden="false" customHeight="false" outlineLevel="0" collapsed="false">
      <c r="A1651" s="18" t="s">
        <v>7186</v>
      </c>
      <c r="B1651" s="18" t="s">
        <v>66</v>
      </c>
      <c r="C1651" s="18" t="s">
        <v>67</v>
      </c>
      <c r="D1651" s="18" t="s">
        <v>7153</v>
      </c>
      <c r="E1651" s="18" t="n">
        <v>0</v>
      </c>
      <c r="F1651" s="18" t="s">
        <v>7187</v>
      </c>
      <c r="G1651" s="18" t="s">
        <v>180</v>
      </c>
      <c r="H1651" s="18" t="s">
        <v>129</v>
      </c>
      <c r="I1651" s="18"/>
      <c r="J1651" s="18"/>
      <c r="K1651" s="18"/>
      <c r="L1651" s="18" t="s">
        <v>129</v>
      </c>
      <c r="M1651" s="18" t="s">
        <v>129</v>
      </c>
      <c r="N1651" s="18"/>
      <c r="O1651" s="18"/>
      <c r="P1651" s="18" t="s">
        <v>7188</v>
      </c>
      <c r="Q1651" s="18" t="s">
        <v>149</v>
      </c>
      <c r="R1651" s="18" t="s">
        <v>7189</v>
      </c>
      <c r="S1651" s="18" t="s">
        <v>140</v>
      </c>
      <c r="T1651" s="18" t="s">
        <v>858</v>
      </c>
      <c r="U1651" s="18" t="s">
        <v>7190</v>
      </c>
      <c r="V1651" s="19" t="s">
        <v>29</v>
      </c>
      <c r="W1651" s="19"/>
      <c r="X1651" s="19"/>
      <c r="Y1651" s="20"/>
      <c r="Z1651" s="19"/>
      <c r="AA1651" s="18" t="str">
        <f aca="false">IF(OR(V1651="Aprobada"),R1651,IF(AND(OR(V1651="Aprobada con ajuste",V1651="Rechazada"),W1651&lt;&gt;""),W1651,""))</f>
        <v/>
      </c>
    </row>
    <row r="1652" customFormat="false" ht="53.7" hidden="false" customHeight="false" outlineLevel="0" collapsed="false">
      <c r="A1652" s="18" t="s">
        <v>7191</v>
      </c>
      <c r="B1652" s="18" t="s">
        <v>66</v>
      </c>
      <c r="C1652" s="18" t="s">
        <v>67</v>
      </c>
      <c r="D1652" s="18" t="s">
        <v>7153</v>
      </c>
      <c r="E1652" s="18" t="n">
        <v>0</v>
      </c>
      <c r="F1652" s="18" t="s">
        <v>7192</v>
      </c>
      <c r="G1652" s="18" t="s">
        <v>192</v>
      </c>
      <c r="H1652" s="18" t="s">
        <v>129</v>
      </c>
      <c r="I1652" s="18"/>
      <c r="J1652" s="18"/>
      <c r="K1652" s="18"/>
      <c r="L1652" s="18" t="s">
        <v>129</v>
      </c>
      <c r="M1652" s="18" t="s">
        <v>129</v>
      </c>
      <c r="N1652" s="18"/>
      <c r="O1652" s="18"/>
      <c r="P1652" s="18" t="s">
        <v>7193</v>
      </c>
      <c r="Q1652" s="18" t="s">
        <v>149</v>
      </c>
      <c r="R1652" s="18" t="s">
        <v>7194</v>
      </c>
      <c r="S1652" s="18" t="s">
        <v>140</v>
      </c>
      <c r="T1652" s="18" t="s">
        <v>7195</v>
      </c>
      <c r="U1652" s="18" t="s">
        <v>7196</v>
      </c>
      <c r="V1652" s="19" t="s">
        <v>29</v>
      </c>
      <c r="W1652" s="19"/>
      <c r="X1652" s="19"/>
      <c r="Y1652" s="20"/>
      <c r="Z1652" s="19"/>
      <c r="AA1652" s="18" t="str">
        <f aca="false">IF(OR(V1652="Aprobada"),R1652,IF(AND(OR(V1652="Aprobada con ajuste",V1652="Rechazada"),W1652&lt;&gt;""),W1652,""))</f>
        <v/>
      </c>
    </row>
    <row r="1653" customFormat="false" ht="53.7" hidden="false" customHeight="false" outlineLevel="0" collapsed="false">
      <c r="A1653" s="18" t="s">
        <v>7197</v>
      </c>
      <c r="B1653" s="18" t="s">
        <v>66</v>
      </c>
      <c r="C1653" s="18" t="s">
        <v>67</v>
      </c>
      <c r="D1653" s="18" t="s">
        <v>7153</v>
      </c>
      <c r="E1653" s="18" t="n">
        <v>0</v>
      </c>
      <c r="F1653" s="18" t="s">
        <v>7198</v>
      </c>
      <c r="G1653" s="18" t="s">
        <v>137</v>
      </c>
      <c r="H1653" s="18" t="s">
        <v>129</v>
      </c>
      <c r="I1653" s="18"/>
      <c r="J1653" s="18"/>
      <c r="K1653" s="18"/>
      <c r="L1653" s="18" t="s">
        <v>129</v>
      </c>
      <c r="M1653" s="18" t="s">
        <v>129</v>
      </c>
      <c r="N1653" s="18"/>
      <c r="O1653" s="18"/>
      <c r="P1653" s="18" t="s">
        <v>7199</v>
      </c>
      <c r="Q1653" s="18" t="s">
        <v>138</v>
      </c>
      <c r="R1653" s="18" t="s">
        <v>7200</v>
      </c>
      <c r="S1653" s="18" t="s">
        <v>140</v>
      </c>
      <c r="T1653" s="18" t="s">
        <v>141</v>
      </c>
      <c r="U1653" s="18"/>
      <c r="V1653" s="19" t="s">
        <v>29</v>
      </c>
      <c r="W1653" s="19"/>
      <c r="X1653" s="19"/>
      <c r="Y1653" s="20"/>
      <c r="Z1653" s="19"/>
      <c r="AA1653" s="18" t="str">
        <f aca="false">IF(OR(V1653="Aprobada"),R1653,IF(AND(OR(V1653="Aprobada con ajuste",V1653="Rechazada"),W1653&lt;&gt;""),W1653,""))</f>
        <v/>
      </c>
    </row>
    <row r="1654" customFormat="false" ht="53.7" hidden="false" customHeight="false" outlineLevel="0" collapsed="false">
      <c r="A1654" s="18" t="s">
        <v>7201</v>
      </c>
      <c r="B1654" s="18" t="s">
        <v>66</v>
      </c>
      <c r="C1654" s="18" t="s">
        <v>67</v>
      </c>
      <c r="D1654" s="18" t="s">
        <v>7153</v>
      </c>
      <c r="E1654" s="18" t="n">
        <v>0</v>
      </c>
      <c r="F1654" s="18" t="s">
        <v>7202</v>
      </c>
      <c r="G1654" s="18" t="s">
        <v>137</v>
      </c>
      <c r="H1654" s="18" t="s">
        <v>129</v>
      </c>
      <c r="I1654" s="18"/>
      <c r="J1654" s="18"/>
      <c r="K1654" s="18"/>
      <c r="L1654" s="18" t="s">
        <v>129</v>
      </c>
      <c r="M1654" s="18" t="s">
        <v>129</v>
      </c>
      <c r="N1654" s="18"/>
      <c r="O1654" s="18"/>
      <c r="P1654" s="18" t="s">
        <v>7203</v>
      </c>
      <c r="Q1654" s="18" t="s">
        <v>138</v>
      </c>
      <c r="R1654" s="18" t="s">
        <v>7204</v>
      </c>
      <c r="S1654" s="18" t="s">
        <v>140</v>
      </c>
      <c r="T1654" s="18" t="s">
        <v>141</v>
      </c>
      <c r="U1654" s="18"/>
      <c r="V1654" s="19" t="s">
        <v>29</v>
      </c>
      <c r="W1654" s="19"/>
      <c r="X1654" s="19"/>
      <c r="Y1654" s="20"/>
      <c r="Z1654" s="19"/>
      <c r="AA1654" s="18" t="str">
        <f aca="false">IF(OR(V1654="Aprobada"),R1654,IF(AND(OR(V1654="Aprobada con ajuste",V1654="Rechazada"),W1654&lt;&gt;""),W1654,""))</f>
        <v/>
      </c>
    </row>
    <row r="1655" customFormat="false" ht="43.25" hidden="false" customHeight="false" outlineLevel="0" collapsed="false">
      <c r="A1655" s="18" t="s">
        <v>7205</v>
      </c>
      <c r="B1655" s="18" t="s">
        <v>66</v>
      </c>
      <c r="C1655" s="18" t="s">
        <v>67</v>
      </c>
      <c r="D1655" s="18" t="s">
        <v>7153</v>
      </c>
      <c r="E1655" s="18" t="n">
        <v>0</v>
      </c>
      <c r="F1655" s="18" t="s">
        <v>7206</v>
      </c>
      <c r="G1655" s="18" t="s">
        <v>503</v>
      </c>
      <c r="H1655" s="18" t="s">
        <v>129</v>
      </c>
      <c r="I1655" s="18"/>
      <c r="J1655" s="18"/>
      <c r="K1655" s="18"/>
      <c r="L1655" s="18" t="s">
        <v>129</v>
      </c>
      <c r="M1655" s="18" t="s">
        <v>129</v>
      </c>
      <c r="N1655" s="18"/>
      <c r="O1655" s="18"/>
      <c r="P1655" s="18" t="s">
        <v>7207</v>
      </c>
      <c r="Q1655" s="18" t="s">
        <v>149</v>
      </c>
      <c r="R1655" s="18" t="s">
        <v>7208</v>
      </c>
      <c r="S1655" s="18" t="s">
        <v>140</v>
      </c>
      <c r="T1655" s="18" t="s">
        <v>7209</v>
      </c>
      <c r="U1655" s="18" t="s">
        <v>7210</v>
      </c>
      <c r="V1655" s="19" t="s">
        <v>29</v>
      </c>
      <c r="W1655" s="19"/>
      <c r="X1655" s="19"/>
      <c r="Y1655" s="20"/>
      <c r="Z1655" s="19"/>
      <c r="AA1655" s="18" t="str">
        <f aca="false">IF(OR(V1655="Aprobada"),R1655,IF(AND(OR(V1655="Aprobada con ajuste",V1655="Rechazada"),W1655&lt;&gt;""),W1655,""))</f>
        <v/>
      </c>
    </row>
    <row r="1656" customFormat="false" ht="85.05" hidden="false" customHeight="false" outlineLevel="0" collapsed="false">
      <c r="A1656" s="18" t="s">
        <v>7211</v>
      </c>
      <c r="B1656" s="18" t="s">
        <v>66</v>
      </c>
      <c r="C1656" s="18" t="s">
        <v>67</v>
      </c>
      <c r="D1656" s="18" t="s">
        <v>7153</v>
      </c>
      <c r="E1656" s="18" t="n">
        <v>0</v>
      </c>
      <c r="F1656" s="18" t="s">
        <v>4777</v>
      </c>
      <c r="G1656" s="18" t="s">
        <v>205</v>
      </c>
      <c r="H1656" s="18" t="s">
        <v>129</v>
      </c>
      <c r="I1656" s="18" t="s">
        <v>298</v>
      </c>
      <c r="J1656" s="18" t="s">
        <v>7212</v>
      </c>
      <c r="K1656" s="18"/>
      <c r="L1656" s="18" t="s">
        <v>162</v>
      </c>
      <c r="M1656" s="18" t="s">
        <v>129</v>
      </c>
      <c r="N1656" s="18"/>
      <c r="O1656" s="18"/>
      <c r="P1656" s="18" t="s">
        <v>7213</v>
      </c>
      <c r="Q1656" s="18" t="s">
        <v>149</v>
      </c>
      <c r="R1656" s="18" t="s">
        <v>7214</v>
      </c>
      <c r="S1656" s="18" t="s">
        <v>133</v>
      </c>
      <c r="T1656" s="18" t="s">
        <v>6905</v>
      </c>
      <c r="U1656" s="18"/>
      <c r="V1656" s="19" t="s">
        <v>29</v>
      </c>
      <c r="W1656" s="19"/>
      <c r="X1656" s="19"/>
      <c r="Y1656" s="20"/>
      <c r="Z1656" s="19"/>
      <c r="AA1656" s="18" t="str">
        <f aca="false">IF(OR(V1656="Aprobada"),R1656,IF(AND(OR(V1656="Aprobada con ajuste",V1656="Rechazada"),W1656&lt;&gt;""),W1656,""))</f>
        <v/>
      </c>
    </row>
    <row r="1657" customFormat="false" ht="53.7" hidden="false" customHeight="false" outlineLevel="0" collapsed="false">
      <c r="A1657" s="18" t="s">
        <v>7215</v>
      </c>
      <c r="B1657" s="18" t="s">
        <v>66</v>
      </c>
      <c r="C1657" s="18" t="s">
        <v>67</v>
      </c>
      <c r="D1657" s="18" t="s">
        <v>7153</v>
      </c>
      <c r="E1657" s="18" t="n">
        <v>0</v>
      </c>
      <c r="F1657" s="18" t="s">
        <v>7216</v>
      </c>
      <c r="G1657" s="18" t="s">
        <v>205</v>
      </c>
      <c r="H1657" s="18" t="s">
        <v>129</v>
      </c>
      <c r="I1657" s="18" t="s">
        <v>298</v>
      </c>
      <c r="J1657" s="18" t="s">
        <v>7217</v>
      </c>
      <c r="K1657" s="18"/>
      <c r="L1657" s="18" t="s">
        <v>162</v>
      </c>
      <c r="M1657" s="18" t="s">
        <v>129</v>
      </c>
      <c r="N1657" s="18"/>
      <c r="O1657" s="18"/>
      <c r="P1657" s="18" t="s">
        <v>7218</v>
      </c>
      <c r="Q1657" s="18" t="s">
        <v>149</v>
      </c>
      <c r="R1657" s="18" t="s">
        <v>7219</v>
      </c>
      <c r="S1657" s="18" t="s">
        <v>133</v>
      </c>
      <c r="T1657" s="18" t="s">
        <v>6905</v>
      </c>
      <c r="U1657" s="18"/>
      <c r="V1657" s="19" t="s">
        <v>29</v>
      </c>
      <c r="W1657" s="19"/>
      <c r="X1657" s="19"/>
      <c r="Y1657" s="20"/>
      <c r="Z1657" s="19"/>
      <c r="AA1657" s="18" t="str">
        <f aca="false">IF(OR(V1657="Aprobada"),R1657,IF(AND(OR(V1657="Aprobada con ajuste",V1657="Rechazada"),W1657&lt;&gt;""),W1657,""))</f>
        <v/>
      </c>
    </row>
    <row r="1658" customFormat="false" ht="74.6" hidden="false" customHeight="false" outlineLevel="0" collapsed="false">
      <c r="A1658" s="18" t="s">
        <v>7220</v>
      </c>
      <c r="B1658" s="18" t="s">
        <v>66</v>
      </c>
      <c r="C1658" s="18" t="s">
        <v>67</v>
      </c>
      <c r="D1658" s="18" t="s">
        <v>7153</v>
      </c>
      <c r="E1658" s="18" t="n">
        <v>0</v>
      </c>
      <c r="F1658" s="18" t="s">
        <v>185</v>
      </c>
      <c r="G1658" s="18" t="s">
        <v>145</v>
      </c>
      <c r="H1658" s="18" t="s">
        <v>129</v>
      </c>
      <c r="I1658" s="18" t="s">
        <v>298</v>
      </c>
      <c r="J1658" s="18" t="s">
        <v>7221</v>
      </c>
      <c r="K1658" s="18"/>
      <c r="L1658" s="18" t="s">
        <v>162</v>
      </c>
      <c r="M1658" s="18" t="s">
        <v>129</v>
      </c>
      <c r="N1658" s="18"/>
      <c r="O1658" s="18" t="s">
        <v>7222</v>
      </c>
      <c r="P1658" s="18" t="s">
        <v>7223</v>
      </c>
      <c r="Q1658" s="18" t="s">
        <v>138</v>
      </c>
      <c r="R1658" s="18" t="s">
        <v>7224</v>
      </c>
      <c r="S1658" s="18" t="s">
        <v>140</v>
      </c>
      <c r="T1658" s="18" t="s">
        <v>141</v>
      </c>
      <c r="U1658" s="18"/>
      <c r="V1658" s="19" t="s">
        <v>29</v>
      </c>
      <c r="W1658" s="19"/>
      <c r="X1658" s="19"/>
      <c r="Y1658" s="20"/>
      <c r="Z1658" s="19"/>
      <c r="AA1658" s="18" t="str">
        <f aca="false">IF(OR(V1658="Aprobada"),R1658,IF(AND(OR(V1658="Aprobada con ajuste",V1658="Rechazada"),W1658&lt;&gt;""),W1658,""))</f>
        <v/>
      </c>
    </row>
    <row r="1659" customFormat="false" ht="53.7" hidden="false" customHeight="false" outlineLevel="0" collapsed="false">
      <c r="A1659" s="18" t="s">
        <v>7225</v>
      </c>
      <c r="B1659" s="18" t="s">
        <v>66</v>
      </c>
      <c r="C1659" s="18" t="s">
        <v>67</v>
      </c>
      <c r="D1659" s="18" t="s">
        <v>7153</v>
      </c>
      <c r="E1659" s="18" t="n">
        <v>0</v>
      </c>
      <c r="F1659" s="18" t="s">
        <v>7226</v>
      </c>
      <c r="G1659" s="18" t="s">
        <v>173</v>
      </c>
      <c r="H1659" s="18" t="s">
        <v>162</v>
      </c>
      <c r="I1659" s="18"/>
      <c r="J1659" s="18"/>
      <c r="K1659" s="18"/>
      <c r="L1659" s="18" t="s">
        <v>129</v>
      </c>
      <c r="M1659" s="18" t="s">
        <v>129</v>
      </c>
      <c r="N1659" s="18"/>
      <c r="O1659" s="18"/>
      <c r="P1659" s="18" t="s">
        <v>7227</v>
      </c>
      <c r="Q1659" s="18" t="s">
        <v>138</v>
      </c>
      <c r="R1659" s="18" t="s">
        <v>7228</v>
      </c>
      <c r="S1659" s="18" t="s">
        <v>140</v>
      </c>
      <c r="T1659" s="18" t="s">
        <v>141</v>
      </c>
      <c r="U1659" s="18"/>
      <c r="V1659" s="19" t="s">
        <v>29</v>
      </c>
      <c r="W1659" s="19"/>
      <c r="X1659" s="19"/>
      <c r="Y1659" s="20"/>
      <c r="Z1659" s="19"/>
      <c r="AA1659" s="18" t="str">
        <f aca="false">IF(OR(V1659="Aprobada"),R1659,IF(AND(OR(V1659="Aprobada con ajuste",V1659="Rechazada"),W1659&lt;&gt;""),W1659,""))</f>
        <v/>
      </c>
    </row>
    <row r="1660" customFormat="false" ht="53.7" hidden="false" customHeight="false" outlineLevel="0" collapsed="false">
      <c r="A1660" s="18" t="s">
        <v>7229</v>
      </c>
      <c r="B1660" s="18" t="s">
        <v>66</v>
      </c>
      <c r="C1660" s="18" t="s">
        <v>67</v>
      </c>
      <c r="D1660" s="18" t="s">
        <v>7153</v>
      </c>
      <c r="E1660" s="18" t="n">
        <v>0</v>
      </c>
      <c r="F1660" s="18" t="s">
        <v>5413</v>
      </c>
      <c r="G1660" s="18" t="s">
        <v>180</v>
      </c>
      <c r="H1660" s="18" t="s">
        <v>162</v>
      </c>
      <c r="I1660" s="18"/>
      <c r="J1660" s="18"/>
      <c r="K1660" s="18"/>
      <c r="L1660" s="18" t="s">
        <v>129</v>
      </c>
      <c r="M1660" s="18" t="s">
        <v>129</v>
      </c>
      <c r="N1660" s="18"/>
      <c r="O1660" s="18"/>
      <c r="P1660" s="18" t="s">
        <v>7230</v>
      </c>
      <c r="Q1660" s="18" t="s">
        <v>149</v>
      </c>
      <c r="R1660" s="18" t="s">
        <v>7231</v>
      </c>
      <c r="S1660" s="18" t="s">
        <v>140</v>
      </c>
      <c r="T1660" s="18" t="s">
        <v>7232</v>
      </c>
      <c r="U1660" s="18" t="s">
        <v>6850</v>
      </c>
      <c r="V1660" s="19" t="s">
        <v>29</v>
      </c>
      <c r="W1660" s="19"/>
      <c r="X1660" s="19"/>
      <c r="Y1660" s="20"/>
      <c r="Z1660" s="19"/>
      <c r="AA1660" s="18" t="str">
        <f aca="false">IF(OR(V1660="Aprobada"),R1660,IF(AND(OR(V1660="Aprobada con ajuste",V1660="Rechazada"),W1660&lt;&gt;""),W1660,""))</f>
        <v/>
      </c>
    </row>
    <row r="1661" customFormat="false" ht="53.7" hidden="false" customHeight="false" outlineLevel="0" collapsed="false">
      <c r="A1661" s="18" t="s">
        <v>7233</v>
      </c>
      <c r="B1661" s="18" t="s">
        <v>66</v>
      </c>
      <c r="C1661" s="18" t="s">
        <v>67</v>
      </c>
      <c r="D1661" s="18" t="s">
        <v>7153</v>
      </c>
      <c r="E1661" s="18" t="n">
        <v>0</v>
      </c>
      <c r="F1661" s="18" t="s">
        <v>7234</v>
      </c>
      <c r="G1661" s="18" t="s">
        <v>173</v>
      </c>
      <c r="H1661" s="18" t="s">
        <v>162</v>
      </c>
      <c r="I1661" s="18"/>
      <c r="J1661" s="18"/>
      <c r="K1661" s="18"/>
      <c r="L1661" s="18" t="s">
        <v>129</v>
      </c>
      <c r="M1661" s="18" t="s">
        <v>129</v>
      </c>
      <c r="N1661" s="18"/>
      <c r="O1661" s="18"/>
      <c r="P1661" s="18" t="s">
        <v>7235</v>
      </c>
      <c r="Q1661" s="18" t="s">
        <v>138</v>
      </c>
      <c r="R1661" s="18" t="s">
        <v>7236</v>
      </c>
      <c r="S1661" s="18" t="s">
        <v>140</v>
      </c>
      <c r="T1661" s="18" t="s">
        <v>141</v>
      </c>
      <c r="U1661" s="18"/>
      <c r="V1661" s="19" t="s">
        <v>29</v>
      </c>
      <c r="W1661" s="19"/>
      <c r="X1661" s="19"/>
      <c r="Y1661" s="20"/>
      <c r="Z1661" s="19"/>
      <c r="AA1661" s="18" t="str">
        <f aca="false">IF(OR(V1661="Aprobada"),R1661,IF(AND(OR(V1661="Aprobada con ajuste",V1661="Rechazada"),W1661&lt;&gt;""),W1661,""))</f>
        <v/>
      </c>
    </row>
    <row r="1662" customFormat="false" ht="53.7" hidden="false" customHeight="false" outlineLevel="0" collapsed="false">
      <c r="A1662" s="18" t="s">
        <v>7237</v>
      </c>
      <c r="B1662" s="18" t="s">
        <v>66</v>
      </c>
      <c r="C1662" s="18" t="s">
        <v>67</v>
      </c>
      <c r="D1662" s="18" t="s">
        <v>7153</v>
      </c>
      <c r="E1662" s="18" t="n">
        <v>0</v>
      </c>
      <c r="F1662" s="18" t="s">
        <v>7238</v>
      </c>
      <c r="G1662" s="18" t="s">
        <v>180</v>
      </c>
      <c r="H1662" s="18" t="s">
        <v>162</v>
      </c>
      <c r="I1662" s="18"/>
      <c r="J1662" s="18"/>
      <c r="K1662" s="18"/>
      <c r="L1662" s="18" t="s">
        <v>129</v>
      </c>
      <c r="M1662" s="18" t="s">
        <v>129</v>
      </c>
      <c r="N1662" s="18"/>
      <c r="O1662" s="18"/>
      <c r="P1662" s="18" t="s">
        <v>7239</v>
      </c>
      <c r="Q1662" s="18" t="s">
        <v>138</v>
      </c>
      <c r="R1662" s="18" t="s">
        <v>6305</v>
      </c>
      <c r="S1662" s="18" t="s">
        <v>140</v>
      </c>
      <c r="T1662" s="18" t="s">
        <v>141</v>
      </c>
      <c r="U1662" s="18"/>
      <c r="V1662" s="19" t="s">
        <v>29</v>
      </c>
      <c r="W1662" s="19"/>
      <c r="X1662" s="19"/>
      <c r="Y1662" s="20"/>
      <c r="Z1662" s="19"/>
      <c r="AA1662" s="18" t="str">
        <f aca="false">IF(OR(V1662="Aprobada"),R1662,IF(AND(OR(V1662="Aprobada con ajuste",V1662="Rechazada"),W1662&lt;&gt;""),W1662,""))</f>
        <v/>
      </c>
    </row>
    <row r="1663" customFormat="false" ht="53.7" hidden="false" customHeight="false" outlineLevel="0" collapsed="false">
      <c r="A1663" s="18" t="s">
        <v>7240</v>
      </c>
      <c r="B1663" s="18" t="s">
        <v>66</v>
      </c>
      <c r="C1663" s="18" t="s">
        <v>67</v>
      </c>
      <c r="D1663" s="18" t="s">
        <v>7153</v>
      </c>
      <c r="E1663" s="18" t="n">
        <v>0</v>
      </c>
      <c r="F1663" s="18" t="s">
        <v>7241</v>
      </c>
      <c r="G1663" s="18" t="s">
        <v>128</v>
      </c>
      <c r="H1663" s="18" t="s">
        <v>162</v>
      </c>
      <c r="I1663" s="18"/>
      <c r="J1663" s="18"/>
      <c r="K1663" s="18"/>
      <c r="L1663" s="18" t="s">
        <v>129</v>
      </c>
      <c r="M1663" s="18" t="s">
        <v>129</v>
      </c>
      <c r="N1663" s="18"/>
      <c r="O1663" s="18"/>
      <c r="P1663" s="18" t="s">
        <v>7242</v>
      </c>
      <c r="Q1663" s="18" t="s">
        <v>138</v>
      </c>
      <c r="R1663" s="18" t="s">
        <v>7243</v>
      </c>
      <c r="S1663" s="18" t="s">
        <v>140</v>
      </c>
      <c r="T1663" s="18" t="s">
        <v>141</v>
      </c>
      <c r="U1663" s="18"/>
      <c r="V1663" s="19" t="s">
        <v>29</v>
      </c>
      <c r="W1663" s="19"/>
      <c r="X1663" s="19"/>
      <c r="Y1663" s="20"/>
      <c r="Z1663" s="19"/>
      <c r="AA1663" s="18" t="str">
        <f aca="false">IF(OR(V1663="Aprobada"),R1663,IF(AND(OR(V1663="Aprobada con ajuste",V1663="Rechazada"),W1663&lt;&gt;""),W1663,""))</f>
        <v/>
      </c>
    </row>
    <row r="1664" customFormat="false" ht="43.25" hidden="false" customHeight="false" outlineLevel="0" collapsed="false">
      <c r="A1664" s="18" t="s">
        <v>7244</v>
      </c>
      <c r="B1664" s="18" t="s">
        <v>66</v>
      </c>
      <c r="C1664" s="18" t="s">
        <v>67</v>
      </c>
      <c r="D1664" s="18" t="s">
        <v>7153</v>
      </c>
      <c r="E1664" s="18" t="n">
        <v>0</v>
      </c>
      <c r="F1664" s="18" t="s">
        <v>7245</v>
      </c>
      <c r="G1664" s="18" t="s">
        <v>192</v>
      </c>
      <c r="H1664" s="18" t="s">
        <v>129</v>
      </c>
      <c r="I1664" s="18"/>
      <c r="J1664" s="18"/>
      <c r="K1664" s="18"/>
      <c r="L1664" s="18" t="s">
        <v>129</v>
      </c>
      <c r="M1664" s="18" t="s">
        <v>129</v>
      </c>
      <c r="N1664" s="18"/>
      <c r="O1664" s="18"/>
      <c r="P1664" s="18" t="s">
        <v>7246</v>
      </c>
      <c r="Q1664" s="18" t="s">
        <v>149</v>
      </c>
      <c r="R1664" s="18" t="s">
        <v>7247</v>
      </c>
      <c r="S1664" s="18" t="s">
        <v>242</v>
      </c>
      <c r="T1664" s="18" t="s">
        <v>3193</v>
      </c>
      <c r="U1664" s="18" t="s">
        <v>7248</v>
      </c>
      <c r="V1664" s="19" t="s">
        <v>29</v>
      </c>
      <c r="W1664" s="19"/>
      <c r="X1664" s="19"/>
      <c r="Y1664" s="20"/>
      <c r="Z1664" s="19"/>
      <c r="AA1664" s="18" t="str">
        <f aca="false">IF(OR(V1664="Aprobada"),R1664,IF(AND(OR(V1664="Aprobada con ajuste",V1664="Rechazada"),W1664&lt;&gt;""),W1664,""))</f>
        <v/>
      </c>
    </row>
    <row r="1665" customFormat="false" ht="43.25" hidden="false" customHeight="false" outlineLevel="0" collapsed="false">
      <c r="A1665" s="18" t="s">
        <v>7249</v>
      </c>
      <c r="B1665" s="18" t="s">
        <v>66</v>
      </c>
      <c r="C1665" s="18" t="s">
        <v>67</v>
      </c>
      <c r="D1665" s="18" t="s">
        <v>7153</v>
      </c>
      <c r="E1665" s="18" t="n">
        <v>0</v>
      </c>
      <c r="F1665" s="18" t="s">
        <v>7250</v>
      </c>
      <c r="G1665" s="18" t="s">
        <v>192</v>
      </c>
      <c r="H1665" s="18" t="s">
        <v>162</v>
      </c>
      <c r="I1665" s="18"/>
      <c r="J1665" s="18"/>
      <c r="K1665" s="18"/>
      <c r="L1665" s="18" t="s">
        <v>129</v>
      </c>
      <c r="M1665" s="18" t="s">
        <v>129</v>
      </c>
      <c r="N1665" s="18"/>
      <c r="O1665" s="18"/>
      <c r="P1665" s="18" t="s">
        <v>7251</v>
      </c>
      <c r="Q1665" s="18" t="s">
        <v>149</v>
      </c>
      <c r="R1665" s="18" t="s">
        <v>7252</v>
      </c>
      <c r="S1665" s="18" t="s">
        <v>140</v>
      </c>
      <c r="T1665" s="18" t="s">
        <v>7253</v>
      </c>
      <c r="U1665" s="18" t="s">
        <v>7254</v>
      </c>
      <c r="V1665" s="19" t="s">
        <v>29</v>
      </c>
      <c r="W1665" s="19"/>
      <c r="X1665" s="19"/>
      <c r="Y1665" s="20"/>
      <c r="Z1665" s="19"/>
      <c r="AA1665" s="18" t="str">
        <f aca="false">IF(OR(V1665="Aprobada"),R1665,IF(AND(OR(V1665="Aprobada con ajuste",V1665="Rechazada"),W1665&lt;&gt;""),W1665,""))</f>
        <v/>
      </c>
    </row>
    <row r="1666" customFormat="false" ht="53.7" hidden="false" customHeight="false" outlineLevel="0" collapsed="false">
      <c r="A1666" s="18" t="s">
        <v>7255</v>
      </c>
      <c r="B1666" s="18" t="s">
        <v>66</v>
      </c>
      <c r="C1666" s="18" t="s">
        <v>67</v>
      </c>
      <c r="D1666" s="18" t="s">
        <v>7153</v>
      </c>
      <c r="E1666" s="18" t="n">
        <v>0</v>
      </c>
      <c r="F1666" s="18" t="s">
        <v>7256</v>
      </c>
      <c r="G1666" s="18" t="s">
        <v>137</v>
      </c>
      <c r="H1666" s="18" t="s">
        <v>129</v>
      </c>
      <c r="I1666" s="18"/>
      <c r="J1666" s="18"/>
      <c r="K1666" s="18"/>
      <c r="L1666" s="18" t="s">
        <v>129</v>
      </c>
      <c r="M1666" s="18" t="s">
        <v>129</v>
      </c>
      <c r="N1666" s="18"/>
      <c r="O1666" s="18"/>
      <c r="P1666" s="18" t="s">
        <v>7257</v>
      </c>
      <c r="Q1666" s="18" t="s">
        <v>138</v>
      </c>
      <c r="R1666" s="18" t="s">
        <v>7258</v>
      </c>
      <c r="S1666" s="18" t="s">
        <v>140</v>
      </c>
      <c r="T1666" s="18" t="s">
        <v>141</v>
      </c>
      <c r="U1666" s="18"/>
      <c r="V1666" s="19" t="s">
        <v>29</v>
      </c>
      <c r="W1666" s="19"/>
      <c r="X1666" s="19"/>
      <c r="Y1666" s="20"/>
      <c r="Z1666" s="19"/>
      <c r="AA1666" s="18" t="str">
        <f aca="false">IF(OR(V1666="Aprobada"),R1666,IF(AND(OR(V1666="Aprobada con ajuste",V1666="Rechazada"),W1666&lt;&gt;""),W1666,""))</f>
        <v/>
      </c>
    </row>
    <row r="1667" customFormat="false" ht="43.25" hidden="false" customHeight="false" outlineLevel="0" collapsed="false">
      <c r="A1667" s="18" t="s">
        <v>7259</v>
      </c>
      <c r="B1667" s="18" t="s">
        <v>66</v>
      </c>
      <c r="C1667" s="18" t="s">
        <v>67</v>
      </c>
      <c r="D1667" s="18" t="s">
        <v>7153</v>
      </c>
      <c r="E1667" s="18" t="n">
        <v>0</v>
      </c>
      <c r="F1667" s="18" t="s">
        <v>7260</v>
      </c>
      <c r="G1667" s="18" t="s">
        <v>137</v>
      </c>
      <c r="H1667" s="18" t="s">
        <v>129</v>
      </c>
      <c r="I1667" s="18"/>
      <c r="J1667" s="18"/>
      <c r="K1667" s="18"/>
      <c r="L1667" s="18" t="s">
        <v>129</v>
      </c>
      <c r="M1667" s="18" t="s">
        <v>129</v>
      </c>
      <c r="N1667" s="18"/>
      <c r="O1667" s="18"/>
      <c r="P1667" s="18" t="s">
        <v>7261</v>
      </c>
      <c r="Q1667" s="18" t="s">
        <v>138</v>
      </c>
      <c r="R1667" s="18" t="s">
        <v>7262</v>
      </c>
      <c r="S1667" s="18" t="s">
        <v>140</v>
      </c>
      <c r="T1667" s="18" t="s">
        <v>141</v>
      </c>
      <c r="U1667" s="18"/>
      <c r="V1667" s="19" t="s">
        <v>29</v>
      </c>
      <c r="W1667" s="19"/>
      <c r="X1667" s="19"/>
      <c r="Y1667" s="20"/>
      <c r="Z1667" s="19"/>
      <c r="AA1667" s="18" t="str">
        <f aca="false">IF(OR(V1667="Aprobada"),R1667,IF(AND(OR(V1667="Aprobada con ajuste",V1667="Rechazada"),W1667&lt;&gt;""),W1667,""))</f>
        <v/>
      </c>
    </row>
    <row r="1668" customFormat="false" ht="43.25" hidden="false" customHeight="false" outlineLevel="0" collapsed="false">
      <c r="A1668" s="18" t="s">
        <v>7263</v>
      </c>
      <c r="B1668" s="18" t="s">
        <v>66</v>
      </c>
      <c r="C1668" s="18" t="s">
        <v>67</v>
      </c>
      <c r="D1668" s="18" t="s">
        <v>7264</v>
      </c>
      <c r="E1668" s="18" t="n">
        <v>0</v>
      </c>
      <c r="F1668" s="18" t="s">
        <v>275</v>
      </c>
      <c r="G1668" s="18" t="s">
        <v>180</v>
      </c>
      <c r="H1668" s="18" t="s">
        <v>129</v>
      </c>
      <c r="I1668" s="18"/>
      <c r="J1668" s="18"/>
      <c r="K1668" s="18"/>
      <c r="L1668" s="18" t="s">
        <v>129</v>
      </c>
      <c r="M1668" s="18" t="s">
        <v>162</v>
      </c>
      <c r="N1668" s="18" t="s">
        <v>3663</v>
      </c>
      <c r="O1668" s="18"/>
      <c r="P1668" s="18" t="s">
        <v>7265</v>
      </c>
      <c r="Q1668" s="18" t="s">
        <v>131</v>
      </c>
      <c r="R1668" s="18" t="s">
        <v>7266</v>
      </c>
      <c r="S1668" s="18" t="s">
        <v>133</v>
      </c>
      <c r="T1668" s="18" t="s">
        <v>7267</v>
      </c>
      <c r="U1668" s="18"/>
      <c r="V1668" s="19" t="s">
        <v>29</v>
      </c>
      <c r="W1668" s="19"/>
      <c r="X1668" s="19"/>
      <c r="Y1668" s="20"/>
      <c r="Z1668" s="19"/>
      <c r="AA1668" s="18" t="str">
        <f aca="false">IF(OR(V1668="Aprobada"),R1668,IF(AND(OR(V1668="Aprobada con ajuste",V1668="Rechazada"),W1668&lt;&gt;""),W1668,""))</f>
        <v/>
      </c>
    </row>
    <row r="1669" customFormat="false" ht="32.8" hidden="false" customHeight="false" outlineLevel="0" collapsed="false">
      <c r="A1669" s="18" t="s">
        <v>7268</v>
      </c>
      <c r="B1669" s="18" t="s">
        <v>66</v>
      </c>
      <c r="C1669" s="18" t="s">
        <v>67</v>
      </c>
      <c r="D1669" s="18" t="s">
        <v>7264</v>
      </c>
      <c r="E1669" s="18" t="n">
        <v>0</v>
      </c>
      <c r="F1669" s="18" t="s">
        <v>7269</v>
      </c>
      <c r="G1669" s="18" t="s">
        <v>180</v>
      </c>
      <c r="H1669" s="18" t="s">
        <v>129</v>
      </c>
      <c r="I1669" s="18"/>
      <c r="J1669" s="18"/>
      <c r="K1669" s="18"/>
      <c r="L1669" s="18" t="s">
        <v>129</v>
      </c>
      <c r="M1669" s="18" t="s">
        <v>162</v>
      </c>
      <c r="N1669" s="18" t="s">
        <v>3663</v>
      </c>
      <c r="O1669" s="18" t="s">
        <v>7270</v>
      </c>
      <c r="P1669" s="18" t="s">
        <v>7271</v>
      </c>
      <c r="Q1669" s="18" t="s">
        <v>149</v>
      </c>
      <c r="R1669" s="18" t="s">
        <v>7272</v>
      </c>
      <c r="S1669" s="18" t="s">
        <v>133</v>
      </c>
      <c r="T1669" s="18" t="s">
        <v>4079</v>
      </c>
      <c r="U1669" s="18"/>
      <c r="V1669" s="19" t="s">
        <v>29</v>
      </c>
      <c r="W1669" s="19"/>
      <c r="X1669" s="19"/>
      <c r="Y1669" s="20"/>
      <c r="Z1669" s="19"/>
      <c r="AA1669" s="18" t="str">
        <f aca="false">IF(OR(V1669="Aprobada"),R1669,IF(AND(OR(V1669="Aprobada con ajuste",V1669="Rechazada"),W1669&lt;&gt;""),W1669,""))</f>
        <v/>
      </c>
    </row>
    <row r="1670" customFormat="false" ht="43.25" hidden="false" customHeight="false" outlineLevel="0" collapsed="false">
      <c r="A1670" s="18" t="s">
        <v>7273</v>
      </c>
      <c r="B1670" s="18" t="s">
        <v>66</v>
      </c>
      <c r="C1670" s="18" t="s">
        <v>67</v>
      </c>
      <c r="D1670" s="18" t="s">
        <v>7264</v>
      </c>
      <c r="E1670" s="18" t="n">
        <v>0</v>
      </c>
      <c r="F1670" s="18" t="s">
        <v>7274</v>
      </c>
      <c r="G1670" s="18" t="s">
        <v>180</v>
      </c>
      <c r="H1670" s="18" t="s">
        <v>129</v>
      </c>
      <c r="I1670" s="18"/>
      <c r="J1670" s="18"/>
      <c r="K1670" s="18"/>
      <c r="L1670" s="18" t="s">
        <v>129</v>
      </c>
      <c r="M1670" s="18" t="s">
        <v>162</v>
      </c>
      <c r="N1670" s="18" t="s">
        <v>3663</v>
      </c>
      <c r="O1670" s="18" t="s">
        <v>7275</v>
      </c>
      <c r="P1670" s="18" t="s">
        <v>7276</v>
      </c>
      <c r="Q1670" s="18" t="s">
        <v>149</v>
      </c>
      <c r="R1670" s="18" t="s">
        <v>7277</v>
      </c>
      <c r="S1670" s="18" t="s">
        <v>133</v>
      </c>
      <c r="T1670" s="18" t="s">
        <v>4079</v>
      </c>
      <c r="U1670" s="18"/>
      <c r="V1670" s="19" t="s">
        <v>29</v>
      </c>
      <c r="W1670" s="19"/>
      <c r="X1670" s="19"/>
      <c r="Y1670" s="20"/>
      <c r="Z1670" s="19"/>
      <c r="AA1670" s="18" t="str">
        <f aca="false">IF(OR(V1670="Aprobada"),R1670,IF(AND(OR(V1670="Aprobada con ajuste",V1670="Rechazada"),W1670&lt;&gt;""),W1670,""))</f>
        <v/>
      </c>
    </row>
    <row r="1671" customFormat="false" ht="22.35" hidden="false" customHeight="false" outlineLevel="0" collapsed="false">
      <c r="A1671" s="18" t="s">
        <v>7278</v>
      </c>
      <c r="B1671" s="18" t="s">
        <v>66</v>
      </c>
      <c r="C1671" s="18" t="s">
        <v>67</v>
      </c>
      <c r="D1671" s="18" t="s">
        <v>7264</v>
      </c>
      <c r="E1671" s="18" t="n">
        <v>0</v>
      </c>
      <c r="F1671" s="18" t="s">
        <v>2452</v>
      </c>
      <c r="G1671" s="18" t="s">
        <v>128</v>
      </c>
      <c r="H1671" s="18" t="s">
        <v>162</v>
      </c>
      <c r="I1671" s="18"/>
      <c r="J1671" s="18"/>
      <c r="K1671" s="18"/>
      <c r="L1671" s="18" t="s">
        <v>129</v>
      </c>
      <c r="M1671" s="18" t="s">
        <v>129</v>
      </c>
      <c r="N1671" s="18"/>
      <c r="O1671" s="18"/>
      <c r="P1671" s="18"/>
      <c r="Q1671" s="18" t="s">
        <v>149</v>
      </c>
      <c r="R1671" s="18" t="s">
        <v>7279</v>
      </c>
      <c r="S1671" s="18" t="s">
        <v>133</v>
      </c>
      <c r="T1671" s="18" t="s">
        <v>4079</v>
      </c>
      <c r="U1671" s="18"/>
      <c r="V1671" s="19" t="s">
        <v>29</v>
      </c>
      <c r="W1671" s="19"/>
      <c r="X1671" s="19"/>
      <c r="Y1671" s="20"/>
      <c r="Z1671" s="19"/>
      <c r="AA1671" s="18" t="str">
        <f aca="false">IF(OR(V1671="Aprobada"),R1671,IF(AND(OR(V1671="Aprobada con ajuste",V1671="Rechazada"),W1671&lt;&gt;""),W1671,""))</f>
        <v/>
      </c>
    </row>
    <row r="1672" customFormat="false" ht="22.35" hidden="false" customHeight="false" outlineLevel="0" collapsed="false">
      <c r="A1672" s="18" t="s">
        <v>7280</v>
      </c>
      <c r="B1672" s="18" t="s">
        <v>66</v>
      </c>
      <c r="C1672" s="18" t="s">
        <v>67</v>
      </c>
      <c r="D1672" s="18" t="s">
        <v>7264</v>
      </c>
      <c r="E1672" s="18" t="n">
        <v>0</v>
      </c>
      <c r="F1672" s="18" t="s">
        <v>7281</v>
      </c>
      <c r="G1672" s="18" t="s">
        <v>180</v>
      </c>
      <c r="H1672" s="18" t="s">
        <v>162</v>
      </c>
      <c r="I1672" s="18"/>
      <c r="J1672" s="18"/>
      <c r="K1672" s="18"/>
      <c r="L1672" s="18" t="s">
        <v>129</v>
      </c>
      <c r="M1672" s="18" t="s">
        <v>129</v>
      </c>
      <c r="N1672" s="18"/>
      <c r="O1672" s="18"/>
      <c r="P1672" s="18"/>
      <c r="Q1672" s="18" t="s">
        <v>149</v>
      </c>
      <c r="R1672" s="18" t="s">
        <v>7282</v>
      </c>
      <c r="S1672" s="18" t="s">
        <v>133</v>
      </c>
      <c r="T1672" s="18" t="s">
        <v>7283</v>
      </c>
      <c r="U1672" s="18"/>
      <c r="V1672" s="19" t="s">
        <v>29</v>
      </c>
      <c r="W1672" s="19"/>
      <c r="X1672" s="19"/>
      <c r="Y1672" s="20"/>
      <c r="Z1672" s="19"/>
      <c r="AA1672" s="18" t="str">
        <f aca="false">IF(OR(V1672="Aprobada"),R1672,IF(AND(OR(V1672="Aprobada con ajuste",V1672="Rechazada"),W1672&lt;&gt;""),W1672,""))</f>
        <v/>
      </c>
    </row>
    <row r="1673" customFormat="false" ht="22.35" hidden="false" customHeight="false" outlineLevel="0" collapsed="false">
      <c r="A1673" s="18" t="s">
        <v>7284</v>
      </c>
      <c r="B1673" s="18" t="s">
        <v>66</v>
      </c>
      <c r="C1673" s="18" t="s">
        <v>67</v>
      </c>
      <c r="D1673" s="18" t="s">
        <v>7264</v>
      </c>
      <c r="E1673" s="18" t="n">
        <v>0</v>
      </c>
      <c r="F1673" s="18" t="s">
        <v>7285</v>
      </c>
      <c r="G1673" s="18" t="s">
        <v>180</v>
      </c>
      <c r="H1673" s="18" t="s">
        <v>162</v>
      </c>
      <c r="I1673" s="18"/>
      <c r="J1673" s="18"/>
      <c r="K1673" s="18"/>
      <c r="L1673" s="18" t="s">
        <v>129</v>
      </c>
      <c r="M1673" s="18" t="s">
        <v>129</v>
      </c>
      <c r="N1673" s="18"/>
      <c r="O1673" s="18"/>
      <c r="P1673" s="18"/>
      <c r="Q1673" s="18" t="s">
        <v>149</v>
      </c>
      <c r="R1673" s="18" t="s">
        <v>7286</v>
      </c>
      <c r="S1673" s="18" t="s">
        <v>133</v>
      </c>
      <c r="T1673" s="18" t="s">
        <v>7287</v>
      </c>
      <c r="U1673" s="18"/>
      <c r="V1673" s="19" t="s">
        <v>29</v>
      </c>
      <c r="W1673" s="19"/>
      <c r="X1673" s="19"/>
      <c r="Y1673" s="20"/>
      <c r="Z1673" s="19"/>
      <c r="AA1673" s="18" t="str">
        <f aca="false">IF(OR(V1673="Aprobada"),R1673,IF(AND(OR(V1673="Aprobada con ajuste",V1673="Rechazada"),W1673&lt;&gt;""),W1673,""))</f>
        <v/>
      </c>
    </row>
    <row r="1674" customFormat="false" ht="22.35" hidden="false" customHeight="false" outlineLevel="0" collapsed="false">
      <c r="A1674" s="18" t="s">
        <v>7288</v>
      </c>
      <c r="B1674" s="18" t="s">
        <v>66</v>
      </c>
      <c r="C1674" s="18" t="s">
        <v>67</v>
      </c>
      <c r="D1674" s="18" t="s">
        <v>7264</v>
      </c>
      <c r="E1674" s="18" t="n">
        <v>0</v>
      </c>
      <c r="F1674" s="18" t="s">
        <v>7289</v>
      </c>
      <c r="G1674" s="18" t="s">
        <v>205</v>
      </c>
      <c r="H1674" s="18" t="s">
        <v>162</v>
      </c>
      <c r="I1674" s="18"/>
      <c r="J1674" s="18"/>
      <c r="K1674" s="18"/>
      <c r="L1674" s="18" t="s">
        <v>129</v>
      </c>
      <c r="M1674" s="18" t="s">
        <v>129</v>
      </c>
      <c r="N1674" s="18"/>
      <c r="O1674" s="18"/>
      <c r="P1674" s="18"/>
      <c r="Q1674" s="18" t="s">
        <v>149</v>
      </c>
      <c r="R1674" s="18" t="s">
        <v>7290</v>
      </c>
      <c r="S1674" s="18" t="s">
        <v>133</v>
      </c>
      <c r="T1674" s="18" t="s">
        <v>7287</v>
      </c>
      <c r="U1674" s="18"/>
      <c r="V1674" s="19" t="s">
        <v>29</v>
      </c>
      <c r="W1674" s="19"/>
      <c r="X1674" s="19"/>
      <c r="Y1674" s="20"/>
      <c r="Z1674" s="19"/>
      <c r="AA1674" s="18" t="str">
        <f aca="false">IF(OR(V1674="Aprobada"),R1674,IF(AND(OR(V1674="Aprobada con ajuste",V1674="Rechazada"),W1674&lt;&gt;""),W1674,""))</f>
        <v/>
      </c>
    </row>
    <row r="1675" customFormat="false" ht="22.35" hidden="false" customHeight="false" outlineLevel="0" collapsed="false">
      <c r="A1675" s="18" t="s">
        <v>7291</v>
      </c>
      <c r="B1675" s="18" t="s">
        <v>66</v>
      </c>
      <c r="C1675" s="18" t="s">
        <v>67</v>
      </c>
      <c r="D1675" s="18" t="s">
        <v>7264</v>
      </c>
      <c r="E1675" s="18" t="n">
        <v>0</v>
      </c>
      <c r="F1675" s="18" t="s">
        <v>886</v>
      </c>
      <c r="G1675" s="18" t="s">
        <v>128</v>
      </c>
      <c r="H1675" s="18" t="s">
        <v>162</v>
      </c>
      <c r="I1675" s="18"/>
      <c r="J1675" s="18"/>
      <c r="K1675" s="18"/>
      <c r="L1675" s="18" t="s">
        <v>129</v>
      </c>
      <c r="M1675" s="18" t="s">
        <v>129</v>
      </c>
      <c r="N1675" s="18"/>
      <c r="O1675" s="18"/>
      <c r="P1675" s="18"/>
      <c r="Q1675" s="18" t="s">
        <v>138</v>
      </c>
      <c r="R1675" s="18" t="s">
        <v>1693</v>
      </c>
      <c r="S1675" s="18" t="s">
        <v>140</v>
      </c>
      <c r="T1675" s="18" t="s">
        <v>141</v>
      </c>
      <c r="U1675" s="18"/>
      <c r="V1675" s="19" t="s">
        <v>29</v>
      </c>
      <c r="W1675" s="19"/>
      <c r="X1675" s="19"/>
      <c r="Y1675" s="20"/>
      <c r="Z1675" s="19"/>
      <c r="AA1675" s="18" t="str">
        <f aca="false">IF(OR(V1675="Aprobada"),R1675,IF(AND(OR(V1675="Aprobada con ajuste",V1675="Rechazada"),W1675&lt;&gt;""),W1675,""))</f>
        <v/>
      </c>
    </row>
    <row r="1676" customFormat="false" ht="22.35" hidden="false" customHeight="false" outlineLevel="0" collapsed="false">
      <c r="A1676" s="18" t="s">
        <v>7292</v>
      </c>
      <c r="B1676" s="18" t="s">
        <v>66</v>
      </c>
      <c r="C1676" s="18" t="s">
        <v>67</v>
      </c>
      <c r="D1676" s="18" t="s">
        <v>7293</v>
      </c>
      <c r="E1676" s="18" t="n">
        <v>0</v>
      </c>
      <c r="F1676" s="18" t="s">
        <v>7294</v>
      </c>
      <c r="G1676" s="18" t="s">
        <v>161</v>
      </c>
      <c r="H1676" s="18" t="s">
        <v>129</v>
      </c>
      <c r="I1676" s="18" t="s">
        <v>146</v>
      </c>
      <c r="J1676" s="18"/>
      <c r="K1676" s="18"/>
      <c r="L1676" s="18" t="s">
        <v>162</v>
      </c>
      <c r="M1676" s="18" t="s">
        <v>129</v>
      </c>
      <c r="N1676" s="18"/>
      <c r="O1676" s="18" t="s">
        <v>7295</v>
      </c>
      <c r="P1676" s="18"/>
      <c r="Q1676" s="18" t="s">
        <v>149</v>
      </c>
      <c r="R1676" s="18" t="s">
        <v>7296</v>
      </c>
      <c r="S1676" s="18" t="s">
        <v>133</v>
      </c>
      <c r="T1676" s="18" t="s">
        <v>7297</v>
      </c>
      <c r="U1676" s="18"/>
      <c r="V1676" s="19" t="s">
        <v>29</v>
      </c>
      <c r="W1676" s="19"/>
      <c r="X1676" s="19"/>
      <c r="Y1676" s="20"/>
      <c r="Z1676" s="19"/>
      <c r="AA1676" s="18" t="str">
        <f aca="false">IF(OR(V1676="Aprobada"),R1676,IF(AND(OR(V1676="Aprobada con ajuste",V1676="Rechazada"),W1676&lt;&gt;""),W1676,""))</f>
        <v/>
      </c>
    </row>
    <row r="1677" customFormat="false" ht="22.35" hidden="false" customHeight="false" outlineLevel="0" collapsed="false">
      <c r="A1677" s="18" t="s">
        <v>7298</v>
      </c>
      <c r="B1677" s="18" t="s">
        <v>66</v>
      </c>
      <c r="C1677" s="18" t="s">
        <v>67</v>
      </c>
      <c r="D1677" s="18" t="s">
        <v>7293</v>
      </c>
      <c r="E1677" s="18" t="n">
        <v>0</v>
      </c>
      <c r="F1677" s="18" t="s">
        <v>1922</v>
      </c>
      <c r="G1677" s="18" t="s">
        <v>192</v>
      </c>
      <c r="H1677" s="18" t="s">
        <v>129</v>
      </c>
      <c r="I1677" s="18"/>
      <c r="J1677" s="18"/>
      <c r="K1677" s="18"/>
      <c r="L1677" s="18" t="s">
        <v>162</v>
      </c>
      <c r="M1677" s="18" t="s">
        <v>129</v>
      </c>
      <c r="N1677" s="18"/>
      <c r="O1677" s="18"/>
      <c r="P1677" s="18"/>
      <c r="Q1677" s="18" t="s">
        <v>149</v>
      </c>
      <c r="R1677" s="18" t="s">
        <v>7299</v>
      </c>
      <c r="S1677" s="18" t="s">
        <v>133</v>
      </c>
      <c r="T1677" s="18" t="s">
        <v>7300</v>
      </c>
      <c r="U1677" s="18"/>
      <c r="V1677" s="19" t="s">
        <v>29</v>
      </c>
      <c r="W1677" s="19"/>
      <c r="X1677" s="19"/>
      <c r="Y1677" s="20"/>
      <c r="Z1677" s="19"/>
      <c r="AA1677" s="18" t="str">
        <f aca="false">IF(OR(V1677="Aprobada"),R1677,IF(AND(OR(V1677="Aprobada con ajuste",V1677="Rechazada"),W1677&lt;&gt;""),W1677,""))</f>
        <v/>
      </c>
    </row>
    <row r="1678" customFormat="false" ht="22.35" hidden="false" customHeight="false" outlineLevel="0" collapsed="false">
      <c r="A1678" s="18" t="s">
        <v>7301</v>
      </c>
      <c r="B1678" s="18" t="s">
        <v>66</v>
      </c>
      <c r="C1678" s="18" t="s">
        <v>67</v>
      </c>
      <c r="D1678" s="18" t="s">
        <v>7293</v>
      </c>
      <c r="E1678" s="18" t="n">
        <v>0</v>
      </c>
      <c r="F1678" s="18" t="s">
        <v>1801</v>
      </c>
      <c r="G1678" s="18" t="s">
        <v>317</v>
      </c>
      <c r="H1678" s="18" t="s">
        <v>162</v>
      </c>
      <c r="I1678" s="18"/>
      <c r="J1678" s="18"/>
      <c r="K1678" s="18"/>
      <c r="L1678" s="18" t="s">
        <v>162</v>
      </c>
      <c r="M1678" s="18" t="s">
        <v>129</v>
      </c>
      <c r="N1678" s="18"/>
      <c r="O1678" s="18" t="s">
        <v>7302</v>
      </c>
      <c r="P1678" s="18"/>
      <c r="Q1678" s="18" t="s">
        <v>138</v>
      </c>
      <c r="R1678" s="18" t="s">
        <v>1803</v>
      </c>
      <c r="S1678" s="18" t="s">
        <v>140</v>
      </c>
      <c r="T1678" s="18" t="s">
        <v>141</v>
      </c>
      <c r="U1678" s="18"/>
      <c r="V1678" s="19" t="s">
        <v>29</v>
      </c>
      <c r="W1678" s="19"/>
      <c r="X1678" s="19"/>
      <c r="Y1678" s="20"/>
      <c r="Z1678" s="19"/>
      <c r="AA1678" s="18" t="str">
        <f aca="false">IF(OR(V1678="Aprobada"),R1678,IF(AND(OR(V1678="Aprobada con ajuste",V1678="Rechazada"),W1678&lt;&gt;""),W1678,""))</f>
        <v/>
      </c>
    </row>
    <row r="1679" customFormat="false" ht="43.25" hidden="false" customHeight="false" outlineLevel="0" collapsed="false">
      <c r="A1679" s="18" t="s">
        <v>7303</v>
      </c>
      <c r="B1679" s="18" t="s">
        <v>66</v>
      </c>
      <c r="C1679" s="18" t="s">
        <v>67</v>
      </c>
      <c r="D1679" s="18" t="s">
        <v>7304</v>
      </c>
      <c r="E1679" s="18" t="n">
        <v>2</v>
      </c>
      <c r="F1679" s="18" t="s">
        <v>7305</v>
      </c>
      <c r="G1679" s="18" t="s">
        <v>173</v>
      </c>
      <c r="H1679" s="18" t="s">
        <v>162</v>
      </c>
      <c r="I1679" s="18"/>
      <c r="J1679" s="18"/>
      <c r="K1679" s="18"/>
      <c r="L1679" s="18" t="s">
        <v>129</v>
      </c>
      <c r="M1679" s="18" t="s">
        <v>129</v>
      </c>
      <c r="N1679" s="18"/>
      <c r="O1679" s="18"/>
      <c r="P1679" s="18" t="s">
        <v>7306</v>
      </c>
      <c r="Q1679" s="18" t="s">
        <v>131</v>
      </c>
      <c r="R1679" s="18" t="s">
        <v>7307</v>
      </c>
      <c r="S1679" s="18" t="s">
        <v>133</v>
      </c>
      <c r="T1679" s="18" t="s">
        <v>7308</v>
      </c>
      <c r="U1679" s="18"/>
      <c r="V1679" s="19" t="s">
        <v>29</v>
      </c>
      <c r="W1679" s="19"/>
      <c r="X1679" s="19"/>
      <c r="Y1679" s="20"/>
      <c r="Z1679" s="19"/>
      <c r="AA1679" s="18" t="str">
        <f aca="false">IF(OR(V1679="Aprobada"),R1679,IF(AND(OR(V1679="Aprobada con ajuste",V1679="Rechazada"),W1679&lt;&gt;""),W1679,""))</f>
        <v/>
      </c>
    </row>
    <row r="1680" customFormat="false" ht="43.25" hidden="false" customHeight="false" outlineLevel="0" collapsed="false">
      <c r="A1680" s="18" t="s">
        <v>7309</v>
      </c>
      <c r="B1680" s="18" t="s">
        <v>66</v>
      </c>
      <c r="C1680" s="18" t="s">
        <v>67</v>
      </c>
      <c r="D1680" s="18" t="s">
        <v>7304</v>
      </c>
      <c r="E1680" s="18" t="n">
        <v>2</v>
      </c>
      <c r="F1680" s="18" t="s">
        <v>7310</v>
      </c>
      <c r="G1680" s="18" t="s">
        <v>584</v>
      </c>
      <c r="H1680" s="18" t="s">
        <v>162</v>
      </c>
      <c r="I1680" s="18"/>
      <c r="J1680" s="18"/>
      <c r="K1680" s="18"/>
      <c r="L1680" s="18" t="s">
        <v>129</v>
      </c>
      <c r="M1680" s="18" t="s">
        <v>129</v>
      </c>
      <c r="N1680" s="18"/>
      <c r="O1680" s="18"/>
      <c r="P1680" s="18" t="s">
        <v>7311</v>
      </c>
      <c r="Q1680" s="18" t="s">
        <v>131</v>
      </c>
      <c r="R1680" s="18" t="s">
        <v>7312</v>
      </c>
      <c r="S1680" s="18" t="s">
        <v>133</v>
      </c>
      <c r="T1680" s="18" t="s">
        <v>7313</v>
      </c>
      <c r="U1680" s="18"/>
      <c r="V1680" s="19" t="s">
        <v>29</v>
      </c>
      <c r="W1680" s="19"/>
      <c r="X1680" s="19"/>
      <c r="Y1680" s="20"/>
      <c r="Z1680" s="19"/>
      <c r="AA1680" s="18" t="str">
        <f aca="false">IF(OR(V1680="Aprobada"),R1680,IF(AND(OR(V1680="Aprobada con ajuste",V1680="Rechazada"),W1680&lt;&gt;""),W1680,""))</f>
        <v/>
      </c>
    </row>
    <row r="1681" customFormat="false" ht="43.25" hidden="false" customHeight="false" outlineLevel="0" collapsed="false">
      <c r="A1681" s="18" t="s">
        <v>7314</v>
      </c>
      <c r="B1681" s="18" t="s">
        <v>66</v>
      </c>
      <c r="C1681" s="18" t="s">
        <v>67</v>
      </c>
      <c r="D1681" s="18" t="s">
        <v>7304</v>
      </c>
      <c r="E1681" s="18" t="n">
        <v>2</v>
      </c>
      <c r="F1681" s="18" t="s">
        <v>7315</v>
      </c>
      <c r="G1681" s="18" t="s">
        <v>180</v>
      </c>
      <c r="H1681" s="18" t="s">
        <v>162</v>
      </c>
      <c r="I1681" s="18"/>
      <c r="J1681" s="18"/>
      <c r="K1681" s="18"/>
      <c r="L1681" s="18" t="s">
        <v>129</v>
      </c>
      <c r="M1681" s="18" t="s">
        <v>129</v>
      </c>
      <c r="N1681" s="18"/>
      <c r="O1681" s="18"/>
      <c r="P1681" s="18" t="s">
        <v>7316</v>
      </c>
      <c r="Q1681" s="18" t="s">
        <v>131</v>
      </c>
      <c r="R1681" s="18" t="s">
        <v>7317</v>
      </c>
      <c r="S1681" s="18" t="s">
        <v>133</v>
      </c>
      <c r="T1681" s="18" t="s">
        <v>7318</v>
      </c>
      <c r="U1681" s="18"/>
      <c r="V1681" s="19" t="s">
        <v>29</v>
      </c>
      <c r="W1681" s="19"/>
      <c r="X1681" s="19"/>
      <c r="Y1681" s="20"/>
      <c r="Z1681" s="19"/>
      <c r="AA1681" s="18" t="str">
        <f aca="false">IF(OR(V1681="Aprobada"),R1681,IF(AND(OR(V1681="Aprobada con ajuste",V1681="Rechazada"),W1681&lt;&gt;""),W1681,""))</f>
        <v/>
      </c>
    </row>
    <row r="1682" customFormat="false" ht="43.25" hidden="false" customHeight="false" outlineLevel="0" collapsed="false">
      <c r="A1682" s="18" t="s">
        <v>7319</v>
      </c>
      <c r="B1682" s="18" t="s">
        <v>66</v>
      </c>
      <c r="C1682" s="18" t="s">
        <v>67</v>
      </c>
      <c r="D1682" s="18" t="s">
        <v>7304</v>
      </c>
      <c r="E1682" s="18" t="n">
        <v>2</v>
      </c>
      <c r="F1682" s="18" t="s">
        <v>7320</v>
      </c>
      <c r="G1682" s="18" t="s">
        <v>161</v>
      </c>
      <c r="H1682" s="18" t="s">
        <v>162</v>
      </c>
      <c r="I1682" s="18"/>
      <c r="J1682" s="18"/>
      <c r="K1682" s="18"/>
      <c r="L1682" s="18" t="s">
        <v>129</v>
      </c>
      <c r="M1682" s="18" t="s">
        <v>129</v>
      </c>
      <c r="N1682" s="18"/>
      <c r="O1682" s="18"/>
      <c r="P1682" s="18" t="s">
        <v>7321</v>
      </c>
      <c r="Q1682" s="18" t="s">
        <v>131</v>
      </c>
      <c r="R1682" s="18" t="s">
        <v>7322</v>
      </c>
      <c r="S1682" s="18" t="s">
        <v>133</v>
      </c>
      <c r="T1682" s="18" t="s">
        <v>7323</v>
      </c>
      <c r="U1682" s="18"/>
      <c r="V1682" s="19" t="s">
        <v>29</v>
      </c>
      <c r="W1682" s="19"/>
      <c r="X1682" s="19"/>
      <c r="Y1682" s="20"/>
      <c r="Z1682" s="19"/>
      <c r="AA1682" s="18" t="str">
        <f aca="false">IF(OR(V1682="Aprobada"),R1682,IF(AND(OR(V1682="Aprobada con ajuste",V1682="Rechazada"),W1682&lt;&gt;""),W1682,""))</f>
        <v/>
      </c>
    </row>
    <row r="1683" customFormat="false" ht="43.25" hidden="false" customHeight="false" outlineLevel="0" collapsed="false">
      <c r="A1683" s="18" t="s">
        <v>7324</v>
      </c>
      <c r="B1683" s="18" t="s">
        <v>66</v>
      </c>
      <c r="C1683" s="18" t="s">
        <v>67</v>
      </c>
      <c r="D1683" s="18" t="s">
        <v>7304</v>
      </c>
      <c r="E1683" s="18" t="n">
        <v>2</v>
      </c>
      <c r="F1683" s="18" t="s">
        <v>7325</v>
      </c>
      <c r="G1683" s="18" t="s">
        <v>128</v>
      </c>
      <c r="H1683" s="18" t="s">
        <v>162</v>
      </c>
      <c r="I1683" s="18"/>
      <c r="J1683" s="18"/>
      <c r="K1683" s="18"/>
      <c r="L1683" s="18" t="s">
        <v>129</v>
      </c>
      <c r="M1683" s="18" t="s">
        <v>129</v>
      </c>
      <c r="N1683" s="18"/>
      <c r="O1683" s="18"/>
      <c r="P1683" s="18" t="s">
        <v>7326</v>
      </c>
      <c r="Q1683" s="18" t="s">
        <v>131</v>
      </c>
      <c r="R1683" s="18" t="s">
        <v>7327</v>
      </c>
      <c r="S1683" s="18" t="s">
        <v>133</v>
      </c>
      <c r="T1683" s="18" t="s">
        <v>7328</v>
      </c>
      <c r="U1683" s="18"/>
      <c r="V1683" s="19" t="s">
        <v>29</v>
      </c>
      <c r="W1683" s="19"/>
      <c r="X1683" s="19"/>
      <c r="Y1683" s="20"/>
      <c r="Z1683" s="19"/>
      <c r="AA1683" s="18" t="str">
        <f aca="false">IF(OR(V1683="Aprobada"),R1683,IF(AND(OR(V1683="Aprobada con ajuste",V1683="Rechazada"),W1683&lt;&gt;""),W1683,""))</f>
        <v/>
      </c>
    </row>
    <row r="1684" customFormat="false" ht="43.25" hidden="false" customHeight="false" outlineLevel="0" collapsed="false">
      <c r="A1684" s="18" t="s">
        <v>7329</v>
      </c>
      <c r="B1684" s="18" t="s">
        <v>66</v>
      </c>
      <c r="C1684" s="18" t="s">
        <v>67</v>
      </c>
      <c r="D1684" s="18" t="s">
        <v>7304</v>
      </c>
      <c r="E1684" s="18" t="n">
        <v>2</v>
      </c>
      <c r="F1684" s="18" t="s">
        <v>6594</v>
      </c>
      <c r="G1684" s="18" t="s">
        <v>173</v>
      </c>
      <c r="H1684" s="18" t="s">
        <v>162</v>
      </c>
      <c r="I1684" s="18"/>
      <c r="J1684" s="18"/>
      <c r="K1684" s="18"/>
      <c r="L1684" s="18" t="s">
        <v>129</v>
      </c>
      <c r="M1684" s="18" t="s">
        <v>129</v>
      </c>
      <c r="N1684" s="18"/>
      <c r="O1684" s="18"/>
      <c r="P1684" s="18" t="s">
        <v>7330</v>
      </c>
      <c r="Q1684" s="18" t="s">
        <v>131</v>
      </c>
      <c r="R1684" s="18" t="s">
        <v>7331</v>
      </c>
      <c r="S1684" s="18" t="s">
        <v>133</v>
      </c>
      <c r="T1684" s="18" t="s">
        <v>7332</v>
      </c>
      <c r="U1684" s="18"/>
      <c r="V1684" s="19" t="s">
        <v>29</v>
      </c>
      <c r="W1684" s="19"/>
      <c r="X1684" s="19"/>
      <c r="Y1684" s="20"/>
      <c r="Z1684" s="19"/>
      <c r="AA1684" s="18" t="str">
        <f aca="false">IF(OR(V1684="Aprobada"),R1684,IF(AND(OR(V1684="Aprobada con ajuste",V1684="Rechazada"),W1684&lt;&gt;""),W1684,""))</f>
        <v/>
      </c>
    </row>
    <row r="1685" customFormat="false" ht="43.25" hidden="false" customHeight="false" outlineLevel="0" collapsed="false">
      <c r="A1685" s="18" t="s">
        <v>7333</v>
      </c>
      <c r="B1685" s="18" t="s">
        <v>66</v>
      </c>
      <c r="C1685" s="18" t="s">
        <v>67</v>
      </c>
      <c r="D1685" s="18" t="s">
        <v>7304</v>
      </c>
      <c r="E1685" s="18" t="n">
        <v>2</v>
      </c>
      <c r="F1685" s="18" t="s">
        <v>4961</v>
      </c>
      <c r="G1685" s="18" t="s">
        <v>173</v>
      </c>
      <c r="H1685" s="18" t="s">
        <v>162</v>
      </c>
      <c r="I1685" s="18"/>
      <c r="J1685" s="18"/>
      <c r="K1685" s="18"/>
      <c r="L1685" s="18" t="s">
        <v>129</v>
      </c>
      <c r="M1685" s="18" t="s">
        <v>129</v>
      </c>
      <c r="N1685" s="18"/>
      <c r="O1685" s="18"/>
      <c r="P1685" s="18" t="s">
        <v>7334</v>
      </c>
      <c r="Q1685" s="18" t="s">
        <v>131</v>
      </c>
      <c r="R1685" s="18" t="s">
        <v>7335</v>
      </c>
      <c r="S1685" s="18" t="s">
        <v>133</v>
      </c>
      <c r="T1685" s="18" t="s">
        <v>7336</v>
      </c>
      <c r="U1685" s="18"/>
      <c r="V1685" s="19" t="s">
        <v>29</v>
      </c>
      <c r="W1685" s="19"/>
      <c r="X1685" s="19"/>
      <c r="Y1685" s="20"/>
      <c r="Z1685" s="19"/>
      <c r="AA1685" s="18" t="str">
        <f aca="false">IF(OR(V1685="Aprobada"),R1685,IF(AND(OR(V1685="Aprobada con ajuste",V1685="Rechazada"),W1685&lt;&gt;""),W1685,""))</f>
        <v/>
      </c>
    </row>
    <row r="1686" customFormat="false" ht="43.25" hidden="false" customHeight="false" outlineLevel="0" collapsed="false">
      <c r="A1686" s="18" t="s">
        <v>7337</v>
      </c>
      <c r="B1686" s="18" t="s">
        <v>66</v>
      </c>
      <c r="C1686" s="18" t="s">
        <v>67</v>
      </c>
      <c r="D1686" s="18" t="s">
        <v>7304</v>
      </c>
      <c r="E1686" s="18" t="n">
        <v>2</v>
      </c>
      <c r="F1686" s="18" t="s">
        <v>7338</v>
      </c>
      <c r="G1686" s="18" t="s">
        <v>542</v>
      </c>
      <c r="H1686" s="18" t="s">
        <v>162</v>
      </c>
      <c r="I1686" s="18"/>
      <c r="J1686" s="18"/>
      <c r="K1686" s="18"/>
      <c r="L1686" s="18" t="s">
        <v>129</v>
      </c>
      <c r="M1686" s="18" t="s">
        <v>129</v>
      </c>
      <c r="N1686" s="18"/>
      <c r="O1686" s="18"/>
      <c r="P1686" s="18" t="s">
        <v>7339</v>
      </c>
      <c r="Q1686" s="18" t="s">
        <v>131</v>
      </c>
      <c r="R1686" s="18" t="s">
        <v>7340</v>
      </c>
      <c r="S1686" s="18" t="s">
        <v>133</v>
      </c>
      <c r="T1686" s="18" t="s">
        <v>7341</v>
      </c>
      <c r="U1686" s="18"/>
      <c r="V1686" s="19" t="s">
        <v>29</v>
      </c>
      <c r="W1686" s="19"/>
      <c r="X1686" s="19"/>
      <c r="Y1686" s="20"/>
      <c r="Z1686" s="19"/>
      <c r="AA1686" s="18" t="str">
        <f aca="false">IF(OR(V1686="Aprobada"),R1686,IF(AND(OR(V1686="Aprobada con ajuste",V1686="Rechazada"),W1686&lt;&gt;""),W1686,""))</f>
        <v/>
      </c>
    </row>
    <row r="1687" customFormat="false" ht="43.25" hidden="false" customHeight="false" outlineLevel="0" collapsed="false">
      <c r="A1687" s="18" t="s">
        <v>7342</v>
      </c>
      <c r="B1687" s="18" t="s">
        <v>66</v>
      </c>
      <c r="C1687" s="18" t="s">
        <v>67</v>
      </c>
      <c r="D1687" s="18" t="s">
        <v>7304</v>
      </c>
      <c r="E1687" s="18" t="n">
        <v>2</v>
      </c>
      <c r="F1687" s="18" t="s">
        <v>4851</v>
      </c>
      <c r="G1687" s="18" t="s">
        <v>584</v>
      </c>
      <c r="H1687" s="18" t="s">
        <v>162</v>
      </c>
      <c r="I1687" s="18"/>
      <c r="J1687" s="18"/>
      <c r="K1687" s="18"/>
      <c r="L1687" s="18" t="s">
        <v>129</v>
      </c>
      <c r="M1687" s="18" t="s">
        <v>129</v>
      </c>
      <c r="N1687" s="18"/>
      <c r="O1687" s="18"/>
      <c r="P1687" s="18" t="s">
        <v>7343</v>
      </c>
      <c r="Q1687" s="18" t="s">
        <v>131</v>
      </c>
      <c r="R1687" s="18" t="s">
        <v>7344</v>
      </c>
      <c r="S1687" s="18" t="s">
        <v>133</v>
      </c>
      <c r="T1687" s="18" t="s">
        <v>7345</v>
      </c>
      <c r="U1687" s="18"/>
      <c r="V1687" s="19" t="s">
        <v>29</v>
      </c>
      <c r="W1687" s="19"/>
      <c r="X1687" s="19"/>
      <c r="Y1687" s="20"/>
      <c r="Z1687" s="19"/>
      <c r="AA1687" s="18" t="str">
        <f aca="false">IF(OR(V1687="Aprobada"),R1687,IF(AND(OR(V1687="Aprobada con ajuste",V1687="Rechazada"),W1687&lt;&gt;""),W1687,""))</f>
        <v/>
      </c>
    </row>
    <row r="1688" customFormat="false" ht="22.35" hidden="false" customHeight="false" outlineLevel="0" collapsed="false">
      <c r="A1688" s="18" t="s">
        <v>7346</v>
      </c>
      <c r="B1688" s="18" t="s">
        <v>66</v>
      </c>
      <c r="C1688" s="18" t="s">
        <v>67</v>
      </c>
      <c r="D1688" s="18" t="s">
        <v>7347</v>
      </c>
      <c r="E1688" s="18" t="n">
        <v>12</v>
      </c>
      <c r="F1688" s="18" t="s">
        <v>275</v>
      </c>
      <c r="G1688" s="18" t="s">
        <v>180</v>
      </c>
      <c r="H1688" s="18" t="s">
        <v>129</v>
      </c>
      <c r="I1688" s="18" t="s">
        <v>146</v>
      </c>
      <c r="J1688" s="18"/>
      <c r="K1688" s="18"/>
      <c r="L1688" s="18" t="s">
        <v>162</v>
      </c>
      <c r="M1688" s="18" t="s">
        <v>129</v>
      </c>
      <c r="N1688" s="18"/>
      <c r="O1688" s="18" t="s">
        <v>7348</v>
      </c>
      <c r="P1688" s="18"/>
      <c r="Q1688" s="18" t="s">
        <v>138</v>
      </c>
      <c r="R1688" s="18" t="s">
        <v>7349</v>
      </c>
      <c r="S1688" s="18" t="s">
        <v>140</v>
      </c>
      <c r="T1688" s="18" t="s">
        <v>141</v>
      </c>
      <c r="U1688" s="18"/>
      <c r="V1688" s="19" t="s">
        <v>29</v>
      </c>
      <c r="W1688" s="19"/>
      <c r="X1688" s="19"/>
      <c r="Y1688" s="20"/>
      <c r="Z1688" s="19"/>
      <c r="AA1688" s="18" t="str">
        <f aca="false">IF(OR(V1688="Aprobada"),R1688,IF(AND(OR(V1688="Aprobada con ajuste",V1688="Rechazada"),W1688&lt;&gt;""),W1688,""))</f>
        <v/>
      </c>
    </row>
    <row r="1689" customFormat="false" ht="22.35" hidden="false" customHeight="false" outlineLevel="0" collapsed="false">
      <c r="A1689" s="18" t="s">
        <v>7350</v>
      </c>
      <c r="B1689" s="18" t="s">
        <v>66</v>
      </c>
      <c r="C1689" s="18" t="s">
        <v>67</v>
      </c>
      <c r="D1689" s="18" t="s">
        <v>7347</v>
      </c>
      <c r="E1689" s="18" t="n">
        <v>12</v>
      </c>
      <c r="F1689" s="18" t="s">
        <v>160</v>
      </c>
      <c r="G1689" s="18" t="s">
        <v>180</v>
      </c>
      <c r="H1689" s="18" t="s">
        <v>162</v>
      </c>
      <c r="I1689" s="18"/>
      <c r="J1689" s="18"/>
      <c r="K1689" s="18"/>
      <c r="L1689" s="18" t="s">
        <v>162</v>
      </c>
      <c r="M1689" s="18" t="s">
        <v>129</v>
      </c>
      <c r="N1689" s="18"/>
      <c r="O1689" s="18"/>
      <c r="P1689" s="18"/>
      <c r="Q1689" s="18" t="s">
        <v>138</v>
      </c>
      <c r="R1689" s="18" t="s">
        <v>7351</v>
      </c>
      <c r="S1689" s="18" t="s">
        <v>140</v>
      </c>
      <c r="T1689" s="18" t="s">
        <v>141</v>
      </c>
      <c r="U1689" s="18"/>
      <c r="V1689" s="19" t="s">
        <v>29</v>
      </c>
      <c r="W1689" s="19"/>
      <c r="X1689" s="19"/>
      <c r="Y1689" s="20"/>
      <c r="Z1689" s="19"/>
      <c r="AA1689" s="18" t="str">
        <f aca="false">IF(OR(V1689="Aprobada"),R1689,IF(AND(OR(V1689="Aprobada con ajuste",V1689="Rechazada"),W1689&lt;&gt;""),W1689,""))</f>
        <v/>
      </c>
    </row>
    <row r="1690" customFormat="false" ht="22.35" hidden="false" customHeight="false" outlineLevel="0" collapsed="false">
      <c r="A1690" s="18" t="s">
        <v>7352</v>
      </c>
      <c r="B1690" s="18" t="s">
        <v>66</v>
      </c>
      <c r="C1690" s="18" t="s">
        <v>67</v>
      </c>
      <c r="D1690" s="18" t="s">
        <v>7347</v>
      </c>
      <c r="E1690" s="18" t="n">
        <v>12</v>
      </c>
      <c r="F1690" s="18" t="s">
        <v>172</v>
      </c>
      <c r="G1690" s="18" t="s">
        <v>173</v>
      </c>
      <c r="H1690" s="18" t="s">
        <v>162</v>
      </c>
      <c r="I1690" s="18"/>
      <c r="J1690" s="18"/>
      <c r="K1690" s="18"/>
      <c r="L1690" s="18" t="s">
        <v>162</v>
      </c>
      <c r="M1690" s="18" t="s">
        <v>129</v>
      </c>
      <c r="N1690" s="18"/>
      <c r="O1690" s="18"/>
      <c r="P1690" s="18"/>
      <c r="Q1690" s="18" t="s">
        <v>138</v>
      </c>
      <c r="R1690" s="18" t="s">
        <v>176</v>
      </c>
      <c r="S1690" s="18" t="s">
        <v>140</v>
      </c>
      <c r="T1690" s="18" t="s">
        <v>141</v>
      </c>
      <c r="U1690" s="18"/>
      <c r="V1690" s="19" t="s">
        <v>29</v>
      </c>
      <c r="W1690" s="19"/>
      <c r="X1690" s="19"/>
      <c r="Y1690" s="20"/>
      <c r="Z1690" s="19"/>
      <c r="AA1690" s="18" t="str">
        <f aca="false">IF(OR(V1690="Aprobada"),R1690,IF(AND(OR(V1690="Aprobada con ajuste",V1690="Rechazada"),W1690&lt;&gt;""),W1690,""))</f>
        <v/>
      </c>
    </row>
    <row r="1691" customFormat="false" ht="32.8" hidden="false" customHeight="false" outlineLevel="0" collapsed="false">
      <c r="A1691" s="18" t="s">
        <v>7353</v>
      </c>
      <c r="B1691" s="18" t="s">
        <v>66</v>
      </c>
      <c r="C1691" s="18" t="s">
        <v>67</v>
      </c>
      <c r="D1691" s="18" t="s">
        <v>7354</v>
      </c>
      <c r="E1691" s="18" t="n">
        <v>7</v>
      </c>
      <c r="F1691" s="18" t="s">
        <v>7294</v>
      </c>
      <c r="G1691" s="18" t="s">
        <v>180</v>
      </c>
      <c r="H1691" s="18" t="s">
        <v>129</v>
      </c>
      <c r="I1691" s="18" t="s">
        <v>146</v>
      </c>
      <c r="J1691" s="18"/>
      <c r="K1691" s="18"/>
      <c r="L1691" s="18" t="s">
        <v>129</v>
      </c>
      <c r="M1691" s="18" t="s">
        <v>129</v>
      </c>
      <c r="N1691" s="18"/>
      <c r="O1691" s="18" t="s">
        <v>7355</v>
      </c>
      <c r="P1691" s="18"/>
      <c r="Q1691" s="18" t="s">
        <v>149</v>
      </c>
      <c r="R1691" s="18" t="s">
        <v>7356</v>
      </c>
      <c r="S1691" s="18" t="s">
        <v>133</v>
      </c>
      <c r="T1691" s="18" t="s">
        <v>7297</v>
      </c>
      <c r="U1691" s="18"/>
      <c r="V1691" s="19" t="s">
        <v>29</v>
      </c>
      <c r="W1691" s="19"/>
      <c r="X1691" s="19"/>
      <c r="Y1691" s="20"/>
      <c r="Z1691" s="19"/>
      <c r="AA1691" s="18" t="str">
        <f aca="false">IF(OR(V1691="Aprobada"),R1691,IF(AND(OR(V1691="Aprobada con ajuste",V1691="Rechazada"),W1691&lt;&gt;""),W1691,""))</f>
        <v/>
      </c>
    </row>
    <row r="1692" customFormat="false" ht="22.35" hidden="false" customHeight="false" outlineLevel="0" collapsed="false">
      <c r="A1692" s="18" t="s">
        <v>7357</v>
      </c>
      <c r="B1692" s="18" t="s">
        <v>66</v>
      </c>
      <c r="C1692" s="18" t="s">
        <v>67</v>
      </c>
      <c r="D1692" s="18" t="s">
        <v>7354</v>
      </c>
      <c r="E1692" s="18" t="n">
        <v>7</v>
      </c>
      <c r="F1692" s="18" t="s">
        <v>1922</v>
      </c>
      <c r="G1692" s="18" t="s">
        <v>128</v>
      </c>
      <c r="H1692" s="18" t="s">
        <v>129</v>
      </c>
      <c r="I1692" s="18"/>
      <c r="J1692" s="18"/>
      <c r="K1692" s="18"/>
      <c r="L1692" s="18" t="s">
        <v>129</v>
      </c>
      <c r="M1692" s="18" t="s">
        <v>129</v>
      </c>
      <c r="N1692" s="18"/>
      <c r="O1692" s="18"/>
      <c r="P1692" s="18"/>
      <c r="Q1692" s="18" t="s">
        <v>149</v>
      </c>
      <c r="R1692" s="18" t="s">
        <v>7358</v>
      </c>
      <c r="S1692" s="18" t="s">
        <v>133</v>
      </c>
      <c r="T1692" s="18" t="s">
        <v>4079</v>
      </c>
      <c r="U1692" s="18"/>
      <c r="V1692" s="19" t="s">
        <v>29</v>
      </c>
      <c r="W1692" s="19"/>
      <c r="X1692" s="19"/>
      <c r="Y1692" s="20"/>
      <c r="Z1692" s="19"/>
      <c r="AA1692" s="18" t="str">
        <f aca="false">IF(OR(V1692="Aprobada"),R1692,IF(AND(OR(V1692="Aprobada con ajuste",V1692="Rechazada"),W1692&lt;&gt;""),W1692,""))</f>
        <v/>
      </c>
    </row>
    <row r="1693" customFormat="false" ht="22.35" hidden="false" customHeight="false" outlineLevel="0" collapsed="false">
      <c r="A1693" s="18" t="s">
        <v>7359</v>
      </c>
      <c r="B1693" s="18" t="s">
        <v>66</v>
      </c>
      <c r="C1693" s="18" t="s">
        <v>67</v>
      </c>
      <c r="D1693" s="18" t="s">
        <v>7354</v>
      </c>
      <c r="E1693" s="18" t="n">
        <v>7</v>
      </c>
      <c r="F1693" s="18" t="s">
        <v>160</v>
      </c>
      <c r="G1693" s="18" t="s">
        <v>128</v>
      </c>
      <c r="H1693" s="18" t="s">
        <v>162</v>
      </c>
      <c r="I1693" s="18"/>
      <c r="J1693" s="18"/>
      <c r="K1693" s="18"/>
      <c r="L1693" s="18" t="s">
        <v>129</v>
      </c>
      <c r="M1693" s="18" t="s">
        <v>129</v>
      </c>
      <c r="N1693" s="18"/>
      <c r="O1693" s="18"/>
      <c r="P1693" s="18"/>
      <c r="Q1693" s="18" t="s">
        <v>138</v>
      </c>
      <c r="R1693" s="18" t="s">
        <v>7360</v>
      </c>
      <c r="S1693" s="18" t="s">
        <v>140</v>
      </c>
      <c r="T1693" s="18" t="s">
        <v>141</v>
      </c>
      <c r="U1693" s="18"/>
      <c r="V1693" s="19" t="s">
        <v>29</v>
      </c>
      <c r="W1693" s="19"/>
      <c r="X1693" s="19"/>
      <c r="Y1693" s="20"/>
      <c r="Z1693" s="19"/>
      <c r="AA1693" s="18" t="str">
        <f aca="false">IF(OR(V1693="Aprobada"),R1693,IF(AND(OR(V1693="Aprobada con ajuste",V1693="Rechazada"),W1693&lt;&gt;""),W1693,""))</f>
        <v/>
      </c>
    </row>
    <row r="1694" customFormat="false" ht="22.35" hidden="false" customHeight="false" outlineLevel="0" collapsed="false">
      <c r="A1694" s="18" t="s">
        <v>7361</v>
      </c>
      <c r="B1694" s="18" t="s">
        <v>66</v>
      </c>
      <c r="C1694" s="18" t="s">
        <v>67</v>
      </c>
      <c r="D1694" s="18" t="s">
        <v>7354</v>
      </c>
      <c r="E1694" s="18" t="n">
        <v>7</v>
      </c>
      <c r="F1694" s="18" t="s">
        <v>127</v>
      </c>
      <c r="G1694" s="18" t="s">
        <v>145</v>
      </c>
      <c r="H1694" s="18" t="s">
        <v>162</v>
      </c>
      <c r="I1694" s="18" t="s">
        <v>298</v>
      </c>
      <c r="J1694" s="18" t="s">
        <v>7362</v>
      </c>
      <c r="K1694" s="18"/>
      <c r="L1694" s="18" t="s">
        <v>162</v>
      </c>
      <c r="M1694" s="18" t="s">
        <v>129</v>
      </c>
      <c r="N1694" s="18"/>
      <c r="O1694" s="18"/>
      <c r="P1694" s="18"/>
      <c r="Q1694" s="18" t="s">
        <v>138</v>
      </c>
      <c r="R1694" s="18" t="s">
        <v>7363</v>
      </c>
      <c r="S1694" s="18" t="s">
        <v>140</v>
      </c>
      <c r="T1694" s="18" t="s">
        <v>141</v>
      </c>
      <c r="U1694" s="18"/>
      <c r="V1694" s="19" t="s">
        <v>29</v>
      </c>
      <c r="W1694" s="19"/>
      <c r="X1694" s="19"/>
      <c r="Y1694" s="20"/>
      <c r="Z1694" s="19"/>
      <c r="AA1694" s="18" t="str">
        <f aca="false">IF(OR(V1694="Aprobada"),R1694,IF(AND(OR(V1694="Aprobada con ajuste",V1694="Rechazada"),W1694&lt;&gt;""),W1694,""))</f>
        <v/>
      </c>
    </row>
    <row r="1695" customFormat="false" ht="22.35" hidden="false" customHeight="false" outlineLevel="0" collapsed="false">
      <c r="A1695" s="18" t="s">
        <v>7364</v>
      </c>
      <c r="B1695" s="18" t="s">
        <v>66</v>
      </c>
      <c r="C1695" s="18" t="s">
        <v>67</v>
      </c>
      <c r="D1695" s="18" t="s">
        <v>7354</v>
      </c>
      <c r="E1695" s="18" t="n">
        <v>7</v>
      </c>
      <c r="F1695" s="18" t="s">
        <v>281</v>
      </c>
      <c r="G1695" s="18" t="s">
        <v>180</v>
      </c>
      <c r="H1695" s="18" t="s">
        <v>162</v>
      </c>
      <c r="I1695" s="18"/>
      <c r="J1695" s="18"/>
      <c r="K1695" s="18"/>
      <c r="L1695" s="18" t="s">
        <v>129</v>
      </c>
      <c r="M1695" s="18" t="s">
        <v>129</v>
      </c>
      <c r="N1695" s="18"/>
      <c r="O1695" s="18" t="s">
        <v>7365</v>
      </c>
      <c r="P1695" s="18"/>
      <c r="Q1695" s="18" t="s">
        <v>149</v>
      </c>
      <c r="R1695" s="18" t="s">
        <v>7366</v>
      </c>
      <c r="S1695" s="18" t="s">
        <v>140</v>
      </c>
      <c r="T1695" s="18" t="s">
        <v>6022</v>
      </c>
      <c r="U1695" s="18" t="s">
        <v>7367</v>
      </c>
      <c r="V1695" s="19" t="s">
        <v>29</v>
      </c>
      <c r="W1695" s="19"/>
      <c r="X1695" s="19"/>
      <c r="Y1695" s="20"/>
      <c r="Z1695" s="19"/>
      <c r="AA1695" s="18" t="str">
        <f aca="false">IF(OR(V1695="Aprobada"),R1695,IF(AND(OR(V1695="Aprobada con ajuste",V1695="Rechazada"),W1695&lt;&gt;""),W1695,""))</f>
        <v/>
      </c>
    </row>
    <row r="1696" customFormat="false" ht="22.35" hidden="false" customHeight="false" outlineLevel="0" collapsed="false">
      <c r="A1696" s="18" t="s">
        <v>7368</v>
      </c>
      <c r="B1696" s="18" t="s">
        <v>66</v>
      </c>
      <c r="C1696" s="18" t="s">
        <v>67</v>
      </c>
      <c r="D1696" s="18" t="s">
        <v>7354</v>
      </c>
      <c r="E1696" s="18" t="n">
        <v>7</v>
      </c>
      <c r="F1696" s="18" t="s">
        <v>172</v>
      </c>
      <c r="G1696" s="18" t="s">
        <v>173</v>
      </c>
      <c r="H1696" s="18" t="s">
        <v>162</v>
      </c>
      <c r="I1696" s="18"/>
      <c r="J1696" s="18"/>
      <c r="K1696" s="18"/>
      <c r="L1696" s="18" t="s">
        <v>129</v>
      </c>
      <c r="M1696" s="18" t="s">
        <v>129</v>
      </c>
      <c r="N1696" s="18"/>
      <c r="O1696" s="18" t="s">
        <v>7369</v>
      </c>
      <c r="P1696" s="18"/>
      <c r="Q1696" s="18" t="s">
        <v>138</v>
      </c>
      <c r="R1696" s="18" t="s">
        <v>176</v>
      </c>
      <c r="S1696" s="18" t="s">
        <v>140</v>
      </c>
      <c r="T1696" s="18" t="s">
        <v>141</v>
      </c>
      <c r="U1696" s="18"/>
      <c r="V1696" s="19" t="s">
        <v>29</v>
      </c>
      <c r="W1696" s="19"/>
      <c r="X1696" s="19"/>
      <c r="Y1696" s="20"/>
      <c r="Z1696" s="19"/>
      <c r="AA1696" s="18" t="str">
        <f aca="false">IF(OR(V1696="Aprobada"),R1696,IF(AND(OR(V1696="Aprobada con ajuste",V1696="Rechazada"),W1696&lt;&gt;""),W1696,""))</f>
        <v/>
      </c>
    </row>
    <row r="1697" customFormat="false" ht="53.7" hidden="false" customHeight="false" outlineLevel="0" collapsed="false">
      <c r="A1697" s="18" t="s">
        <v>7370</v>
      </c>
      <c r="B1697" s="18" t="s">
        <v>66</v>
      </c>
      <c r="C1697" s="18" t="s">
        <v>67</v>
      </c>
      <c r="D1697" s="18" t="s">
        <v>7371</v>
      </c>
      <c r="E1697" s="18" t="n">
        <v>31</v>
      </c>
      <c r="F1697" s="18" t="s">
        <v>172</v>
      </c>
      <c r="G1697" s="18" t="s">
        <v>173</v>
      </c>
      <c r="H1697" s="18" t="s">
        <v>129</v>
      </c>
      <c r="I1697" s="18"/>
      <c r="J1697" s="18"/>
      <c r="K1697" s="18"/>
      <c r="L1697" s="18" t="s">
        <v>129</v>
      </c>
      <c r="M1697" s="18" t="s">
        <v>129</v>
      </c>
      <c r="N1697" s="18"/>
      <c r="O1697" s="18" t="s">
        <v>7372</v>
      </c>
      <c r="P1697" s="18" t="s">
        <v>7373</v>
      </c>
      <c r="Q1697" s="18" t="s">
        <v>138</v>
      </c>
      <c r="R1697" s="18" t="s">
        <v>176</v>
      </c>
      <c r="S1697" s="18" t="s">
        <v>140</v>
      </c>
      <c r="T1697" s="18" t="s">
        <v>141</v>
      </c>
      <c r="U1697" s="18"/>
      <c r="V1697" s="19" t="s">
        <v>29</v>
      </c>
      <c r="W1697" s="19"/>
      <c r="X1697" s="19"/>
      <c r="Y1697" s="20"/>
      <c r="Z1697" s="19"/>
      <c r="AA1697" s="18" t="str">
        <f aca="false">IF(OR(V1697="Aprobada"),R1697,IF(AND(OR(V1697="Aprobada con ajuste",V1697="Rechazada"),W1697&lt;&gt;""),W1697,""))</f>
        <v/>
      </c>
    </row>
    <row r="1698" customFormat="false" ht="22.35" hidden="false" customHeight="false" outlineLevel="0" collapsed="false">
      <c r="A1698" s="18" t="s">
        <v>7374</v>
      </c>
      <c r="B1698" s="18" t="s">
        <v>66</v>
      </c>
      <c r="C1698" s="18" t="s">
        <v>67</v>
      </c>
      <c r="D1698" s="18" t="s">
        <v>7371</v>
      </c>
      <c r="E1698" s="18" t="n">
        <v>31</v>
      </c>
      <c r="F1698" s="18" t="s">
        <v>4737</v>
      </c>
      <c r="G1698" s="18" t="s">
        <v>137</v>
      </c>
      <c r="H1698" s="18" t="s">
        <v>129</v>
      </c>
      <c r="I1698" s="18"/>
      <c r="J1698" s="18"/>
      <c r="K1698" s="18"/>
      <c r="L1698" s="18" t="s">
        <v>129</v>
      </c>
      <c r="M1698" s="18" t="s">
        <v>129</v>
      </c>
      <c r="N1698" s="18"/>
      <c r="O1698" s="18"/>
      <c r="P1698" s="18" t="s">
        <v>7375</v>
      </c>
      <c r="Q1698" s="18" t="s">
        <v>131</v>
      </c>
      <c r="R1698" s="18" t="s">
        <v>7376</v>
      </c>
      <c r="S1698" s="18" t="s">
        <v>133</v>
      </c>
      <c r="T1698" s="18" t="s">
        <v>183</v>
      </c>
      <c r="U1698" s="18"/>
      <c r="V1698" s="19" t="s">
        <v>29</v>
      </c>
      <c r="W1698" s="19"/>
      <c r="X1698" s="19"/>
      <c r="Y1698" s="20"/>
      <c r="Z1698" s="19"/>
      <c r="AA1698" s="18" t="str">
        <f aca="false">IF(OR(V1698="Aprobada"),R1698,IF(AND(OR(V1698="Aprobada con ajuste",V1698="Rechazada"),W1698&lt;&gt;""),W1698,""))</f>
        <v/>
      </c>
    </row>
    <row r="1699" customFormat="false" ht="53.7" hidden="false" customHeight="false" outlineLevel="0" collapsed="false">
      <c r="A1699" s="18" t="s">
        <v>7377</v>
      </c>
      <c r="B1699" s="18" t="s">
        <v>66</v>
      </c>
      <c r="C1699" s="18" t="s">
        <v>67</v>
      </c>
      <c r="D1699" s="18" t="s">
        <v>7371</v>
      </c>
      <c r="E1699" s="18" t="n">
        <v>31</v>
      </c>
      <c r="F1699" s="18" t="s">
        <v>886</v>
      </c>
      <c r="G1699" s="18" t="s">
        <v>128</v>
      </c>
      <c r="H1699" s="18" t="s">
        <v>162</v>
      </c>
      <c r="I1699" s="18"/>
      <c r="J1699" s="18"/>
      <c r="K1699" s="18"/>
      <c r="L1699" s="18" t="s">
        <v>129</v>
      </c>
      <c r="M1699" s="18" t="s">
        <v>129</v>
      </c>
      <c r="N1699" s="18"/>
      <c r="O1699" s="18"/>
      <c r="P1699" s="18" t="s">
        <v>7378</v>
      </c>
      <c r="Q1699" s="18" t="s">
        <v>138</v>
      </c>
      <c r="R1699" s="18" t="s">
        <v>1693</v>
      </c>
      <c r="S1699" s="18" t="s">
        <v>140</v>
      </c>
      <c r="T1699" s="18" t="s">
        <v>141</v>
      </c>
      <c r="U1699" s="18"/>
      <c r="V1699" s="19" t="s">
        <v>29</v>
      </c>
      <c r="W1699" s="19"/>
      <c r="X1699" s="19"/>
      <c r="Y1699" s="20"/>
      <c r="Z1699" s="19"/>
      <c r="AA1699" s="18" t="str">
        <f aca="false">IF(OR(V1699="Aprobada"),R1699,IF(AND(OR(V1699="Aprobada con ajuste",V1699="Rechazada"),W1699&lt;&gt;""),W1699,""))</f>
        <v/>
      </c>
    </row>
    <row r="1700" customFormat="false" ht="32.8" hidden="false" customHeight="false" outlineLevel="0" collapsed="false">
      <c r="A1700" s="18" t="s">
        <v>7379</v>
      </c>
      <c r="B1700" s="18" t="s">
        <v>66</v>
      </c>
      <c r="C1700" s="18" t="s">
        <v>67</v>
      </c>
      <c r="D1700" s="18" t="s">
        <v>7380</v>
      </c>
      <c r="E1700" s="18" t="n">
        <v>27</v>
      </c>
      <c r="F1700" s="18" t="s">
        <v>7381</v>
      </c>
      <c r="G1700" s="18" t="s">
        <v>128</v>
      </c>
      <c r="H1700" s="18" t="s">
        <v>129</v>
      </c>
      <c r="I1700" s="18"/>
      <c r="J1700" s="18"/>
      <c r="K1700" s="18"/>
      <c r="L1700" s="18" t="s">
        <v>129</v>
      </c>
      <c r="M1700" s="18" t="s">
        <v>129</v>
      </c>
      <c r="N1700" s="18"/>
      <c r="O1700" s="18"/>
      <c r="P1700" s="18" t="s">
        <v>7382</v>
      </c>
      <c r="Q1700" s="18" t="s">
        <v>149</v>
      </c>
      <c r="R1700" s="18" t="s">
        <v>7383</v>
      </c>
      <c r="S1700" s="18" t="s">
        <v>133</v>
      </c>
      <c r="T1700" s="18" t="s">
        <v>7287</v>
      </c>
      <c r="U1700" s="18"/>
      <c r="V1700" s="19" t="s">
        <v>29</v>
      </c>
      <c r="W1700" s="19"/>
      <c r="X1700" s="19"/>
      <c r="Y1700" s="20"/>
      <c r="Z1700" s="19"/>
      <c r="AA1700" s="18" t="str">
        <f aca="false">IF(OR(V1700="Aprobada"),R1700,IF(AND(OR(V1700="Aprobada con ajuste",V1700="Rechazada"),W1700&lt;&gt;""),W1700,""))</f>
        <v/>
      </c>
    </row>
    <row r="1701" customFormat="false" ht="43.25" hidden="false" customHeight="false" outlineLevel="0" collapsed="false">
      <c r="A1701" s="18" t="s">
        <v>7384</v>
      </c>
      <c r="B1701" s="18" t="s">
        <v>66</v>
      </c>
      <c r="C1701" s="18" t="s">
        <v>67</v>
      </c>
      <c r="D1701" s="18" t="s">
        <v>7380</v>
      </c>
      <c r="E1701" s="18" t="n">
        <v>27</v>
      </c>
      <c r="F1701" s="18" t="s">
        <v>937</v>
      </c>
      <c r="G1701" s="18" t="s">
        <v>503</v>
      </c>
      <c r="H1701" s="18" t="s">
        <v>162</v>
      </c>
      <c r="I1701" s="18"/>
      <c r="J1701" s="18"/>
      <c r="K1701" s="18"/>
      <c r="L1701" s="18" t="s">
        <v>129</v>
      </c>
      <c r="M1701" s="18" t="s">
        <v>129</v>
      </c>
      <c r="N1701" s="18"/>
      <c r="O1701" s="18"/>
      <c r="P1701" s="18" t="s">
        <v>7385</v>
      </c>
      <c r="Q1701" s="18" t="s">
        <v>138</v>
      </c>
      <c r="R1701" s="18" t="s">
        <v>939</v>
      </c>
      <c r="S1701" s="18" t="s">
        <v>140</v>
      </c>
      <c r="T1701" s="18" t="s">
        <v>141</v>
      </c>
      <c r="U1701" s="18"/>
      <c r="V1701" s="19" t="s">
        <v>29</v>
      </c>
      <c r="W1701" s="19"/>
      <c r="X1701" s="19"/>
      <c r="Y1701" s="20"/>
      <c r="Z1701" s="19"/>
      <c r="AA1701" s="18" t="str">
        <f aca="false">IF(OR(V1701="Aprobada"),R1701,IF(AND(OR(V1701="Aprobada con ajuste",V1701="Rechazada"),W1701&lt;&gt;""),W1701,""))</f>
        <v/>
      </c>
    </row>
    <row r="1702" customFormat="false" ht="43.25" hidden="false" customHeight="false" outlineLevel="0" collapsed="false">
      <c r="A1702" s="18" t="s">
        <v>7386</v>
      </c>
      <c r="B1702" s="18" t="s">
        <v>66</v>
      </c>
      <c r="C1702" s="18" t="s">
        <v>67</v>
      </c>
      <c r="D1702" s="18" t="s">
        <v>7380</v>
      </c>
      <c r="E1702" s="18" t="n">
        <v>27</v>
      </c>
      <c r="F1702" s="18" t="s">
        <v>172</v>
      </c>
      <c r="G1702" s="18" t="s">
        <v>173</v>
      </c>
      <c r="H1702" s="18" t="s">
        <v>162</v>
      </c>
      <c r="I1702" s="18"/>
      <c r="J1702" s="18"/>
      <c r="K1702" s="18"/>
      <c r="L1702" s="18" t="s">
        <v>129</v>
      </c>
      <c r="M1702" s="18" t="s">
        <v>129</v>
      </c>
      <c r="N1702" s="18"/>
      <c r="O1702" s="18" t="s">
        <v>7387</v>
      </c>
      <c r="P1702" s="18" t="s">
        <v>7388</v>
      </c>
      <c r="Q1702" s="18" t="s">
        <v>138</v>
      </c>
      <c r="R1702" s="18" t="s">
        <v>176</v>
      </c>
      <c r="S1702" s="18" t="s">
        <v>140</v>
      </c>
      <c r="T1702" s="18" t="s">
        <v>141</v>
      </c>
      <c r="U1702" s="18"/>
      <c r="V1702" s="19" t="s">
        <v>29</v>
      </c>
      <c r="W1702" s="19"/>
      <c r="X1702" s="19"/>
      <c r="Y1702" s="20"/>
      <c r="Z1702" s="19"/>
      <c r="AA1702" s="18" t="str">
        <f aca="false">IF(OR(V1702="Aprobada"),R1702,IF(AND(OR(V1702="Aprobada con ajuste",V1702="Rechazada"),W1702&lt;&gt;""),W1702,""))</f>
        <v/>
      </c>
    </row>
    <row r="1703" customFormat="false" ht="22.35" hidden="false" customHeight="false" outlineLevel="0" collapsed="false">
      <c r="A1703" s="18" t="s">
        <v>7389</v>
      </c>
      <c r="B1703" s="18" t="s">
        <v>66</v>
      </c>
      <c r="C1703" s="18" t="s">
        <v>67</v>
      </c>
      <c r="D1703" s="18" t="s">
        <v>7390</v>
      </c>
      <c r="E1703" s="18" t="n">
        <v>0</v>
      </c>
      <c r="F1703" s="18" t="s">
        <v>611</v>
      </c>
      <c r="G1703" s="18" t="s">
        <v>180</v>
      </c>
      <c r="H1703" s="18" t="s">
        <v>129</v>
      </c>
      <c r="I1703" s="18"/>
      <c r="J1703" s="18"/>
      <c r="K1703" s="18"/>
      <c r="L1703" s="18" t="s">
        <v>129</v>
      </c>
      <c r="M1703" s="18" t="s">
        <v>129</v>
      </c>
      <c r="N1703" s="18"/>
      <c r="O1703" s="18"/>
      <c r="P1703" s="18"/>
      <c r="Q1703" s="18" t="s">
        <v>138</v>
      </c>
      <c r="R1703" s="18" t="s">
        <v>7391</v>
      </c>
      <c r="S1703" s="18" t="s">
        <v>140</v>
      </c>
      <c r="T1703" s="18" t="s">
        <v>141</v>
      </c>
      <c r="U1703" s="18"/>
      <c r="V1703" s="19" t="s">
        <v>29</v>
      </c>
      <c r="W1703" s="19"/>
      <c r="X1703" s="19"/>
      <c r="Y1703" s="20"/>
      <c r="Z1703" s="19"/>
      <c r="AA1703" s="18" t="str">
        <f aca="false">IF(OR(V1703="Aprobada"),R1703,IF(AND(OR(V1703="Aprobada con ajuste",V1703="Rechazada"),W1703&lt;&gt;""),W1703,""))</f>
        <v/>
      </c>
    </row>
    <row r="1704" customFormat="false" ht="22.35" hidden="false" customHeight="false" outlineLevel="0" collapsed="false">
      <c r="A1704" s="18" t="s">
        <v>7392</v>
      </c>
      <c r="B1704" s="18" t="s">
        <v>66</v>
      </c>
      <c r="C1704" s="18" t="s">
        <v>67</v>
      </c>
      <c r="D1704" s="18" t="s">
        <v>7390</v>
      </c>
      <c r="E1704" s="18" t="n">
        <v>0</v>
      </c>
      <c r="F1704" s="18" t="s">
        <v>275</v>
      </c>
      <c r="G1704" s="18" t="s">
        <v>180</v>
      </c>
      <c r="H1704" s="18" t="s">
        <v>129</v>
      </c>
      <c r="I1704" s="18"/>
      <c r="J1704" s="18"/>
      <c r="K1704" s="18"/>
      <c r="L1704" s="18" t="s">
        <v>129</v>
      </c>
      <c r="M1704" s="18" t="s">
        <v>129</v>
      </c>
      <c r="N1704" s="18"/>
      <c r="O1704" s="18"/>
      <c r="P1704" s="18"/>
      <c r="Q1704" s="18" t="s">
        <v>138</v>
      </c>
      <c r="R1704" s="18" t="s">
        <v>7393</v>
      </c>
      <c r="S1704" s="18" t="s">
        <v>140</v>
      </c>
      <c r="T1704" s="18" t="s">
        <v>141</v>
      </c>
      <c r="U1704" s="18"/>
      <c r="V1704" s="19" t="s">
        <v>29</v>
      </c>
      <c r="W1704" s="19"/>
      <c r="X1704" s="19"/>
      <c r="Y1704" s="20"/>
      <c r="Z1704" s="19"/>
      <c r="AA1704" s="18" t="str">
        <f aca="false">IF(OR(V1704="Aprobada"),R1704,IF(AND(OR(V1704="Aprobada con ajuste",V1704="Rechazada"),W1704&lt;&gt;""),W1704,""))</f>
        <v/>
      </c>
    </row>
    <row r="1705" customFormat="false" ht="22.35" hidden="false" customHeight="false" outlineLevel="0" collapsed="false">
      <c r="A1705" s="18" t="s">
        <v>7394</v>
      </c>
      <c r="B1705" s="18" t="s">
        <v>66</v>
      </c>
      <c r="C1705" s="18" t="s">
        <v>67</v>
      </c>
      <c r="D1705" s="18" t="s">
        <v>7390</v>
      </c>
      <c r="E1705" s="18" t="n">
        <v>0</v>
      </c>
      <c r="F1705" s="18" t="s">
        <v>6165</v>
      </c>
      <c r="G1705" s="18" t="s">
        <v>180</v>
      </c>
      <c r="H1705" s="18" t="s">
        <v>129</v>
      </c>
      <c r="I1705" s="18"/>
      <c r="J1705" s="18"/>
      <c r="K1705" s="18"/>
      <c r="L1705" s="18" t="s">
        <v>129</v>
      </c>
      <c r="M1705" s="18" t="s">
        <v>129</v>
      </c>
      <c r="N1705" s="18"/>
      <c r="O1705" s="18"/>
      <c r="P1705" s="18"/>
      <c r="Q1705" s="18" t="s">
        <v>149</v>
      </c>
      <c r="R1705" s="18" t="s">
        <v>7395</v>
      </c>
      <c r="S1705" s="18" t="s">
        <v>133</v>
      </c>
      <c r="T1705" s="18" t="s">
        <v>4079</v>
      </c>
      <c r="U1705" s="18"/>
      <c r="V1705" s="19" t="s">
        <v>29</v>
      </c>
      <c r="W1705" s="19"/>
      <c r="X1705" s="19"/>
      <c r="Y1705" s="20"/>
      <c r="Z1705" s="19"/>
      <c r="AA1705" s="18" t="str">
        <f aca="false">IF(OR(V1705="Aprobada"),R1705,IF(AND(OR(V1705="Aprobada con ajuste",V1705="Rechazada"),W1705&lt;&gt;""),W1705,""))</f>
        <v/>
      </c>
    </row>
    <row r="1706" customFormat="false" ht="22.35" hidden="false" customHeight="false" outlineLevel="0" collapsed="false">
      <c r="A1706" s="18" t="s">
        <v>7396</v>
      </c>
      <c r="B1706" s="18" t="s">
        <v>66</v>
      </c>
      <c r="C1706" s="18" t="s">
        <v>67</v>
      </c>
      <c r="D1706" s="18" t="s">
        <v>7390</v>
      </c>
      <c r="E1706" s="18" t="n">
        <v>0</v>
      </c>
      <c r="F1706" s="18" t="s">
        <v>5383</v>
      </c>
      <c r="G1706" s="18" t="s">
        <v>205</v>
      </c>
      <c r="H1706" s="18" t="s">
        <v>162</v>
      </c>
      <c r="I1706" s="18" t="s">
        <v>298</v>
      </c>
      <c r="J1706" s="18" t="s">
        <v>7045</v>
      </c>
      <c r="K1706" s="18"/>
      <c r="L1706" s="18" t="s">
        <v>162</v>
      </c>
      <c r="M1706" s="18" t="s">
        <v>129</v>
      </c>
      <c r="N1706" s="18"/>
      <c r="O1706" s="18"/>
      <c r="P1706" s="18"/>
      <c r="Q1706" s="18" t="s">
        <v>149</v>
      </c>
      <c r="R1706" s="18" t="s">
        <v>7397</v>
      </c>
      <c r="S1706" s="18" t="s">
        <v>133</v>
      </c>
      <c r="T1706" s="18" t="s">
        <v>6905</v>
      </c>
      <c r="U1706" s="18"/>
      <c r="V1706" s="19" t="s">
        <v>29</v>
      </c>
      <c r="W1706" s="19"/>
      <c r="X1706" s="19"/>
      <c r="Y1706" s="20"/>
      <c r="Z1706" s="19"/>
      <c r="AA1706" s="18" t="str">
        <f aca="false">IF(OR(V1706="Aprobada"),R1706,IF(AND(OR(V1706="Aprobada con ajuste",V1706="Rechazada"),W1706&lt;&gt;""),W1706,""))</f>
        <v/>
      </c>
    </row>
    <row r="1707" customFormat="false" ht="22.35" hidden="false" customHeight="false" outlineLevel="0" collapsed="false">
      <c r="A1707" s="18" t="s">
        <v>7398</v>
      </c>
      <c r="B1707" s="18" t="s">
        <v>66</v>
      </c>
      <c r="C1707" s="18" t="s">
        <v>67</v>
      </c>
      <c r="D1707" s="18" t="s">
        <v>7390</v>
      </c>
      <c r="E1707" s="18" t="n">
        <v>0</v>
      </c>
      <c r="F1707" s="18" t="s">
        <v>7399</v>
      </c>
      <c r="G1707" s="18" t="s">
        <v>828</v>
      </c>
      <c r="H1707" s="18" t="s">
        <v>129</v>
      </c>
      <c r="I1707" s="18"/>
      <c r="J1707" s="18"/>
      <c r="K1707" s="18"/>
      <c r="L1707" s="18" t="s">
        <v>129</v>
      </c>
      <c r="M1707" s="18" t="s">
        <v>129</v>
      </c>
      <c r="N1707" s="18"/>
      <c r="O1707" s="18" t="s">
        <v>7400</v>
      </c>
      <c r="P1707" s="18"/>
      <c r="Q1707" s="18" t="s">
        <v>149</v>
      </c>
      <c r="R1707" s="18" t="s">
        <v>7401</v>
      </c>
      <c r="S1707" s="18" t="s">
        <v>140</v>
      </c>
      <c r="T1707" s="18" t="s">
        <v>6022</v>
      </c>
      <c r="U1707" s="18" t="s">
        <v>7402</v>
      </c>
      <c r="V1707" s="19" t="s">
        <v>29</v>
      </c>
      <c r="W1707" s="19"/>
      <c r="X1707" s="19"/>
      <c r="Y1707" s="20"/>
      <c r="Z1707" s="19"/>
      <c r="AA1707" s="18" t="str">
        <f aca="false">IF(OR(V1707="Aprobada"),R1707,IF(AND(OR(V1707="Aprobada con ajuste",V1707="Rechazada"),W1707&lt;&gt;""),W1707,""))</f>
        <v/>
      </c>
    </row>
    <row r="1708" customFormat="false" ht="22.35" hidden="false" customHeight="false" outlineLevel="0" collapsed="false">
      <c r="A1708" s="18" t="s">
        <v>7403</v>
      </c>
      <c r="B1708" s="18" t="s">
        <v>66</v>
      </c>
      <c r="C1708" s="18" t="s">
        <v>67</v>
      </c>
      <c r="D1708" s="18" t="s">
        <v>7390</v>
      </c>
      <c r="E1708" s="18" t="n">
        <v>0</v>
      </c>
      <c r="F1708" s="18" t="s">
        <v>2414</v>
      </c>
      <c r="G1708" s="18" t="s">
        <v>137</v>
      </c>
      <c r="H1708" s="18" t="s">
        <v>129</v>
      </c>
      <c r="I1708" s="18"/>
      <c r="J1708" s="18"/>
      <c r="K1708" s="18"/>
      <c r="L1708" s="18" t="s">
        <v>129</v>
      </c>
      <c r="M1708" s="18" t="s">
        <v>129</v>
      </c>
      <c r="N1708" s="18"/>
      <c r="O1708" s="18"/>
      <c r="P1708" s="18"/>
      <c r="Q1708" s="18" t="s">
        <v>138</v>
      </c>
      <c r="R1708" s="18" t="s">
        <v>2416</v>
      </c>
      <c r="S1708" s="18" t="s">
        <v>140</v>
      </c>
      <c r="T1708" s="18" t="s">
        <v>141</v>
      </c>
      <c r="U1708" s="18"/>
      <c r="V1708" s="19" t="s">
        <v>29</v>
      </c>
      <c r="W1708" s="19"/>
      <c r="X1708" s="19"/>
      <c r="Y1708" s="20"/>
      <c r="Z1708" s="19"/>
      <c r="AA1708" s="18" t="str">
        <f aca="false">IF(OR(V1708="Aprobada"),R1708,IF(AND(OR(V1708="Aprobada con ajuste",V1708="Rechazada"),W1708&lt;&gt;""),W1708,""))</f>
        <v/>
      </c>
    </row>
    <row r="1709" customFormat="false" ht="22.35" hidden="false" customHeight="false" outlineLevel="0" collapsed="false">
      <c r="A1709" s="18" t="s">
        <v>7404</v>
      </c>
      <c r="B1709" s="18" t="s">
        <v>66</v>
      </c>
      <c r="C1709" s="18" t="s">
        <v>67</v>
      </c>
      <c r="D1709" s="18" t="s">
        <v>7390</v>
      </c>
      <c r="E1709" s="18" t="n">
        <v>0</v>
      </c>
      <c r="F1709" s="18" t="s">
        <v>2418</v>
      </c>
      <c r="G1709" s="18" t="s">
        <v>137</v>
      </c>
      <c r="H1709" s="18" t="s">
        <v>129</v>
      </c>
      <c r="I1709" s="18"/>
      <c r="J1709" s="18"/>
      <c r="K1709" s="18"/>
      <c r="L1709" s="18" t="s">
        <v>129</v>
      </c>
      <c r="M1709" s="18" t="s">
        <v>129</v>
      </c>
      <c r="N1709" s="18"/>
      <c r="O1709" s="18"/>
      <c r="P1709" s="18"/>
      <c r="Q1709" s="18" t="s">
        <v>138</v>
      </c>
      <c r="R1709" s="18" t="s">
        <v>2420</v>
      </c>
      <c r="S1709" s="18" t="s">
        <v>140</v>
      </c>
      <c r="T1709" s="18" t="s">
        <v>141</v>
      </c>
      <c r="U1709" s="18"/>
      <c r="V1709" s="19" t="s">
        <v>29</v>
      </c>
      <c r="W1709" s="19"/>
      <c r="X1709" s="19"/>
      <c r="Y1709" s="20"/>
      <c r="Z1709" s="19"/>
      <c r="AA1709" s="18" t="str">
        <f aca="false">IF(OR(V1709="Aprobada"),R1709,IF(AND(OR(V1709="Aprobada con ajuste",V1709="Rechazada"),W1709&lt;&gt;""),W1709,""))</f>
        <v/>
      </c>
    </row>
    <row r="1710" customFormat="false" ht="22.35" hidden="false" customHeight="false" outlineLevel="0" collapsed="false">
      <c r="A1710" s="18" t="s">
        <v>7405</v>
      </c>
      <c r="B1710" s="18" t="s">
        <v>66</v>
      </c>
      <c r="C1710" s="18" t="s">
        <v>67</v>
      </c>
      <c r="D1710" s="18" t="s">
        <v>7390</v>
      </c>
      <c r="E1710" s="18" t="n">
        <v>0</v>
      </c>
      <c r="F1710" s="18" t="s">
        <v>7406</v>
      </c>
      <c r="G1710" s="18" t="s">
        <v>180</v>
      </c>
      <c r="H1710" s="18" t="s">
        <v>162</v>
      </c>
      <c r="I1710" s="18"/>
      <c r="J1710" s="18"/>
      <c r="K1710" s="18"/>
      <c r="L1710" s="18" t="s">
        <v>129</v>
      </c>
      <c r="M1710" s="18" t="s">
        <v>129</v>
      </c>
      <c r="N1710" s="18"/>
      <c r="O1710" s="18"/>
      <c r="P1710" s="18"/>
      <c r="Q1710" s="18" t="s">
        <v>149</v>
      </c>
      <c r="R1710" s="18" t="s">
        <v>7407</v>
      </c>
      <c r="S1710" s="18" t="s">
        <v>140</v>
      </c>
      <c r="T1710" s="18" t="s">
        <v>858</v>
      </c>
      <c r="U1710" s="18" t="s">
        <v>7408</v>
      </c>
      <c r="V1710" s="19" t="s">
        <v>29</v>
      </c>
      <c r="W1710" s="19"/>
      <c r="X1710" s="19"/>
      <c r="Y1710" s="20"/>
      <c r="Z1710" s="19"/>
      <c r="AA1710" s="18" t="str">
        <f aca="false">IF(OR(V1710="Aprobada"),R1710,IF(AND(OR(V1710="Aprobada con ajuste",V1710="Rechazada"),W1710&lt;&gt;""),W1710,""))</f>
        <v/>
      </c>
    </row>
    <row r="1711" customFormat="false" ht="22.35" hidden="false" customHeight="false" outlineLevel="0" collapsed="false">
      <c r="A1711" s="18" t="s">
        <v>7409</v>
      </c>
      <c r="B1711" s="18" t="s">
        <v>66</v>
      </c>
      <c r="C1711" s="18" t="s">
        <v>67</v>
      </c>
      <c r="D1711" s="18" t="s">
        <v>7390</v>
      </c>
      <c r="E1711" s="18" t="n">
        <v>0</v>
      </c>
      <c r="F1711" s="18" t="s">
        <v>7410</v>
      </c>
      <c r="G1711" s="18" t="s">
        <v>503</v>
      </c>
      <c r="H1711" s="18" t="s">
        <v>129</v>
      </c>
      <c r="I1711" s="18"/>
      <c r="J1711" s="18"/>
      <c r="K1711" s="18"/>
      <c r="L1711" s="18" t="s">
        <v>129</v>
      </c>
      <c r="M1711" s="18" t="s">
        <v>129</v>
      </c>
      <c r="N1711" s="18"/>
      <c r="O1711" s="18"/>
      <c r="P1711" s="18"/>
      <c r="Q1711" s="18" t="s">
        <v>149</v>
      </c>
      <c r="R1711" s="18" t="s">
        <v>7411</v>
      </c>
      <c r="S1711" s="18" t="s">
        <v>133</v>
      </c>
      <c r="T1711" s="18" t="s">
        <v>7012</v>
      </c>
      <c r="U1711" s="18"/>
      <c r="V1711" s="19" t="s">
        <v>29</v>
      </c>
      <c r="W1711" s="19"/>
      <c r="X1711" s="19"/>
      <c r="Y1711" s="20"/>
      <c r="Z1711" s="19"/>
      <c r="AA1711" s="18" t="str">
        <f aca="false">IF(OR(V1711="Aprobada"),R1711,IF(AND(OR(V1711="Aprobada con ajuste",V1711="Rechazada"),W1711&lt;&gt;""),W1711,""))</f>
        <v/>
      </c>
    </row>
    <row r="1712" customFormat="false" ht="22.35" hidden="false" customHeight="false" outlineLevel="0" collapsed="false">
      <c r="A1712" s="18" t="s">
        <v>7412</v>
      </c>
      <c r="B1712" s="18" t="s">
        <v>66</v>
      </c>
      <c r="C1712" s="18" t="s">
        <v>67</v>
      </c>
      <c r="D1712" s="18" t="s">
        <v>7390</v>
      </c>
      <c r="E1712" s="18" t="n">
        <v>0</v>
      </c>
      <c r="F1712" s="18" t="s">
        <v>185</v>
      </c>
      <c r="G1712" s="18" t="s">
        <v>145</v>
      </c>
      <c r="H1712" s="18" t="s">
        <v>162</v>
      </c>
      <c r="I1712" s="18" t="s">
        <v>298</v>
      </c>
      <c r="J1712" s="18" t="s">
        <v>7413</v>
      </c>
      <c r="K1712" s="18"/>
      <c r="L1712" s="18" t="s">
        <v>162</v>
      </c>
      <c r="M1712" s="18" t="s">
        <v>129</v>
      </c>
      <c r="N1712" s="18"/>
      <c r="O1712" s="18" t="s">
        <v>7414</v>
      </c>
      <c r="P1712" s="18"/>
      <c r="Q1712" s="18" t="s">
        <v>138</v>
      </c>
      <c r="R1712" s="18" t="s">
        <v>7415</v>
      </c>
      <c r="S1712" s="18" t="s">
        <v>140</v>
      </c>
      <c r="T1712" s="18" t="s">
        <v>141</v>
      </c>
      <c r="U1712" s="18"/>
      <c r="V1712" s="19" t="s">
        <v>29</v>
      </c>
      <c r="W1712" s="19"/>
      <c r="X1712" s="19"/>
      <c r="Y1712" s="20"/>
      <c r="Z1712" s="19"/>
      <c r="AA1712" s="18" t="str">
        <f aca="false">IF(OR(V1712="Aprobada"),R1712,IF(AND(OR(V1712="Aprobada con ajuste",V1712="Rechazada"),W1712&lt;&gt;""),W1712,""))</f>
        <v/>
      </c>
    </row>
    <row r="1713" customFormat="false" ht="22.35" hidden="false" customHeight="false" outlineLevel="0" collapsed="false">
      <c r="A1713" s="18" t="s">
        <v>7416</v>
      </c>
      <c r="B1713" s="18" t="s">
        <v>66</v>
      </c>
      <c r="C1713" s="18" t="s">
        <v>67</v>
      </c>
      <c r="D1713" s="18" t="s">
        <v>7390</v>
      </c>
      <c r="E1713" s="18" t="n">
        <v>0</v>
      </c>
      <c r="F1713" s="18" t="s">
        <v>7226</v>
      </c>
      <c r="G1713" s="18" t="s">
        <v>173</v>
      </c>
      <c r="H1713" s="18" t="s">
        <v>162</v>
      </c>
      <c r="I1713" s="18"/>
      <c r="J1713" s="18"/>
      <c r="K1713" s="18"/>
      <c r="L1713" s="18" t="s">
        <v>129</v>
      </c>
      <c r="M1713" s="18" t="s">
        <v>129</v>
      </c>
      <c r="N1713" s="18"/>
      <c r="O1713" s="18"/>
      <c r="P1713" s="18"/>
      <c r="Q1713" s="18" t="s">
        <v>138</v>
      </c>
      <c r="R1713" s="18" t="s">
        <v>7228</v>
      </c>
      <c r="S1713" s="18" t="s">
        <v>140</v>
      </c>
      <c r="T1713" s="18" t="s">
        <v>141</v>
      </c>
      <c r="U1713" s="18"/>
      <c r="V1713" s="19" t="s">
        <v>29</v>
      </c>
      <c r="W1713" s="19"/>
      <c r="X1713" s="19"/>
      <c r="Y1713" s="20"/>
      <c r="Z1713" s="19"/>
      <c r="AA1713" s="18" t="str">
        <f aca="false">IF(OR(V1713="Aprobada"),R1713,IF(AND(OR(V1713="Aprobada con ajuste",V1713="Rechazada"),W1713&lt;&gt;""),W1713,""))</f>
        <v/>
      </c>
    </row>
    <row r="1714" customFormat="false" ht="22.35" hidden="false" customHeight="false" outlineLevel="0" collapsed="false">
      <c r="A1714" s="18" t="s">
        <v>7417</v>
      </c>
      <c r="B1714" s="18" t="s">
        <v>66</v>
      </c>
      <c r="C1714" s="18" t="s">
        <v>67</v>
      </c>
      <c r="D1714" s="18" t="s">
        <v>7390</v>
      </c>
      <c r="E1714" s="18" t="n">
        <v>0</v>
      </c>
      <c r="F1714" s="18" t="s">
        <v>5413</v>
      </c>
      <c r="G1714" s="18" t="s">
        <v>180</v>
      </c>
      <c r="H1714" s="18" t="s">
        <v>162</v>
      </c>
      <c r="I1714" s="18"/>
      <c r="J1714" s="18"/>
      <c r="K1714" s="18"/>
      <c r="L1714" s="18" t="s">
        <v>129</v>
      </c>
      <c r="M1714" s="18" t="s">
        <v>129</v>
      </c>
      <c r="N1714" s="18"/>
      <c r="O1714" s="18"/>
      <c r="P1714" s="18"/>
      <c r="Q1714" s="18" t="s">
        <v>149</v>
      </c>
      <c r="R1714" s="18" t="s">
        <v>7418</v>
      </c>
      <c r="S1714" s="18" t="s">
        <v>140</v>
      </c>
      <c r="T1714" s="18" t="s">
        <v>7232</v>
      </c>
      <c r="U1714" s="18" t="s">
        <v>6850</v>
      </c>
      <c r="V1714" s="19" t="s">
        <v>29</v>
      </c>
      <c r="W1714" s="19"/>
      <c r="X1714" s="19"/>
      <c r="Y1714" s="20"/>
      <c r="Z1714" s="19"/>
      <c r="AA1714" s="18" t="str">
        <f aca="false">IF(OR(V1714="Aprobada"),R1714,IF(AND(OR(V1714="Aprobada con ajuste",V1714="Rechazada"),W1714&lt;&gt;""),W1714,""))</f>
        <v/>
      </c>
    </row>
    <row r="1715" customFormat="false" ht="22.35" hidden="false" customHeight="false" outlineLevel="0" collapsed="false">
      <c r="A1715" s="18" t="s">
        <v>7419</v>
      </c>
      <c r="B1715" s="18" t="s">
        <v>66</v>
      </c>
      <c r="C1715" s="18" t="s">
        <v>67</v>
      </c>
      <c r="D1715" s="18" t="s">
        <v>7390</v>
      </c>
      <c r="E1715" s="18" t="n">
        <v>0</v>
      </c>
      <c r="F1715" s="18" t="s">
        <v>7234</v>
      </c>
      <c r="G1715" s="18" t="s">
        <v>173</v>
      </c>
      <c r="H1715" s="18" t="s">
        <v>162</v>
      </c>
      <c r="I1715" s="18"/>
      <c r="J1715" s="18"/>
      <c r="K1715" s="18"/>
      <c r="L1715" s="18" t="s">
        <v>129</v>
      </c>
      <c r="M1715" s="18" t="s">
        <v>129</v>
      </c>
      <c r="N1715" s="18"/>
      <c r="O1715" s="18"/>
      <c r="P1715" s="18"/>
      <c r="Q1715" s="18" t="s">
        <v>138</v>
      </c>
      <c r="R1715" s="18" t="s">
        <v>7236</v>
      </c>
      <c r="S1715" s="18" t="s">
        <v>140</v>
      </c>
      <c r="T1715" s="18" t="s">
        <v>141</v>
      </c>
      <c r="U1715" s="18"/>
      <c r="V1715" s="19" t="s">
        <v>29</v>
      </c>
      <c r="W1715" s="19"/>
      <c r="X1715" s="19"/>
      <c r="Y1715" s="20"/>
      <c r="Z1715" s="19"/>
      <c r="AA1715" s="18" t="str">
        <f aca="false">IF(OR(V1715="Aprobada"),R1715,IF(AND(OR(V1715="Aprobada con ajuste",V1715="Rechazada"),W1715&lt;&gt;""),W1715,""))</f>
        <v/>
      </c>
    </row>
    <row r="1716" customFormat="false" ht="22.35" hidden="false" customHeight="false" outlineLevel="0" collapsed="false">
      <c r="A1716" s="18" t="s">
        <v>7420</v>
      </c>
      <c r="B1716" s="18" t="s">
        <v>66</v>
      </c>
      <c r="C1716" s="18" t="s">
        <v>67</v>
      </c>
      <c r="D1716" s="18" t="s">
        <v>7390</v>
      </c>
      <c r="E1716" s="18" t="n">
        <v>0</v>
      </c>
      <c r="F1716" s="18" t="s">
        <v>7421</v>
      </c>
      <c r="G1716" s="18" t="s">
        <v>192</v>
      </c>
      <c r="H1716" s="18" t="s">
        <v>162</v>
      </c>
      <c r="I1716" s="18"/>
      <c r="J1716" s="18"/>
      <c r="K1716" s="18"/>
      <c r="L1716" s="18" t="s">
        <v>129</v>
      </c>
      <c r="M1716" s="18" t="s">
        <v>129</v>
      </c>
      <c r="N1716" s="18"/>
      <c r="O1716" s="18"/>
      <c r="P1716" s="18"/>
      <c r="Q1716" s="18" t="s">
        <v>149</v>
      </c>
      <c r="R1716" s="18" t="s">
        <v>7194</v>
      </c>
      <c r="S1716" s="18" t="s">
        <v>140</v>
      </c>
      <c r="T1716" s="18" t="s">
        <v>3193</v>
      </c>
      <c r="U1716" s="18" t="s">
        <v>7422</v>
      </c>
      <c r="V1716" s="19" t="s">
        <v>29</v>
      </c>
      <c r="W1716" s="19"/>
      <c r="X1716" s="19"/>
      <c r="Y1716" s="20"/>
      <c r="Z1716" s="19"/>
      <c r="AA1716" s="18" t="str">
        <f aca="false">IF(OR(V1716="Aprobada"),R1716,IF(AND(OR(V1716="Aprobada con ajuste",V1716="Rechazada"),W1716&lt;&gt;""),W1716,""))</f>
        <v/>
      </c>
    </row>
    <row r="1717" customFormat="false" ht="22.35" hidden="false" customHeight="false" outlineLevel="0" collapsed="false">
      <c r="A1717" s="18" t="s">
        <v>7423</v>
      </c>
      <c r="B1717" s="18" t="s">
        <v>66</v>
      </c>
      <c r="C1717" s="18" t="s">
        <v>67</v>
      </c>
      <c r="D1717" s="18" t="s">
        <v>7390</v>
      </c>
      <c r="E1717" s="18" t="n">
        <v>0</v>
      </c>
      <c r="F1717" s="18" t="s">
        <v>7424</v>
      </c>
      <c r="G1717" s="18" t="s">
        <v>192</v>
      </c>
      <c r="H1717" s="18" t="s">
        <v>162</v>
      </c>
      <c r="I1717" s="18"/>
      <c r="J1717" s="18"/>
      <c r="K1717" s="18"/>
      <c r="L1717" s="18" t="s">
        <v>129</v>
      </c>
      <c r="M1717" s="18" t="s">
        <v>129</v>
      </c>
      <c r="N1717" s="18"/>
      <c r="O1717" s="18"/>
      <c r="P1717" s="18"/>
      <c r="Q1717" s="18" t="s">
        <v>149</v>
      </c>
      <c r="R1717" s="18" t="s">
        <v>7425</v>
      </c>
      <c r="S1717" s="18" t="s">
        <v>242</v>
      </c>
      <c r="T1717" s="18" t="s">
        <v>3193</v>
      </c>
      <c r="U1717" s="18" t="s">
        <v>7426</v>
      </c>
      <c r="V1717" s="19" t="s">
        <v>29</v>
      </c>
      <c r="W1717" s="19"/>
      <c r="X1717" s="19"/>
      <c r="Y1717" s="20"/>
      <c r="Z1717" s="19"/>
      <c r="AA1717" s="18" t="str">
        <f aca="false">IF(OR(V1717="Aprobada"),R1717,IF(AND(OR(V1717="Aprobada con ajuste",V1717="Rechazada"),W1717&lt;&gt;""),W1717,""))</f>
        <v/>
      </c>
    </row>
    <row r="1718" customFormat="false" ht="32.8" hidden="false" customHeight="false" outlineLevel="0" collapsed="false">
      <c r="A1718" s="18" t="s">
        <v>7427</v>
      </c>
      <c r="B1718" s="18" t="s">
        <v>66</v>
      </c>
      <c r="C1718" s="18" t="s">
        <v>67</v>
      </c>
      <c r="D1718" s="18" t="s">
        <v>7428</v>
      </c>
      <c r="E1718" s="18" t="n">
        <v>0</v>
      </c>
      <c r="F1718" s="18" t="s">
        <v>6705</v>
      </c>
      <c r="G1718" s="18" t="s">
        <v>145</v>
      </c>
      <c r="H1718" s="18" t="s">
        <v>129</v>
      </c>
      <c r="I1718" s="18" t="s">
        <v>298</v>
      </c>
      <c r="J1718" s="18" t="s">
        <v>6706</v>
      </c>
      <c r="K1718" s="18"/>
      <c r="L1718" s="18" t="s">
        <v>162</v>
      </c>
      <c r="M1718" s="18" t="s">
        <v>129</v>
      </c>
      <c r="N1718" s="18"/>
      <c r="O1718" s="18" t="s">
        <v>7429</v>
      </c>
      <c r="P1718" s="18"/>
      <c r="Q1718" s="18" t="s">
        <v>149</v>
      </c>
      <c r="R1718" s="18" t="s">
        <v>7430</v>
      </c>
      <c r="S1718" s="18" t="s">
        <v>133</v>
      </c>
      <c r="T1718" s="18" t="s">
        <v>7431</v>
      </c>
      <c r="U1718" s="18"/>
      <c r="V1718" s="19" t="s">
        <v>29</v>
      </c>
      <c r="W1718" s="19"/>
      <c r="X1718" s="19"/>
      <c r="Y1718" s="20"/>
      <c r="Z1718" s="19"/>
      <c r="AA1718" s="18" t="str">
        <f aca="false">IF(OR(V1718="Aprobada"),R1718,IF(AND(OR(V1718="Aprobada con ajuste",V1718="Rechazada"),W1718&lt;&gt;""),W1718,""))</f>
        <v/>
      </c>
    </row>
    <row r="1719" customFormat="false" ht="22.35" hidden="false" customHeight="false" outlineLevel="0" collapsed="false">
      <c r="A1719" s="18" t="s">
        <v>7432</v>
      </c>
      <c r="B1719" s="18" t="s">
        <v>66</v>
      </c>
      <c r="C1719" s="18" t="s">
        <v>67</v>
      </c>
      <c r="D1719" s="18" t="s">
        <v>7428</v>
      </c>
      <c r="E1719" s="18" t="n">
        <v>0</v>
      </c>
      <c r="F1719" s="18" t="s">
        <v>2414</v>
      </c>
      <c r="G1719" s="18" t="s">
        <v>137</v>
      </c>
      <c r="H1719" s="18" t="s">
        <v>129</v>
      </c>
      <c r="I1719" s="18"/>
      <c r="J1719" s="18"/>
      <c r="K1719" s="18"/>
      <c r="L1719" s="18" t="s">
        <v>129</v>
      </c>
      <c r="M1719" s="18" t="s">
        <v>129</v>
      </c>
      <c r="N1719" s="18"/>
      <c r="O1719" s="18"/>
      <c r="P1719" s="18"/>
      <c r="Q1719" s="18" t="s">
        <v>138</v>
      </c>
      <c r="R1719" s="18" t="s">
        <v>2416</v>
      </c>
      <c r="S1719" s="18" t="s">
        <v>140</v>
      </c>
      <c r="T1719" s="18" t="s">
        <v>141</v>
      </c>
      <c r="U1719" s="18"/>
      <c r="V1719" s="19" t="s">
        <v>29</v>
      </c>
      <c r="W1719" s="19"/>
      <c r="X1719" s="19"/>
      <c r="Y1719" s="20"/>
      <c r="Z1719" s="19"/>
      <c r="AA1719" s="18" t="str">
        <f aca="false">IF(OR(V1719="Aprobada"),R1719,IF(AND(OR(V1719="Aprobada con ajuste",V1719="Rechazada"),W1719&lt;&gt;""),W1719,""))</f>
        <v/>
      </c>
    </row>
    <row r="1720" customFormat="false" ht="22.35" hidden="false" customHeight="false" outlineLevel="0" collapsed="false">
      <c r="A1720" s="18" t="s">
        <v>7433</v>
      </c>
      <c r="B1720" s="18" t="s">
        <v>66</v>
      </c>
      <c r="C1720" s="18" t="s">
        <v>67</v>
      </c>
      <c r="D1720" s="18" t="s">
        <v>7428</v>
      </c>
      <c r="E1720" s="18" t="n">
        <v>0</v>
      </c>
      <c r="F1720" s="18" t="s">
        <v>2418</v>
      </c>
      <c r="G1720" s="18" t="s">
        <v>137</v>
      </c>
      <c r="H1720" s="18" t="s">
        <v>129</v>
      </c>
      <c r="I1720" s="18"/>
      <c r="J1720" s="18"/>
      <c r="K1720" s="18"/>
      <c r="L1720" s="18" t="s">
        <v>129</v>
      </c>
      <c r="M1720" s="18" t="s">
        <v>129</v>
      </c>
      <c r="N1720" s="18"/>
      <c r="O1720" s="18"/>
      <c r="P1720" s="18"/>
      <c r="Q1720" s="18" t="s">
        <v>138</v>
      </c>
      <c r="R1720" s="18" t="s">
        <v>2420</v>
      </c>
      <c r="S1720" s="18" t="s">
        <v>140</v>
      </c>
      <c r="T1720" s="18" t="s">
        <v>141</v>
      </c>
      <c r="U1720" s="18"/>
      <c r="V1720" s="19" t="s">
        <v>29</v>
      </c>
      <c r="W1720" s="19"/>
      <c r="X1720" s="19"/>
      <c r="Y1720" s="20"/>
      <c r="Z1720" s="19"/>
      <c r="AA1720" s="18" t="str">
        <f aca="false">IF(OR(V1720="Aprobada"),R1720,IF(AND(OR(V1720="Aprobada con ajuste",V1720="Rechazada"),W1720&lt;&gt;""),W1720,""))</f>
        <v/>
      </c>
    </row>
    <row r="1721" customFormat="false" ht="22.35" hidden="false" customHeight="false" outlineLevel="0" collapsed="false">
      <c r="A1721" s="18" t="s">
        <v>7434</v>
      </c>
      <c r="B1721" s="18" t="s">
        <v>66</v>
      </c>
      <c r="C1721" s="18" t="s">
        <v>67</v>
      </c>
      <c r="D1721" s="18" t="s">
        <v>7428</v>
      </c>
      <c r="E1721" s="18" t="n">
        <v>0</v>
      </c>
      <c r="F1721" s="18" t="s">
        <v>7435</v>
      </c>
      <c r="G1721" s="18" t="s">
        <v>503</v>
      </c>
      <c r="H1721" s="18" t="s">
        <v>129</v>
      </c>
      <c r="I1721" s="18"/>
      <c r="J1721" s="18"/>
      <c r="K1721" s="18"/>
      <c r="L1721" s="18" t="s">
        <v>129</v>
      </c>
      <c r="M1721" s="18" t="s">
        <v>129</v>
      </c>
      <c r="N1721" s="18"/>
      <c r="O1721" s="18"/>
      <c r="P1721" s="18"/>
      <c r="Q1721" s="18" t="s">
        <v>149</v>
      </c>
      <c r="R1721" s="18" t="s">
        <v>7436</v>
      </c>
      <c r="S1721" s="18" t="s">
        <v>140</v>
      </c>
      <c r="T1721" s="18" t="s">
        <v>4074</v>
      </c>
      <c r="U1721" s="18" t="s">
        <v>7437</v>
      </c>
      <c r="V1721" s="19" t="s">
        <v>29</v>
      </c>
      <c r="W1721" s="19"/>
      <c r="X1721" s="19"/>
      <c r="Y1721" s="20"/>
      <c r="Z1721" s="19"/>
      <c r="AA1721" s="18" t="str">
        <f aca="false">IF(OR(V1721="Aprobada"),R1721,IF(AND(OR(V1721="Aprobada con ajuste",V1721="Rechazada"),W1721&lt;&gt;""),W1721,""))</f>
        <v/>
      </c>
    </row>
    <row r="1722" customFormat="false" ht="22.35" hidden="false" customHeight="false" outlineLevel="0" collapsed="false">
      <c r="A1722" s="18" t="s">
        <v>7438</v>
      </c>
      <c r="B1722" s="18" t="s">
        <v>66</v>
      </c>
      <c r="C1722" s="18" t="s">
        <v>67</v>
      </c>
      <c r="D1722" s="18" t="s">
        <v>7428</v>
      </c>
      <c r="E1722" s="18" t="n">
        <v>0</v>
      </c>
      <c r="F1722" s="18" t="s">
        <v>886</v>
      </c>
      <c r="G1722" s="18" t="s">
        <v>128</v>
      </c>
      <c r="H1722" s="18" t="s">
        <v>162</v>
      </c>
      <c r="I1722" s="18"/>
      <c r="J1722" s="18"/>
      <c r="K1722" s="18"/>
      <c r="L1722" s="18" t="s">
        <v>129</v>
      </c>
      <c r="M1722" s="18" t="s">
        <v>129</v>
      </c>
      <c r="N1722" s="18"/>
      <c r="O1722" s="18"/>
      <c r="P1722" s="18"/>
      <c r="Q1722" s="18" t="s">
        <v>138</v>
      </c>
      <c r="R1722" s="18" t="s">
        <v>1693</v>
      </c>
      <c r="S1722" s="18" t="s">
        <v>140</v>
      </c>
      <c r="T1722" s="18" t="s">
        <v>141</v>
      </c>
      <c r="U1722" s="18"/>
      <c r="V1722" s="19" t="s">
        <v>29</v>
      </c>
      <c r="W1722" s="19"/>
      <c r="X1722" s="19"/>
      <c r="Y1722" s="20"/>
      <c r="Z1722" s="19"/>
      <c r="AA1722" s="18" t="str">
        <f aca="false">IF(OR(V1722="Aprobada"),R1722,IF(AND(OR(V1722="Aprobada con ajuste",V1722="Rechazada"),W1722&lt;&gt;""),W1722,""))</f>
        <v/>
      </c>
    </row>
    <row r="1723" customFormat="false" ht="53.7" hidden="false" customHeight="false" outlineLevel="0" collapsed="false">
      <c r="A1723" s="18" t="s">
        <v>7439</v>
      </c>
      <c r="B1723" s="18" t="s">
        <v>66</v>
      </c>
      <c r="C1723" s="18" t="s">
        <v>67</v>
      </c>
      <c r="D1723" s="18" t="s">
        <v>7440</v>
      </c>
      <c r="E1723" s="18" t="n">
        <v>0</v>
      </c>
      <c r="F1723" s="18" t="s">
        <v>7441</v>
      </c>
      <c r="G1723" s="18" t="s">
        <v>486</v>
      </c>
      <c r="H1723" s="18" t="s">
        <v>129</v>
      </c>
      <c r="I1723" s="18"/>
      <c r="J1723" s="18"/>
      <c r="K1723" s="18"/>
      <c r="L1723" s="18" t="s">
        <v>129</v>
      </c>
      <c r="M1723" s="18" t="s">
        <v>129</v>
      </c>
      <c r="N1723" s="18"/>
      <c r="O1723" s="18" t="s">
        <v>7442</v>
      </c>
      <c r="P1723" s="18" t="s">
        <v>7443</v>
      </c>
      <c r="Q1723" s="18" t="s">
        <v>131</v>
      </c>
      <c r="R1723" s="18" t="s">
        <v>7444</v>
      </c>
      <c r="S1723" s="18" t="s">
        <v>133</v>
      </c>
      <c r="T1723" s="18" t="s">
        <v>7445</v>
      </c>
      <c r="U1723" s="18"/>
      <c r="V1723" s="19" t="s">
        <v>29</v>
      </c>
      <c r="W1723" s="19"/>
      <c r="X1723" s="19"/>
      <c r="Y1723" s="20"/>
      <c r="Z1723" s="19"/>
      <c r="AA1723" s="18" t="str">
        <f aca="false">IF(OR(V1723="Aprobada"),R1723,IF(AND(OR(V1723="Aprobada con ajuste",V1723="Rechazada"),W1723&lt;&gt;""),W1723,""))</f>
        <v/>
      </c>
    </row>
    <row r="1724" customFormat="false" ht="53.7" hidden="false" customHeight="false" outlineLevel="0" collapsed="false">
      <c r="A1724" s="18" t="s">
        <v>7446</v>
      </c>
      <c r="B1724" s="18" t="s">
        <v>66</v>
      </c>
      <c r="C1724" s="18" t="s">
        <v>67</v>
      </c>
      <c r="D1724" s="18" t="s">
        <v>7440</v>
      </c>
      <c r="E1724" s="18" t="n">
        <v>0</v>
      </c>
      <c r="F1724" s="18" t="s">
        <v>7447</v>
      </c>
      <c r="G1724" s="18" t="s">
        <v>317</v>
      </c>
      <c r="H1724" s="18" t="s">
        <v>162</v>
      </c>
      <c r="I1724" s="18"/>
      <c r="J1724" s="18"/>
      <c r="K1724" s="18"/>
      <c r="L1724" s="18" t="s">
        <v>129</v>
      </c>
      <c r="M1724" s="18" t="s">
        <v>129</v>
      </c>
      <c r="N1724" s="18"/>
      <c r="O1724" s="18"/>
      <c r="P1724" s="18" t="s">
        <v>7448</v>
      </c>
      <c r="Q1724" s="18" t="s">
        <v>138</v>
      </c>
      <c r="R1724" s="18" t="s">
        <v>7449</v>
      </c>
      <c r="S1724" s="18" t="s">
        <v>140</v>
      </c>
      <c r="T1724" s="18" t="s">
        <v>141</v>
      </c>
      <c r="U1724" s="18"/>
      <c r="V1724" s="19" t="s">
        <v>29</v>
      </c>
      <c r="W1724" s="19"/>
      <c r="X1724" s="19"/>
      <c r="Y1724" s="20"/>
      <c r="Z1724" s="19"/>
      <c r="AA1724" s="18" t="str">
        <f aca="false">IF(OR(V1724="Aprobada"),R1724,IF(AND(OR(V1724="Aprobada con ajuste",V1724="Rechazada"),W1724&lt;&gt;""),W1724,""))</f>
        <v/>
      </c>
    </row>
    <row r="1725" customFormat="false" ht="53.7" hidden="false" customHeight="false" outlineLevel="0" collapsed="false">
      <c r="A1725" s="18" t="s">
        <v>7450</v>
      </c>
      <c r="B1725" s="18" t="s">
        <v>66</v>
      </c>
      <c r="C1725" s="18" t="s">
        <v>67</v>
      </c>
      <c r="D1725" s="18" t="s">
        <v>7440</v>
      </c>
      <c r="E1725" s="18" t="n">
        <v>0</v>
      </c>
      <c r="F1725" s="18" t="s">
        <v>7451</v>
      </c>
      <c r="G1725" s="18" t="s">
        <v>180</v>
      </c>
      <c r="H1725" s="18" t="s">
        <v>162</v>
      </c>
      <c r="I1725" s="18"/>
      <c r="J1725" s="18"/>
      <c r="K1725" s="18"/>
      <c r="L1725" s="18" t="s">
        <v>129</v>
      </c>
      <c r="M1725" s="18" t="s">
        <v>129</v>
      </c>
      <c r="N1725" s="18"/>
      <c r="O1725" s="18"/>
      <c r="P1725" s="18" t="s">
        <v>7452</v>
      </c>
      <c r="Q1725" s="18" t="s">
        <v>131</v>
      </c>
      <c r="R1725" s="18" t="s">
        <v>7453</v>
      </c>
      <c r="S1725" s="18" t="s">
        <v>133</v>
      </c>
      <c r="T1725" s="18" t="s">
        <v>7454</v>
      </c>
      <c r="U1725" s="18"/>
      <c r="V1725" s="19" t="s">
        <v>29</v>
      </c>
      <c r="W1725" s="19"/>
      <c r="X1725" s="19"/>
      <c r="Y1725" s="20"/>
      <c r="Z1725" s="19"/>
      <c r="AA1725" s="18" t="str">
        <f aca="false">IF(OR(V1725="Aprobada"),R1725,IF(AND(OR(V1725="Aprobada con ajuste",V1725="Rechazada"),W1725&lt;&gt;""),W1725,""))</f>
        <v/>
      </c>
    </row>
    <row r="1726" customFormat="false" ht="43.25" hidden="false" customHeight="false" outlineLevel="0" collapsed="false">
      <c r="A1726" s="18" t="s">
        <v>7455</v>
      </c>
      <c r="B1726" s="18" t="s">
        <v>66</v>
      </c>
      <c r="C1726" s="18" t="s">
        <v>67</v>
      </c>
      <c r="D1726" s="18" t="s">
        <v>7440</v>
      </c>
      <c r="E1726" s="18" t="n">
        <v>0</v>
      </c>
      <c r="F1726" s="18" t="s">
        <v>7456</v>
      </c>
      <c r="G1726" s="18" t="s">
        <v>145</v>
      </c>
      <c r="H1726" s="18" t="s">
        <v>162</v>
      </c>
      <c r="I1726" s="18"/>
      <c r="J1726" s="18"/>
      <c r="K1726" s="18"/>
      <c r="L1726" s="18" t="s">
        <v>129</v>
      </c>
      <c r="M1726" s="18" t="s">
        <v>129</v>
      </c>
      <c r="N1726" s="18"/>
      <c r="O1726" s="18"/>
      <c r="P1726" s="18" t="s">
        <v>7457</v>
      </c>
      <c r="Q1726" s="18" t="s">
        <v>149</v>
      </c>
      <c r="R1726" s="18" t="s">
        <v>7458</v>
      </c>
      <c r="S1726" s="18" t="s">
        <v>140</v>
      </c>
      <c r="T1726" s="18" t="s">
        <v>5503</v>
      </c>
      <c r="U1726" s="18" t="s">
        <v>7459</v>
      </c>
      <c r="V1726" s="19" t="s">
        <v>29</v>
      </c>
      <c r="W1726" s="19"/>
      <c r="X1726" s="19"/>
      <c r="Y1726" s="20"/>
      <c r="Z1726" s="19"/>
      <c r="AA1726" s="18" t="str">
        <f aca="false">IF(OR(V1726="Aprobada"),R1726,IF(AND(OR(V1726="Aprobada con ajuste",V1726="Rechazada"),W1726&lt;&gt;""),W1726,""))</f>
        <v/>
      </c>
    </row>
    <row r="1727" customFormat="false" ht="74.6" hidden="false" customHeight="false" outlineLevel="0" collapsed="false">
      <c r="A1727" s="18" t="s">
        <v>7460</v>
      </c>
      <c r="B1727" s="18" t="s">
        <v>66</v>
      </c>
      <c r="C1727" s="18" t="s">
        <v>67</v>
      </c>
      <c r="D1727" s="18" t="s">
        <v>7461</v>
      </c>
      <c r="E1727" s="18" t="n">
        <v>77</v>
      </c>
      <c r="F1727" s="18" t="s">
        <v>275</v>
      </c>
      <c r="G1727" s="18" t="s">
        <v>180</v>
      </c>
      <c r="H1727" s="18" t="s">
        <v>129</v>
      </c>
      <c r="I1727" s="18"/>
      <c r="J1727" s="18"/>
      <c r="K1727" s="18"/>
      <c r="L1727" s="18" t="s">
        <v>129</v>
      </c>
      <c r="M1727" s="18" t="s">
        <v>162</v>
      </c>
      <c r="N1727" s="18" t="s">
        <v>2266</v>
      </c>
      <c r="O1727" s="18"/>
      <c r="P1727" s="18" t="s">
        <v>7462</v>
      </c>
      <c r="Q1727" s="18" t="s">
        <v>138</v>
      </c>
      <c r="R1727" s="18" t="s">
        <v>7463</v>
      </c>
      <c r="S1727" s="18" t="s">
        <v>140</v>
      </c>
      <c r="T1727" s="18" t="s">
        <v>141</v>
      </c>
      <c r="U1727" s="18"/>
      <c r="V1727" s="19" t="s">
        <v>29</v>
      </c>
      <c r="W1727" s="19"/>
      <c r="X1727" s="19"/>
      <c r="Y1727" s="20"/>
      <c r="Z1727" s="19"/>
      <c r="AA1727" s="18" t="str">
        <f aca="false">IF(OR(V1727="Aprobada"),R1727,IF(AND(OR(V1727="Aprobada con ajuste",V1727="Rechazada"),W1727&lt;&gt;""),W1727,""))</f>
        <v/>
      </c>
    </row>
    <row r="1728" customFormat="false" ht="43.25" hidden="false" customHeight="false" outlineLevel="0" collapsed="false">
      <c r="A1728" s="18" t="s">
        <v>7464</v>
      </c>
      <c r="B1728" s="18" t="s">
        <v>66</v>
      </c>
      <c r="C1728" s="18" t="s">
        <v>67</v>
      </c>
      <c r="D1728" s="18" t="s">
        <v>7461</v>
      </c>
      <c r="E1728" s="18" t="n">
        <v>77</v>
      </c>
      <c r="F1728" s="18" t="s">
        <v>160</v>
      </c>
      <c r="G1728" s="18" t="s">
        <v>128</v>
      </c>
      <c r="H1728" s="18" t="s">
        <v>162</v>
      </c>
      <c r="I1728" s="18"/>
      <c r="J1728" s="18"/>
      <c r="K1728" s="18"/>
      <c r="L1728" s="18" t="s">
        <v>129</v>
      </c>
      <c r="M1728" s="18" t="s">
        <v>129</v>
      </c>
      <c r="N1728" s="18"/>
      <c r="O1728" s="18"/>
      <c r="P1728" s="18" t="s">
        <v>7465</v>
      </c>
      <c r="Q1728" s="18" t="s">
        <v>138</v>
      </c>
      <c r="R1728" s="18" t="s">
        <v>7466</v>
      </c>
      <c r="S1728" s="18" t="s">
        <v>140</v>
      </c>
      <c r="T1728" s="18" t="s">
        <v>141</v>
      </c>
      <c r="U1728" s="18"/>
      <c r="V1728" s="19" t="s">
        <v>29</v>
      </c>
      <c r="W1728" s="19"/>
      <c r="X1728" s="19"/>
      <c r="Y1728" s="20"/>
      <c r="Z1728" s="19"/>
      <c r="AA1728" s="18" t="str">
        <f aca="false">IF(OR(V1728="Aprobada"),R1728,IF(AND(OR(V1728="Aprobada con ajuste",V1728="Rechazada"),W1728&lt;&gt;""),W1728,""))</f>
        <v/>
      </c>
    </row>
    <row r="1729" customFormat="false" ht="64.15" hidden="false" customHeight="false" outlineLevel="0" collapsed="false">
      <c r="A1729" s="18" t="s">
        <v>7467</v>
      </c>
      <c r="B1729" s="18" t="s">
        <v>66</v>
      </c>
      <c r="C1729" s="18" t="s">
        <v>67</v>
      </c>
      <c r="D1729" s="18" t="s">
        <v>7461</v>
      </c>
      <c r="E1729" s="18" t="n">
        <v>77</v>
      </c>
      <c r="F1729" s="18" t="s">
        <v>896</v>
      </c>
      <c r="G1729" s="18" t="s">
        <v>486</v>
      </c>
      <c r="H1729" s="18" t="s">
        <v>129</v>
      </c>
      <c r="I1729" s="18"/>
      <c r="J1729" s="18"/>
      <c r="K1729" s="18"/>
      <c r="L1729" s="18" t="s">
        <v>129</v>
      </c>
      <c r="M1729" s="18" t="s">
        <v>162</v>
      </c>
      <c r="N1729" s="18" t="s">
        <v>7468</v>
      </c>
      <c r="O1729" s="18" t="s">
        <v>7469</v>
      </c>
      <c r="P1729" s="18" t="s">
        <v>7470</v>
      </c>
      <c r="Q1729" s="18" t="s">
        <v>149</v>
      </c>
      <c r="R1729" s="18" t="s">
        <v>7471</v>
      </c>
      <c r="S1729" s="18" t="s">
        <v>140</v>
      </c>
      <c r="T1729" s="18" t="s">
        <v>7472</v>
      </c>
      <c r="U1729" s="18" t="s">
        <v>7473</v>
      </c>
      <c r="V1729" s="19" t="s">
        <v>29</v>
      </c>
      <c r="W1729" s="19"/>
      <c r="X1729" s="19"/>
      <c r="Y1729" s="20"/>
      <c r="Z1729" s="19"/>
      <c r="AA1729" s="18" t="str">
        <f aca="false">IF(OR(V1729="Aprobada"),R1729,IF(AND(OR(V1729="Aprobada con ajuste",V1729="Rechazada"),W1729&lt;&gt;""),W1729,""))</f>
        <v/>
      </c>
    </row>
    <row r="1730" customFormat="false" ht="43.25" hidden="false" customHeight="false" outlineLevel="0" collapsed="false">
      <c r="A1730" s="18" t="s">
        <v>7474</v>
      </c>
      <c r="B1730" s="18" t="s">
        <v>66</v>
      </c>
      <c r="C1730" s="18" t="s">
        <v>67</v>
      </c>
      <c r="D1730" s="18" t="s">
        <v>7461</v>
      </c>
      <c r="E1730" s="18" t="n">
        <v>77</v>
      </c>
      <c r="F1730" s="18" t="s">
        <v>3361</v>
      </c>
      <c r="G1730" s="18" t="s">
        <v>145</v>
      </c>
      <c r="H1730" s="18" t="s">
        <v>162</v>
      </c>
      <c r="I1730" s="18" t="s">
        <v>298</v>
      </c>
      <c r="J1730" s="18" t="s">
        <v>7475</v>
      </c>
      <c r="K1730" s="18"/>
      <c r="L1730" s="18" t="s">
        <v>162</v>
      </c>
      <c r="M1730" s="18" t="s">
        <v>129</v>
      </c>
      <c r="N1730" s="18"/>
      <c r="O1730" s="18" t="s">
        <v>7476</v>
      </c>
      <c r="P1730" s="18" t="s">
        <v>7477</v>
      </c>
      <c r="Q1730" s="18" t="s">
        <v>149</v>
      </c>
      <c r="R1730" s="18" t="s">
        <v>7478</v>
      </c>
      <c r="S1730" s="18" t="s">
        <v>133</v>
      </c>
      <c r="T1730" s="18" t="s">
        <v>6905</v>
      </c>
      <c r="U1730" s="18"/>
      <c r="V1730" s="19" t="s">
        <v>29</v>
      </c>
      <c r="W1730" s="19"/>
      <c r="X1730" s="19"/>
      <c r="Y1730" s="20"/>
      <c r="Z1730" s="19"/>
      <c r="AA1730" s="18" t="str">
        <f aca="false">IF(OR(V1730="Aprobada"),R1730,IF(AND(OR(V1730="Aprobada con ajuste",V1730="Rechazada"),W1730&lt;&gt;""),W1730,""))</f>
        <v/>
      </c>
    </row>
    <row r="1731" customFormat="false" ht="43.25" hidden="false" customHeight="false" outlineLevel="0" collapsed="false">
      <c r="A1731" s="18" t="s">
        <v>7479</v>
      </c>
      <c r="B1731" s="18" t="s">
        <v>66</v>
      </c>
      <c r="C1731" s="18" t="s">
        <v>67</v>
      </c>
      <c r="D1731" s="18" t="s">
        <v>7461</v>
      </c>
      <c r="E1731" s="18" t="n">
        <v>77</v>
      </c>
      <c r="F1731" s="18" t="s">
        <v>7480</v>
      </c>
      <c r="G1731" s="18" t="s">
        <v>312</v>
      </c>
      <c r="H1731" s="18" t="s">
        <v>162</v>
      </c>
      <c r="I1731" s="18"/>
      <c r="J1731" s="18"/>
      <c r="K1731" s="18"/>
      <c r="L1731" s="18" t="s">
        <v>129</v>
      </c>
      <c r="M1731" s="18" t="s">
        <v>129</v>
      </c>
      <c r="N1731" s="18"/>
      <c r="O1731" s="18"/>
      <c r="P1731" s="18" t="s">
        <v>7481</v>
      </c>
      <c r="Q1731" s="18" t="s">
        <v>138</v>
      </c>
      <c r="R1731" s="18" t="s">
        <v>7482</v>
      </c>
      <c r="S1731" s="18" t="s">
        <v>140</v>
      </c>
      <c r="T1731" s="18" t="s">
        <v>141</v>
      </c>
      <c r="U1731" s="18"/>
      <c r="V1731" s="19" t="s">
        <v>29</v>
      </c>
      <c r="W1731" s="19"/>
      <c r="X1731" s="19"/>
      <c r="Y1731" s="20"/>
      <c r="Z1731" s="19"/>
      <c r="AA1731" s="18" t="str">
        <f aca="false">IF(OR(V1731="Aprobada"),R1731,IF(AND(OR(V1731="Aprobada con ajuste",V1731="Rechazada"),W1731&lt;&gt;""),W1731,""))</f>
        <v/>
      </c>
    </row>
    <row r="1732" customFormat="false" ht="43.25" hidden="false" customHeight="false" outlineLevel="0" collapsed="false">
      <c r="A1732" s="18" t="s">
        <v>7483</v>
      </c>
      <c r="B1732" s="18" t="s">
        <v>66</v>
      </c>
      <c r="C1732" s="18" t="s">
        <v>67</v>
      </c>
      <c r="D1732" s="18" t="s">
        <v>7461</v>
      </c>
      <c r="E1732" s="18" t="n">
        <v>77</v>
      </c>
      <c r="F1732" s="18" t="s">
        <v>7484</v>
      </c>
      <c r="G1732" s="18" t="s">
        <v>312</v>
      </c>
      <c r="H1732" s="18" t="s">
        <v>162</v>
      </c>
      <c r="I1732" s="18"/>
      <c r="J1732" s="18"/>
      <c r="K1732" s="18"/>
      <c r="L1732" s="18" t="s">
        <v>129</v>
      </c>
      <c r="M1732" s="18" t="s">
        <v>129</v>
      </c>
      <c r="N1732" s="18"/>
      <c r="O1732" s="18"/>
      <c r="P1732" s="18" t="s">
        <v>7485</v>
      </c>
      <c r="Q1732" s="18" t="s">
        <v>149</v>
      </c>
      <c r="R1732" s="18" t="s">
        <v>7486</v>
      </c>
      <c r="S1732" s="18" t="s">
        <v>140</v>
      </c>
      <c r="T1732" s="18" t="s">
        <v>7487</v>
      </c>
      <c r="U1732" s="18" t="s">
        <v>7488</v>
      </c>
      <c r="V1732" s="19" t="s">
        <v>29</v>
      </c>
      <c r="W1732" s="19"/>
      <c r="X1732" s="19"/>
      <c r="Y1732" s="20"/>
      <c r="Z1732" s="19"/>
      <c r="AA1732" s="18" t="str">
        <f aca="false">IF(OR(V1732="Aprobada"),R1732,IF(AND(OR(V1732="Aprobada con ajuste",V1732="Rechazada"),W1732&lt;&gt;""),W1732,""))</f>
        <v/>
      </c>
    </row>
    <row r="1733" customFormat="false" ht="43.25" hidden="false" customHeight="false" outlineLevel="0" collapsed="false">
      <c r="A1733" s="18" t="s">
        <v>7489</v>
      </c>
      <c r="B1733" s="18" t="s">
        <v>66</v>
      </c>
      <c r="C1733" s="18" t="s">
        <v>67</v>
      </c>
      <c r="D1733" s="18" t="s">
        <v>7461</v>
      </c>
      <c r="E1733" s="18" t="n">
        <v>77</v>
      </c>
      <c r="F1733" s="18" t="s">
        <v>7490</v>
      </c>
      <c r="G1733" s="18" t="s">
        <v>161</v>
      </c>
      <c r="H1733" s="18" t="s">
        <v>129</v>
      </c>
      <c r="I1733" s="18"/>
      <c r="J1733" s="18"/>
      <c r="K1733" s="18"/>
      <c r="L1733" s="18" t="s">
        <v>129</v>
      </c>
      <c r="M1733" s="18" t="s">
        <v>129</v>
      </c>
      <c r="N1733" s="18"/>
      <c r="O1733" s="18"/>
      <c r="P1733" s="18" t="s">
        <v>7491</v>
      </c>
      <c r="Q1733" s="18" t="s">
        <v>149</v>
      </c>
      <c r="R1733" s="18" t="s">
        <v>7492</v>
      </c>
      <c r="S1733" s="18" t="s">
        <v>133</v>
      </c>
      <c r="T1733" s="18" t="s">
        <v>7012</v>
      </c>
      <c r="U1733" s="18"/>
      <c r="V1733" s="19" t="s">
        <v>29</v>
      </c>
      <c r="W1733" s="19"/>
      <c r="X1733" s="19"/>
      <c r="Y1733" s="20"/>
      <c r="Z1733" s="19"/>
      <c r="AA1733" s="18" t="str">
        <f aca="false">IF(OR(V1733="Aprobada"),R1733,IF(AND(OR(V1733="Aprobada con ajuste",V1733="Rechazada"),W1733&lt;&gt;""),W1733,""))</f>
        <v/>
      </c>
    </row>
    <row r="1734" customFormat="false" ht="43.25" hidden="false" customHeight="false" outlineLevel="0" collapsed="false">
      <c r="A1734" s="18" t="s">
        <v>7493</v>
      </c>
      <c r="B1734" s="18" t="s">
        <v>66</v>
      </c>
      <c r="C1734" s="18" t="s">
        <v>67</v>
      </c>
      <c r="D1734" s="18" t="s">
        <v>7461</v>
      </c>
      <c r="E1734" s="18" t="n">
        <v>77</v>
      </c>
      <c r="F1734" s="18" t="s">
        <v>3163</v>
      </c>
      <c r="G1734" s="18" t="s">
        <v>180</v>
      </c>
      <c r="H1734" s="18" t="s">
        <v>129</v>
      </c>
      <c r="I1734" s="18"/>
      <c r="J1734" s="18"/>
      <c r="K1734" s="18"/>
      <c r="L1734" s="18" t="s">
        <v>129</v>
      </c>
      <c r="M1734" s="18" t="s">
        <v>129</v>
      </c>
      <c r="N1734" s="18"/>
      <c r="O1734" s="18"/>
      <c r="P1734" s="18" t="s">
        <v>7494</v>
      </c>
      <c r="Q1734" s="18" t="s">
        <v>149</v>
      </c>
      <c r="R1734" s="18" t="s">
        <v>7495</v>
      </c>
      <c r="S1734" s="18" t="s">
        <v>133</v>
      </c>
      <c r="T1734" s="18" t="s">
        <v>7012</v>
      </c>
      <c r="U1734" s="18"/>
      <c r="V1734" s="19" t="s">
        <v>29</v>
      </c>
      <c r="W1734" s="19"/>
      <c r="X1734" s="19"/>
      <c r="Y1734" s="20"/>
      <c r="Z1734" s="19"/>
      <c r="AA1734" s="18" t="str">
        <f aca="false">IF(OR(V1734="Aprobada"),R1734,IF(AND(OR(V1734="Aprobada con ajuste",V1734="Rechazada"),W1734&lt;&gt;""),W1734,""))</f>
        <v/>
      </c>
    </row>
    <row r="1735" customFormat="false" ht="43.25" hidden="false" customHeight="false" outlineLevel="0" collapsed="false">
      <c r="A1735" s="18" t="s">
        <v>7496</v>
      </c>
      <c r="B1735" s="18" t="s">
        <v>66</v>
      </c>
      <c r="C1735" s="18" t="s">
        <v>67</v>
      </c>
      <c r="D1735" s="18" t="s">
        <v>7461</v>
      </c>
      <c r="E1735" s="18" t="n">
        <v>77</v>
      </c>
      <c r="F1735" s="18" t="s">
        <v>3167</v>
      </c>
      <c r="G1735" s="18" t="s">
        <v>486</v>
      </c>
      <c r="H1735" s="18" t="s">
        <v>129</v>
      </c>
      <c r="I1735" s="18"/>
      <c r="J1735" s="18"/>
      <c r="K1735" s="18"/>
      <c r="L1735" s="18" t="s">
        <v>129</v>
      </c>
      <c r="M1735" s="18" t="s">
        <v>129</v>
      </c>
      <c r="N1735" s="18"/>
      <c r="O1735" s="18"/>
      <c r="P1735" s="18" t="s">
        <v>7497</v>
      </c>
      <c r="Q1735" s="18" t="s">
        <v>149</v>
      </c>
      <c r="R1735" s="18" t="s">
        <v>7498</v>
      </c>
      <c r="S1735" s="18" t="s">
        <v>133</v>
      </c>
      <c r="T1735" s="18" t="s">
        <v>7012</v>
      </c>
      <c r="U1735" s="18"/>
      <c r="V1735" s="19" t="s">
        <v>29</v>
      </c>
      <c r="W1735" s="19"/>
      <c r="X1735" s="19"/>
      <c r="Y1735" s="20"/>
      <c r="Z1735" s="19"/>
      <c r="AA1735" s="18" t="str">
        <f aca="false">IF(OR(V1735="Aprobada"),R1735,IF(AND(OR(V1735="Aprobada con ajuste",V1735="Rechazada"),W1735&lt;&gt;""),W1735,""))</f>
        <v/>
      </c>
    </row>
    <row r="1736" customFormat="false" ht="43.25" hidden="false" customHeight="false" outlineLevel="0" collapsed="false">
      <c r="A1736" s="18" t="s">
        <v>7499</v>
      </c>
      <c r="B1736" s="18" t="s">
        <v>66</v>
      </c>
      <c r="C1736" s="18" t="s">
        <v>67</v>
      </c>
      <c r="D1736" s="18" t="s">
        <v>7461</v>
      </c>
      <c r="E1736" s="18" t="n">
        <v>77</v>
      </c>
      <c r="F1736" s="18" t="s">
        <v>7500</v>
      </c>
      <c r="G1736" s="18" t="s">
        <v>294</v>
      </c>
      <c r="H1736" s="18" t="s">
        <v>129</v>
      </c>
      <c r="I1736" s="18"/>
      <c r="J1736" s="18"/>
      <c r="K1736" s="18"/>
      <c r="L1736" s="18" t="s">
        <v>129</v>
      </c>
      <c r="M1736" s="18" t="s">
        <v>129</v>
      </c>
      <c r="N1736" s="18"/>
      <c r="O1736" s="18"/>
      <c r="P1736" s="18" t="s">
        <v>7501</v>
      </c>
      <c r="Q1736" s="18" t="s">
        <v>149</v>
      </c>
      <c r="R1736" s="18" t="s">
        <v>7502</v>
      </c>
      <c r="S1736" s="18" t="s">
        <v>133</v>
      </c>
      <c r="T1736" s="18" t="s">
        <v>7503</v>
      </c>
      <c r="U1736" s="18"/>
      <c r="V1736" s="19" t="s">
        <v>29</v>
      </c>
      <c r="W1736" s="19"/>
      <c r="X1736" s="19"/>
      <c r="Y1736" s="20"/>
      <c r="Z1736" s="19"/>
      <c r="AA1736" s="18" t="str">
        <f aca="false">IF(OR(V1736="Aprobada"),R1736,IF(AND(OR(V1736="Aprobada con ajuste",V1736="Rechazada"),W1736&lt;&gt;""),W1736,""))</f>
        <v/>
      </c>
    </row>
    <row r="1737" customFormat="false" ht="43.25" hidden="false" customHeight="false" outlineLevel="0" collapsed="false">
      <c r="A1737" s="18" t="s">
        <v>7504</v>
      </c>
      <c r="B1737" s="18" t="s">
        <v>66</v>
      </c>
      <c r="C1737" s="18" t="s">
        <v>67</v>
      </c>
      <c r="D1737" s="18" t="s">
        <v>7461</v>
      </c>
      <c r="E1737" s="18" t="n">
        <v>77</v>
      </c>
      <c r="F1737" s="18" t="s">
        <v>1018</v>
      </c>
      <c r="G1737" s="18" t="s">
        <v>503</v>
      </c>
      <c r="H1737" s="18" t="s">
        <v>162</v>
      </c>
      <c r="I1737" s="18"/>
      <c r="J1737" s="18"/>
      <c r="K1737" s="18"/>
      <c r="L1737" s="18" t="s">
        <v>129</v>
      </c>
      <c r="M1737" s="18" t="s">
        <v>129</v>
      </c>
      <c r="N1737" s="18"/>
      <c r="O1737" s="18"/>
      <c r="P1737" s="18" t="s">
        <v>7505</v>
      </c>
      <c r="Q1737" s="18" t="s">
        <v>138</v>
      </c>
      <c r="R1737" s="18" t="s">
        <v>2302</v>
      </c>
      <c r="S1737" s="18" t="s">
        <v>140</v>
      </c>
      <c r="T1737" s="18" t="s">
        <v>141</v>
      </c>
      <c r="U1737" s="18"/>
      <c r="V1737" s="19" t="s">
        <v>29</v>
      </c>
      <c r="W1737" s="19"/>
      <c r="X1737" s="19"/>
      <c r="Y1737" s="20"/>
      <c r="Z1737" s="19"/>
      <c r="AA1737" s="18" t="str">
        <f aca="false">IF(OR(V1737="Aprobada"),R1737,IF(AND(OR(V1737="Aprobada con ajuste",V1737="Rechazada"),W1737&lt;&gt;""),W1737,""))</f>
        <v/>
      </c>
    </row>
    <row r="1738" customFormat="false" ht="43.25" hidden="false" customHeight="false" outlineLevel="0" collapsed="false">
      <c r="A1738" s="18" t="s">
        <v>7506</v>
      </c>
      <c r="B1738" s="18" t="s">
        <v>66</v>
      </c>
      <c r="C1738" s="18" t="s">
        <v>67</v>
      </c>
      <c r="D1738" s="18" t="s">
        <v>7461</v>
      </c>
      <c r="E1738" s="18" t="n">
        <v>77</v>
      </c>
      <c r="F1738" s="18" t="s">
        <v>5125</v>
      </c>
      <c r="G1738" s="18" t="s">
        <v>180</v>
      </c>
      <c r="H1738" s="18" t="s">
        <v>129</v>
      </c>
      <c r="I1738" s="18"/>
      <c r="J1738" s="18"/>
      <c r="K1738" s="18"/>
      <c r="L1738" s="18" t="s">
        <v>129</v>
      </c>
      <c r="M1738" s="18" t="s">
        <v>129</v>
      </c>
      <c r="N1738" s="18"/>
      <c r="O1738" s="18"/>
      <c r="P1738" s="18" t="s">
        <v>7507</v>
      </c>
      <c r="Q1738" s="18" t="s">
        <v>138</v>
      </c>
      <c r="R1738" s="18" t="s">
        <v>5152</v>
      </c>
      <c r="S1738" s="18" t="s">
        <v>140</v>
      </c>
      <c r="T1738" s="18" t="s">
        <v>141</v>
      </c>
      <c r="U1738" s="18"/>
      <c r="V1738" s="19" t="s">
        <v>29</v>
      </c>
      <c r="W1738" s="19"/>
      <c r="X1738" s="19"/>
      <c r="Y1738" s="20"/>
      <c r="Z1738" s="19"/>
      <c r="AA1738" s="18" t="str">
        <f aca="false">IF(OR(V1738="Aprobada"),R1738,IF(AND(OR(V1738="Aprobada con ajuste",V1738="Rechazada"),W1738&lt;&gt;""),W1738,""))</f>
        <v/>
      </c>
    </row>
    <row r="1739" customFormat="false" ht="43.25" hidden="false" customHeight="false" outlineLevel="0" collapsed="false">
      <c r="A1739" s="18" t="s">
        <v>7508</v>
      </c>
      <c r="B1739" s="18" t="s">
        <v>66</v>
      </c>
      <c r="C1739" s="18" t="s">
        <v>67</v>
      </c>
      <c r="D1739" s="18" t="s">
        <v>7461</v>
      </c>
      <c r="E1739" s="18" t="n">
        <v>77</v>
      </c>
      <c r="F1739" s="18" t="s">
        <v>6754</v>
      </c>
      <c r="G1739" s="18" t="s">
        <v>180</v>
      </c>
      <c r="H1739" s="18" t="s">
        <v>162</v>
      </c>
      <c r="I1739" s="18"/>
      <c r="J1739" s="18"/>
      <c r="K1739" s="18"/>
      <c r="L1739" s="18" t="s">
        <v>129</v>
      </c>
      <c r="M1739" s="18" t="s">
        <v>129</v>
      </c>
      <c r="N1739" s="18"/>
      <c r="O1739" s="18"/>
      <c r="P1739" s="18" t="s">
        <v>7509</v>
      </c>
      <c r="Q1739" s="18" t="s">
        <v>149</v>
      </c>
      <c r="R1739" s="18" t="s">
        <v>7510</v>
      </c>
      <c r="S1739" s="18" t="s">
        <v>140</v>
      </c>
      <c r="T1739" s="18" t="s">
        <v>858</v>
      </c>
      <c r="U1739" s="18" t="s">
        <v>7511</v>
      </c>
      <c r="V1739" s="19" t="s">
        <v>29</v>
      </c>
      <c r="W1739" s="19"/>
      <c r="X1739" s="19"/>
      <c r="Y1739" s="20"/>
      <c r="Z1739" s="19"/>
      <c r="AA1739" s="18" t="str">
        <f aca="false">IF(OR(V1739="Aprobada"),R1739,IF(AND(OR(V1739="Aprobada con ajuste",V1739="Rechazada"),W1739&lt;&gt;""),W1739,""))</f>
        <v/>
      </c>
    </row>
    <row r="1740" customFormat="false" ht="32.8" hidden="false" customHeight="false" outlineLevel="0" collapsed="false">
      <c r="A1740" s="18" t="s">
        <v>7512</v>
      </c>
      <c r="B1740" s="18" t="s">
        <v>66</v>
      </c>
      <c r="C1740" s="18" t="s">
        <v>67</v>
      </c>
      <c r="D1740" s="18" t="s">
        <v>7461</v>
      </c>
      <c r="E1740" s="18" t="n">
        <v>77</v>
      </c>
      <c r="F1740" s="18" t="s">
        <v>7513</v>
      </c>
      <c r="G1740" s="18" t="s">
        <v>173</v>
      </c>
      <c r="H1740" s="18" t="s">
        <v>162</v>
      </c>
      <c r="I1740" s="18"/>
      <c r="J1740" s="18"/>
      <c r="K1740" s="18"/>
      <c r="L1740" s="18" t="s">
        <v>129</v>
      </c>
      <c r="M1740" s="18" t="s">
        <v>129</v>
      </c>
      <c r="N1740" s="18"/>
      <c r="O1740" s="18"/>
      <c r="P1740" s="18" t="s">
        <v>7514</v>
      </c>
      <c r="Q1740" s="18" t="s">
        <v>138</v>
      </c>
      <c r="R1740" s="18" t="s">
        <v>7515</v>
      </c>
      <c r="S1740" s="18" t="s">
        <v>140</v>
      </c>
      <c r="T1740" s="18" t="s">
        <v>141</v>
      </c>
      <c r="U1740" s="18"/>
      <c r="V1740" s="19" t="s">
        <v>29</v>
      </c>
      <c r="W1740" s="19"/>
      <c r="X1740" s="19"/>
      <c r="Y1740" s="20"/>
      <c r="Z1740" s="19"/>
      <c r="AA1740" s="18" t="str">
        <f aca="false">IF(OR(V1740="Aprobada"),R1740,IF(AND(OR(V1740="Aprobada con ajuste",V1740="Rechazada"),W1740&lt;&gt;""),W1740,""))</f>
        <v/>
      </c>
    </row>
    <row r="1741" customFormat="false" ht="32.8" hidden="false" customHeight="false" outlineLevel="0" collapsed="false">
      <c r="A1741" s="18" t="s">
        <v>7516</v>
      </c>
      <c r="B1741" s="18" t="s">
        <v>66</v>
      </c>
      <c r="C1741" s="18" t="s">
        <v>67</v>
      </c>
      <c r="D1741" s="18" t="s">
        <v>7461</v>
      </c>
      <c r="E1741" s="18" t="n">
        <v>77</v>
      </c>
      <c r="F1741" s="18" t="s">
        <v>7517</v>
      </c>
      <c r="G1741" s="18" t="s">
        <v>161</v>
      </c>
      <c r="H1741" s="18" t="s">
        <v>162</v>
      </c>
      <c r="I1741" s="18"/>
      <c r="J1741" s="18"/>
      <c r="K1741" s="18"/>
      <c r="L1741" s="18" t="s">
        <v>129</v>
      </c>
      <c r="M1741" s="18" t="s">
        <v>129</v>
      </c>
      <c r="N1741" s="18"/>
      <c r="O1741" s="18"/>
      <c r="P1741" s="18" t="s">
        <v>7518</v>
      </c>
      <c r="Q1741" s="18" t="s">
        <v>149</v>
      </c>
      <c r="R1741" s="18" t="s">
        <v>7519</v>
      </c>
      <c r="S1741" s="18" t="s">
        <v>140</v>
      </c>
      <c r="T1741" s="18" t="s">
        <v>7520</v>
      </c>
      <c r="U1741" s="18" t="s">
        <v>7521</v>
      </c>
      <c r="V1741" s="19" t="s">
        <v>29</v>
      </c>
      <c r="W1741" s="19"/>
      <c r="X1741" s="19"/>
      <c r="Y1741" s="20"/>
      <c r="Z1741" s="19"/>
      <c r="AA1741" s="18" t="str">
        <f aca="false">IF(OR(V1741="Aprobada"),R1741,IF(AND(OR(V1741="Aprobada con ajuste",V1741="Rechazada"),W1741&lt;&gt;""),W1741,""))</f>
        <v/>
      </c>
    </row>
    <row r="1742" customFormat="false" ht="32.8" hidden="false" customHeight="false" outlineLevel="0" collapsed="false">
      <c r="A1742" s="18" t="s">
        <v>7522</v>
      </c>
      <c r="B1742" s="18" t="s">
        <v>66</v>
      </c>
      <c r="C1742" s="18" t="s">
        <v>67</v>
      </c>
      <c r="D1742" s="18" t="s">
        <v>7461</v>
      </c>
      <c r="E1742" s="18" t="n">
        <v>77</v>
      </c>
      <c r="F1742" s="18" t="s">
        <v>7523</v>
      </c>
      <c r="G1742" s="18" t="s">
        <v>173</v>
      </c>
      <c r="H1742" s="18" t="s">
        <v>162</v>
      </c>
      <c r="I1742" s="18"/>
      <c r="J1742" s="18"/>
      <c r="K1742" s="18"/>
      <c r="L1742" s="18" t="s">
        <v>129</v>
      </c>
      <c r="M1742" s="18" t="s">
        <v>129</v>
      </c>
      <c r="N1742" s="18"/>
      <c r="O1742" s="18"/>
      <c r="P1742" s="18" t="s">
        <v>7524</v>
      </c>
      <c r="Q1742" s="18" t="s">
        <v>138</v>
      </c>
      <c r="R1742" s="18" t="s">
        <v>7525</v>
      </c>
      <c r="S1742" s="18" t="s">
        <v>140</v>
      </c>
      <c r="T1742" s="18" t="s">
        <v>141</v>
      </c>
      <c r="U1742" s="18"/>
      <c r="V1742" s="19" t="s">
        <v>29</v>
      </c>
      <c r="W1742" s="19"/>
      <c r="X1742" s="19"/>
      <c r="Y1742" s="20"/>
      <c r="Z1742" s="19"/>
      <c r="AA1742" s="18" t="str">
        <f aca="false">IF(OR(V1742="Aprobada"),R1742,IF(AND(OR(V1742="Aprobada con ajuste",V1742="Rechazada"),W1742&lt;&gt;""),W1742,""))</f>
        <v/>
      </c>
    </row>
    <row r="1743" customFormat="false" ht="32.8" hidden="false" customHeight="false" outlineLevel="0" collapsed="false">
      <c r="A1743" s="18" t="s">
        <v>7526</v>
      </c>
      <c r="B1743" s="18" t="s">
        <v>66</v>
      </c>
      <c r="C1743" s="18" t="s">
        <v>67</v>
      </c>
      <c r="D1743" s="18" t="s">
        <v>7461</v>
      </c>
      <c r="E1743" s="18" t="n">
        <v>77</v>
      </c>
      <c r="F1743" s="18" t="s">
        <v>7527</v>
      </c>
      <c r="G1743" s="18" t="s">
        <v>317</v>
      </c>
      <c r="H1743" s="18" t="s">
        <v>162</v>
      </c>
      <c r="I1743" s="18"/>
      <c r="J1743" s="18"/>
      <c r="K1743" s="18"/>
      <c r="L1743" s="18" t="s">
        <v>129</v>
      </c>
      <c r="M1743" s="18" t="s">
        <v>129</v>
      </c>
      <c r="N1743" s="18"/>
      <c r="O1743" s="18"/>
      <c r="P1743" s="18" t="s">
        <v>7528</v>
      </c>
      <c r="Q1743" s="18" t="s">
        <v>138</v>
      </c>
      <c r="R1743" s="18" t="s">
        <v>7529</v>
      </c>
      <c r="S1743" s="18" t="s">
        <v>140</v>
      </c>
      <c r="T1743" s="18" t="s">
        <v>141</v>
      </c>
      <c r="U1743" s="18"/>
      <c r="V1743" s="19" t="s">
        <v>29</v>
      </c>
      <c r="W1743" s="19"/>
      <c r="X1743" s="19"/>
      <c r="Y1743" s="20"/>
      <c r="Z1743" s="19"/>
      <c r="AA1743" s="18" t="str">
        <f aca="false">IF(OR(V1743="Aprobada"),R1743,IF(AND(OR(V1743="Aprobada con ajuste",V1743="Rechazada"),W1743&lt;&gt;""),W1743,""))</f>
        <v/>
      </c>
    </row>
    <row r="1744" customFormat="false" ht="64.15" hidden="false" customHeight="false" outlineLevel="0" collapsed="false">
      <c r="A1744" s="18" t="s">
        <v>7530</v>
      </c>
      <c r="B1744" s="18" t="s">
        <v>66</v>
      </c>
      <c r="C1744" s="18" t="s">
        <v>67</v>
      </c>
      <c r="D1744" s="18" t="s">
        <v>7461</v>
      </c>
      <c r="E1744" s="18" t="n">
        <v>77</v>
      </c>
      <c r="F1744" s="18" t="s">
        <v>7531</v>
      </c>
      <c r="G1744" s="18" t="s">
        <v>486</v>
      </c>
      <c r="H1744" s="18" t="s">
        <v>162</v>
      </c>
      <c r="I1744" s="18" t="s">
        <v>298</v>
      </c>
      <c r="J1744" s="18" t="s">
        <v>7532</v>
      </c>
      <c r="K1744" s="18"/>
      <c r="L1744" s="18" t="s">
        <v>162</v>
      </c>
      <c r="M1744" s="18" t="s">
        <v>129</v>
      </c>
      <c r="N1744" s="18"/>
      <c r="O1744" s="18"/>
      <c r="P1744" s="18"/>
      <c r="Q1744" s="18" t="s">
        <v>149</v>
      </c>
      <c r="R1744" s="18" t="s">
        <v>7533</v>
      </c>
      <c r="S1744" s="18" t="s">
        <v>133</v>
      </c>
      <c r="T1744" s="18" t="s">
        <v>6905</v>
      </c>
      <c r="U1744" s="18"/>
      <c r="V1744" s="19" t="s">
        <v>29</v>
      </c>
      <c r="W1744" s="19"/>
      <c r="X1744" s="19"/>
      <c r="Y1744" s="20"/>
      <c r="Z1744" s="19"/>
      <c r="AA1744" s="18" t="str">
        <f aca="false">IF(OR(V1744="Aprobada"),R1744,IF(AND(OR(V1744="Aprobada con ajuste",V1744="Rechazada"),W1744&lt;&gt;""),W1744,""))</f>
        <v/>
      </c>
    </row>
    <row r="1745" customFormat="false" ht="32.8" hidden="false" customHeight="false" outlineLevel="0" collapsed="false">
      <c r="A1745" s="18" t="s">
        <v>7534</v>
      </c>
      <c r="B1745" s="18" t="s">
        <v>66</v>
      </c>
      <c r="C1745" s="18" t="s">
        <v>67</v>
      </c>
      <c r="D1745" s="18" t="s">
        <v>7461</v>
      </c>
      <c r="E1745" s="18" t="n">
        <v>77</v>
      </c>
      <c r="F1745" s="18" t="s">
        <v>7535</v>
      </c>
      <c r="G1745" s="18" t="s">
        <v>312</v>
      </c>
      <c r="H1745" s="18" t="s">
        <v>162</v>
      </c>
      <c r="I1745" s="18"/>
      <c r="J1745" s="18"/>
      <c r="K1745" s="18"/>
      <c r="L1745" s="18" t="s">
        <v>129</v>
      </c>
      <c r="M1745" s="18" t="s">
        <v>129</v>
      </c>
      <c r="N1745" s="18"/>
      <c r="O1745" s="18" t="s">
        <v>7536</v>
      </c>
      <c r="P1745" s="18" t="s">
        <v>7537</v>
      </c>
      <c r="Q1745" s="18" t="s">
        <v>131</v>
      </c>
      <c r="R1745" s="18" t="s">
        <v>7538</v>
      </c>
      <c r="S1745" s="18" t="s">
        <v>133</v>
      </c>
      <c r="T1745" s="18" t="s">
        <v>7539</v>
      </c>
      <c r="U1745" s="18"/>
      <c r="V1745" s="19" t="s">
        <v>29</v>
      </c>
      <c r="W1745" s="19"/>
      <c r="X1745" s="19"/>
      <c r="Y1745" s="20"/>
      <c r="Z1745" s="19"/>
      <c r="AA1745" s="18" t="str">
        <f aca="false">IF(OR(V1745="Aprobada"),R1745,IF(AND(OR(V1745="Aprobada con ajuste",V1745="Rechazada"),W1745&lt;&gt;""),W1745,""))</f>
        <v/>
      </c>
    </row>
    <row r="1746" customFormat="false" ht="22.35" hidden="false" customHeight="false" outlineLevel="0" collapsed="false">
      <c r="A1746" s="18" t="s">
        <v>7540</v>
      </c>
      <c r="B1746" s="18" t="s">
        <v>66</v>
      </c>
      <c r="C1746" s="18" t="s">
        <v>67</v>
      </c>
      <c r="D1746" s="18" t="s">
        <v>7541</v>
      </c>
      <c r="E1746" s="18" t="n">
        <v>0</v>
      </c>
      <c r="F1746" s="18" t="s">
        <v>3163</v>
      </c>
      <c r="G1746" s="18" t="s">
        <v>180</v>
      </c>
      <c r="H1746" s="18" t="s">
        <v>129</v>
      </c>
      <c r="I1746" s="18"/>
      <c r="J1746" s="18"/>
      <c r="K1746" s="18"/>
      <c r="L1746" s="18" t="s">
        <v>129</v>
      </c>
      <c r="M1746" s="18" t="s">
        <v>129</v>
      </c>
      <c r="N1746" s="18"/>
      <c r="O1746" s="18"/>
      <c r="P1746" s="18"/>
      <c r="Q1746" s="18" t="s">
        <v>149</v>
      </c>
      <c r="R1746" s="18" t="s">
        <v>7542</v>
      </c>
      <c r="S1746" s="18" t="s">
        <v>133</v>
      </c>
      <c r="T1746" s="18" t="s">
        <v>7543</v>
      </c>
      <c r="U1746" s="18"/>
      <c r="V1746" s="19" t="s">
        <v>29</v>
      </c>
      <c r="W1746" s="19"/>
      <c r="X1746" s="19"/>
      <c r="Y1746" s="20"/>
      <c r="Z1746" s="19"/>
      <c r="AA1746" s="18" t="str">
        <f aca="false">IF(OR(V1746="Aprobada"),R1746,IF(AND(OR(V1746="Aprobada con ajuste",V1746="Rechazada"),W1746&lt;&gt;""),W1746,""))</f>
        <v/>
      </c>
    </row>
    <row r="1747" customFormat="false" ht="22.35" hidden="false" customHeight="false" outlineLevel="0" collapsed="false">
      <c r="A1747" s="18" t="s">
        <v>7544</v>
      </c>
      <c r="B1747" s="18" t="s">
        <v>66</v>
      </c>
      <c r="C1747" s="18" t="s">
        <v>67</v>
      </c>
      <c r="D1747" s="18" t="s">
        <v>7541</v>
      </c>
      <c r="E1747" s="18" t="n">
        <v>0</v>
      </c>
      <c r="F1747" s="18" t="s">
        <v>7490</v>
      </c>
      <c r="G1747" s="18" t="s">
        <v>161</v>
      </c>
      <c r="H1747" s="18" t="s">
        <v>162</v>
      </c>
      <c r="I1747" s="18"/>
      <c r="J1747" s="18"/>
      <c r="K1747" s="18"/>
      <c r="L1747" s="18" t="s">
        <v>129</v>
      </c>
      <c r="M1747" s="18" t="s">
        <v>129</v>
      </c>
      <c r="N1747" s="18"/>
      <c r="O1747" s="18"/>
      <c r="P1747" s="18"/>
      <c r="Q1747" s="18" t="s">
        <v>149</v>
      </c>
      <c r="R1747" s="18" t="s">
        <v>7545</v>
      </c>
      <c r="S1747" s="18" t="s">
        <v>133</v>
      </c>
      <c r="T1747" s="18" t="s">
        <v>7012</v>
      </c>
      <c r="U1747" s="18"/>
      <c r="V1747" s="19" t="s">
        <v>29</v>
      </c>
      <c r="W1747" s="19"/>
      <c r="X1747" s="19"/>
      <c r="Y1747" s="20"/>
      <c r="Z1747" s="19"/>
      <c r="AA1747" s="18" t="str">
        <f aca="false">IF(OR(V1747="Aprobada"),R1747,IF(AND(OR(V1747="Aprobada con ajuste",V1747="Rechazada"),W1747&lt;&gt;""),W1747,""))</f>
        <v/>
      </c>
    </row>
    <row r="1748" customFormat="false" ht="22.35" hidden="false" customHeight="false" outlineLevel="0" collapsed="false">
      <c r="A1748" s="18" t="s">
        <v>7546</v>
      </c>
      <c r="B1748" s="18" t="s">
        <v>66</v>
      </c>
      <c r="C1748" s="18" t="s">
        <v>67</v>
      </c>
      <c r="D1748" s="18" t="s">
        <v>7541</v>
      </c>
      <c r="E1748" s="18" t="n">
        <v>0</v>
      </c>
      <c r="F1748" s="18" t="s">
        <v>3167</v>
      </c>
      <c r="G1748" s="18" t="s">
        <v>486</v>
      </c>
      <c r="H1748" s="18" t="s">
        <v>162</v>
      </c>
      <c r="I1748" s="18"/>
      <c r="J1748" s="18"/>
      <c r="K1748" s="18"/>
      <c r="L1748" s="18" t="s">
        <v>129</v>
      </c>
      <c r="M1748" s="18" t="s">
        <v>129</v>
      </c>
      <c r="N1748" s="18"/>
      <c r="O1748" s="18"/>
      <c r="P1748" s="18"/>
      <c r="Q1748" s="18" t="s">
        <v>149</v>
      </c>
      <c r="R1748" s="18" t="s">
        <v>7547</v>
      </c>
      <c r="S1748" s="18" t="s">
        <v>133</v>
      </c>
      <c r="T1748" s="18" t="s">
        <v>7012</v>
      </c>
      <c r="U1748" s="18"/>
      <c r="V1748" s="19" t="s">
        <v>29</v>
      </c>
      <c r="W1748" s="19"/>
      <c r="X1748" s="19"/>
      <c r="Y1748" s="20"/>
      <c r="Z1748" s="19"/>
      <c r="AA1748" s="18" t="str">
        <f aca="false">IF(OR(V1748="Aprobada"),R1748,IF(AND(OR(V1748="Aprobada con ajuste",V1748="Rechazada"),W1748&lt;&gt;""),W1748,""))</f>
        <v/>
      </c>
    </row>
    <row r="1749" customFormat="false" ht="22.35" hidden="false" customHeight="false" outlineLevel="0" collapsed="false">
      <c r="A1749" s="18" t="s">
        <v>7548</v>
      </c>
      <c r="B1749" s="18" t="s">
        <v>66</v>
      </c>
      <c r="C1749" s="18" t="s">
        <v>67</v>
      </c>
      <c r="D1749" s="18" t="s">
        <v>7541</v>
      </c>
      <c r="E1749" s="18" t="n">
        <v>0</v>
      </c>
      <c r="F1749" s="18" t="s">
        <v>7500</v>
      </c>
      <c r="G1749" s="18" t="s">
        <v>294</v>
      </c>
      <c r="H1749" s="18" t="s">
        <v>162</v>
      </c>
      <c r="I1749" s="18"/>
      <c r="J1749" s="18"/>
      <c r="K1749" s="18"/>
      <c r="L1749" s="18" t="s">
        <v>129</v>
      </c>
      <c r="M1749" s="18" t="s">
        <v>129</v>
      </c>
      <c r="N1749" s="18"/>
      <c r="O1749" s="18"/>
      <c r="P1749" s="18"/>
      <c r="Q1749" s="18" t="s">
        <v>149</v>
      </c>
      <c r="R1749" s="18" t="s">
        <v>7549</v>
      </c>
      <c r="S1749" s="18" t="s">
        <v>133</v>
      </c>
      <c r="T1749" s="18" t="s">
        <v>7012</v>
      </c>
      <c r="U1749" s="18"/>
      <c r="V1749" s="19" t="s">
        <v>29</v>
      </c>
      <c r="W1749" s="19"/>
      <c r="X1749" s="19"/>
      <c r="Y1749" s="20"/>
      <c r="Z1749" s="19"/>
      <c r="AA1749" s="18" t="str">
        <f aca="false">IF(OR(V1749="Aprobada"),R1749,IF(AND(OR(V1749="Aprobada con ajuste",V1749="Rechazada"),W1749&lt;&gt;""),W1749,""))</f>
        <v/>
      </c>
    </row>
    <row r="1750" customFormat="false" ht="53.7" hidden="false" customHeight="false" outlineLevel="0" collapsed="false">
      <c r="A1750" s="18" t="s">
        <v>7550</v>
      </c>
      <c r="B1750" s="18" t="s">
        <v>66</v>
      </c>
      <c r="C1750" s="18" t="s">
        <v>67</v>
      </c>
      <c r="D1750" s="18" t="s">
        <v>7551</v>
      </c>
      <c r="E1750" s="18" t="n">
        <v>0</v>
      </c>
      <c r="F1750" s="18" t="s">
        <v>275</v>
      </c>
      <c r="G1750" s="18" t="s">
        <v>180</v>
      </c>
      <c r="H1750" s="18" t="s">
        <v>129</v>
      </c>
      <c r="I1750" s="18"/>
      <c r="J1750" s="18"/>
      <c r="K1750" s="18"/>
      <c r="L1750" s="18" t="s">
        <v>129</v>
      </c>
      <c r="M1750" s="18" t="s">
        <v>129</v>
      </c>
      <c r="N1750" s="18"/>
      <c r="O1750" s="18"/>
      <c r="P1750" s="18" t="s">
        <v>7552</v>
      </c>
      <c r="Q1750" s="18" t="s">
        <v>138</v>
      </c>
      <c r="R1750" s="18" t="s">
        <v>7553</v>
      </c>
      <c r="S1750" s="18" t="s">
        <v>140</v>
      </c>
      <c r="T1750" s="18" t="s">
        <v>141</v>
      </c>
      <c r="U1750" s="18"/>
      <c r="V1750" s="19" t="s">
        <v>29</v>
      </c>
      <c r="W1750" s="19"/>
      <c r="X1750" s="19"/>
      <c r="Y1750" s="20"/>
      <c r="Z1750" s="19"/>
      <c r="AA1750" s="18" t="str">
        <f aca="false">IF(OR(V1750="Aprobada"),R1750,IF(AND(OR(V1750="Aprobada con ajuste",V1750="Rechazada"),W1750&lt;&gt;""),W1750,""))</f>
        <v/>
      </c>
    </row>
    <row r="1751" customFormat="false" ht="43.25" hidden="false" customHeight="false" outlineLevel="0" collapsed="false">
      <c r="A1751" s="18" t="s">
        <v>7554</v>
      </c>
      <c r="B1751" s="18" t="s">
        <v>66</v>
      </c>
      <c r="C1751" s="18" t="s">
        <v>67</v>
      </c>
      <c r="D1751" s="18" t="s">
        <v>7551</v>
      </c>
      <c r="E1751" s="18" t="n">
        <v>0</v>
      </c>
      <c r="F1751" s="18" t="s">
        <v>160</v>
      </c>
      <c r="G1751" s="18" t="s">
        <v>128</v>
      </c>
      <c r="H1751" s="18" t="s">
        <v>162</v>
      </c>
      <c r="I1751" s="18"/>
      <c r="J1751" s="18"/>
      <c r="K1751" s="18"/>
      <c r="L1751" s="18" t="s">
        <v>129</v>
      </c>
      <c r="M1751" s="18" t="s">
        <v>129</v>
      </c>
      <c r="N1751" s="18"/>
      <c r="O1751" s="18"/>
      <c r="P1751" s="18" t="s">
        <v>7555</v>
      </c>
      <c r="Q1751" s="18" t="s">
        <v>138</v>
      </c>
      <c r="R1751" s="18" t="s">
        <v>7556</v>
      </c>
      <c r="S1751" s="18" t="s">
        <v>140</v>
      </c>
      <c r="T1751" s="18" t="s">
        <v>141</v>
      </c>
      <c r="U1751" s="18"/>
      <c r="V1751" s="19" t="s">
        <v>29</v>
      </c>
      <c r="W1751" s="19"/>
      <c r="X1751" s="19"/>
      <c r="Y1751" s="20"/>
      <c r="Z1751" s="19"/>
      <c r="AA1751" s="18" t="str">
        <f aca="false">IF(OR(V1751="Aprobada"),R1751,IF(AND(OR(V1751="Aprobada con ajuste",V1751="Rechazada"),W1751&lt;&gt;""),W1751,""))</f>
        <v/>
      </c>
    </row>
    <row r="1752" customFormat="false" ht="53.7" hidden="false" customHeight="false" outlineLevel="0" collapsed="false">
      <c r="A1752" s="18" t="s">
        <v>7557</v>
      </c>
      <c r="B1752" s="18" t="s">
        <v>66</v>
      </c>
      <c r="C1752" s="18" t="s">
        <v>67</v>
      </c>
      <c r="D1752" s="18" t="s">
        <v>7551</v>
      </c>
      <c r="E1752" s="18" t="n">
        <v>0</v>
      </c>
      <c r="F1752" s="18" t="s">
        <v>896</v>
      </c>
      <c r="G1752" s="18" t="s">
        <v>486</v>
      </c>
      <c r="H1752" s="18" t="s">
        <v>129</v>
      </c>
      <c r="I1752" s="18"/>
      <c r="J1752" s="18"/>
      <c r="K1752" s="18"/>
      <c r="L1752" s="18" t="s">
        <v>129</v>
      </c>
      <c r="M1752" s="18" t="s">
        <v>129</v>
      </c>
      <c r="N1752" s="18"/>
      <c r="O1752" s="18"/>
      <c r="P1752" s="18" t="s">
        <v>7558</v>
      </c>
      <c r="Q1752" s="18" t="s">
        <v>149</v>
      </c>
      <c r="R1752" s="18" t="s">
        <v>7559</v>
      </c>
      <c r="S1752" s="18" t="s">
        <v>140</v>
      </c>
      <c r="T1752" s="18" t="s">
        <v>7560</v>
      </c>
      <c r="U1752" s="18" t="s">
        <v>7561</v>
      </c>
      <c r="V1752" s="19" t="s">
        <v>29</v>
      </c>
      <c r="W1752" s="19"/>
      <c r="X1752" s="19"/>
      <c r="Y1752" s="20"/>
      <c r="Z1752" s="19"/>
      <c r="AA1752" s="18" t="str">
        <f aca="false">IF(OR(V1752="Aprobada"),R1752,IF(AND(OR(V1752="Aprobada con ajuste",V1752="Rechazada"),W1752&lt;&gt;""),W1752,""))</f>
        <v/>
      </c>
    </row>
    <row r="1753" customFormat="false" ht="43.25" hidden="false" customHeight="false" outlineLevel="0" collapsed="false">
      <c r="A1753" s="18" t="s">
        <v>7562</v>
      </c>
      <c r="B1753" s="18" t="s">
        <v>66</v>
      </c>
      <c r="C1753" s="18" t="s">
        <v>67</v>
      </c>
      <c r="D1753" s="18" t="s">
        <v>7551</v>
      </c>
      <c r="E1753" s="18" t="n">
        <v>0</v>
      </c>
      <c r="F1753" s="18" t="s">
        <v>7490</v>
      </c>
      <c r="G1753" s="18" t="s">
        <v>161</v>
      </c>
      <c r="H1753" s="18" t="s">
        <v>129</v>
      </c>
      <c r="I1753" s="18"/>
      <c r="J1753" s="18"/>
      <c r="K1753" s="18"/>
      <c r="L1753" s="18" t="s">
        <v>129</v>
      </c>
      <c r="M1753" s="18" t="s">
        <v>129</v>
      </c>
      <c r="N1753" s="18"/>
      <c r="O1753" s="18"/>
      <c r="P1753" s="18" t="s">
        <v>7563</v>
      </c>
      <c r="Q1753" s="18" t="s">
        <v>149</v>
      </c>
      <c r="R1753" s="18" t="s">
        <v>7564</v>
      </c>
      <c r="S1753" s="18" t="s">
        <v>133</v>
      </c>
      <c r="T1753" s="18" t="s">
        <v>7012</v>
      </c>
      <c r="U1753" s="18"/>
      <c r="V1753" s="19" t="s">
        <v>29</v>
      </c>
      <c r="W1753" s="19"/>
      <c r="X1753" s="19"/>
      <c r="Y1753" s="20"/>
      <c r="Z1753" s="19"/>
      <c r="AA1753" s="18" t="str">
        <f aca="false">IF(OR(V1753="Aprobada"),R1753,IF(AND(OR(V1753="Aprobada con ajuste",V1753="Rechazada"),W1753&lt;&gt;""),W1753,""))</f>
        <v/>
      </c>
    </row>
    <row r="1754" customFormat="false" ht="32.8" hidden="false" customHeight="false" outlineLevel="0" collapsed="false">
      <c r="A1754" s="18" t="s">
        <v>7565</v>
      </c>
      <c r="B1754" s="18" t="s">
        <v>66</v>
      </c>
      <c r="C1754" s="18" t="s">
        <v>67</v>
      </c>
      <c r="D1754" s="18" t="s">
        <v>7551</v>
      </c>
      <c r="E1754" s="18" t="n">
        <v>0</v>
      </c>
      <c r="F1754" s="18" t="s">
        <v>7566</v>
      </c>
      <c r="G1754" s="18" t="s">
        <v>180</v>
      </c>
      <c r="H1754" s="18" t="s">
        <v>129</v>
      </c>
      <c r="I1754" s="18"/>
      <c r="J1754" s="18"/>
      <c r="K1754" s="18"/>
      <c r="L1754" s="18" t="s">
        <v>129</v>
      </c>
      <c r="M1754" s="18" t="s">
        <v>129</v>
      </c>
      <c r="N1754" s="18"/>
      <c r="O1754" s="18"/>
      <c r="P1754" s="18" t="s">
        <v>7567</v>
      </c>
      <c r="Q1754" s="18" t="s">
        <v>149</v>
      </c>
      <c r="R1754" s="18" t="s">
        <v>7568</v>
      </c>
      <c r="S1754" s="18" t="s">
        <v>133</v>
      </c>
      <c r="T1754" s="18" t="s">
        <v>7012</v>
      </c>
      <c r="U1754" s="18"/>
      <c r="V1754" s="19" t="s">
        <v>29</v>
      </c>
      <c r="W1754" s="19"/>
      <c r="X1754" s="19"/>
      <c r="Y1754" s="20"/>
      <c r="Z1754" s="19"/>
      <c r="AA1754" s="18" t="str">
        <f aca="false">IF(OR(V1754="Aprobada"),R1754,IF(AND(OR(V1754="Aprobada con ajuste",V1754="Rechazada"),W1754&lt;&gt;""),W1754,""))</f>
        <v/>
      </c>
    </row>
    <row r="1755" customFormat="false" ht="43.25" hidden="false" customHeight="false" outlineLevel="0" collapsed="false">
      <c r="A1755" s="18" t="s">
        <v>7569</v>
      </c>
      <c r="B1755" s="18" t="s">
        <v>66</v>
      </c>
      <c r="C1755" s="18" t="s">
        <v>67</v>
      </c>
      <c r="D1755" s="18" t="s">
        <v>7551</v>
      </c>
      <c r="E1755" s="18" t="n">
        <v>0</v>
      </c>
      <c r="F1755" s="18" t="s">
        <v>3167</v>
      </c>
      <c r="G1755" s="18" t="s">
        <v>486</v>
      </c>
      <c r="H1755" s="18" t="s">
        <v>129</v>
      </c>
      <c r="I1755" s="18"/>
      <c r="J1755" s="18"/>
      <c r="K1755" s="18"/>
      <c r="L1755" s="18" t="s">
        <v>129</v>
      </c>
      <c r="M1755" s="18" t="s">
        <v>129</v>
      </c>
      <c r="N1755" s="18"/>
      <c r="O1755" s="18"/>
      <c r="P1755" s="18" t="s">
        <v>7570</v>
      </c>
      <c r="Q1755" s="18" t="s">
        <v>149</v>
      </c>
      <c r="R1755" s="18" t="s">
        <v>1082</v>
      </c>
      <c r="S1755" s="18" t="s">
        <v>133</v>
      </c>
      <c r="T1755" s="18" t="s">
        <v>7012</v>
      </c>
      <c r="U1755" s="18"/>
      <c r="V1755" s="19" t="s">
        <v>29</v>
      </c>
      <c r="W1755" s="19"/>
      <c r="X1755" s="19"/>
      <c r="Y1755" s="20"/>
      <c r="Z1755" s="19"/>
      <c r="AA1755" s="18" t="str">
        <f aca="false">IF(OR(V1755="Aprobada"),R1755,IF(AND(OR(V1755="Aprobada con ajuste",V1755="Rechazada"),W1755&lt;&gt;""),W1755,""))</f>
        <v/>
      </c>
    </row>
    <row r="1756" customFormat="false" ht="43.25" hidden="false" customHeight="false" outlineLevel="0" collapsed="false">
      <c r="A1756" s="18" t="s">
        <v>7571</v>
      </c>
      <c r="B1756" s="18" t="s">
        <v>66</v>
      </c>
      <c r="C1756" s="18" t="s">
        <v>67</v>
      </c>
      <c r="D1756" s="18" t="s">
        <v>7551</v>
      </c>
      <c r="E1756" s="18" t="n">
        <v>0</v>
      </c>
      <c r="F1756" s="18" t="s">
        <v>7500</v>
      </c>
      <c r="G1756" s="18" t="s">
        <v>294</v>
      </c>
      <c r="H1756" s="18" t="s">
        <v>129</v>
      </c>
      <c r="I1756" s="18"/>
      <c r="J1756" s="18"/>
      <c r="K1756" s="18"/>
      <c r="L1756" s="18" t="s">
        <v>129</v>
      </c>
      <c r="M1756" s="18" t="s">
        <v>129</v>
      </c>
      <c r="N1756" s="18"/>
      <c r="O1756" s="18"/>
      <c r="P1756" s="18" t="s">
        <v>7572</v>
      </c>
      <c r="Q1756" s="18" t="s">
        <v>149</v>
      </c>
      <c r="R1756" s="18" t="s">
        <v>7502</v>
      </c>
      <c r="S1756" s="18" t="s">
        <v>133</v>
      </c>
      <c r="T1756" s="18" t="s">
        <v>7503</v>
      </c>
      <c r="U1756" s="18"/>
      <c r="V1756" s="19" t="s">
        <v>29</v>
      </c>
      <c r="W1756" s="19"/>
      <c r="X1756" s="19"/>
      <c r="Y1756" s="20"/>
      <c r="Z1756" s="19"/>
      <c r="AA1756" s="18" t="str">
        <f aca="false">IF(OR(V1756="Aprobada"),R1756,IF(AND(OR(V1756="Aprobada con ajuste",V1756="Rechazada"),W1756&lt;&gt;""),W1756,""))</f>
        <v/>
      </c>
    </row>
    <row r="1757" customFormat="false" ht="43.25" hidden="false" customHeight="false" outlineLevel="0" collapsed="false">
      <c r="A1757" s="18" t="s">
        <v>7573</v>
      </c>
      <c r="B1757" s="18" t="s">
        <v>66</v>
      </c>
      <c r="C1757" s="18" t="s">
        <v>67</v>
      </c>
      <c r="D1757" s="18" t="s">
        <v>7551</v>
      </c>
      <c r="E1757" s="18" t="n">
        <v>0</v>
      </c>
      <c r="F1757" s="18" t="s">
        <v>5125</v>
      </c>
      <c r="G1757" s="18" t="s">
        <v>180</v>
      </c>
      <c r="H1757" s="18" t="s">
        <v>129</v>
      </c>
      <c r="I1757" s="18"/>
      <c r="J1757" s="18"/>
      <c r="K1757" s="18"/>
      <c r="L1757" s="18" t="s">
        <v>129</v>
      </c>
      <c r="M1757" s="18" t="s">
        <v>129</v>
      </c>
      <c r="N1757" s="18"/>
      <c r="O1757" s="18"/>
      <c r="P1757" s="18" t="s">
        <v>7574</v>
      </c>
      <c r="Q1757" s="18" t="s">
        <v>138</v>
      </c>
      <c r="R1757" s="18" t="s">
        <v>5152</v>
      </c>
      <c r="S1757" s="18" t="s">
        <v>140</v>
      </c>
      <c r="T1757" s="18" t="s">
        <v>141</v>
      </c>
      <c r="U1757" s="18"/>
      <c r="V1757" s="19" t="s">
        <v>29</v>
      </c>
      <c r="W1757" s="19"/>
      <c r="X1757" s="19"/>
      <c r="Y1757" s="20"/>
      <c r="Z1757" s="19"/>
      <c r="AA1757" s="18" t="str">
        <f aca="false">IF(OR(V1757="Aprobada"),R1757,IF(AND(OR(V1757="Aprobada con ajuste",V1757="Rechazada"),W1757&lt;&gt;""),W1757,""))</f>
        <v/>
      </c>
    </row>
    <row r="1758" customFormat="false" ht="32.8" hidden="false" customHeight="false" outlineLevel="0" collapsed="false">
      <c r="A1758" s="18" t="s">
        <v>7575</v>
      </c>
      <c r="B1758" s="18" t="s">
        <v>66</v>
      </c>
      <c r="C1758" s="18" t="s">
        <v>67</v>
      </c>
      <c r="D1758" s="18" t="s">
        <v>7551</v>
      </c>
      <c r="E1758" s="18" t="n">
        <v>0</v>
      </c>
      <c r="F1758" s="18" t="s">
        <v>7576</v>
      </c>
      <c r="G1758" s="18" t="s">
        <v>294</v>
      </c>
      <c r="H1758" s="18" t="s">
        <v>162</v>
      </c>
      <c r="I1758" s="18"/>
      <c r="J1758" s="18"/>
      <c r="K1758" s="18"/>
      <c r="L1758" s="18" t="s">
        <v>129</v>
      </c>
      <c r="M1758" s="18" t="s">
        <v>129</v>
      </c>
      <c r="N1758" s="18"/>
      <c r="O1758" s="18"/>
      <c r="P1758" s="18" t="s">
        <v>7577</v>
      </c>
      <c r="Q1758" s="18" t="s">
        <v>149</v>
      </c>
      <c r="R1758" s="18" t="s">
        <v>7578</v>
      </c>
      <c r="S1758" s="18" t="s">
        <v>140</v>
      </c>
      <c r="T1758" s="18" t="s">
        <v>7579</v>
      </c>
      <c r="U1758" s="18" t="s">
        <v>7580</v>
      </c>
      <c r="V1758" s="19" t="s">
        <v>29</v>
      </c>
      <c r="W1758" s="19"/>
      <c r="X1758" s="19"/>
      <c r="Y1758" s="20"/>
      <c r="Z1758" s="19"/>
      <c r="AA1758" s="18" t="str">
        <f aca="false">IF(OR(V1758="Aprobada"),R1758,IF(AND(OR(V1758="Aprobada con ajuste",V1758="Rechazada"),W1758&lt;&gt;""),W1758,""))</f>
        <v/>
      </c>
    </row>
    <row r="1759" customFormat="false" ht="32.8" hidden="false" customHeight="false" outlineLevel="0" collapsed="false">
      <c r="A1759" s="18" t="s">
        <v>7581</v>
      </c>
      <c r="B1759" s="18" t="s">
        <v>66</v>
      </c>
      <c r="C1759" s="18" t="s">
        <v>67</v>
      </c>
      <c r="D1759" s="18" t="s">
        <v>7551</v>
      </c>
      <c r="E1759" s="18" t="n">
        <v>0</v>
      </c>
      <c r="F1759" s="18" t="s">
        <v>321</v>
      </c>
      <c r="G1759" s="18" t="s">
        <v>584</v>
      </c>
      <c r="H1759" s="18" t="s">
        <v>162</v>
      </c>
      <c r="I1759" s="18"/>
      <c r="J1759" s="18"/>
      <c r="K1759" s="18"/>
      <c r="L1759" s="18" t="s">
        <v>129</v>
      </c>
      <c r="M1759" s="18" t="s">
        <v>129</v>
      </c>
      <c r="N1759" s="18"/>
      <c r="O1759" s="18"/>
      <c r="P1759" s="18" t="s">
        <v>7582</v>
      </c>
      <c r="Q1759" s="18" t="s">
        <v>138</v>
      </c>
      <c r="R1759" s="18" t="s">
        <v>7583</v>
      </c>
      <c r="S1759" s="18" t="s">
        <v>140</v>
      </c>
      <c r="T1759" s="18" t="s">
        <v>141</v>
      </c>
      <c r="U1759" s="18"/>
      <c r="V1759" s="19" t="s">
        <v>29</v>
      </c>
      <c r="W1759" s="19"/>
      <c r="X1759" s="19"/>
      <c r="Y1759" s="20"/>
      <c r="Z1759" s="19"/>
      <c r="AA1759" s="18" t="str">
        <f aca="false">IF(OR(V1759="Aprobada"),R1759,IF(AND(OR(V1759="Aprobada con ajuste",V1759="Rechazada"),W1759&lt;&gt;""),W1759,""))</f>
        <v/>
      </c>
    </row>
    <row r="1760" customFormat="false" ht="43.25" hidden="false" customHeight="false" outlineLevel="0" collapsed="false">
      <c r="A1760" s="18" t="s">
        <v>7584</v>
      </c>
      <c r="B1760" s="18" t="s">
        <v>66</v>
      </c>
      <c r="C1760" s="18" t="s">
        <v>67</v>
      </c>
      <c r="D1760" s="18" t="s">
        <v>7551</v>
      </c>
      <c r="E1760" s="18" t="n">
        <v>0</v>
      </c>
      <c r="F1760" s="18" t="s">
        <v>7585</v>
      </c>
      <c r="G1760" s="18" t="s">
        <v>145</v>
      </c>
      <c r="H1760" s="18" t="s">
        <v>162</v>
      </c>
      <c r="I1760" s="18"/>
      <c r="J1760" s="18"/>
      <c r="K1760" s="18"/>
      <c r="L1760" s="18" t="s">
        <v>129</v>
      </c>
      <c r="M1760" s="18" t="s">
        <v>129</v>
      </c>
      <c r="N1760" s="18"/>
      <c r="O1760" s="18"/>
      <c r="P1760" s="18" t="s">
        <v>7586</v>
      </c>
      <c r="Q1760" s="18" t="s">
        <v>131</v>
      </c>
      <c r="R1760" s="18" t="s">
        <v>7587</v>
      </c>
      <c r="S1760" s="18" t="s">
        <v>140</v>
      </c>
      <c r="T1760" s="18" t="s">
        <v>7588</v>
      </c>
      <c r="U1760" s="18" t="s">
        <v>7589</v>
      </c>
      <c r="V1760" s="19" t="s">
        <v>29</v>
      </c>
      <c r="W1760" s="19"/>
      <c r="X1760" s="19"/>
      <c r="Y1760" s="20"/>
      <c r="Z1760" s="19"/>
      <c r="AA1760" s="18" t="str">
        <f aca="false">IF(OR(V1760="Aprobada"),R1760,IF(AND(OR(V1760="Aprobada con ajuste",V1760="Rechazada"),W1760&lt;&gt;""),W1760,""))</f>
        <v/>
      </c>
    </row>
    <row r="1761" customFormat="false" ht="32.8" hidden="false" customHeight="false" outlineLevel="0" collapsed="false">
      <c r="A1761" s="18" t="s">
        <v>7590</v>
      </c>
      <c r="B1761" s="18" t="s">
        <v>66</v>
      </c>
      <c r="C1761" s="18" t="s">
        <v>67</v>
      </c>
      <c r="D1761" s="18" t="s">
        <v>7551</v>
      </c>
      <c r="E1761" s="18" t="n">
        <v>0</v>
      </c>
      <c r="F1761" s="18" t="s">
        <v>7591</v>
      </c>
      <c r="G1761" s="18" t="s">
        <v>128</v>
      </c>
      <c r="H1761" s="18" t="s">
        <v>162</v>
      </c>
      <c r="I1761" s="18"/>
      <c r="J1761" s="18"/>
      <c r="K1761" s="18"/>
      <c r="L1761" s="18" t="s">
        <v>129</v>
      </c>
      <c r="M1761" s="18" t="s">
        <v>129</v>
      </c>
      <c r="N1761" s="18"/>
      <c r="O1761" s="18"/>
      <c r="P1761" s="18" t="s">
        <v>7592</v>
      </c>
      <c r="Q1761" s="18" t="s">
        <v>149</v>
      </c>
      <c r="R1761" s="18" t="s">
        <v>7593</v>
      </c>
      <c r="S1761" s="18" t="s">
        <v>133</v>
      </c>
      <c r="T1761" s="18" t="s">
        <v>7594</v>
      </c>
      <c r="U1761" s="18"/>
      <c r="V1761" s="19" t="s">
        <v>29</v>
      </c>
      <c r="W1761" s="19"/>
      <c r="X1761" s="19"/>
      <c r="Y1761" s="20"/>
      <c r="Z1761" s="19"/>
      <c r="AA1761" s="18" t="str">
        <f aca="false">IF(OR(V1761="Aprobada"),R1761,IF(AND(OR(V1761="Aprobada con ajuste",V1761="Rechazada"),W1761&lt;&gt;""),W1761,""))</f>
        <v/>
      </c>
    </row>
    <row r="1762" customFormat="false" ht="32.8" hidden="false" customHeight="false" outlineLevel="0" collapsed="false">
      <c r="A1762" s="18" t="s">
        <v>7595</v>
      </c>
      <c r="B1762" s="18" t="s">
        <v>66</v>
      </c>
      <c r="C1762" s="18" t="s">
        <v>67</v>
      </c>
      <c r="D1762" s="18" t="s">
        <v>7551</v>
      </c>
      <c r="E1762" s="18" t="n">
        <v>0</v>
      </c>
      <c r="F1762" s="18" t="s">
        <v>316</v>
      </c>
      <c r="G1762" s="18" t="s">
        <v>584</v>
      </c>
      <c r="H1762" s="18" t="s">
        <v>162</v>
      </c>
      <c r="I1762" s="18"/>
      <c r="J1762" s="18"/>
      <c r="K1762" s="18"/>
      <c r="L1762" s="18" t="s">
        <v>129</v>
      </c>
      <c r="M1762" s="18" t="s">
        <v>129</v>
      </c>
      <c r="N1762" s="18"/>
      <c r="O1762" s="18"/>
      <c r="P1762" s="18" t="s">
        <v>7596</v>
      </c>
      <c r="Q1762" s="18" t="s">
        <v>138</v>
      </c>
      <c r="R1762" s="18" t="s">
        <v>319</v>
      </c>
      <c r="S1762" s="18" t="s">
        <v>140</v>
      </c>
      <c r="T1762" s="18" t="s">
        <v>141</v>
      </c>
      <c r="U1762" s="18"/>
      <c r="V1762" s="19" t="s">
        <v>29</v>
      </c>
      <c r="W1762" s="19"/>
      <c r="X1762" s="19"/>
      <c r="Y1762" s="20"/>
      <c r="Z1762" s="19"/>
      <c r="AA1762" s="18" t="str">
        <f aca="false">IF(OR(V1762="Aprobada"),R1762,IF(AND(OR(V1762="Aprobada con ajuste",V1762="Rechazada"),W1762&lt;&gt;""),W1762,""))</f>
        <v/>
      </c>
    </row>
    <row r="1763" customFormat="false" ht="32.8" hidden="false" customHeight="false" outlineLevel="0" collapsed="false">
      <c r="A1763" s="18" t="s">
        <v>7597</v>
      </c>
      <c r="B1763" s="18" t="s">
        <v>66</v>
      </c>
      <c r="C1763" s="18" t="s">
        <v>67</v>
      </c>
      <c r="D1763" s="18" t="s">
        <v>7551</v>
      </c>
      <c r="E1763" s="18" t="n">
        <v>0</v>
      </c>
      <c r="F1763" s="18" t="s">
        <v>311</v>
      </c>
      <c r="G1763" s="18" t="s">
        <v>180</v>
      </c>
      <c r="H1763" s="18" t="s">
        <v>162</v>
      </c>
      <c r="I1763" s="18"/>
      <c r="J1763" s="18"/>
      <c r="K1763" s="18"/>
      <c r="L1763" s="18" t="s">
        <v>129</v>
      </c>
      <c r="M1763" s="18" t="s">
        <v>129</v>
      </c>
      <c r="N1763" s="18"/>
      <c r="O1763" s="18"/>
      <c r="P1763" s="18" t="s">
        <v>7598</v>
      </c>
      <c r="Q1763" s="18" t="s">
        <v>138</v>
      </c>
      <c r="R1763" s="18" t="s">
        <v>314</v>
      </c>
      <c r="S1763" s="18" t="s">
        <v>140</v>
      </c>
      <c r="T1763" s="18" t="s">
        <v>141</v>
      </c>
      <c r="U1763" s="18"/>
      <c r="V1763" s="19" t="s">
        <v>29</v>
      </c>
      <c r="W1763" s="19"/>
      <c r="X1763" s="19"/>
      <c r="Y1763" s="20"/>
      <c r="Z1763" s="19"/>
      <c r="AA1763" s="18" t="str">
        <f aca="false">IF(OR(V1763="Aprobada"),R1763,IF(AND(OR(V1763="Aprobada con ajuste",V1763="Rechazada"),W1763&lt;&gt;""),W1763,""))</f>
        <v/>
      </c>
    </row>
    <row r="1764" customFormat="false" ht="32.8" hidden="false" customHeight="false" outlineLevel="0" collapsed="false">
      <c r="A1764" s="18" t="s">
        <v>7599</v>
      </c>
      <c r="B1764" s="18" t="s">
        <v>66</v>
      </c>
      <c r="C1764" s="18" t="s">
        <v>67</v>
      </c>
      <c r="D1764" s="18" t="s">
        <v>7551</v>
      </c>
      <c r="E1764" s="18" t="n">
        <v>0</v>
      </c>
      <c r="F1764" s="18" t="s">
        <v>7600</v>
      </c>
      <c r="G1764" s="18" t="s">
        <v>173</v>
      </c>
      <c r="H1764" s="18" t="s">
        <v>162</v>
      </c>
      <c r="I1764" s="18"/>
      <c r="J1764" s="18"/>
      <c r="K1764" s="18"/>
      <c r="L1764" s="18" t="s">
        <v>129</v>
      </c>
      <c r="M1764" s="18" t="s">
        <v>129</v>
      </c>
      <c r="N1764" s="18"/>
      <c r="O1764" s="18"/>
      <c r="P1764" s="18" t="s">
        <v>7601</v>
      </c>
      <c r="Q1764" s="18" t="s">
        <v>138</v>
      </c>
      <c r="R1764" s="18" t="s">
        <v>7602</v>
      </c>
      <c r="S1764" s="18" t="s">
        <v>140</v>
      </c>
      <c r="T1764" s="18" t="s">
        <v>141</v>
      </c>
      <c r="U1764" s="18"/>
      <c r="V1764" s="19" t="s">
        <v>29</v>
      </c>
      <c r="W1764" s="19"/>
      <c r="X1764" s="19"/>
      <c r="Y1764" s="20"/>
      <c r="Z1764" s="19"/>
      <c r="AA1764" s="18" t="str">
        <f aca="false">IF(OR(V1764="Aprobada"),R1764,IF(AND(OR(V1764="Aprobada con ajuste",V1764="Rechazada"),W1764&lt;&gt;""),W1764,""))</f>
        <v/>
      </c>
    </row>
    <row r="1765" customFormat="false" ht="53.7" hidden="false" customHeight="false" outlineLevel="0" collapsed="false">
      <c r="A1765" s="18" t="s">
        <v>7603</v>
      </c>
      <c r="B1765" s="18" t="s">
        <v>66</v>
      </c>
      <c r="C1765" s="18" t="s">
        <v>67</v>
      </c>
      <c r="D1765" s="18" t="s">
        <v>7604</v>
      </c>
      <c r="E1765" s="18" t="n">
        <v>0</v>
      </c>
      <c r="F1765" s="18" t="s">
        <v>1989</v>
      </c>
      <c r="G1765" s="18" t="s">
        <v>145</v>
      </c>
      <c r="H1765" s="18" t="s">
        <v>129</v>
      </c>
      <c r="I1765" s="18"/>
      <c r="J1765" s="18"/>
      <c r="K1765" s="18"/>
      <c r="L1765" s="18" t="s">
        <v>129</v>
      </c>
      <c r="M1765" s="18" t="s">
        <v>129</v>
      </c>
      <c r="N1765" s="18"/>
      <c r="O1765" s="18"/>
      <c r="P1765" s="18" t="s">
        <v>7605</v>
      </c>
      <c r="Q1765" s="18" t="s">
        <v>131</v>
      </c>
      <c r="R1765" s="18" t="s">
        <v>7606</v>
      </c>
      <c r="S1765" s="18" t="s">
        <v>133</v>
      </c>
      <c r="T1765" s="18" t="s">
        <v>7607</v>
      </c>
      <c r="U1765" s="18"/>
      <c r="V1765" s="19" t="s">
        <v>29</v>
      </c>
      <c r="W1765" s="19"/>
      <c r="X1765" s="19"/>
      <c r="Y1765" s="20"/>
      <c r="Z1765" s="19"/>
      <c r="AA1765" s="18" t="str">
        <f aca="false">IF(OR(V1765="Aprobada"),R1765,IF(AND(OR(V1765="Aprobada con ajuste",V1765="Rechazada"),W1765&lt;&gt;""),W1765,""))</f>
        <v/>
      </c>
    </row>
    <row r="1766" customFormat="false" ht="53.7" hidden="false" customHeight="false" outlineLevel="0" collapsed="false">
      <c r="A1766" s="18" t="s">
        <v>7608</v>
      </c>
      <c r="B1766" s="18" t="s">
        <v>66</v>
      </c>
      <c r="C1766" s="18" t="s">
        <v>67</v>
      </c>
      <c r="D1766" s="18" t="s">
        <v>7604</v>
      </c>
      <c r="E1766" s="18" t="n">
        <v>0</v>
      </c>
      <c r="F1766" s="18" t="s">
        <v>326</v>
      </c>
      <c r="G1766" s="18" t="s">
        <v>137</v>
      </c>
      <c r="H1766" s="18" t="s">
        <v>129</v>
      </c>
      <c r="I1766" s="18"/>
      <c r="J1766" s="18"/>
      <c r="K1766" s="18"/>
      <c r="L1766" s="18" t="s">
        <v>129</v>
      </c>
      <c r="M1766" s="18" t="s">
        <v>129</v>
      </c>
      <c r="N1766" s="18"/>
      <c r="O1766" s="18" t="s">
        <v>7609</v>
      </c>
      <c r="P1766" s="18" t="s">
        <v>7610</v>
      </c>
      <c r="Q1766" s="18" t="s">
        <v>138</v>
      </c>
      <c r="R1766" s="18" t="s">
        <v>328</v>
      </c>
      <c r="S1766" s="18" t="s">
        <v>140</v>
      </c>
      <c r="T1766" s="18" t="s">
        <v>141</v>
      </c>
      <c r="U1766" s="18"/>
      <c r="V1766" s="19" t="s">
        <v>29</v>
      </c>
      <c r="W1766" s="19"/>
      <c r="X1766" s="19"/>
      <c r="Y1766" s="20"/>
      <c r="Z1766" s="19"/>
      <c r="AA1766" s="18" t="str">
        <f aca="false">IF(OR(V1766="Aprobada"),R1766,IF(AND(OR(V1766="Aprobada con ajuste",V1766="Rechazada"),W1766&lt;&gt;""),W1766,""))</f>
        <v/>
      </c>
    </row>
    <row r="1767" customFormat="false" ht="43.25" hidden="false" customHeight="false" outlineLevel="0" collapsed="false">
      <c r="A1767" s="18" t="s">
        <v>7611</v>
      </c>
      <c r="B1767" s="18" t="s">
        <v>66</v>
      </c>
      <c r="C1767" s="18" t="s">
        <v>67</v>
      </c>
      <c r="D1767" s="18" t="s">
        <v>7604</v>
      </c>
      <c r="E1767" s="18" t="n">
        <v>0</v>
      </c>
      <c r="F1767" s="18" t="s">
        <v>7612</v>
      </c>
      <c r="G1767" s="18" t="s">
        <v>317</v>
      </c>
      <c r="H1767" s="18" t="s">
        <v>162</v>
      </c>
      <c r="I1767" s="18"/>
      <c r="J1767" s="18"/>
      <c r="K1767" s="18"/>
      <c r="L1767" s="18" t="s">
        <v>129</v>
      </c>
      <c r="M1767" s="18" t="s">
        <v>129</v>
      </c>
      <c r="N1767" s="18"/>
      <c r="O1767" s="18"/>
      <c r="P1767" s="18" t="s">
        <v>7613</v>
      </c>
      <c r="Q1767" s="18" t="s">
        <v>138</v>
      </c>
      <c r="R1767" s="18" t="s">
        <v>7614</v>
      </c>
      <c r="S1767" s="18" t="s">
        <v>140</v>
      </c>
      <c r="T1767" s="18" t="s">
        <v>141</v>
      </c>
      <c r="U1767" s="18"/>
      <c r="V1767" s="19" t="s">
        <v>29</v>
      </c>
      <c r="W1767" s="19"/>
      <c r="X1767" s="19"/>
      <c r="Y1767" s="20"/>
      <c r="Z1767" s="19"/>
      <c r="AA1767" s="18" t="str">
        <f aca="false">IF(OR(V1767="Aprobada"),R1767,IF(AND(OR(V1767="Aprobada con ajuste",V1767="Rechazada"),W1767&lt;&gt;""),W1767,""))</f>
        <v/>
      </c>
    </row>
    <row r="1768" customFormat="false" ht="74.6" hidden="false" customHeight="false" outlineLevel="0" collapsed="false">
      <c r="A1768" s="18" t="s">
        <v>7615</v>
      </c>
      <c r="B1768" s="18" t="s">
        <v>66</v>
      </c>
      <c r="C1768" s="18" t="s">
        <v>67</v>
      </c>
      <c r="D1768" s="18" t="s">
        <v>7604</v>
      </c>
      <c r="E1768" s="18" t="n">
        <v>0</v>
      </c>
      <c r="F1768" s="18" t="s">
        <v>185</v>
      </c>
      <c r="G1768" s="18" t="s">
        <v>145</v>
      </c>
      <c r="H1768" s="18" t="s">
        <v>129</v>
      </c>
      <c r="I1768" s="18" t="s">
        <v>298</v>
      </c>
      <c r="J1768" s="18" t="s">
        <v>7616</v>
      </c>
      <c r="K1768" s="18"/>
      <c r="L1768" s="18" t="s">
        <v>162</v>
      </c>
      <c r="M1768" s="18" t="s">
        <v>129</v>
      </c>
      <c r="N1768" s="18"/>
      <c r="O1768" s="18" t="s">
        <v>7617</v>
      </c>
      <c r="P1768" s="18" t="s">
        <v>7618</v>
      </c>
      <c r="Q1768" s="18" t="s">
        <v>138</v>
      </c>
      <c r="R1768" s="18" t="s">
        <v>7619</v>
      </c>
      <c r="S1768" s="18" t="s">
        <v>140</v>
      </c>
      <c r="T1768" s="18" t="s">
        <v>141</v>
      </c>
      <c r="U1768" s="18"/>
      <c r="V1768" s="19" t="s">
        <v>29</v>
      </c>
      <c r="W1768" s="19"/>
      <c r="X1768" s="19"/>
      <c r="Y1768" s="20"/>
      <c r="Z1768" s="19"/>
      <c r="AA1768" s="18" t="str">
        <f aca="false">IF(OR(V1768="Aprobada"),R1768,IF(AND(OR(V1768="Aprobada con ajuste",V1768="Rechazada"),W1768&lt;&gt;""),W1768,""))</f>
        <v/>
      </c>
    </row>
    <row r="1769" customFormat="false" ht="43.25" hidden="false" customHeight="false" outlineLevel="0" collapsed="false">
      <c r="A1769" s="18" t="s">
        <v>7620</v>
      </c>
      <c r="B1769" s="18" t="s">
        <v>66</v>
      </c>
      <c r="C1769" s="18" t="s">
        <v>67</v>
      </c>
      <c r="D1769" s="18" t="s">
        <v>7604</v>
      </c>
      <c r="E1769" s="18" t="n">
        <v>0</v>
      </c>
      <c r="F1769" s="18" t="s">
        <v>4235</v>
      </c>
      <c r="G1769" s="18" t="s">
        <v>180</v>
      </c>
      <c r="H1769" s="18" t="s">
        <v>162</v>
      </c>
      <c r="I1769" s="18"/>
      <c r="J1769" s="18"/>
      <c r="K1769" s="18"/>
      <c r="L1769" s="18" t="s">
        <v>129</v>
      </c>
      <c r="M1769" s="18" t="s">
        <v>129</v>
      </c>
      <c r="N1769" s="18"/>
      <c r="O1769" s="18"/>
      <c r="P1769" s="18" t="s">
        <v>7621</v>
      </c>
      <c r="Q1769" s="18" t="s">
        <v>131</v>
      </c>
      <c r="R1769" s="18" t="s">
        <v>7622</v>
      </c>
      <c r="S1769" s="18" t="s">
        <v>133</v>
      </c>
      <c r="T1769" s="18" t="s">
        <v>7623</v>
      </c>
      <c r="U1769" s="18"/>
      <c r="V1769" s="19" t="s">
        <v>29</v>
      </c>
      <c r="W1769" s="19"/>
      <c r="X1769" s="19"/>
      <c r="Y1769" s="20"/>
      <c r="Z1769" s="19"/>
      <c r="AA1769" s="18" t="str">
        <f aca="false">IF(OR(V1769="Aprobada"),R1769,IF(AND(OR(V1769="Aprobada con ajuste",V1769="Rechazada"),W1769&lt;&gt;""),W1769,""))</f>
        <v/>
      </c>
    </row>
    <row r="1770" customFormat="false" ht="43.25" hidden="false" customHeight="false" outlineLevel="0" collapsed="false">
      <c r="A1770" s="18" t="s">
        <v>7624</v>
      </c>
      <c r="B1770" s="18" t="s">
        <v>66</v>
      </c>
      <c r="C1770" s="18" t="s">
        <v>67</v>
      </c>
      <c r="D1770" s="18" t="s">
        <v>7604</v>
      </c>
      <c r="E1770" s="18" t="n">
        <v>0</v>
      </c>
      <c r="F1770" s="18" t="s">
        <v>4240</v>
      </c>
      <c r="G1770" s="18" t="s">
        <v>161</v>
      </c>
      <c r="H1770" s="18" t="s">
        <v>162</v>
      </c>
      <c r="I1770" s="18"/>
      <c r="J1770" s="18"/>
      <c r="K1770" s="18"/>
      <c r="L1770" s="18" t="s">
        <v>129</v>
      </c>
      <c r="M1770" s="18" t="s">
        <v>129</v>
      </c>
      <c r="N1770" s="18"/>
      <c r="O1770" s="18"/>
      <c r="P1770" s="18" t="s">
        <v>7625</v>
      </c>
      <c r="Q1770" s="18" t="s">
        <v>149</v>
      </c>
      <c r="R1770" s="18" t="s">
        <v>7626</v>
      </c>
      <c r="S1770" s="18" t="s">
        <v>133</v>
      </c>
      <c r="T1770" s="18" t="s">
        <v>7627</v>
      </c>
      <c r="U1770" s="18"/>
      <c r="V1770" s="19" t="s">
        <v>29</v>
      </c>
      <c r="W1770" s="19"/>
      <c r="X1770" s="19"/>
      <c r="Y1770" s="20"/>
      <c r="Z1770" s="19"/>
      <c r="AA1770" s="18" t="str">
        <f aca="false">IF(OR(V1770="Aprobada"),R1770,IF(AND(OR(V1770="Aprobada con ajuste",V1770="Rechazada"),W1770&lt;&gt;""),W1770,""))</f>
        <v/>
      </c>
    </row>
    <row r="1771" customFormat="false" ht="53.7" hidden="false" customHeight="false" outlineLevel="0" collapsed="false">
      <c r="A1771" s="18" t="s">
        <v>7628</v>
      </c>
      <c r="B1771" s="18" t="s">
        <v>66</v>
      </c>
      <c r="C1771" s="18" t="s">
        <v>67</v>
      </c>
      <c r="D1771" s="18" t="s">
        <v>7604</v>
      </c>
      <c r="E1771" s="18" t="n">
        <v>0</v>
      </c>
      <c r="F1771" s="18" t="s">
        <v>4244</v>
      </c>
      <c r="G1771" s="18" t="s">
        <v>294</v>
      </c>
      <c r="H1771" s="18" t="s">
        <v>162</v>
      </c>
      <c r="I1771" s="18"/>
      <c r="J1771" s="18"/>
      <c r="K1771" s="18"/>
      <c r="L1771" s="18" t="s">
        <v>129</v>
      </c>
      <c r="M1771" s="18" t="s">
        <v>129</v>
      </c>
      <c r="N1771" s="18"/>
      <c r="O1771" s="18"/>
      <c r="P1771" s="18" t="s">
        <v>7629</v>
      </c>
      <c r="Q1771" s="18" t="s">
        <v>149</v>
      </c>
      <c r="R1771" s="18" t="s">
        <v>7630</v>
      </c>
      <c r="S1771" s="18" t="s">
        <v>140</v>
      </c>
      <c r="T1771" s="18" t="s">
        <v>7631</v>
      </c>
      <c r="U1771" s="18" t="s">
        <v>7632</v>
      </c>
      <c r="V1771" s="19" t="s">
        <v>29</v>
      </c>
      <c r="W1771" s="19"/>
      <c r="X1771" s="19"/>
      <c r="Y1771" s="20"/>
      <c r="Z1771" s="19"/>
      <c r="AA1771" s="18" t="str">
        <f aca="false">IF(OR(V1771="Aprobada"),R1771,IF(AND(OR(V1771="Aprobada con ajuste",V1771="Rechazada"),W1771&lt;&gt;""),W1771,""))</f>
        <v/>
      </c>
    </row>
    <row r="1772" customFormat="false" ht="32.8" hidden="false" customHeight="false" outlineLevel="0" collapsed="false">
      <c r="A1772" s="18" t="s">
        <v>7633</v>
      </c>
      <c r="B1772" s="18" t="s">
        <v>66</v>
      </c>
      <c r="C1772" s="18" t="s">
        <v>67</v>
      </c>
      <c r="D1772" s="18" t="s">
        <v>7604</v>
      </c>
      <c r="E1772" s="18" t="n">
        <v>0</v>
      </c>
      <c r="F1772" s="18" t="s">
        <v>7634</v>
      </c>
      <c r="G1772" s="18" t="s">
        <v>180</v>
      </c>
      <c r="H1772" s="18" t="s">
        <v>162</v>
      </c>
      <c r="I1772" s="18"/>
      <c r="J1772" s="18"/>
      <c r="K1772" s="18"/>
      <c r="L1772" s="18" t="s">
        <v>129</v>
      </c>
      <c r="M1772" s="18" t="s">
        <v>129</v>
      </c>
      <c r="N1772" s="18"/>
      <c r="O1772" s="18"/>
      <c r="P1772" s="18" t="s">
        <v>7635</v>
      </c>
      <c r="Q1772" s="18" t="s">
        <v>131</v>
      </c>
      <c r="R1772" s="18" t="s">
        <v>7636</v>
      </c>
      <c r="S1772" s="18" t="s">
        <v>140</v>
      </c>
      <c r="T1772" s="18" t="s">
        <v>183</v>
      </c>
      <c r="U1772" s="18" t="s">
        <v>7637</v>
      </c>
      <c r="V1772" s="19" t="s">
        <v>29</v>
      </c>
      <c r="W1772" s="19"/>
      <c r="X1772" s="19"/>
      <c r="Y1772" s="20"/>
      <c r="Z1772" s="19"/>
      <c r="AA1772" s="18" t="str">
        <f aca="false">IF(OR(V1772="Aprobada"),R1772,IF(AND(OR(V1772="Aprobada con ajuste",V1772="Rechazada"),W1772&lt;&gt;""),W1772,""))</f>
        <v/>
      </c>
    </row>
    <row r="1773" customFormat="false" ht="53.7" hidden="false" customHeight="false" outlineLevel="0" collapsed="false">
      <c r="A1773" s="18" t="s">
        <v>7638</v>
      </c>
      <c r="B1773" s="18" t="s">
        <v>66</v>
      </c>
      <c r="C1773" s="18" t="s">
        <v>67</v>
      </c>
      <c r="D1773" s="18" t="s">
        <v>7604</v>
      </c>
      <c r="E1773" s="18" t="n">
        <v>0</v>
      </c>
      <c r="F1773" s="18" t="s">
        <v>7639</v>
      </c>
      <c r="G1773" s="18" t="s">
        <v>317</v>
      </c>
      <c r="H1773" s="18" t="s">
        <v>162</v>
      </c>
      <c r="I1773" s="18"/>
      <c r="J1773" s="18"/>
      <c r="K1773" s="18"/>
      <c r="L1773" s="18" t="s">
        <v>129</v>
      </c>
      <c r="M1773" s="18" t="s">
        <v>129</v>
      </c>
      <c r="N1773" s="18"/>
      <c r="O1773" s="18"/>
      <c r="P1773" s="18" t="s">
        <v>7640</v>
      </c>
      <c r="Q1773" s="18" t="s">
        <v>138</v>
      </c>
      <c r="R1773" s="18" t="s">
        <v>7641</v>
      </c>
      <c r="S1773" s="18" t="s">
        <v>140</v>
      </c>
      <c r="T1773" s="18" t="s">
        <v>141</v>
      </c>
      <c r="U1773" s="18"/>
      <c r="V1773" s="19" t="s">
        <v>29</v>
      </c>
      <c r="W1773" s="19"/>
      <c r="X1773" s="19"/>
      <c r="Y1773" s="20"/>
      <c r="Z1773" s="19"/>
      <c r="AA1773" s="18" t="str">
        <f aca="false">IF(OR(V1773="Aprobada"),R1773,IF(AND(OR(V1773="Aprobada con ajuste",V1773="Rechazada"),W1773&lt;&gt;""),W1773,""))</f>
        <v/>
      </c>
    </row>
    <row r="1774" customFormat="false" ht="43.25" hidden="false" customHeight="false" outlineLevel="0" collapsed="false">
      <c r="A1774" s="18" t="s">
        <v>7642</v>
      </c>
      <c r="B1774" s="18" t="s">
        <v>66</v>
      </c>
      <c r="C1774" s="18" t="s">
        <v>67</v>
      </c>
      <c r="D1774" s="18" t="s">
        <v>7604</v>
      </c>
      <c r="E1774" s="18" t="n">
        <v>0</v>
      </c>
      <c r="F1774" s="18" t="s">
        <v>4639</v>
      </c>
      <c r="G1774" s="18" t="s">
        <v>180</v>
      </c>
      <c r="H1774" s="18" t="s">
        <v>162</v>
      </c>
      <c r="I1774" s="18"/>
      <c r="J1774" s="18"/>
      <c r="K1774" s="18"/>
      <c r="L1774" s="18" t="s">
        <v>129</v>
      </c>
      <c r="M1774" s="18" t="s">
        <v>129</v>
      </c>
      <c r="N1774" s="18"/>
      <c r="O1774" s="18"/>
      <c r="P1774" s="18" t="s">
        <v>7643</v>
      </c>
      <c r="Q1774" s="18" t="s">
        <v>138</v>
      </c>
      <c r="R1774" s="18" t="s">
        <v>4640</v>
      </c>
      <c r="S1774" s="18" t="s">
        <v>140</v>
      </c>
      <c r="T1774" s="18" t="s">
        <v>141</v>
      </c>
      <c r="U1774" s="18"/>
      <c r="V1774" s="19" t="s">
        <v>29</v>
      </c>
      <c r="W1774" s="19"/>
      <c r="X1774" s="19"/>
      <c r="Y1774" s="20"/>
      <c r="Z1774" s="19"/>
      <c r="AA1774" s="18" t="str">
        <f aca="false">IF(OR(V1774="Aprobada"),R1774,IF(AND(OR(V1774="Aprobada con ajuste",V1774="Rechazada"),W1774&lt;&gt;""),W1774,""))</f>
        <v/>
      </c>
    </row>
    <row r="1775" customFormat="false" ht="53.7" hidden="false" customHeight="false" outlineLevel="0" collapsed="false">
      <c r="A1775" s="18" t="s">
        <v>7644</v>
      </c>
      <c r="B1775" s="18" t="s">
        <v>66</v>
      </c>
      <c r="C1775" s="18" t="s">
        <v>67</v>
      </c>
      <c r="D1775" s="18" t="s">
        <v>7604</v>
      </c>
      <c r="E1775" s="18" t="n">
        <v>0</v>
      </c>
      <c r="F1775" s="18" t="s">
        <v>2681</v>
      </c>
      <c r="G1775" s="18" t="s">
        <v>317</v>
      </c>
      <c r="H1775" s="18" t="s">
        <v>162</v>
      </c>
      <c r="I1775" s="18"/>
      <c r="J1775" s="18"/>
      <c r="K1775" s="18"/>
      <c r="L1775" s="18" t="s">
        <v>129</v>
      </c>
      <c r="M1775" s="18" t="s">
        <v>129</v>
      </c>
      <c r="N1775" s="18"/>
      <c r="O1775" s="18"/>
      <c r="P1775" s="18" t="s">
        <v>7645</v>
      </c>
      <c r="Q1775" s="18" t="s">
        <v>138</v>
      </c>
      <c r="R1775" s="18" t="s">
        <v>2683</v>
      </c>
      <c r="S1775" s="18" t="s">
        <v>140</v>
      </c>
      <c r="T1775" s="18" t="s">
        <v>141</v>
      </c>
      <c r="U1775" s="18"/>
      <c r="V1775" s="19" t="s">
        <v>29</v>
      </c>
      <c r="W1775" s="19"/>
      <c r="X1775" s="19"/>
      <c r="Y1775" s="20"/>
      <c r="Z1775" s="19"/>
      <c r="AA1775" s="18" t="str">
        <f aca="false">IF(OR(V1775="Aprobada"),R1775,IF(AND(OR(V1775="Aprobada con ajuste",V1775="Rechazada"),W1775&lt;&gt;""),W1775,""))</f>
        <v/>
      </c>
    </row>
    <row r="1776" customFormat="false" ht="43.25" hidden="false" customHeight="false" outlineLevel="0" collapsed="false">
      <c r="A1776" s="18" t="s">
        <v>7646</v>
      </c>
      <c r="B1776" s="18" t="s">
        <v>66</v>
      </c>
      <c r="C1776" s="18" t="s">
        <v>67</v>
      </c>
      <c r="D1776" s="18" t="s">
        <v>7604</v>
      </c>
      <c r="E1776" s="18" t="n">
        <v>0</v>
      </c>
      <c r="F1776" s="18" t="s">
        <v>7647</v>
      </c>
      <c r="G1776" s="18" t="s">
        <v>180</v>
      </c>
      <c r="H1776" s="18" t="s">
        <v>162</v>
      </c>
      <c r="I1776" s="18"/>
      <c r="J1776" s="18"/>
      <c r="K1776" s="18"/>
      <c r="L1776" s="18" t="s">
        <v>129</v>
      </c>
      <c r="M1776" s="18" t="s">
        <v>129</v>
      </c>
      <c r="N1776" s="18"/>
      <c r="O1776" s="18"/>
      <c r="P1776" s="18" t="s">
        <v>7648</v>
      </c>
      <c r="Q1776" s="18" t="s">
        <v>138</v>
      </c>
      <c r="R1776" s="18" t="s">
        <v>7649</v>
      </c>
      <c r="S1776" s="18" t="s">
        <v>140</v>
      </c>
      <c r="T1776" s="18" t="s">
        <v>141</v>
      </c>
      <c r="U1776" s="18"/>
      <c r="V1776" s="19" t="s">
        <v>29</v>
      </c>
      <c r="W1776" s="19"/>
      <c r="X1776" s="19"/>
      <c r="Y1776" s="20"/>
      <c r="Z1776" s="19"/>
      <c r="AA1776" s="18" t="str">
        <f aca="false">IF(OR(V1776="Aprobada"),R1776,IF(AND(OR(V1776="Aprobada con ajuste",V1776="Rechazada"),W1776&lt;&gt;""),W1776,""))</f>
        <v/>
      </c>
    </row>
    <row r="1777" customFormat="false" ht="43.25" hidden="false" customHeight="false" outlineLevel="0" collapsed="false">
      <c r="A1777" s="18" t="s">
        <v>7650</v>
      </c>
      <c r="B1777" s="18" t="s">
        <v>66</v>
      </c>
      <c r="C1777" s="18" t="s">
        <v>67</v>
      </c>
      <c r="D1777" s="18" t="s">
        <v>7604</v>
      </c>
      <c r="E1777" s="18" t="n">
        <v>0</v>
      </c>
      <c r="F1777" s="18" t="s">
        <v>886</v>
      </c>
      <c r="G1777" s="18" t="s">
        <v>128</v>
      </c>
      <c r="H1777" s="18" t="s">
        <v>162</v>
      </c>
      <c r="I1777" s="18"/>
      <c r="J1777" s="18"/>
      <c r="K1777" s="18"/>
      <c r="L1777" s="18" t="s">
        <v>129</v>
      </c>
      <c r="M1777" s="18" t="s">
        <v>129</v>
      </c>
      <c r="N1777" s="18"/>
      <c r="O1777" s="18"/>
      <c r="P1777" s="18" t="s">
        <v>7651</v>
      </c>
      <c r="Q1777" s="18" t="s">
        <v>131</v>
      </c>
      <c r="R1777" s="18" t="s">
        <v>7652</v>
      </c>
      <c r="S1777" s="18" t="s">
        <v>133</v>
      </c>
      <c r="T1777" s="18" t="s">
        <v>7653</v>
      </c>
      <c r="U1777" s="18"/>
      <c r="V1777" s="19" t="s">
        <v>29</v>
      </c>
      <c r="W1777" s="19"/>
      <c r="X1777" s="19"/>
      <c r="Y1777" s="20"/>
      <c r="Z1777" s="19"/>
      <c r="AA1777" s="18" t="str">
        <f aca="false">IF(OR(V1777="Aprobada"),R1777,IF(AND(OR(V1777="Aprobada con ajuste",V1777="Rechazada"),W1777&lt;&gt;""),W1777,""))</f>
        <v/>
      </c>
    </row>
    <row r="1778" customFormat="false" ht="53.7" hidden="false" customHeight="false" outlineLevel="0" collapsed="false">
      <c r="A1778" s="18" t="s">
        <v>7654</v>
      </c>
      <c r="B1778" s="18" t="s">
        <v>66</v>
      </c>
      <c r="C1778" s="18" t="s">
        <v>67</v>
      </c>
      <c r="D1778" s="18" t="s">
        <v>7604</v>
      </c>
      <c r="E1778" s="18" t="n">
        <v>0</v>
      </c>
      <c r="F1778" s="18" t="s">
        <v>6800</v>
      </c>
      <c r="G1778" s="18" t="s">
        <v>128</v>
      </c>
      <c r="H1778" s="18" t="s">
        <v>162</v>
      </c>
      <c r="I1778" s="18"/>
      <c r="J1778" s="18"/>
      <c r="K1778" s="18"/>
      <c r="L1778" s="18" t="s">
        <v>129</v>
      </c>
      <c r="M1778" s="18" t="s">
        <v>129</v>
      </c>
      <c r="N1778" s="18"/>
      <c r="O1778" s="18"/>
      <c r="P1778" s="18" t="s">
        <v>7655</v>
      </c>
      <c r="Q1778" s="18" t="s">
        <v>138</v>
      </c>
      <c r="R1778" s="18" t="s">
        <v>6801</v>
      </c>
      <c r="S1778" s="18" t="s">
        <v>140</v>
      </c>
      <c r="T1778" s="18" t="s">
        <v>141</v>
      </c>
      <c r="U1778" s="18"/>
      <c r="V1778" s="19" t="s">
        <v>29</v>
      </c>
      <c r="W1778" s="19"/>
      <c r="X1778" s="19"/>
      <c r="Y1778" s="20"/>
      <c r="Z1778" s="19"/>
      <c r="AA1778" s="18" t="str">
        <f aca="false">IF(OR(V1778="Aprobada"),R1778,IF(AND(OR(V1778="Aprobada con ajuste",V1778="Rechazada"),W1778&lt;&gt;""),W1778,""))</f>
        <v/>
      </c>
    </row>
    <row r="1779" customFormat="false" ht="43.25" hidden="false" customHeight="false" outlineLevel="0" collapsed="false">
      <c r="A1779" s="18" t="s">
        <v>7656</v>
      </c>
      <c r="B1779" s="18" t="s">
        <v>66</v>
      </c>
      <c r="C1779" s="18" t="s">
        <v>67</v>
      </c>
      <c r="D1779" s="18" t="s">
        <v>7604</v>
      </c>
      <c r="E1779" s="18" t="n">
        <v>0</v>
      </c>
      <c r="F1779" s="18" t="s">
        <v>4679</v>
      </c>
      <c r="G1779" s="18" t="s">
        <v>180</v>
      </c>
      <c r="H1779" s="18" t="s">
        <v>162</v>
      </c>
      <c r="I1779" s="18"/>
      <c r="J1779" s="18"/>
      <c r="K1779" s="18"/>
      <c r="L1779" s="18" t="s">
        <v>129</v>
      </c>
      <c r="M1779" s="18" t="s">
        <v>129</v>
      </c>
      <c r="N1779" s="18"/>
      <c r="O1779" s="18"/>
      <c r="P1779" s="18" t="s">
        <v>7657</v>
      </c>
      <c r="Q1779" s="18" t="s">
        <v>131</v>
      </c>
      <c r="R1779" s="18" t="s">
        <v>7658</v>
      </c>
      <c r="S1779" s="18" t="s">
        <v>133</v>
      </c>
      <c r="T1779" s="18" t="s">
        <v>7659</v>
      </c>
      <c r="U1779" s="18"/>
      <c r="V1779" s="19" t="s">
        <v>29</v>
      </c>
      <c r="W1779" s="19"/>
      <c r="X1779" s="19"/>
      <c r="Y1779" s="20"/>
      <c r="Z1779" s="19"/>
      <c r="AA1779" s="18" t="str">
        <f aca="false">IF(OR(V1779="Aprobada"),R1779,IF(AND(OR(V1779="Aprobada con ajuste",V1779="Rechazada"),W1779&lt;&gt;""),W1779,""))</f>
        <v/>
      </c>
    </row>
    <row r="1780" customFormat="false" ht="53.7" hidden="false" customHeight="false" outlineLevel="0" collapsed="false">
      <c r="A1780" s="18" t="s">
        <v>7660</v>
      </c>
      <c r="B1780" s="18" t="s">
        <v>66</v>
      </c>
      <c r="C1780" s="18" t="s">
        <v>67</v>
      </c>
      <c r="D1780" s="18" t="s">
        <v>7604</v>
      </c>
      <c r="E1780" s="18" t="n">
        <v>0</v>
      </c>
      <c r="F1780" s="18" t="s">
        <v>4747</v>
      </c>
      <c r="G1780" s="18" t="s">
        <v>317</v>
      </c>
      <c r="H1780" s="18" t="s">
        <v>162</v>
      </c>
      <c r="I1780" s="18"/>
      <c r="J1780" s="18"/>
      <c r="K1780" s="18"/>
      <c r="L1780" s="18" t="s">
        <v>129</v>
      </c>
      <c r="M1780" s="18" t="s">
        <v>129</v>
      </c>
      <c r="N1780" s="18"/>
      <c r="O1780" s="18"/>
      <c r="P1780" s="18" t="s">
        <v>7661</v>
      </c>
      <c r="Q1780" s="18" t="s">
        <v>138</v>
      </c>
      <c r="R1780" s="18" t="s">
        <v>4749</v>
      </c>
      <c r="S1780" s="18" t="s">
        <v>140</v>
      </c>
      <c r="T1780" s="18" t="s">
        <v>141</v>
      </c>
      <c r="U1780" s="18"/>
      <c r="V1780" s="19" t="s">
        <v>29</v>
      </c>
      <c r="W1780" s="19"/>
      <c r="X1780" s="19"/>
      <c r="Y1780" s="20"/>
      <c r="Z1780" s="19"/>
      <c r="AA1780" s="18" t="str">
        <f aca="false">IF(OR(V1780="Aprobada"),R1780,IF(AND(OR(V1780="Aprobada con ajuste",V1780="Rechazada"),W1780&lt;&gt;""),W1780,""))</f>
        <v/>
      </c>
    </row>
    <row r="1781" customFormat="false" ht="53.7" hidden="false" customHeight="false" outlineLevel="0" collapsed="false">
      <c r="A1781" s="18" t="s">
        <v>7662</v>
      </c>
      <c r="B1781" s="18" t="s">
        <v>66</v>
      </c>
      <c r="C1781" s="18" t="s">
        <v>67</v>
      </c>
      <c r="D1781" s="18" t="s">
        <v>7604</v>
      </c>
      <c r="E1781" s="18" t="n">
        <v>0</v>
      </c>
      <c r="F1781" s="18" t="s">
        <v>7447</v>
      </c>
      <c r="G1781" s="18" t="s">
        <v>317</v>
      </c>
      <c r="H1781" s="18" t="s">
        <v>162</v>
      </c>
      <c r="I1781" s="18"/>
      <c r="J1781" s="18"/>
      <c r="K1781" s="18"/>
      <c r="L1781" s="18" t="s">
        <v>129</v>
      </c>
      <c r="M1781" s="18" t="s">
        <v>129</v>
      </c>
      <c r="N1781" s="18"/>
      <c r="O1781" s="18" t="s">
        <v>7663</v>
      </c>
      <c r="P1781" s="18" t="s">
        <v>7664</v>
      </c>
      <c r="Q1781" s="18" t="s">
        <v>138</v>
      </c>
      <c r="R1781" s="18" t="s">
        <v>7449</v>
      </c>
      <c r="S1781" s="18" t="s">
        <v>140</v>
      </c>
      <c r="T1781" s="18" t="s">
        <v>141</v>
      </c>
      <c r="U1781" s="18"/>
      <c r="V1781" s="19" t="s">
        <v>29</v>
      </c>
      <c r="W1781" s="19"/>
      <c r="X1781" s="19"/>
      <c r="Y1781" s="20"/>
      <c r="Z1781" s="19"/>
      <c r="AA1781" s="18" t="str">
        <f aca="false">IF(OR(V1781="Aprobada"),R1781,IF(AND(OR(V1781="Aprobada con ajuste",V1781="Rechazada"),W1781&lt;&gt;""),W1781,""))</f>
        <v/>
      </c>
    </row>
    <row r="1782" customFormat="false" ht="43.25" hidden="false" customHeight="false" outlineLevel="0" collapsed="false">
      <c r="A1782" s="18" t="s">
        <v>7665</v>
      </c>
      <c r="B1782" s="18" t="s">
        <v>66</v>
      </c>
      <c r="C1782" s="18" t="s">
        <v>67</v>
      </c>
      <c r="D1782" s="18" t="s">
        <v>7604</v>
      </c>
      <c r="E1782" s="18" t="n">
        <v>0</v>
      </c>
      <c r="F1782" s="18" t="s">
        <v>7666</v>
      </c>
      <c r="G1782" s="18" t="s">
        <v>180</v>
      </c>
      <c r="H1782" s="18" t="s">
        <v>162</v>
      </c>
      <c r="I1782" s="18"/>
      <c r="J1782" s="18"/>
      <c r="K1782" s="18"/>
      <c r="L1782" s="18" t="s">
        <v>129</v>
      </c>
      <c r="M1782" s="18" t="s">
        <v>129</v>
      </c>
      <c r="N1782" s="18"/>
      <c r="O1782" s="18"/>
      <c r="P1782" s="18" t="s">
        <v>7667</v>
      </c>
      <c r="Q1782" s="18" t="s">
        <v>138</v>
      </c>
      <c r="R1782" s="18" t="s">
        <v>7668</v>
      </c>
      <c r="S1782" s="18" t="s">
        <v>140</v>
      </c>
      <c r="T1782" s="18" t="s">
        <v>141</v>
      </c>
      <c r="U1782" s="18"/>
      <c r="V1782" s="19" t="s">
        <v>29</v>
      </c>
      <c r="W1782" s="19"/>
      <c r="X1782" s="19"/>
      <c r="Y1782" s="20"/>
      <c r="Z1782" s="19"/>
      <c r="AA1782" s="18" t="str">
        <f aca="false">IF(OR(V1782="Aprobada"),R1782,IF(AND(OR(V1782="Aprobada con ajuste",V1782="Rechazada"),W1782&lt;&gt;""),W1782,""))</f>
        <v/>
      </c>
    </row>
    <row r="1783" customFormat="false" ht="43.25" hidden="false" customHeight="false" outlineLevel="0" collapsed="false">
      <c r="A1783" s="18" t="s">
        <v>7669</v>
      </c>
      <c r="B1783" s="18" t="s">
        <v>66</v>
      </c>
      <c r="C1783" s="18" t="s">
        <v>67</v>
      </c>
      <c r="D1783" s="18" t="s">
        <v>7604</v>
      </c>
      <c r="E1783" s="18" t="n">
        <v>0</v>
      </c>
      <c r="F1783" s="18" t="s">
        <v>7670</v>
      </c>
      <c r="G1783" s="18" t="s">
        <v>145</v>
      </c>
      <c r="H1783" s="18" t="s">
        <v>162</v>
      </c>
      <c r="I1783" s="18" t="s">
        <v>298</v>
      </c>
      <c r="J1783" s="18" t="s">
        <v>7671</v>
      </c>
      <c r="K1783" s="18"/>
      <c r="L1783" s="18" t="s">
        <v>162</v>
      </c>
      <c r="M1783" s="18" t="s">
        <v>129</v>
      </c>
      <c r="N1783" s="18"/>
      <c r="O1783" s="18"/>
      <c r="P1783" s="18" t="s">
        <v>7672</v>
      </c>
      <c r="Q1783" s="18" t="s">
        <v>149</v>
      </c>
      <c r="R1783" s="18" t="s">
        <v>7673</v>
      </c>
      <c r="S1783" s="18" t="s">
        <v>133</v>
      </c>
      <c r="T1783" s="18" t="s">
        <v>6905</v>
      </c>
      <c r="U1783" s="18"/>
      <c r="V1783" s="19" t="s">
        <v>29</v>
      </c>
      <c r="W1783" s="19"/>
      <c r="X1783" s="19"/>
      <c r="Y1783" s="20"/>
      <c r="Z1783" s="19"/>
      <c r="AA1783" s="18" t="str">
        <f aca="false">IF(OR(V1783="Aprobada"),R1783,IF(AND(OR(V1783="Aprobada con ajuste",V1783="Rechazada"),W1783&lt;&gt;""),W1783,""))</f>
        <v/>
      </c>
    </row>
    <row r="1784" customFormat="false" ht="43.25" hidden="false" customHeight="false" outlineLevel="0" collapsed="false">
      <c r="A1784" s="18" t="s">
        <v>7674</v>
      </c>
      <c r="B1784" s="18" t="s">
        <v>66</v>
      </c>
      <c r="C1784" s="18" t="s">
        <v>67</v>
      </c>
      <c r="D1784" s="18" t="s">
        <v>7604</v>
      </c>
      <c r="E1784" s="18" t="n">
        <v>0</v>
      </c>
      <c r="F1784" s="18" t="s">
        <v>7675</v>
      </c>
      <c r="G1784" s="18" t="s">
        <v>180</v>
      </c>
      <c r="H1784" s="18" t="s">
        <v>162</v>
      </c>
      <c r="I1784" s="18"/>
      <c r="J1784" s="18"/>
      <c r="K1784" s="18"/>
      <c r="L1784" s="18" t="s">
        <v>129</v>
      </c>
      <c r="M1784" s="18" t="s">
        <v>129</v>
      </c>
      <c r="N1784" s="18"/>
      <c r="O1784" s="18"/>
      <c r="P1784" s="18" t="s">
        <v>7676</v>
      </c>
      <c r="Q1784" s="18" t="s">
        <v>149</v>
      </c>
      <c r="R1784" s="18" t="s">
        <v>7677</v>
      </c>
      <c r="S1784" s="18" t="s">
        <v>140</v>
      </c>
      <c r="T1784" s="18" t="s">
        <v>7678</v>
      </c>
      <c r="U1784" s="18" t="s">
        <v>7679</v>
      </c>
      <c r="V1784" s="19" t="s">
        <v>29</v>
      </c>
      <c r="W1784" s="19"/>
      <c r="X1784" s="19"/>
      <c r="Y1784" s="20"/>
      <c r="Z1784" s="19"/>
      <c r="AA1784" s="18" t="str">
        <f aca="false">IF(OR(V1784="Aprobada"),R1784,IF(AND(OR(V1784="Aprobada con ajuste",V1784="Rechazada"),W1784&lt;&gt;""),W1784,""))</f>
        <v/>
      </c>
    </row>
    <row r="1785" customFormat="false" ht="43.25" hidden="false" customHeight="false" outlineLevel="0" collapsed="false">
      <c r="A1785" s="18" t="s">
        <v>7680</v>
      </c>
      <c r="B1785" s="18" t="s">
        <v>66</v>
      </c>
      <c r="C1785" s="18" t="s">
        <v>67</v>
      </c>
      <c r="D1785" s="18" t="s">
        <v>7604</v>
      </c>
      <c r="E1785" s="18" t="n">
        <v>0</v>
      </c>
      <c r="F1785" s="18" t="s">
        <v>7681</v>
      </c>
      <c r="G1785" s="18" t="s">
        <v>145</v>
      </c>
      <c r="H1785" s="18" t="s">
        <v>162</v>
      </c>
      <c r="I1785" s="18"/>
      <c r="J1785" s="18"/>
      <c r="K1785" s="18"/>
      <c r="L1785" s="18" t="s">
        <v>129</v>
      </c>
      <c r="M1785" s="18" t="s">
        <v>129</v>
      </c>
      <c r="N1785" s="18"/>
      <c r="O1785" s="18"/>
      <c r="P1785" s="18" t="s">
        <v>7682</v>
      </c>
      <c r="Q1785" s="18" t="s">
        <v>149</v>
      </c>
      <c r="R1785" s="18" t="s">
        <v>7683</v>
      </c>
      <c r="S1785" s="18" t="s">
        <v>133</v>
      </c>
      <c r="T1785" s="18" t="s">
        <v>7684</v>
      </c>
      <c r="U1785" s="18"/>
      <c r="V1785" s="19" t="s">
        <v>29</v>
      </c>
      <c r="W1785" s="19"/>
      <c r="X1785" s="19"/>
      <c r="Y1785" s="20"/>
      <c r="Z1785" s="19"/>
      <c r="AA1785" s="18" t="str">
        <f aca="false">IF(OR(V1785="Aprobada"),R1785,IF(AND(OR(V1785="Aprobada con ajuste",V1785="Rechazada"),W1785&lt;&gt;""),W1785,""))</f>
        <v/>
      </c>
    </row>
    <row r="1786" customFormat="false" ht="43.25" hidden="false" customHeight="false" outlineLevel="0" collapsed="false">
      <c r="A1786" s="18" t="s">
        <v>7685</v>
      </c>
      <c r="B1786" s="18" t="s">
        <v>66</v>
      </c>
      <c r="C1786" s="18" t="s">
        <v>67</v>
      </c>
      <c r="D1786" s="18" t="s">
        <v>7192</v>
      </c>
      <c r="E1786" s="18" t="n">
        <v>160</v>
      </c>
      <c r="F1786" s="18" t="s">
        <v>172</v>
      </c>
      <c r="G1786" s="18" t="s">
        <v>173</v>
      </c>
      <c r="H1786" s="18" t="s">
        <v>162</v>
      </c>
      <c r="I1786" s="18"/>
      <c r="J1786" s="18"/>
      <c r="K1786" s="18"/>
      <c r="L1786" s="18" t="s">
        <v>129</v>
      </c>
      <c r="M1786" s="18" t="s">
        <v>162</v>
      </c>
      <c r="N1786" s="18" t="s">
        <v>535</v>
      </c>
      <c r="O1786" s="18" t="s">
        <v>7686</v>
      </c>
      <c r="P1786" s="18" t="s">
        <v>7687</v>
      </c>
      <c r="Q1786" s="18" t="s">
        <v>138</v>
      </c>
      <c r="R1786" s="18" t="s">
        <v>176</v>
      </c>
      <c r="S1786" s="18" t="s">
        <v>140</v>
      </c>
      <c r="T1786" s="18" t="s">
        <v>141</v>
      </c>
      <c r="U1786" s="18"/>
      <c r="V1786" s="19" t="s">
        <v>29</v>
      </c>
      <c r="W1786" s="19"/>
      <c r="X1786" s="19"/>
      <c r="Y1786" s="20"/>
      <c r="Z1786" s="19"/>
      <c r="AA1786" s="18" t="str">
        <f aca="false">IF(OR(V1786="Aprobada"),R1786,IF(AND(OR(V1786="Aprobada con ajuste",V1786="Rechazada"),W1786&lt;&gt;""),W1786,""))</f>
        <v/>
      </c>
    </row>
    <row r="1787" customFormat="false" ht="32.8" hidden="false" customHeight="false" outlineLevel="0" collapsed="false">
      <c r="A1787" s="18" t="s">
        <v>7688</v>
      </c>
      <c r="B1787" s="18" t="s">
        <v>66</v>
      </c>
      <c r="C1787" s="18" t="s">
        <v>67</v>
      </c>
      <c r="D1787" s="18" t="s">
        <v>7192</v>
      </c>
      <c r="E1787" s="18" t="n">
        <v>160</v>
      </c>
      <c r="F1787" s="18" t="s">
        <v>4737</v>
      </c>
      <c r="G1787" s="18" t="s">
        <v>317</v>
      </c>
      <c r="H1787" s="18" t="s">
        <v>162</v>
      </c>
      <c r="I1787" s="18"/>
      <c r="J1787" s="18"/>
      <c r="K1787" s="18"/>
      <c r="L1787" s="18" t="s">
        <v>129</v>
      </c>
      <c r="M1787" s="18" t="s">
        <v>129</v>
      </c>
      <c r="N1787" s="18"/>
      <c r="O1787" s="18"/>
      <c r="P1787" s="18" t="s">
        <v>7689</v>
      </c>
      <c r="Q1787" s="18" t="s">
        <v>138</v>
      </c>
      <c r="R1787" s="18" t="s">
        <v>4739</v>
      </c>
      <c r="S1787" s="18" t="s">
        <v>140</v>
      </c>
      <c r="T1787" s="18" t="s">
        <v>141</v>
      </c>
      <c r="U1787" s="18"/>
      <c r="V1787" s="19" t="s">
        <v>29</v>
      </c>
      <c r="W1787" s="19"/>
      <c r="X1787" s="19"/>
      <c r="Y1787" s="20"/>
      <c r="Z1787" s="19"/>
      <c r="AA1787" s="18" t="str">
        <f aca="false">IF(OR(V1787="Aprobada"),R1787,IF(AND(OR(V1787="Aprobada con ajuste",V1787="Rechazada"),W1787&lt;&gt;""),W1787,""))</f>
        <v/>
      </c>
    </row>
    <row r="1788" customFormat="false" ht="32.8" hidden="false" customHeight="false" outlineLevel="0" collapsed="false">
      <c r="A1788" s="18" t="s">
        <v>7690</v>
      </c>
      <c r="B1788" s="18" t="s">
        <v>66</v>
      </c>
      <c r="C1788" s="18" t="s">
        <v>67</v>
      </c>
      <c r="D1788" s="18" t="s">
        <v>7192</v>
      </c>
      <c r="E1788" s="18" t="n">
        <v>160</v>
      </c>
      <c r="F1788" s="18" t="s">
        <v>7691</v>
      </c>
      <c r="G1788" s="18" t="s">
        <v>317</v>
      </c>
      <c r="H1788" s="18" t="s">
        <v>162</v>
      </c>
      <c r="I1788" s="18"/>
      <c r="J1788" s="18"/>
      <c r="K1788" s="18"/>
      <c r="L1788" s="18" t="s">
        <v>129</v>
      </c>
      <c r="M1788" s="18" t="s">
        <v>129</v>
      </c>
      <c r="N1788" s="18"/>
      <c r="O1788" s="18"/>
      <c r="P1788" s="18" t="s">
        <v>7692</v>
      </c>
      <c r="Q1788" s="18" t="s">
        <v>138</v>
      </c>
      <c r="R1788" s="18" t="s">
        <v>7693</v>
      </c>
      <c r="S1788" s="18" t="s">
        <v>140</v>
      </c>
      <c r="T1788" s="18" t="s">
        <v>141</v>
      </c>
      <c r="U1788" s="18"/>
      <c r="V1788" s="19" t="s">
        <v>29</v>
      </c>
      <c r="W1788" s="19"/>
      <c r="X1788" s="19"/>
      <c r="Y1788" s="20"/>
      <c r="Z1788" s="19"/>
      <c r="AA1788" s="18" t="str">
        <f aca="false">IF(OR(V1788="Aprobada"),R1788,IF(AND(OR(V1788="Aprobada con ajuste",V1788="Rechazada"),W1788&lt;&gt;""),W1788,""))</f>
        <v/>
      </c>
    </row>
    <row r="1789" customFormat="false" ht="43.25" hidden="false" customHeight="false" outlineLevel="0" collapsed="false">
      <c r="A1789" s="18" t="s">
        <v>7694</v>
      </c>
      <c r="B1789" s="18" t="s">
        <v>66</v>
      </c>
      <c r="C1789" s="18" t="s">
        <v>67</v>
      </c>
      <c r="D1789" s="18" t="s">
        <v>7192</v>
      </c>
      <c r="E1789" s="18" t="n">
        <v>160</v>
      </c>
      <c r="F1789" s="18" t="s">
        <v>886</v>
      </c>
      <c r="G1789" s="18" t="s">
        <v>128</v>
      </c>
      <c r="H1789" s="18" t="s">
        <v>162</v>
      </c>
      <c r="I1789" s="18"/>
      <c r="J1789" s="18"/>
      <c r="K1789" s="18"/>
      <c r="L1789" s="18" t="s">
        <v>129</v>
      </c>
      <c r="M1789" s="18" t="s">
        <v>162</v>
      </c>
      <c r="N1789" s="18" t="s">
        <v>535</v>
      </c>
      <c r="O1789" s="18"/>
      <c r="P1789" s="18" t="s">
        <v>7695</v>
      </c>
      <c r="Q1789" s="18" t="s">
        <v>138</v>
      </c>
      <c r="R1789" s="18" t="s">
        <v>1693</v>
      </c>
      <c r="S1789" s="18" t="s">
        <v>140</v>
      </c>
      <c r="T1789" s="18" t="s">
        <v>141</v>
      </c>
      <c r="U1789" s="18"/>
      <c r="V1789" s="19" t="s">
        <v>29</v>
      </c>
      <c r="W1789" s="19"/>
      <c r="X1789" s="19"/>
      <c r="Y1789" s="20"/>
      <c r="Z1789" s="19"/>
      <c r="AA1789" s="18" t="str">
        <f aca="false">IF(OR(V1789="Aprobada"),R1789,IF(AND(OR(V1789="Aprobada con ajuste",V1789="Rechazada"),W1789&lt;&gt;""),W1789,""))</f>
        <v/>
      </c>
    </row>
    <row r="1790" customFormat="false" ht="22.35" hidden="false" customHeight="false" outlineLevel="0" collapsed="false">
      <c r="A1790" s="18" t="s">
        <v>7696</v>
      </c>
      <c r="B1790" s="18" t="s">
        <v>66</v>
      </c>
      <c r="C1790" s="18" t="s">
        <v>67</v>
      </c>
      <c r="D1790" s="18" t="s">
        <v>7697</v>
      </c>
      <c r="E1790" s="18" t="n">
        <v>13</v>
      </c>
      <c r="F1790" s="18" t="s">
        <v>275</v>
      </c>
      <c r="G1790" s="18" t="s">
        <v>486</v>
      </c>
      <c r="H1790" s="18" t="s">
        <v>129</v>
      </c>
      <c r="I1790" s="18" t="s">
        <v>146</v>
      </c>
      <c r="J1790" s="18"/>
      <c r="K1790" s="18"/>
      <c r="L1790" s="18" t="s">
        <v>129</v>
      </c>
      <c r="M1790" s="18" t="s">
        <v>129</v>
      </c>
      <c r="N1790" s="18"/>
      <c r="O1790" s="18" t="s">
        <v>7698</v>
      </c>
      <c r="P1790" s="18"/>
      <c r="Q1790" s="18" t="s">
        <v>138</v>
      </c>
      <c r="R1790" s="18" t="s">
        <v>7699</v>
      </c>
      <c r="S1790" s="18" t="s">
        <v>140</v>
      </c>
      <c r="T1790" s="18" t="s">
        <v>141</v>
      </c>
      <c r="U1790" s="18"/>
      <c r="V1790" s="19" t="s">
        <v>29</v>
      </c>
      <c r="W1790" s="19"/>
      <c r="X1790" s="19"/>
      <c r="Y1790" s="20"/>
      <c r="Z1790" s="19"/>
      <c r="AA1790" s="18" t="str">
        <f aca="false">IF(OR(V1790="Aprobada"),R1790,IF(AND(OR(V1790="Aprobada con ajuste",V1790="Rechazada"),W1790&lt;&gt;""),W1790,""))</f>
        <v/>
      </c>
    </row>
    <row r="1791" customFormat="false" ht="22.35" hidden="false" customHeight="false" outlineLevel="0" collapsed="false">
      <c r="A1791" s="18" t="s">
        <v>7700</v>
      </c>
      <c r="B1791" s="18" t="s">
        <v>66</v>
      </c>
      <c r="C1791" s="18" t="s">
        <v>67</v>
      </c>
      <c r="D1791" s="18" t="s">
        <v>7697</v>
      </c>
      <c r="E1791" s="18" t="n">
        <v>13</v>
      </c>
      <c r="F1791" s="18" t="s">
        <v>160</v>
      </c>
      <c r="G1791" s="18" t="s">
        <v>128</v>
      </c>
      <c r="H1791" s="18" t="s">
        <v>162</v>
      </c>
      <c r="I1791" s="18"/>
      <c r="J1791" s="18"/>
      <c r="K1791" s="18"/>
      <c r="L1791" s="18" t="s">
        <v>129</v>
      </c>
      <c r="M1791" s="18" t="s">
        <v>129</v>
      </c>
      <c r="N1791" s="18"/>
      <c r="O1791" s="18"/>
      <c r="P1791" s="18"/>
      <c r="Q1791" s="18" t="s">
        <v>138</v>
      </c>
      <c r="R1791" s="18" t="s">
        <v>7701</v>
      </c>
      <c r="S1791" s="18" t="s">
        <v>140</v>
      </c>
      <c r="T1791" s="18" t="s">
        <v>141</v>
      </c>
      <c r="U1791" s="18"/>
      <c r="V1791" s="19" t="s">
        <v>29</v>
      </c>
      <c r="W1791" s="19"/>
      <c r="X1791" s="19"/>
      <c r="Y1791" s="20"/>
      <c r="Z1791" s="19"/>
      <c r="AA1791" s="18" t="str">
        <f aca="false">IF(OR(V1791="Aprobada"),R1791,IF(AND(OR(V1791="Aprobada con ajuste",V1791="Rechazada"),W1791&lt;&gt;""),W1791,""))</f>
        <v/>
      </c>
    </row>
    <row r="1792" customFormat="false" ht="22.35" hidden="false" customHeight="false" outlineLevel="0" collapsed="false">
      <c r="A1792" s="18" t="s">
        <v>7702</v>
      </c>
      <c r="B1792" s="18" t="s">
        <v>66</v>
      </c>
      <c r="C1792" s="18" t="s">
        <v>67</v>
      </c>
      <c r="D1792" s="18" t="s">
        <v>7697</v>
      </c>
      <c r="E1792" s="18" t="n">
        <v>13</v>
      </c>
      <c r="F1792" s="18" t="s">
        <v>172</v>
      </c>
      <c r="G1792" s="18" t="s">
        <v>173</v>
      </c>
      <c r="H1792" s="18" t="s">
        <v>162</v>
      </c>
      <c r="I1792" s="18"/>
      <c r="J1792" s="18"/>
      <c r="K1792" s="18"/>
      <c r="L1792" s="18" t="s">
        <v>129</v>
      </c>
      <c r="M1792" s="18" t="s">
        <v>129</v>
      </c>
      <c r="N1792" s="18"/>
      <c r="O1792" s="18"/>
      <c r="P1792" s="18"/>
      <c r="Q1792" s="18" t="s">
        <v>138</v>
      </c>
      <c r="R1792" s="18" t="s">
        <v>176</v>
      </c>
      <c r="S1792" s="18" t="s">
        <v>140</v>
      </c>
      <c r="T1792" s="18" t="s">
        <v>141</v>
      </c>
      <c r="U1792" s="18"/>
      <c r="V1792" s="19" t="s">
        <v>29</v>
      </c>
      <c r="W1792" s="19"/>
      <c r="X1792" s="19"/>
      <c r="Y1792" s="20"/>
      <c r="Z1792" s="19"/>
      <c r="AA1792" s="18" t="str">
        <f aca="false">IF(OR(V1792="Aprobada"),R1792,IF(AND(OR(V1792="Aprobada con ajuste",V1792="Rechazada"),W1792&lt;&gt;""),W1792,""))</f>
        <v/>
      </c>
    </row>
    <row r="1793" customFormat="false" ht="22.35" hidden="false" customHeight="false" outlineLevel="0" collapsed="false">
      <c r="A1793" s="18" t="s">
        <v>7703</v>
      </c>
      <c r="B1793" s="18" t="s">
        <v>66</v>
      </c>
      <c r="C1793" s="18" t="s">
        <v>67</v>
      </c>
      <c r="D1793" s="18" t="s">
        <v>7697</v>
      </c>
      <c r="E1793" s="18" t="n">
        <v>13</v>
      </c>
      <c r="F1793" s="18" t="s">
        <v>937</v>
      </c>
      <c r="G1793" s="18" t="s">
        <v>503</v>
      </c>
      <c r="H1793" s="18" t="s">
        <v>162</v>
      </c>
      <c r="I1793" s="18"/>
      <c r="J1793" s="18"/>
      <c r="K1793" s="18"/>
      <c r="L1793" s="18" t="s">
        <v>129</v>
      </c>
      <c r="M1793" s="18" t="s">
        <v>129</v>
      </c>
      <c r="N1793" s="18"/>
      <c r="O1793" s="18"/>
      <c r="P1793" s="18"/>
      <c r="Q1793" s="18" t="s">
        <v>138</v>
      </c>
      <c r="R1793" s="18" t="s">
        <v>939</v>
      </c>
      <c r="S1793" s="18" t="s">
        <v>140</v>
      </c>
      <c r="T1793" s="18" t="s">
        <v>141</v>
      </c>
      <c r="U1793" s="18"/>
      <c r="V1793" s="19" t="s">
        <v>29</v>
      </c>
      <c r="W1793" s="19"/>
      <c r="X1793" s="19"/>
      <c r="Y1793" s="20"/>
      <c r="Z1793" s="19"/>
      <c r="AA1793" s="18" t="str">
        <f aca="false">IF(OR(V1793="Aprobada"),R1793,IF(AND(OR(V1793="Aprobada con ajuste",V1793="Rechazada"),W1793&lt;&gt;""),W1793,""))</f>
        <v/>
      </c>
    </row>
    <row r="1794" customFormat="false" ht="22.35" hidden="false" customHeight="false" outlineLevel="0" collapsed="false">
      <c r="A1794" s="18" t="s">
        <v>7704</v>
      </c>
      <c r="B1794" s="18" t="s">
        <v>66</v>
      </c>
      <c r="C1794" s="18" t="s">
        <v>67</v>
      </c>
      <c r="D1794" s="18" t="s">
        <v>7705</v>
      </c>
      <c r="E1794" s="18" t="n">
        <v>0</v>
      </c>
      <c r="F1794" s="18" t="s">
        <v>3361</v>
      </c>
      <c r="G1794" s="18" t="s">
        <v>145</v>
      </c>
      <c r="H1794" s="18" t="s">
        <v>129</v>
      </c>
      <c r="I1794" s="18" t="s">
        <v>298</v>
      </c>
      <c r="J1794" s="18" t="s">
        <v>7706</v>
      </c>
      <c r="K1794" s="18"/>
      <c r="L1794" s="18" t="s">
        <v>162</v>
      </c>
      <c r="M1794" s="18" t="s">
        <v>129</v>
      </c>
      <c r="N1794" s="18"/>
      <c r="O1794" s="18"/>
      <c r="P1794" s="18"/>
      <c r="Q1794" s="18" t="s">
        <v>149</v>
      </c>
      <c r="R1794" s="18" t="s">
        <v>7707</v>
      </c>
      <c r="S1794" s="18" t="s">
        <v>133</v>
      </c>
      <c r="T1794" s="18" t="s">
        <v>6905</v>
      </c>
      <c r="U1794" s="18"/>
      <c r="V1794" s="19" t="s">
        <v>29</v>
      </c>
      <c r="W1794" s="19"/>
      <c r="X1794" s="19"/>
      <c r="Y1794" s="20"/>
      <c r="Z1794" s="19"/>
      <c r="AA1794" s="18" t="str">
        <f aca="false">IF(OR(V1794="Aprobada"),R1794,IF(AND(OR(V1794="Aprobada con ajuste",V1794="Rechazada"),W1794&lt;&gt;""),W1794,""))</f>
        <v/>
      </c>
    </row>
    <row r="1795" customFormat="false" ht="22.35" hidden="false" customHeight="false" outlineLevel="0" collapsed="false">
      <c r="A1795" s="18" t="s">
        <v>7708</v>
      </c>
      <c r="B1795" s="18" t="s">
        <v>66</v>
      </c>
      <c r="C1795" s="18" t="s">
        <v>67</v>
      </c>
      <c r="D1795" s="18" t="s">
        <v>7705</v>
      </c>
      <c r="E1795" s="18" t="n">
        <v>0</v>
      </c>
      <c r="F1795" s="18" t="s">
        <v>185</v>
      </c>
      <c r="G1795" s="18" t="s">
        <v>145</v>
      </c>
      <c r="H1795" s="18" t="s">
        <v>129</v>
      </c>
      <c r="I1795" s="18" t="s">
        <v>298</v>
      </c>
      <c r="J1795" s="18" t="s">
        <v>7709</v>
      </c>
      <c r="K1795" s="18"/>
      <c r="L1795" s="18" t="s">
        <v>162</v>
      </c>
      <c r="M1795" s="18" t="s">
        <v>129</v>
      </c>
      <c r="N1795" s="18"/>
      <c r="O1795" s="18" t="s">
        <v>7710</v>
      </c>
      <c r="P1795" s="18"/>
      <c r="Q1795" s="18" t="s">
        <v>138</v>
      </c>
      <c r="R1795" s="18" t="s">
        <v>7711</v>
      </c>
      <c r="S1795" s="18" t="s">
        <v>140</v>
      </c>
      <c r="T1795" s="18" t="s">
        <v>141</v>
      </c>
      <c r="U1795" s="18"/>
      <c r="V1795" s="19" t="s">
        <v>29</v>
      </c>
      <c r="W1795" s="19"/>
      <c r="X1795" s="19"/>
      <c r="Y1795" s="20"/>
      <c r="Z1795" s="19"/>
      <c r="AA1795" s="18" t="str">
        <f aca="false">IF(OR(V1795="Aprobada"),R1795,IF(AND(OR(V1795="Aprobada con ajuste",V1795="Rechazada"),W1795&lt;&gt;""),W1795,""))</f>
        <v/>
      </c>
    </row>
    <row r="1796" customFormat="false" ht="22.35" hidden="false" customHeight="false" outlineLevel="0" collapsed="false">
      <c r="A1796" s="18" t="s">
        <v>7712</v>
      </c>
      <c r="B1796" s="18" t="s">
        <v>66</v>
      </c>
      <c r="C1796" s="18" t="s">
        <v>67</v>
      </c>
      <c r="D1796" s="18" t="s">
        <v>7705</v>
      </c>
      <c r="E1796" s="18" t="n">
        <v>0</v>
      </c>
      <c r="F1796" s="18" t="s">
        <v>2414</v>
      </c>
      <c r="G1796" s="18" t="s">
        <v>137</v>
      </c>
      <c r="H1796" s="18" t="s">
        <v>129</v>
      </c>
      <c r="I1796" s="18"/>
      <c r="J1796" s="18"/>
      <c r="K1796" s="18"/>
      <c r="L1796" s="18" t="s">
        <v>129</v>
      </c>
      <c r="M1796" s="18" t="s">
        <v>129</v>
      </c>
      <c r="N1796" s="18"/>
      <c r="O1796" s="18"/>
      <c r="P1796" s="18"/>
      <c r="Q1796" s="18" t="s">
        <v>138</v>
      </c>
      <c r="R1796" s="18" t="s">
        <v>2416</v>
      </c>
      <c r="S1796" s="18" t="s">
        <v>140</v>
      </c>
      <c r="T1796" s="18" t="s">
        <v>141</v>
      </c>
      <c r="U1796" s="18"/>
      <c r="V1796" s="19" t="s">
        <v>29</v>
      </c>
      <c r="W1796" s="19"/>
      <c r="X1796" s="19"/>
      <c r="Y1796" s="20"/>
      <c r="Z1796" s="19"/>
      <c r="AA1796" s="18" t="str">
        <f aca="false">IF(OR(V1796="Aprobada"),R1796,IF(AND(OR(V1796="Aprobada con ajuste",V1796="Rechazada"),W1796&lt;&gt;""),W1796,""))</f>
        <v/>
      </c>
    </row>
    <row r="1797" customFormat="false" ht="22.35" hidden="false" customHeight="false" outlineLevel="0" collapsed="false">
      <c r="A1797" s="18" t="s">
        <v>7713</v>
      </c>
      <c r="B1797" s="18" t="s">
        <v>66</v>
      </c>
      <c r="C1797" s="18" t="s">
        <v>67</v>
      </c>
      <c r="D1797" s="18" t="s">
        <v>7705</v>
      </c>
      <c r="E1797" s="18" t="n">
        <v>0</v>
      </c>
      <c r="F1797" s="18" t="s">
        <v>2418</v>
      </c>
      <c r="G1797" s="18" t="s">
        <v>137</v>
      </c>
      <c r="H1797" s="18" t="s">
        <v>162</v>
      </c>
      <c r="I1797" s="18"/>
      <c r="J1797" s="18"/>
      <c r="K1797" s="18"/>
      <c r="L1797" s="18" t="s">
        <v>129</v>
      </c>
      <c r="M1797" s="18" t="s">
        <v>129</v>
      </c>
      <c r="N1797" s="18"/>
      <c r="O1797" s="18"/>
      <c r="P1797" s="18"/>
      <c r="Q1797" s="18" t="s">
        <v>138</v>
      </c>
      <c r="R1797" s="18" t="s">
        <v>2420</v>
      </c>
      <c r="S1797" s="18" t="s">
        <v>140</v>
      </c>
      <c r="T1797" s="18" t="s">
        <v>141</v>
      </c>
      <c r="U1797" s="18"/>
      <c r="V1797" s="19" t="s">
        <v>29</v>
      </c>
      <c r="W1797" s="19"/>
      <c r="X1797" s="19"/>
      <c r="Y1797" s="20"/>
      <c r="Z1797" s="19"/>
      <c r="AA1797" s="18" t="str">
        <f aca="false">IF(OR(V1797="Aprobada"),R1797,IF(AND(OR(V1797="Aprobada con ajuste",V1797="Rechazada"),W1797&lt;&gt;""),W1797,""))</f>
        <v/>
      </c>
    </row>
    <row r="1798" customFormat="false" ht="22.35" hidden="false" customHeight="false" outlineLevel="0" collapsed="false">
      <c r="A1798" s="18" t="s">
        <v>7714</v>
      </c>
      <c r="B1798" s="18" t="s">
        <v>66</v>
      </c>
      <c r="C1798" s="18" t="s">
        <v>67</v>
      </c>
      <c r="D1798" s="18" t="s">
        <v>7705</v>
      </c>
      <c r="E1798" s="18" t="n">
        <v>0</v>
      </c>
      <c r="F1798" s="18" t="s">
        <v>6639</v>
      </c>
      <c r="G1798" s="18" t="s">
        <v>137</v>
      </c>
      <c r="H1798" s="18" t="s">
        <v>129</v>
      </c>
      <c r="I1798" s="18"/>
      <c r="J1798" s="18"/>
      <c r="K1798" s="18"/>
      <c r="L1798" s="18" t="s">
        <v>129</v>
      </c>
      <c r="M1798" s="18" t="s">
        <v>129</v>
      </c>
      <c r="N1798" s="18"/>
      <c r="O1798" s="18"/>
      <c r="P1798" s="18"/>
      <c r="Q1798" s="18" t="s">
        <v>138</v>
      </c>
      <c r="R1798" s="18" t="s">
        <v>6640</v>
      </c>
      <c r="S1798" s="18" t="s">
        <v>140</v>
      </c>
      <c r="T1798" s="18" t="s">
        <v>141</v>
      </c>
      <c r="U1798" s="18"/>
      <c r="V1798" s="19" t="s">
        <v>29</v>
      </c>
      <c r="W1798" s="19"/>
      <c r="X1798" s="19"/>
      <c r="Y1798" s="20"/>
      <c r="Z1798" s="19"/>
      <c r="AA1798" s="18" t="str">
        <f aca="false">IF(OR(V1798="Aprobada"),R1798,IF(AND(OR(V1798="Aprobada con ajuste",V1798="Rechazada"),W1798&lt;&gt;""),W1798,""))</f>
        <v/>
      </c>
    </row>
    <row r="1799" customFormat="false" ht="22.35" hidden="false" customHeight="false" outlineLevel="0" collapsed="false">
      <c r="A1799" s="18" t="s">
        <v>7715</v>
      </c>
      <c r="B1799" s="18" t="s">
        <v>66</v>
      </c>
      <c r="C1799" s="18" t="s">
        <v>67</v>
      </c>
      <c r="D1799" s="18" t="s">
        <v>7705</v>
      </c>
      <c r="E1799" s="18" t="n">
        <v>0</v>
      </c>
      <c r="F1799" s="18" t="s">
        <v>7716</v>
      </c>
      <c r="G1799" s="18" t="s">
        <v>192</v>
      </c>
      <c r="H1799" s="18" t="s">
        <v>129</v>
      </c>
      <c r="I1799" s="18"/>
      <c r="J1799" s="18"/>
      <c r="K1799" s="18"/>
      <c r="L1799" s="18" t="s">
        <v>129</v>
      </c>
      <c r="M1799" s="18" t="s">
        <v>129</v>
      </c>
      <c r="N1799" s="18"/>
      <c r="O1799" s="18"/>
      <c r="P1799" s="18"/>
      <c r="Q1799" s="18" t="s">
        <v>149</v>
      </c>
      <c r="R1799" s="18" t="s">
        <v>7717</v>
      </c>
      <c r="S1799" s="18" t="s">
        <v>242</v>
      </c>
      <c r="T1799" s="18" t="s">
        <v>3193</v>
      </c>
      <c r="U1799" s="18" t="s">
        <v>7718</v>
      </c>
      <c r="V1799" s="19" t="s">
        <v>29</v>
      </c>
      <c r="W1799" s="19"/>
      <c r="X1799" s="19"/>
      <c r="Y1799" s="20"/>
      <c r="Z1799" s="19"/>
      <c r="AA1799" s="18" t="str">
        <f aca="false">IF(OR(V1799="Aprobada"),R1799,IF(AND(OR(V1799="Aprobada con ajuste",V1799="Rechazada"),W1799&lt;&gt;""),W1799,""))</f>
        <v/>
      </c>
    </row>
    <row r="1800" customFormat="false" ht="22.35" hidden="false" customHeight="false" outlineLevel="0" collapsed="false">
      <c r="A1800" s="18" t="s">
        <v>7719</v>
      </c>
      <c r="B1800" s="18" t="s">
        <v>66</v>
      </c>
      <c r="C1800" s="18" t="s">
        <v>67</v>
      </c>
      <c r="D1800" s="18" t="s">
        <v>7705</v>
      </c>
      <c r="E1800" s="18" t="n">
        <v>0</v>
      </c>
      <c r="F1800" s="18" t="s">
        <v>5500</v>
      </c>
      <c r="G1800" s="18" t="s">
        <v>503</v>
      </c>
      <c r="H1800" s="18" t="s">
        <v>162</v>
      </c>
      <c r="I1800" s="18" t="s">
        <v>298</v>
      </c>
      <c r="J1800" s="18"/>
      <c r="K1800" s="18"/>
      <c r="L1800" s="18" t="s">
        <v>129</v>
      </c>
      <c r="M1800" s="18" t="s">
        <v>129</v>
      </c>
      <c r="N1800" s="18"/>
      <c r="O1800" s="18"/>
      <c r="P1800" s="18"/>
      <c r="Q1800" s="18" t="s">
        <v>149</v>
      </c>
      <c r="R1800" s="18" t="s">
        <v>7720</v>
      </c>
      <c r="S1800" s="18" t="s">
        <v>140</v>
      </c>
      <c r="T1800" s="18" t="s">
        <v>7145</v>
      </c>
      <c r="U1800" s="18" t="s">
        <v>7721</v>
      </c>
      <c r="V1800" s="19" t="s">
        <v>29</v>
      </c>
      <c r="W1800" s="19"/>
      <c r="X1800" s="19"/>
      <c r="Y1800" s="20"/>
      <c r="Z1800" s="19"/>
      <c r="AA1800" s="18" t="str">
        <f aca="false">IF(OR(V1800="Aprobada"),R1800,IF(AND(OR(V1800="Aprobada con ajuste",V1800="Rechazada"),W1800&lt;&gt;""),W1800,""))</f>
        <v/>
      </c>
    </row>
    <row r="1801" customFormat="false" ht="53.7" hidden="false" customHeight="false" outlineLevel="0" collapsed="false">
      <c r="A1801" s="18" t="s">
        <v>7722</v>
      </c>
      <c r="B1801" s="18" t="s">
        <v>66</v>
      </c>
      <c r="C1801" s="18" t="s">
        <v>67</v>
      </c>
      <c r="D1801" s="18" t="s">
        <v>7723</v>
      </c>
      <c r="E1801" s="18" t="n">
        <v>12</v>
      </c>
      <c r="F1801" s="18" t="s">
        <v>275</v>
      </c>
      <c r="G1801" s="18" t="s">
        <v>180</v>
      </c>
      <c r="H1801" s="18" t="s">
        <v>129</v>
      </c>
      <c r="I1801" s="18"/>
      <c r="J1801" s="18"/>
      <c r="K1801" s="18"/>
      <c r="L1801" s="18" t="s">
        <v>129</v>
      </c>
      <c r="M1801" s="18" t="s">
        <v>129</v>
      </c>
      <c r="N1801" s="18"/>
      <c r="O1801" s="18"/>
      <c r="P1801" s="18" t="s">
        <v>7724</v>
      </c>
      <c r="Q1801" s="18" t="s">
        <v>138</v>
      </c>
      <c r="R1801" s="18" t="s">
        <v>7725</v>
      </c>
      <c r="S1801" s="18" t="s">
        <v>140</v>
      </c>
      <c r="T1801" s="18" t="s">
        <v>141</v>
      </c>
      <c r="U1801" s="18"/>
      <c r="V1801" s="19" t="s">
        <v>29</v>
      </c>
      <c r="W1801" s="19"/>
      <c r="X1801" s="19"/>
      <c r="Y1801" s="20"/>
      <c r="Z1801" s="19"/>
      <c r="AA1801" s="18" t="str">
        <f aca="false">IF(OR(V1801="Aprobada"),R1801,IF(AND(OR(V1801="Aprobada con ajuste",V1801="Rechazada"),W1801&lt;&gt;""),W1801,""))</f>
        <v/>
      </c>
    </row>
    <row r="1802" customFormat="false" ht="43.25" hidden="false" customHeight="false" outlineLevel="0" collapsed="false">
      <c r="A1802" s="18" t="s">
        <v>7726</v>
      </c>
      <c r="B1802" s="18" t="s">
        <v>66</v>
      </c>
      <c r="C1802" s="18" t="s">
        <v>67</v>
      </c>
      <c r="D1802" s="18" t="s">
        <v>7723</v>
      </c>
      <c r="E1802" s="18" t="n">
        <v>12</v>
      </c>
      <c r="F1802" s="18" t="s">
        <v>160</v>
      </c>
      <c r="G1802" s="18" t="s">
        <v>128</v>
      </c>
      <c r="H1802" s="18" t="s">
        <v>162</v>
      </c>
      <c r="I1802" s="18"/>
      <c r="J1802" s="18"/>
      <c r="K1802" s="18"/>
      <c r="L1802" s="18" t="s">
        <v>129</v>
      </c>
      <c r="M1802" s="18" t="s">
        <v>129</v>
      </c>
      <c r="N1802" s="18"/>
      <c r="O1802" s="18"/>
      <c r="P1802" s="18" t="s">
        <v>7727</v>
      </c>
      <c r="Q1802" s="18" t="s">
        <v>138</v>
      </c>
      <c r="R1802" s="18" t="s">
        <v>7728</v>
      </c>
      <c r="S1802" s="18" t="s">
        <v>140</v>
      </c>
      <c r="T1802" s="18" t="s">
        <v>141</v>
      </c>
      <c r="U1802" s="18"/>
      <c r="V1802" s="19" t="s">
        <v>29</v>
      </c>
      <c r="W1802" s="19"/>
      <c r="X1802" s="19"/>
      <c r="Y1802" s="20"/>
      <c r="Z1802" s="19"/>
      <c r="AA1802" s="18" t="str">
        <f aca="false">IF(OR(V1802="Aprobada"),R1802,IF(AND(OR(V1802="Aprobada con ajuste",V1802="Rechazada"),W1802&lt;&gt;""),W1802,""))</f>
        <v/>
      </c>
    </row>
    <row r="1803" customFormat="false" ht="32.8" hidden="false" customHeight="false" outlineLevel="0" collapsed="false">
      <c r="A1803" s="18" t="s">
        <v>7729</v>
      </c>
      <c r="B1803" s="18" t="s">
        <v>66</v>
      </c>
      <c r="C1803" s="18" t="s">
        <v>67</v>
      </c>
      <c r="D1803" s="18" t="s">
        <v>7723</v>
      </c>
      <c r="E1803" s="18" t="n">
        <v>12</v>
      </c>
      <c r="F1803" s="18" t="s">
        <v>937</v>
      </c>
      <c r="G1803" s="18" t="s">
        <v>503</v>
      </c>
      <c r="H1803" s="18" t="s">
        <v>129</v>
      </c>
      <c r="I1803" s="18"/>
      <c r="J1803" s="18"/>
      <c r="K1803" s="18"/>
      <c r="L1803" s="18" t="s">
        <v>129</v>
      </c>
      <c r="M1803" s="18" t="s">
        <v>129</v>
      </c>
      <c r="N1803" s="18"/>
      <c r="O1803" s="18" t="s">
        <v>7730</v>
      </c>
      <c r="P1803" s="18" t="s">
        <v>7731</v>
      </c>
      <c r="Q1803" s="18" t="s">
        <v>138</v>
      </c>
      <c r="R1803" s="18" t="s">
        <v>939</v>
      </c>
      <c r="S1803" s="18" t="s">
        <v>140</v>
      </c>
      <c r="T1803" s="18" t="s">
        <v>141</v>
      </c>
      <c r="U1803" s="18"/>
      <c r="V1803" s="19" t="s">
        <v>29</v>
      </c>
      <c r="W1803" s="19"/>
      <c r="X1803" s="19"/>
      <c r="Y1803" s="20"/>
      <c r="Z1803" s="19"/>
      <c r="AA1803" s="18" t="str">
        <f aca="false">IF(OR(V1803="Aprobada"),R1803,IF(AND(OR(V1803="Aprobada con ajuste",V1803="Rechazada"),W1803&lt;&gt;""),W1803,""))</f>
        <v/>
      </c>
    </row>
    <row r="1804" customFormat="false" ht="43.25" hidden="false" customHeight="false" outlineLevel="0" collapsed="false">
      <c r="A1804" s="18" t="s">
        <v>7732</v>
      </c>
      <c r="B1804" s="18" t="s">
        <v>66</v>
      </c>
      <c r="C1804" s="18" t="s">
        <v>67</v>
      </c>
      <c r="D1804" s="18" t="s">
        <v>7723</v>
      </c>
      <c r="E1804" s="18" t="n">
        <v>12</v>
      </c>
      <c r="F1804" s="18" t="s">
        <v>498</v>
      </c>
      <c r="G1804" s="18" t="s">
        <v>7733</v>
      </c>
      <c r="H1804" s="18" t="s">
        <v>129</v>
      </c>
      <c r="I1804" s="18"/>
      <c r="J1804" s="18"/>
      <c r="K1804" s="18"/>
      <c r="L1804" s="18" t="s">
        <v>129</v>
      </c>
      <c r="M1804" s="18" t="s">
        <v>129</v>
      </c>
      <c r="N1804" s="18"/>
      <c r="O1804" s="18"/>
      <c r="P1804" s="18" t="s">
        <v>7734</v>
      </c>
      <c r="Q1804" s="18" t="s">
        <v>131</v>
      </c>
      <c r="R1804" s="18" t="s">
        <v>7735</v>
      </c>
      <c r="S1804" s="18" t="s">
        <v>133</v>
      </c>
      <c r="T1804" s="18" t="s">
        <v>7736</v>
      </c>
      <c r="U1804" s="18"/>
      <c r="V1804" s="19" t="s">
        <v>29</v>
      </c>
      <c r="W1804" s="19"/>
      <c r="X1804" s="19"/>
      <c r="Y1804" s="20"/>
      <c r="Z1804" s="19"/>
      <c r="AA1804" s="18" t="str">
        <f aca="false">IF(OR(V1804="Aprobada"),R1804,IF(AND(OR(V1804="Aprobada con ajuste",V1804="Rechazada"),W1804&lt;&gt;""),W1804,""))</f>
        <v/>
      </c>
    </row>
    <row r="1805" customFormat="false" ht="32.8" hidden="false" customHeight="false" outlineLevel="0" collapsed="false">
      <c r="A1805" s="18" t="s">
        <v>7737</v>
      </c>
      <c r="B1805" s="18" t="s">
        <v>66</v>
      </c>
      <c r="C1805" s="18" t="s">
        <v>67</v>
      </c>
      <c r="D1805" s="18" t="s">
        <v>7723</v>
      </c>
      <c r="E1805" s="18" t="n">
        <v>12</v>
      </c>
      <c r="F1805" s="18" t="s">
        <v>7738</v>
      </c>
      <c r="G1805" s="18" t="s">
        <v>173</v>
      </c>
      <c r="H1805" s="18" t="s">
        <v>129</v>
      </c>
      <c r="I1805" s="18"/>
      <c r="J1805" s="18"/>
      <c r="K1805" s="18"/>
      <c r="L1805" s="18" t="s">
        <v>129</v>
      </c>
      <c r="M1805" s="18" t="s">
        <v>129</v>
      </c>
      <c r="N1805" s="18"/>
      <c r="O1805" s="18"/>
      <c r="P1805" s="18" t="s">
        <v>7739</v>
      </c>
      <c r="Q1805" s="18" t="s">
        <v>138</v>
      </c>
      <c r="R1805" s="18" t="s">
        <v>7740</v>
      </c>
      <c r="S1805" s="18" t="s">
        <v>140</v>
      </c>
      <c r="T1805" s="18" t="s">
        <v>141</v>
      </c>
      <c r="U1805" s="18"/>
      <c r="V1805" s="19" t="s">
        <v>29</v>
      </c>
      <c r="W1805" s="19"/>
      <c r="X1805" s="19"/>
      <c r="Y1805" s="20"/>
      <c r="Z1805" s="19"/>
      <c r="AA1805" s="18" t="str">
        <f aca="false">IF(OR(V1805="Aprobada"),R1805,IF(AND(OR(V1805="Aprobada con ajuste",V1805="Rechazada"),W1805&lt;&gt;""),W1805,""))</f>
        <v/>
      </c>
    </row>
    <row r="1806" customFormat="false" ht="43.25" hidden="false" customHeight="false" outlineLevel="0" collapsed="false">
      <c r="A1806" s="18" t="s">
        <v>7741</v>
      </c>
      <c r="B1806" s="18" t="s">
        <v>66</v>
      </c>
      <c r="C1806" s="18" t="s">
        <v>67</v>
      </c>
      <c r="D1806" s="18" t="s">
        <v>7723</v>
      </c>
      <c r="E1806" s="18" t="n">
        <v>12</v>
      </c>
      <c r="F1806" s="18" t="s">
        <v>7742</v>
      </c>
      <c r="G1806" s="18" t="s">
        <v>173</v>
      </c>
      <c r="H1806" s="18" t="s">
        <v>129</v>
      </c>
      <c r="I1806" s="18"/>
      <c r="J1806" s="18"/>
      <c r="K1806" s="18"/>
      <c r="L1806" s="18" t="s">
        <v>129</v>
      </c>
      <c r="M1806" s="18" t="s">
        <v>129</v>
      </c>
      <c r="N1806" s="18"/>
      <c r="O1806" s="18"/>
      <c r="P1806" s="18" t="s">
        <v>7743</v>
      </c>
      <c r="Q1806" s="18" t="s">
        <v>138</v>
      </c>
      <c r="R1806" s="18" t="s">
        <v>7744</v>
      </c>
      <c r="S1806" s="18" t="s">
        <v>140</v>
      </c>
      <c r="T1806" s="18" t="s">
        <v>141</v>
      </c>
      <c r="U1806" s="18"/>
      <c r="V1806" s="19" t="s">
        <v>29</v>
      </c>
      <c r="W1806" s="19"/>
      <c r="X1806" s="19"/>
      <c r="Y1806" s="20"/>
      <c r="Z1806" s="19"/>
      <c r="AA1806" s="18" t="str">
        <f aca="false">IF(OR(V1806="Aprobada"),R1806,IF(AND(OR(V1806="Aprobada con ajuste",V1806="Rechazada"),W1806&lt;&gt;""),W1806,""))</f>
        <v/>
      </c>
    </row>
    <row r="1807" customFormat="false" ht="43.25" hidden="false" customHeight="false" outlineLevel="0" collapsed="false">
      <c r="A1807" s="18" t="s">
        <v>7745</v>
      </c>
      <c r="B1807" s="18" t="s">
        <v>66</v>
      </c>
      <c r="C1807" s="18" t="s">
        <v>67</v>
      </c>
      <c r="D1807" s="18" t="s">
        <v>7723</v>
      </c>
      <c r="E1807" s="18" t="n">
        <v>12</v>
      </c>
      <c r="F1807" s="18" t="s">
        <v>7746</v>
      </c>
      <c r="G1807" s="18" t="s">
        <v>503</v>
      </c>
      <c r="H1807" s="18" t="s">
        <v>129</v>
      </c>
      <c r="I1807" s="18"/>
      <c r="J1807" s="18"/>
      <c r="K1807" s="18"/>
      <c r="L1807" s="18" t="s">
        <v>129</v>
      </c>
      <c r="M1807" s="18" t="s">
        <v>129</v>
      </c>
      <c r="N1807" s="18"/>
      <c r="O1807" s="18"/>
      <c r="P1807" s="18" t="s">
        <v>7747</v>
      </c>
      <c r="Q1807" s="18" t="s">
        <v>149</v>
      </c>
      <c r="R1807" s="18" t="s">
        <v>7748</v>
      </c>
      <c r="S1807" s="18" t="s">
        <v>140</v>
      </c>
      <c r="T1807" s="18" t="s">
        <v>7749</v>
      </c>
      <c r="U1807" s="18" t="s">
        <v>7750</v>
      </c>
      <c r="V1807" s="19" t="s">
        <v>29</v>
      </c>
      <c r="W1807" s="19"/>
      <c r="X1807" s="19"/>
      <c r="Y1807" s="20"/>
      <c r="Z1807" s="19"/>
      <c r="AA1807" s="18" t="str">
        <f aca="false">IF(OR(V1807="Aprobada"),R1807,IF(AND(OR(V1807="Aprobada con ajuste",V1807="Rechazada"),W1807&lt;&gt;""),W1807,""))</f>
        <v/>
      </c>
    </row>
    <row r="1808" customFormat="false" ht="43.25" hidden="false" customHeight="false" outlineLevel="0" collapsed="false">
      <c r="A1808" s="18" t="s">
        <v>7751</v>
      </c>
      <c r="B1808" s="18" t="s">
        <v>66</v>
      </c>
      <c r="C1808" s="18" t="s">
        <v>67</v>
      </c>
      <c r="D1808" s="18" t="s">
        <v>7723</v>
      </c>
      <c r="E1808" s="18" t="n">
        <v>12</v>
      </c>
      <c r="F1808" s="18" t="s">
        <v>7752</v>
      </c>
      <c r="G1808" s="18" t="s">
        <v>173</v>
      </c>
      <c r="H1808" s="18" t="s">
        <v>129</v>
      </c>
      <c r="I1808" s="18"/>
      <c r="J1808" s="18"/>
      <c r="K1808" s="18"/>
      <c r="L1808" s="18" t="s">
        <v>129</v>
      </c>
      <c r="M1808" s="18" t="s">
        <v>129</v>
      </c>
      <c r="N1808" s="18"/>
      <c r="O1808" s="18"/>
      <c r="P1808" s="18" t="s">
        <v>7753</v>
      </c>
      <c r="Q1808" s="18" t="s">
        <v>138</v>
      </c>
      <c r="R1808" s="18" t="s">
        <v>7754</v>
      </c>
      <c r="S1808" s="18" t="s">
        <v>140</v>
      </c>
      <c r="T1808" s="18" t="s">
        <v>141</v>
      </c>
      <c r="U1808" s="18"/>
      <c r="V1808" s="19" t="s">
        <v>29</v>
      </c>
      <c r="W1808" s="19"/>
      <c r="X1808" s="19"/>
      <c r="Y1808" s="20"/>
      <c r="Z1808" s="19"/>
      <c r="AA1808" s="18" t="str">
        <f aca="false">IF(OR(V1808="Aprobada"),R1808,IF(AND(OR(V1808="Aprobada con ajuste",V1808="Rechazada"),W1808&lt;&gt;""),W1808,""))</f>
        <v/>
      </c>
    </row>
    <row r="1809" customFormat="false" ht="32.8" hidden="false" customHeight="false" outlineLevel="0" collapsed="false">
      <c r="A1809" s="18" t="s">
        <v>7755</v>
      </c>
      <c r="B1809" s="18" t="s">
        <v>66</v>
      </c>
      <c r="C1809" s="18" t="s">
        <v>67</v>
      </c>
      <c r="D1809" s="18" t="s">
        <v>7723</v>
      </c>
      <c r="E1809" s="18" t="n">
        <v>12</v>
      </c>
      <c r="F1809" s="18" t="s">
        <v>1695</v>
      </c>
      <c r="G1809" s="18" t="s">
        <v>584</v>
      </c>
      <c r="H1809" s="18" t="s">
        <v>162</v>
      </c>
      <c r="I1809" s="18"/>
      <c r="J1809" s="18"/>
      <c r="K1809" s="18"/>
      <c r="L1809" s="18" t="s">
        <v>129</v>
      </c>
      <c r="M1809" s="18" t="s">
        <v>129</v>
      </c>
      <c r="N1809" s="18"/>
      <c r="O1809" s="18" t="s">
        <v>7756</v>
      </c>
      <c r="P1809" s="18" t="s">
        <v>7757</v>
      </c>
      <c r="Q1809" s="18" t="s">
        <v>138</v>
      </c>
      <c r="R1809" s="18" t="s">
        <v>1697</v>
      </c>
      <c r="S1809" s="18" t="s">
        <v>140</v>
      </c>
      <c r="T1809" s="18" t="s">
        <v>141</v>
      </c>
      <c r="U1809" s="18"/>
      <c r="V1809" s="19" t="s">
        <v>29</v>
      </c>
      <c r="W1809" s="19"/>
      <c r="X1809" s="19"/>
      <c r="Y1809" s="20"/>
      <c r="Z1809" s="19"/>
      <c r="AA1809" s="18" t="str">
        <f aca="false">IF(OR(V1809="Aprobada"),R1809,IF(AND(OR(V1809="Aprobada con ajuste",V1809="Rechazada"),W1809&lt;&gt;""),W1809,""))</f>
        <v/>
      </c>
    </row>
    <row r="1810" customFormat="false" ht="85.05" hidden="false" customHeight="false" outlineLevel="0" collapsed="false">
      <c r="A1810" s="18" t="s">
        <v>7758</v>
      </c>
      <c r="B1810" s="18" t="s">
        <v>66</v>
      </c>
      <c r="C1810" s="18" t="s">
        <v>67</v>
      </c>
      <c r="D1810" s="18" t="s">
        <v>7759</v>
      </c>
      <c r="E1810" s="18" t="n">
        <v>54</v>
      </c>
      <c r="F1810" s="18" t="s">
        <v>7760</v>
      </c>
      <c r="G1810" s="18" t="s">
        <v>128</v>
      </c>
      <c r="H1810" s="18" t="s">
        <v>129</v>
      </c>
      <c r="I1810" s="18"/>
      <c r="J1810" s="18"/>
      <c r="K1810" s="18"/>
      <c r="L1810" s="18" t="s">
        <v>129</v>
      </c>
      <c r="M1810" s="18" t="s">
        <v>129</v>
      </c>
      <c r="N1810" s="18"/>
      <c r="O1810" s="18"/>
      <c r="P1810" s="18" t="s">
        <v>7761</v>
      </c>
      <c r="Q1810" s="18" t="s">
        <v>131</v>
      </c>
      <c r="R1810" s="18" t="s">
        <v>7762</v>
      </c>
      <c r="S1810" s="18" t="s">
        <v>133</v>
      </c>
      <c r="T1810" s="18" t="s">
        <v>858</v>
      </c>
      <c r="U1810" s="18"/>
      <c r="V1810" s="19" t="s">
        <v>29</v>
      </c>
      <c r="W1810" s="19"/>
      <c r="X1810" s="19"/>
      <c r="Y1810" s="20"/>
      <c r="Z1810" s="19"/>
      <c r="AA1810" s="18" t="str">
        <f aca="false">IF(OR(V1810="Aprobada"),R1810,IF(AND(OR(V1810="Aprobada con ajuste",V1810="Rechazada"),W1810&lt;&gt;""),W1810,""))</f>
        <v/>
      </c>
    </row>
    <row r="1811" customFormat="false" ht="105.95" hidden="false" customHeight="false" outlineLevel="0" collapsed="false">
      <c r="A1811" s="18" t="s">
        <v>7763</v>
      </c>
      <c r="B1811" s="18" t="s">
        <v>66</v>
      </c>
      <c r="C1811" s="18" t="s">
        <v>67</v>
      </c>
      <c r="D1811" s="18" t="s">
        <v>7759</v>
      </c>
      <c r="E1811" s="18" t="n">
        <v>54</v>
      </c>
      <c r="F1811" s="18" t="s">
        <v>7764</v>
      </c>
      <c r="G1811" s="18" t="s">
        <v>503</v>
      </c>
      <c r="H1811" s="18" t="s">
        <v>162</v>
      </c>
      <c r="I1811" s="18"/>
      <c r="J1811" s="18"/>
      <c r="K1811" s="18"/>
      <c r="L1811" s="18" t="s">
        <v>129</v>
      </c>
      <c r="M1811" s="18" t="s">
        <v>129</v>
      </c>
      <c r="N1811" s="18"/>
      <c r="O1811" s="18"/>
      <c r="P1811" s="18" t="s">
        <v>7765</v>
      </c>
      <c r="Q1811" s="18" t="s">
        <v>131</v>
      </c>
      <c r="R1811" s="18" t="s">
        <v>7766</v>
      </c>
      <c r="S1811" s="18" t="s">
        <v>133</v>
      </c>
      <c r="T1811" s="18" t="s">
        <v>7767</v>
      </c>
      <c r="U1811" s="18"/>
      <c r="V1811" s="19" t="s">
        <v>29</v>
      </c>
      <c r="W1811" s="19"/>
      <c r="X1811" s="19"/>
      <c r="Y1811" s="20"/>
      <c r="Z1811" s="19"/>
      <c r="AA1811" s="18" t="str">
        <f aca="false">IF(OR(V1811="Aprobada"),R1811,IF(AND(OR(V1811="Aprobada con ajuste",V1811="Rechazada"),W1811&lt;&gt;""),W1811,""))</f>
        <v/>
      </c>
    </row>
    <row r="1812" customFormat="false" ht="85.05" hidden="false" customHeight="false" outlineLevel="0" collapsed="false">
      <c r="A1812" s="18" t="s">
        <v>7768</v>
      </c>
      <c r="B1812" s="18" t="s">
        <v>66</v>
      </c>
      <c r="C1812" s="18" t="s">
        <v>67</v>
      </c>
      <c r="D1812" s="18" t="s">
        <v>7759</v>
      </c>
      <c r="E1812" s="18" t="n">
        <v>54</v>
      </c>
      <c r="F1812" s="18" t="s">
        <v>7769</v>
      </c>
      <c r="G1812" s="18" t="s">
        <v>503</v>
      </c>
      <c r="H1812" s="18" t="s">
        <v>162</v>
      </c>
      <c r="I1812" s="18"/>
      <c r="J1812" s="18"/>
      <c r="K1812" s="18"/>
      <c r="L1812" s="18" t="s">
        <v>129</v>
      </c>
      <c r="M1812" s="18" t="s">
        <v>129</v>
      </c>
      <c r="N1812" s="18"/>
      <c r="O1812" s="18"/>
      <c r="P1812" s="18" t="s">
        <v>7770</v>
      </c>
      <c r="Q1812" s="18" t="s">
        <v>131</v>
      </c>
      <c r="R1812" s="18" t="s">
        <v>7771</v>
      </c>
      <c r="S1812" s="18" t="s">
        <v>140</v>
      </c>
      <c r="T1812" s="18" t="s">
        <v>183</v>
      </c>
      <c r="U1812" s="18" t="s">
        <v>7772</v>
      </c>
      <c r="V1812" s="19" t="s">
        <v>29</v>
      </c>
      <c r="W1812" s="19"/>
      <c r="X1812" s="19"/>
      <c r="Y1812" s="20"/>
      <c r="Z1812" s="19"/>
      <c r="AA1812" s="18" t="str">
        <f aca="false">IF(OR(V1812="Aprobada"),R1812,IF(AND(OR(V1812="Aprobada con ajuste",V1812="Rechazada"),W1812&lt;&gt;""),W1812,""))</f>
        <v/>
      </c>
    </row>
    <row r="1813" customFormat="false" ht="85.05" hidden="false" customHeight="false" outlineLevel="0" collapsed="false">
      <c r="A1813" s="18" t="s">
        <v>7773</v>
      </c>
      <c r="B1813" s="18" t="s">
        <v>66</v>
      </c>
      <c r="C1813" s="18" t="s">
        <v>67</v>
      </c>
      <c r="D1813" s="18" t="s">
        <v>7759</v>
      </c>
      <c r="E1813" s="18" t="n">
        <v>54</v>
      </c>
      <c r="F1813" s="18" t="s">
        <v>7774</v>
      </c>
      <c r="G1813" s="18" t="s">
        <v>503</v>
      </c>
      <c r="H1813" s="18" t="s">
        <v>162</v>
      </c>
      <c r="I1813" s="18"/>
      <c r="J1813" s="18"/>
      <c r="K1813" s="18"/>
      <c r="L1813" s="18" t="s">
        <v>129</v>
      </c>
      <c r="M1813" s="18" t="s">
        <v>129</v>
      </c>
      <c r="N1813" s="18"/>
      <c r="O1813" s="18"/>
      <c r="P1813" s="18" t="s">
        <v>7775</v>
      </c>
      <c r="Q1813" s="18" t="s">
        <v>131</v>
      </c>
      <c r="R1813" s="18" t="s">
        <v>7776</v>
      </c>
      <c r="S1813" s="18" t="s">
        <v>140</v>
      </c>
      <c r="T1813" s="18" t="s">
        <v>183</v>
      </c>
      <c r="U1813" s="18" t="s">
        <v>7772</v>
      </c>
      <c r="V1813" s="19" t="s">
        <v>29</v>
      </c>
      <c r="W1813" s="19"/>
      <c r="X1813" s="19"/>
      <c r="Y1813" s="20"/>
      <c r="Z1813" s="19"/>
      <c r="AA1813" s="18" t="str">
        <f aca="false">IF(OR(V1813="Aprobada"),R1813,IF(AND(OR(V1813="Aprobada con ajuste",V1813="Rechazada"),W1813&lt;&gt;""),W1813,""))</f>
        <v/>
      </c>
    </row>
    <row r="1814" customFormat="false" ht="85.05" hidden="false" customHeight="false" outlineLevel="0" collapsed="false">
      <c r="A1814" s="18" t="s">
        <v>7777</v>
      </c>
      <c r="B1814" s="18" t="s">
        <v>66</v>
      </c>
      <c r="C1814" s="18" t="s">
        <v>67</v>
      </c>
      <c r="D1814" s="18" t="s">
        <v>7759</v>
      </c>
      <c r="E1814" s="18" t="n">
        <v>54</v>
      </c>
      <c r="F1814" s="18" t="s">
        <v>7778</v>
      </c>
      <c r="G1814" s="18" t="s">
        <v>503</v>
      </c>
      <c r="H1814" s="18" t="s">
        <v>162</v>
      </c>
      <c r="I1814" s="18"/>
      <c r="J1814" s="18"/>
      <c r="K1814" s="18"/>
      <c r="L1814" s="18" t="s">
        <v>129</v>
      </c>
      <c r="M1814" s="18" t="s">
        <v>129</v>
      </c>
      <c r="N1814" s="18"/>
      <c r="O1814" s="18"/>
      <c r="P1814" s="18" t="s">
        <v>7779</v>
      </c>
      <c r="Q1814" s="18" t="s">
        <v>131</v>
      </c>
      <c r="R1814" s="18" t="s">
        <v>7780</v>
      </c>
      <c r="S1814" s="18" t="s">
        <v>140</v>
      </c>
      <c r="T1814" s="18" t="s">
        <v>183</v>
      </c>
      <c r="U1814" s="18" t="s">
        <v>7772</v>
      </c>
      <c r="V1814" s="19" t="s">
        <v>29</v>
      </c>
      <c r="W1814" s="19"/>
      <c r="X1814" s="19"/>
      <c r="Y1814" s="20"/>
      <c r="Z1814" s="19"/>
      <c r="AA1814" s="18" t="str">
        <f aca="false">IF(OR(V1814="Aprobada"),R1814,IF(AND(OR(V1814="Aprobada con ajuste",V1814="Rechazada"),W1814&lt;&gt;""),W1814,""))</f>
        <v/>
      </c>
    </row>
    <row r="1815" customFormat="false" ht="85.05" hidden="false" customHeight="false" outlineLevel="0" collapsed="false">
      <c r="A1815" s="18" t="s">
        <v>7781</v>
      </c>
      <c r="B1815" s="18" t="s">
        <v>66</v>
      </c>
      <c r="C1815" s="18" t="s">
        <v>67</v>
      </c>
      <c r="D1815" s="18" t="s">
        <v>7759</v>
      </c>
      <c r="E1815" s="18" t="n">
        <v>54</v>
      </c>
      <c r="F1815" s="18" t="s">
        <v>7782</v>
      </c>
      <c r="G1815" s="18" t="s">
        <v>503</v>
      </c>
      <c r="H1815" s="18" t="s">
        <v>162</v>
      </c>
      <c r="I1815" s="18"/>
      <c r="J1815" s="18"/>
      <c r="K1815" s="18"/>
      <c r="L1815" s="18" t="s">
        <v>129</v>
      </c>
      <c r="M1815" s="18" t="s">
        <v>129</v>
      </c>
      <c r="N1815" s="18"/>
      <c r="O1815" s="18"/>
      <c r="P1815" s="18" t="s">
        <v>7783</v>
      </c>
      <c r="Q1815" s="18" t="s">
        <v>131</v>
      </c>
      <c r="R1815" s="18" t="s">
        <v>7784</v>
      </c>
      <c r="S1815" s="18" t="s">
        <v>140</v>
      </c>
      <c r="T1815" s="18" t="s">
        <v>183</v>
      </c>
      <c r="U1815" s="18" t="s">
        <v>7785</v>
      </c>
      <c r="V1815" s="19" t="s">
        <v>29</v>
      </c>
      <c r="W1815" s="19"/>
      <c r="X1815" s="19"/>
      <c r="Y1815" s="20"/>
      <c r="Z1815" s="19"/>
      <c r="AA1815" s="18" t="str">
        <f aca="false">IF(OR(V1815="Aprobada"),R1815,IF(AND(OR(V1815="Aprobada con ajuste",V1815="Rechazada"),W1815&lt;&gt;""),W1815,""))</f>
        <v/>
      </c>
    </row>
    <row r="1816" customFormat="false" ht="105.95" hidden="false" customHeight="false" outlineLevel="0" collapsed="false">
      <c r="A1816" s="18" t="s">
        <v>7786</v>
      </c>
      <c r="B1816" s="18" t="s">
        <v>66</v>
      </c>
      <c r="C1816" s="18" t="s">
        <v>67</v>
      </c>
      <c r="D1816" s="18" t="s">
        <v>7759</v>
      </c>
      <c r="E1816" s="18" t="n">
        <v>54</v>
      </c>
      <c r="F1816" s="18" t="s">
        <v>7787</v>
      </c>
      <c r="G1816" s="18" t="s">
        <v>173</v>
      </c>
      <c r="H1816" s="18" t="s">
        <v>162</v>
      </c>
      <c r="I1816" s="18"/>
      <c r="J1816" s="18"/>
      <c r="K1816" s="18"/>
      <c r="L1816" s="18" t="s">
        <v>129</v>
      </c>
      <c r="M1816" s="18" t="s">
        <v>129</v>
      </c>
      <c r="N1816" s="18"/>
      <c r="O1816" s="18"/>
      <c r="P1816" s="18" t="s">
        <v>7788</v>
      </c>
      <c r="Q1816" s="18" t="s">
        <v>131</v>
      </c>
      <c r="R1816" s="18" t="s">
        <v>7789</v>
      </c>
      <c r="S1816" s="18" t="s">
        <v>140</v>
      </c>
      <c r="T1816" s="18" t="s">
        <v>7790</v>
      </c>
      <c r="U1816" s="18" t="s">
        <v>7791</v>
      </c>
      <c r="V1816" s="19" t="s">
        <v>29</v>
      </c>
      <c r="W1816" s="19"/>
      <c r="X1816" s="19"/>
      <c r="Y1816" s="20"/>
      <c r="Z1816" s="19"/>
      <c r="AA1816" s="18" t="str">
        <f aca="false">IF(OR(V1816="Aprobada"),R1816,IF(AND(OR(V1816="Aprobada con ajuste",V1816="Rechazada"),W1816&lt;&gt;""),W1816,""))</f>
        <v/>
      </c>
    </row>
    <row r="1817" customFormat="false" ht="85.05" hidden="false" customHeight="false" outlineLevel="0" collapsed="false">
      <c r="A1817" s="18" t="s">
        <v>7792</v>
      </c>
      <c r="B1817" s="18" t="s">
        <v>66</v>
      </c>
      <c r="C1817" s="18" t="s">
        <v>67</v>
      </c>
      <c r="D1817" s="18" t="s">
        <v>7759</v>
      </c>
      <c r="E1817" s="18" t="n">
        <v>54</v>
      </c>
      <c r="F1817" s="18" t="s">
        <v>7793</v>
      </c>
      <c r="G1817" s="18" t="s">
        <v>173</v>
      </c>
      <c r="H1817" s="18" t="s">
        <v>162</v>
      </c>
      <c r="I1817" s="18"/>
      <c r="J1817" s="18"/>
      <c r="K1817" s="18"/>
      <c r="L1817" s="18" t="s">
        <v>129</v>
      </c>
      <c r="M1817" s="18" t="s">
        <v>129</v>
      </c>
      <c r="N1817" s="18"/>
      <c r="O1817" s="18"/>
      <c r="P1817" s="18" t="s">
        <v>7794</v>
      </c>
      <c r="Q1817" s="18" t="s">
        <v>131</v>
      </c>
      <c r="R1817" s="18" t="s">
        <v>7795</v>
      </c>
      <c r="S1817" s="18" t="s">
        <v>140</v>
      </c>
      <c r="T1817" s="18" t="s">
        <v>183</v>
      </c>
      <c r="U1817" s="18" t="s">
        <v>7796</v>
      </c>
      <c r="V1817" s="19" t="s">
        <v>29</v>
      </c>
      <c r="W1817" s="19"/>
      <c r="X1817" s="19"/>
      <c r="Y1817" s="20"/>
      <c r="Z1817" s="19"/>
      <c r="AA1817" s="18" t="str">
        <f aca="false">IF(OR(V1817="Aprobada"),R1817,IF(AND(OR(V1817="Aprobada con ajuste",V1817="Rechazada"),W1817&lt;&gt;""),W1817,""))</f>
        <v/>
      </c>
    </row>
    <row r="1818" customFormat="false" ht="105.95" hidden="false" customHeight="false" outlineLevel="0" collapsed="false">
      <c r="A1818" s="18" t="s">
        <v>7797</v>
      </c>
      <c r="B1818" s="18" t="s">
        <v>66</v>
      </c>
      <c r="C1818" s="18" t="s">
        <v>67</v>
      </c>
      <c r="D1818" s="18" t="s">
        <v>7759</v>
      </c>
      <c r="E1818" s="18" t="n">
        <v>54</v>
      </c>
      <c r="F1818" s="18" t="s">
        <v>7798</v>
      </c>
      <c r="G1818" s="18" t="s">
        <v>137</v>
      </c>
      <c r="H1818" s="18" t="s">
        <v>162</v>
      </c>
      <c r="I1818" s="18"/>
      <c r="J1818" s="18"/>
      <c r="K1818" s="18"/>
      <c r="L1818" s="18" t="s">
        <v>129</v>
      </c>
      <c r="M1818" s="18" t="s">
        <v>129</v>
      </c>
      <c r="N1818" s="18"/>
      <c r="O1818" s="18"/>
      <c r="P1818" s="18" t="s">
        <v>7799</v>
      </c>
      <c r="Q1818" s="18" t="s">
        <v>131</v>
      </c>
      <c r="R1818" s="18" t="s">
        <v>7800</v>
      </c>
      <c r="S1818" s="18" t="s">
        <v>133</v>
      </c>
      <c r="T1818" s="18" t="s">
        <v>7801</v>
      </c>
      <c r="U1818" s="18"/>
      <c r="V1818" s="19" t="s">
        <v>29</v>
      </c>
      <c r="W1818" s="19"/>
      <c r="X1818" s="19"/>
      <c r="Y1818" s="20"/>
      <c r="Z1818" s="19"/>
      <c r="AA1818" s="18" t="str">
        <f aca="false">IF(OR(V1818="Aprobada"),R1818,IF(AND(OR(V1818="Aprobada con ajuste",V1818="Rechazada"),W1818&lt;&gt;""),W1818,""))</f>
        <v/>
      </c>
    </row>
    <row r="1819" customFormat="false" ht="85.05" hidden="false" customHeight="false" outlineLevel="0" collapsed="false">
      <c r="A1819" s="18" t="s">
        <v>7802</v>
      </c>
      <c r="B1819" s="18" t="s">
        <v>66</v>
      </c>
      <c r="C1819" s="18" t="s">
        <v>67</v>
      </c>
      <c r="D1819" s="18" t="s">
        <v>7759</v>
      </c>
      <c r="E1819" s="18" t="n">
        <v>54</v>
      </c>
      <c r="F1819" s="18" t="s">
        <v>7803</v>
      </c>
      <c r="G1819" s="18" t="s">
        <v>486</v>
      </c>
      <c r="H1819" s="18" t="s">
        <v>162</v>
      </c>
      <c r="I1819" s="18"/>
      <c r="J1819" s="18"/>
      <c r="K1819" s="18"/>
      <c r="L1819" s="18" t="s">
        <v>129</v>
      </c>
      <c r="M1819" s="18" t="s">
        <v>129</v>
      </c>
      <c r="N1819" s="18"/>
      <c r="O1819" s="18"/>
      <c r="P1819" s="18" t="s">
        <v>7804</v>
      </c>
      <c r="Q1819" s="18" t="s">
        <v>131</v>
      </c>
      <c r="R1819" s="18" t="s">
        <v>7805</v>
      </c>
      <c r="S1819" s="18" t="s">
        <v>140</v>
      </c>
      <c r="T1819" s="18" t="s">
        <v>183</v>
      </c>
      <c r="U1819" s="18" t="s">
        <v>7806</v>
      </c>
      <c r="V1819" s="19" t="s">
        <v>29</v>
      </c>
      <c r="W1819" s="19"/>
      <c r="X1819" s="19"/>
      <c r="Y1819" s="20"/>
      <c r="Z1819" s="19"/>
      <c r="AA1819" s="18" t="str">
        <f aca="false">IF(OR(V1819="Aprobada"),R1819,IF(AND(OR(V1819="Aprobada con ajuste",V1819="Rechazada"),W1819&lt;&gt;""),W1819,""))</f>
        <v/>
      </c>
    </row>
    <row r="1820" customFormat="false" ht="105.95" hidden="false" customHeight="false" outlineLevel="0" collapsed="false">
      <c r="A1820" s="18" t="s">
        <v>7807</v>
      </c>
      <c r="B1820" s="18" t="s">
        <v>66</v>
      </c>
      <c r="C1820" s="18" t="s">
        <v>67</v>
      </c>
      <c r="D1820" s="18" t="s">
        <v>7759</v>
      </c>
      <c r="E1820" s="18" t="n">
        <v>54</v>
      </c>
      <c r="F1820" s="18" t="s">
        <v>7808</v>
      </c>
      <c r="G1820" s="18" t="s">
        <v>503</v>
      </c>
      <c r="H1820" s="18" t="s">
        <v>162</v>
      </c>
      <c r="I1820" s="18"/>
      <c r="J1820" s="18"/>
      <c r="K1820" s="18"/>
      <c r="L1820" s="18" t="s">
        <v>129</v>
      </c>
      <c r="M1820" s="18" t="s">
        <v>129</v>
      </c>
      <c r="N1820" s="18"/>
      <c r="O1820" s="18"/>
      <c r="P1820" s="18" t="s">
        <v>7809</v>
      </c>
      <c r="Q1820" s="18" t="s">
        <v>131</v>
      </c>
      <c r="R1820" s="18" t="s">
        <v>7810</v>
      </c>
      <c r="S1820" s="18" t="s">
        <v>133</v>
      </c>
      <c r="T1820" s="18" t="s">
        <v>7811</v>
      </c>
      <c r="U1820" s="18"/>
      <c r="V1820" s="19" t="s">
        <v>29</v>
      </c>
      <c r="W1820" s="19"/>
      <c r="X1820" s="19"/>
      <c r="Y1820" s="20"/>
      <c r="Z1820" s="19"/>
      <c r="AA1820" s="18" t="str">
        <f aca="false">IF(OR(V1820="Aprobada"),R1820,IF(AND(OR(V1820="Aprobada con ajuste",V1820="Rechazada"),W1820&lt;&gt;""),W1820,""))</f>
        <v/>
      </c>
    </row>
    <row r="1821" customFormat="false" ht="85.05" hidden="false" customHeight="false" outlineLevel="0" collapsed="false">
      <c r="A1821" s="18" t="s">
        <v>7812</v>
      </c>
      <c r="B1821" s="18" t="s">
        <v>66</v>
      </c>
      <c r="C1821" s="18" t="s">
        <v>67</v>
      </c>
      <c r="D1821" s="18" t="s">
        <v>7759</v>
      </c>
      <c r="E1821" s="18" t="n">
        <v>54</v>
      </c>
      <c r="F1821" s="18" t="s">
        <v>7813</v>
      </c>
      <c r="G1821" s="18" t="s">
        <v>503</v>
      </c>
      <c r="H1821" s="18" t="s">
        <v>162</v>
      </c>
      <c r="I1821" s="18"/>
      <c r="J1821" s="18"/>
      <c r="K1821" s="18"/>
      <c r="L1821" s="18" t="s">
        <v>129</v>
      </c>
      <c r="M1821" s="18" t="s">
        <v>129</v>
      </c>
      <c r="N1821" s="18"/>
      <c r="O1821" s="18"/>
      <c r="P1821" s="18" t="s">
        <v>7814</v>
      </c>
      <c r="Q1821" s="18" t="s">
        <v>131</v>
      </c>
      <c r="R1821" s="18" t="s">
        <v>7815</v>
      </c>
      <c r="S1821" s="18" t="s">
        <v>140</v>
      </c>
      <c r="T1821" s="18" t="s">
        <v>7816</v>
      </c>
      <c r="U1821" s="18" t="s">
        <v>7817</v>
      </c>
      <c r="V1821" s="19" t="s">
        <v>29</v>
      </c>
      <c r="W1821" s="19"/>
      <c r="X1821" s="19"/>
      <c r="Y1821" s="20"/>
      <c r="Z1821" s="19"/>
      <c r="AA1821" s="18" t="str">
        <f aca="false">IF(OR(V1821="Aprobada"),R1821,IF(AND(OR(V1821="Aprobada con ajuste",V1821="Rechazada"),W1821&lt;&gt;""),W1821,""))</f>
        <v/>
      </c>
    </row>
    <row r="1822" customFormat="false" ht="85.05" hidden="false" customHeight="false" outlineLevel="0" collapsed="false">
      <c r="A1822" s="18" t="s">
        <v>7818</v>
      </c>
      <c r="B1822" s="18" t="s">
        <v>66</v>
      </c>
      <c r="C1822" s="18" t="s">
        <v>67</v>
      </c>
      <c r="D1822" s="18" t="s">
        <v>7759</v>
      </c>
      <c r="E1822" s="18" t="n">
        <v>54</v>
      </c>
      <c r="F1822" s="18" t="s">
        <v>7819</v>
      </c>
      <c r="G1822" s="18" t="s">
        <v>503</v>
      </c>
      <c r="H1822" s="18" t="s">
        <v>162</v>
      </c>
      <c r="I1822" s="18"/>
      <c r="J1822" s="18"/>
      <c r="K1822" s="18"/>
      <c r="L1822" s="18" t="s">
        <v>129</v>
      </c>
      <c r="M1822" s="18" t="s">
        <v>129</v>
      </c>
      <c r="N1822" s="18"/>
      <c r="O1822" s="18"/>
      <c r="P1822" s="18" t="s">
        <v>7820</v>
      </c>
      <c r="Q1822" s="18" t="s">
        <v>131</v>
      </c>
      <c r="R1822" s="18" t="s">
        <v>7821</v>
      </c>
      <c r="S1822" s="18" t="s">
        <v>140</v>
      </c>
      <c r="T1822" s="18" t="s">
        <v>7816</v>
      </c>
      <c r="U1822" s="18" t="s">
        <v>7822</v>
      </c>
      <c r="V1822" s="19" t="s">
        <v>29</v>
      </c>
      <c r="W1822" s="19"/>
      <c r="X1822" s="19"/>
      <c r="Y1822" s="20"/>
      <c r="Z1822" s="19"/>
      <c r="AA1822" s="18" t="str">
        <f aca="false">IF(OR(V1822="Aprobada"),R1822,IF(AND(OR(V1822="Aprobada con ajuste",V1822="Rechazada"),W1822&lt;&gt;""),W1822,""))</f>
        <v/>
      </c>
    </row>
    <row r="1823" customFormat="false" ht="85.05" hidden="false" customHeight="false" outlineLevel="0" collapsed="false">
      <c r="A1823" s="18" t="s">
        <v>7823</v>
      </c>
      <c r="B1823" s="18" t="s">
        <v>66</v>
      </c>
      <c r="C1823" s="18" t="s">
        <v>67</v>
      </c>
      <c r="D1823" s="18" t="s">
        <v>7759</v>
      </c>
      <c r="E1823" s="18" t="n">
        <v>54</v>
      </c>
      <c r="F1823" s="18" t="s">
        <v>7824</v>
      </c>
      <c r="G1823" s="18" t="s">
        <v>503</v>
      </c>
      <c r="H1823" s="18" t="s">
        <v>162</v>
      </c>
      <c r="I1823" s="18"/>
      <c r="J1823" s="18"/>
      <c r="K1823" s="18"/>
      <c r="L1823" s="18" t="s">
        <v>129</v>
      </c>
      <c r="M1823" s="18" t="s">
        <v>129</v>
      </c>
      <c r="N1823" s="18"/>
      <c r="O1823" s="18"/>
      <c r="P1823" s="18" t="s">
        <v>7825</v>
      </c>
      <c r="Q1823" s="18" t="s">
        <v>131</v>
      </c>
      <c r="R1823" s="18" t="s">
        <v>7826</v>
      </c>
      <c r="S1823" s="18" t="s">
        <v>140</v>
      </c>
      <c r="T1823" s="18" t="s">
        <v>7827</v>
      </c>
      <c r="U1823" s="18" t="s">
        <v>7828</v>
      </c>
      <c r="V1823" s="19" t="s">
        <v>29</v>
      </c>
      <c r="W1823" s="19"/>
      <c r="X1823" s="19"/>
      <c r="Y1823" s="20"/>
      <c r="Z1823" s="19"/>
      <c r="AA1823" s="18" t="str">
        <f aca="false">IF(OR(V1823="Aprobada"),R1823,IF(AND(OR(V1823="Aprobada con ajuste",V1823="Rechazada"),W1823&lt;&gt;""),W1823,""))</f>
        <v/>
      </c>
    </row>
    <row r="1824" customFormat="false" ht="85.05" hidden="false" customHeight="false" outlineLevel="0" collapsed="false">
      <c r="A1824" s="18" t="s">
        <v>7829</v>
      </c>
      <c r="B1824" s="18" t="s">
        <v>66</v>
      </c>
      <c r="C1824" s="18" t="s">
        <v>67</v>
      </c>
      <c r="D1824" s="18" t="s">
        <v>7759</v>
      </c>
      <c r="E1824" s="18" t="n">
        <v>54</v>
      </c>
      <c r="F1824" s="18" t="s">
        <v>4756</v>
      </c>
      <c r="G1824" s="18" t="s">
        <v>503</v>
      </c>
      <c r="H1824" s="18" t="s">
        <v>162</v>
      </c>
      <c r="I1824" s="18"/>
      <c r="J1824" s="18"/>
      <c r="K1824" s="18"/>
      <c r="L1824" s="18" t="s">
        <v>129</v>
      </c>
      <c r="M1824" s="18" t="s">
        <v>129</v>
      </c>
      <c r="N1824" s="18"/>
      <c r="O1824" s="18"/>
      <c r="P1824" s="18" t="s">
        <v>7830</v>
      </c>
      <c r="Q1824" s="18" t="s">
        <v>131</v>
      </c>
      <c r="R1824" s="18" t="s">
        <v>7831</v>
      </c>
      <c r="S1824" s="18" t="s">
        <v>140</v>
      </c>
      <c r="T1824" s="18" t="s">
        <v>183</v>
      </c>
      <c r="U1824" s="18" t="s">
        <v>7832</v>
      </c>
      <c r="V1824" s="19" t="s">
        <v>29</v>
      </c>
      <c r="W1824" s="19"/>
      <c r="X1824" s="19"/>
      <c r="Y1824" s="20"/>
      <c r="Z1824" s="19"/>
      <c r="AA1824" s="18" t="str">
        <f aca="false">IF(OR(V1824="Aprobada"),R1824,IF(AND(OR(V1824="Aprobada con ajuste",V1824="Rechazada"),W1824&lt;&gt;""),W1824,""))</f>
        <v/>
      </c>
    </row>
    <row r="1825" customFormat="false" ht="85.05" hidden="false" customHeight="false" outlineLevel="0" collapsed="false">
      <c r="A1825" s="18" t="s">
        <v>7833</v>
      </c>
      <c r="B1825" s="18" t="s">
        <v>66</v>
      </c>
      <c r="C1825" s="18" t="s">
        <v>67</v>
      </c>
      <c r="D1825" s="18" t="s">
        <v>7759</v>
      </c>
      <c r="E1825" s="18" t="n">
        <v>54</v>
      </c>
      <c r="F1825" s="18" t="s">
        <v>7834</v>
      </c>
      <c r="G1825" s="18" t="s">
        <v>205</v>
      </c>
      <c r="H1825" s="18" t="s">
        <v>162</v>
      </c>
      <c r="I1825" s="18"/>
      <c r="J1825" s="18"/>
      <c r="K1825" s="18"/>
      <c r="L1825" s="18" t="s">
        <v>129</v>
      </c>
      <c r="M1825" s="18" t="s">
        <v>129</v>
      </c>
      <c r="N1825" s="18"/>
      <c r="O1825" s="18"/>
      <c r="P1825" s="18" t="s">
        <v>7835</v>
      </c>
      <c r="Q1825" s="18" t="s">
        <v>131</v>
      </c>
      <c r="R1825" s="18" t="s">
        <v>7836</v>
      </c>
      <c r="S1825" s="18" t="s">
        <v>242</v>
      </c>
      <c r="T1825" s="18" t="s">
        <v>858</v>
      </c>
      <c r="U1825" s="18" t="s">
        <v>7837</v>
      </c>
      <c r="V1825" s="19" t="s">
        <v>29</v>
      </c>
      <c r="W1825" s="19"/>
      <c r="X1825" s="19"/>
      <c r="Y1825" s="20"/>
      <c r="Z1825" s="19"/>
      <c r="AA1825" s="18" t="str">
        <f aca="false">IF(OR(V1825="Aprobada"),R1825,IF(AND(OR(V1825="Aprobada con ajuste",V1825="Rechazada"),W1825&lt;&gt;""),W1825,""))</f>
        <v/>
      </c>
    </row>
    <row r="1826" customFormat="false" ht="85.05" hidden="false" customHeight="false" outlineLevel="0" collapsed="false">
      <c r="A1826" s="18" t="s">
        <v>7838</v>
      </c>
      <c r="B1826" s="18" t="s">
        <v>66</v>
      </c>
      <c r="C1826" s="18" t="s">
        <v>67</v>
      </c>
      <c r="D1826" s="18" t="s">
        <v>7759</v>
      </c>
      <c r="E1826" s="18" t="n">
        <v>54</v>
      </c>
      <c r="F1826" s="18" t="s">
        <v>7839</v>
      </c>
      <c r="G1826" s="18" t="s">
        <v>503</v>
      </c>
      <c r="H1826" s="18" t="s">
        <v>162</v>
      </c>
      <c r="I1826" s="18"/>
      <c r="J1826" s="18"/>
      <c r="K1826" s="18"/>
      <c r="L1826" s="18" t="s">
        <v>129</v>
      </c>
      <c r="M1826" s="18" t="s">
        <v>129</v>
      </c>
      <c r="N1826" s="18"/>
      <c r="O1826" s="18"/>
      <c r="P1826" s="18" t="s">
        <v>7840</v>
      </c>
      <c r="Q1826" s="18" t="s">
        <v>131</v>
      </c>
      <c r="R1826" s="18" t="s">
        <v>7841</v>
      </c>
      <c r="S1826" s="18" t="s">
        <v>140</v>
      </c>
      <c r="T1826" s="18" t="s">
        <v>183</v>
      </c>
      <c r="U1826" s="18" t="s">
        <v>7842</v>
      </c>
      <c r="V1826" s="19" t="s">
        <v>29</v>
      </c>
      <c r="W1826" s="19"/>
      <c r="X1826" s="19"/>
      <c r="Y1826" s="20"/>
      <c r="Z1826" s="19"/>
      <c r="AA1826" s="18" t="str">
        <f aca="false">IF(OR(V1826="Aprobada"),R1826,IF(AND(OR(V1826="Aprobada con ajuste",V1826="Rechazada"),W1826&lt;&gt;""),W1826,""))</f>
        <v/>
      </c>
    </row>
    <row r="1827" customFormat="false" ht="85.05" hidden="false" customHeight="false" outlineLevel="0" collapsed="false">
      <c r="A1827" s="18" t="s">
        <v>7843</v>
      </c>
      <c r="B1827" s="18" t="s">
        <v>66</v>
      </c>
      <c r="C1827" s="18" t="s">
        <v>67</v>
      </c>
      <c r="D1827" s="18" t="s">
        <v>7759</v>
      </c>
      <c r="E1827" s="18" t="n">
        <v>54</v>
      </c>
      <c r="F1827" s="18" t="s">
        <v>7844</v>
      </c>
      <c r="G1827" s="18" t="s">
        <v>205</v>
      </c>
      <c r="H1827" s="18" t="s">
        <v>162</v>
      </c>
      <c r="I1827" s="18"/>
      <c r="J1827" s="18"/>
      <c r="K1827" s="18"/>
      <c r="L1827" s="18" t="s">
        <v>129</v>
      </c>
      <c r="M1827" s="18" t="s">
        <v>129</v>
      </c>
      <c r="N1827" s="18"/>
      <c r="O1827" s="18"/>
      <c r="P1827" s="18" t="s">
        <v>7845</v>
      </c>
      <c r="Q1827" s="18" t="s">
        <v>131</v>
      </c>
      <c r="R1827" s="18" t="s">
        <v>7846</v>
      </c>
      <c r="S1827" s="18" t="s">
        <v>242</v>
      </c>
      <c r="T1827" s="18" t="s">
        <v>858</v>
      </c>
      <c r="U1827" s="18" t="s">
        <v>7847</v>
      </c>
      <c r="V1827" s="19" t="s">
        <v>29</v>
      </c>
      <c r="W1827" s="19"/>
      <c r="X1827" s="19"/>
      <c r="Y1827" s="20"/>
      <c r="Z1827" s="19"/>
      <c r="AA1827" s="18" t="str">
        <f aca="false">IF(OR(V1827="Aprobada"),R1827,IF(AND(OR(V1827="Aprobada con ajuste",V1827="Rechazada"),W1827&lt;&gt;""),W1827,""))</f>
        <v/>
      </c>
    </row>
    <row r="1828" customFormat="false" ht="85.05" hidden="false" customHeight="false" outlineLevel="0" collapsed="false">
      <c r="A1828" s="18" t="s">
        <v>7848</v>
      </c>
      <c r="B1828" s="18" t="s">
        <v>66</v>
      </c>
      <c r="C1828" s="18" t="s">
        <v>67</v>
      </c>
      <c r="D1828" s="18" t="s">
        <v>7759</v>
      </c>
      <c r="E1828" s="18" t="n">
        <v>54</v>
      </c>
      <c r="F1828" s="18" t="s">
        <v>7849</v>
      </c>
      <c r="G1828" s="18" t="s">
        <v>128</v>
      </c>
      <c r="H1828" s="18" t="s">
        <v>162</v>
      </c>
      <c r="I1828" s="18"/>
      <c r="J1828" s="18"/>
      <c r="K1828" s="18"/>
      <c r="L1828" s="18" t="s">
        <v>129</v>
      </c>
      <c r="M1828" s="18" t="s">
        <v>129</v>
      </c>
      <c r="N1828" s="18"/>
      <c r="O1828" s="18"/>
      <c r="P1828" s="18" t="s">
        <v>7850</v>
      </c>
      <c r="Q1828" s="18" t="s">
        <v>131</v>
      </c>
      <c r="R1828" s="18" t="s">
        <v>7851</v>
      </c>
      <c r="S1828" s="18" t="s">
        <v>140</v>
      </c>
      <c r="T1828" s="18" t="s">
        <v>873</v>
      </c>
      <c r="U1828" s="18" t="s">
        <v>7852</v>
      </c>
      <c r="V1828" s="19" t="s">
        <v>29</v>
      </c>
      <c r="W1828" s="19"/>
      <c r="X1828" s="19"/>
      <c r="Y1828" s="20"/>
      <c r="Z1828" s="19"/>
      <c r="AA1828" s="18" t="str">
        <f aca="false">IF(OR(V1828="Aprobada"),R1828,IF(AND(OR(V1828="Aprobada con ajuste",V1828="Rechazada"),W1828&lt;&gt;""),W1828,""))</f>
        <v/>
      </c>
    </row>
    <row r="1829" customFormat="false" ht="85.05" hidden="false" customHeight="false" outlineLevel="0" collapsed="false">
      <c r="A1829" s="18" t="s">
        <v>7853</v>
      </c>
      <c r="B1829" s="18" t="s">
        <v>66</v>
      </c>
      <c r="C1829" s="18" t="s">
        <v>67</v>
      </c>
      <c r="D1829" s="18" t="s">
        <v>7759</v>
      </c>
      <c r="E1829" s="18" t="n">
        <v>54</v>
      </c>
      <c r="F1829" s="18" t="s">
        <v>7854</v>
      </c>
      <c r="G1829" s="18" t="s">
        <v>503</v>
      </c>
      <c r="H1829" s="18" t="s">
        <v>162</v>
      </c>
      <c r="I1829" s="18"/>
      <c r="J1829" s="18"/>
      <c r="K1829" s="18"/>
      <c r="L1829" s="18" t="s">
        <v>129</v>
      </c>
      <c r="M1829" s="18" t="s">
        <v>129</v>
      </c>
      <c r="N1829" s="18"/>
      <c r="O1829" s="18"/>
      <c r="P1829" s="18" t="s">
        <v>7855</v>
      </c>
      <c r="Q1829" s="18" t="s">
        <v>131</v>
      </c>
      <c r="R1829" s="18" t="s">
        <v>7856</v>
      </c>
      <c r="S1829" s="18" t="s">
        <v>133</v>
      </c>
      <c r="T1829" s="18" t="s">
        <v>7857</v>
      </c>
      <c r="U1829" s="18"/>
      <c r="V1829" s="19" t="s">
        <v>29</v>
      </c>
      <c r="W1829" s="19"/>
      <c r="X1829" s="19"/>
      <c r="Y1829" s="20"/>
      <c r="Z1829" s="19"/>
      <c r="AA1829" s="18" t="str">
        <f aca="false">IF(OR(V1829="Aprobada"),R1829,IF(AND(OR(V1829="Aprobada con ajuste",V1829="Rechazada"),W1829&lt;&gt;""),W1829,""))</f>
        <v/>
      </c>
    </row>
    <row r="1830" customFormat="false" ht="85.05" hidden="false" customHeight="false" outlineLevel="0" collapsed="false">
      <c r="A1830" s="18" t="s">
        <v>7858</v>
      </c>
      <c r="B1830" s="18" t="s">
        <v>66</v>
      </c>
      <c r="C1830" s="18" t="s">
        <v>67</v>
      </c>
      <c r="D1830" s="18" t="s">
        <v>7759</v>
      </c>
      <c r="E1830" s="18" t="n">
        <v>54</v>
      </c>
      <c r="F1830" s="18" t="s">
        <v>172</v>
      </c>
      <c r="G1830" s="18" t="s">
        <v>173</v>
      </c>
      <c r="H1830" s="18" t="s">
        <v>162</v>
      </c>
      <c r="I1830" s="18"/>
      <c r="J1830" s="18"/>
      <c r="K1830" s="18"/>
      <c r="L1830" s="18" t="s">
        <v>129</v>
      </c>
      <c r="M1830" s="18" t="s">
        <v>129</v>
      </c>
      <c r="N1830" s="18"/>
      <c r="O1830" s="18" t="s">
        <v>7859</v>
      </c>
      <c r="P1830" s="18" t="s">
        <v>7860</v>
      </c>
      <c r="Q1830" s="18" t="s">
        <v>131</v>
      </c>
      <c r="R1830" s="18" t="s">
        <v>7861</v>
      </c>
      <c r="S1830" s="18" t="s">
        <v>133</v>
      </c>
      <c r="T1830" s="18" t="s">
        <v>873</v>
      </c>
      <c r="U1830" s="18"/>
      <c r="V1830" s="19" t="s">
        <v>29</v>
      </c>
      <c r="W1830" s="19"/>
      <c r="X1830" s="19"/>
      <c r="Y1830" s="20"/>
      <c r="Z1830" s="19"/>
      <c r="AA1830" s="18" t="str">
        <f aca="false">IF(OR(V1830="Aprobada"),R1830,IF(AND(OR(V1830="Aprobada con ajuste",V1830="Rechazada"),W1830&lt;&gt;""),W1830,""))</f>
        <v/>
      </c>
    </row>
    <row r="1831" customFormat="false" ht="43.25" hidden="false" customHeight="false" outlineLevel="0" collapsed="false">
      <c r="A1831" s="18" t="s">
        <v>7862</v>
      </c>
      <c r="B1831" s="18" t="s">
        <v>66</v>
      </c>
      <c r="C1831" s="18" t="s">
        <v>67</v>
      </c>
      <c r="D1831" s="18" t="s">
        <v>7863</v>
      </c>
      <c r="E1831" s="18" t="n">
        <v>0</v>
      </c>
      <c r="F1831" s="18" t="s">
        <v>7864</v>
      </c>
      <c r="G1831" s="18" t="s">
        <v>542</v>
      </c>
      <c r="H1831" s="18" t="s">
        <v>129</v>
      </c>
      <c r="I1831" s="18"/>
      <c r="J1831" s="18"/>
      <c r="K1831" s="18"/>
      <c r="L1831" s="18" t="s">
        <v>129</v>
      </c>
      <c r="M1831" s="18" t="s">
        <v>129</v>
      </c>
      <c r="N1831" s="18"/>
      <c r="O1831" s="18"/>
      <c r="P1831" s="18" t="s">
        <v>7865</v>
      </c>
      <c r="Q1831" s="18" t="s">
        <v>131</v>
      </c>
      <c r="R1831" s="18" t="s">
        <v>7866</v>
      </c>
      <c r="S1831" s="18" t="s">
        <v>133</v>
      </c>
      <c r="T1831" s="18" t="s">
        <v>7867</v>
      </c>
      <c r="U1831" s="18"/>
      <c r="V1831" s="19" t="s">
        <v>29</v>
      </c>
      <c r="W1831" s="19"/>
      <c r="X1831" s="19"/>
      <c r="Y1831" s="20"/>
      <c r="Z1831" s="19"/>
      <c r="AA1831" s="18" t="str">
        <f aca="false">IF(OR(V1831="Aprobada"),R1831,IF(AND(OR(V1831="Aprobada con ajuste",V1831="Rechazada"),W1831&lt;&gt;""),W1831,""))</f>
        <v/>
      </c>
    </row>
    <row r="1832" customFormat="false" ht="43.25" hidden="false" customHeight="false" outlineLevel="0" collapsed="false">
      <c r="A1832" s="18" t="s">
        <v>7868</v>
      </c>
      <c r="B1832" s="18" t="s">
        <v>66</v>
      </c>
      <c r="C1832" s="18" t="s">
        <v>67</v>
      </c>
      <c r="D1832" s="18" t="s">
        <v>7863</v>
      </c>
      <c r="E1832" s="18" t="n">
        <v>0</v>
      </c>
      <c r="F1832" s="18" t="s">
        <v>4235</v>
      </c>
      <c r="G1832" s="18" t="s">
        <v>161</v>
      </c>
      <c r="H1832" s="18" t="s">
        <v>129</v>
      </c>
      <c r="I1832" s="18"/>
      <c r="J1832" s="18"/>
      <c r="K1832" s="18"/>
      <c r="L1832" s="18" t="s">
        <v>129</v>
      </c>
      <c r="M1832" s="18" t="s">
        <v>129</v>
      </c>
      <c r="N1832" s="18"/>
      <c r="O1832" s="18"/>
      <c r="P1832" s="18" t="s">
        <v>7869</v>
      </c>
      <c r="Q1832" s="18" t="s">
        <v>131</v>
      </c>
      <c r="R1832" s="18" t="s">
        <v>3234</v>
      </c>
      <c r="S1832" s="18" t="s">
        <v>133</v>
      </c>
      <c r="T1832" s="18" t="s">
        <v>7870</v>
      </c>
      <c r="U1832" s="18"/>
      <c r="V1832" s="19" t="s">
        <v>29</v>
      </c>
      <c r="W1832" s="19"/>
      <c r="X1832" s="19"/>
      <c r="Y1832" s="20"/>
      <c r="Z1832" s="19"/>
      <c r="AA1832" s="18" t="str">
        <f aca="false">IF(OR(V1832="Aprobada"),R1832,IF(AND(OR(V1832="Aprobada con ajuste",V1832="Rechazada"),W1832&lt;&gt;""),W1832,""))</f>
        <v/>
      </c>
    </row>
    <row r="1833" customFormat="false" ht="43.25" hidden="false" customHeight="false" outlineLevel="0" collapsed="false">
      <c r="A1833" s="18" t="s">
        <v>7871</v>
      </c>
      <c r="B1833" s="18" t="s">
        <v>66</v>
      </c>
      <c r="C1833" s="18" t="s">
        <v>67</v>
      </c>
      <c r="D1833" s="18" t="s">
        <v>7863</v>
      </c>
      <c r="E1833" s="18" t="n">
        <v>0</v>
      </c>
      <c r="F1833" s="18" t="s">
        <v>7872</v>
      </c>
      <c r="G1833" s="18" t="s">
        <v>486</v>
      </c>
      <c r="H1833" s="18" t="s">
        <v>162</v>
      </c>
      <c r="I1833" s="18"/>
      <c r="J1833" s="18"/>
      <c r="K1833" s="18"/>
      <c r="L1833" s="18" t="s">
        <v>129</v>
      </c>
      <c r="M1833" s="18" t="s">
        <v>129</v>
      </c>
      <c r="N1833" s="18"/>
      <c r="O1833" s="18"/>
      <c r="P1833" s="18" t="s">
        <v>7873</v>
      </c>
      <c r="Q1833" s="18" t="s">
        <v>131</v>
      </c>
      <c r="R1833" s="18" t="s">
        <v>1082</v>
      </c>
      <c r="S1833" s="18" t="s">
        <v>133</v>
      </c>
      <c r="T1833" s="18" t="s">
        <v>7874</v>
      </c>
      <c r="U1833" s="18"/>
      <c r="V1833" s="19" t="s">
        <v>29</v>
      </c>
      <c r="W1833" s="19"/>
      <c r="X1833" s="19"/>
      <c r="Y1833" s="20"/>
      <c r="Z1833" s="19"/>
      <c r="AA1833" s="18" t="str">
        <f aca="false">IF(OR(V1833="Aprobada"),R1833,IF(AND(OR(V1833="Aprobada con ajuste",V1833="Rechazada"),W1833&lt;&gt;""),W1833,""))</f>
        <v/>
      </c>
    </row>
    <row r="1834" customFormat="false" ht="43.25" hidden="false" customHeight="false" outlineLevel="0" collapsed="false">
      <c r="A1834" s="18" t="s">
        <v>7875</v>
      </c>
      <c r="B1834" s="18" t="s">
        <v>66</v>
      </c>
      <c r="C1834" s="18" t="s">
        <v>67</v>
      </c>
      <c r="D1834" s="18" t="s">
        <v>7863</v>
      </c>
      <c r="E1834" s="18" t="n">
        <v>0</v>
      </c>
      <c r="F1834" s="18" t="s">
        <v>7876</v>
      </c>
      <c r="G1834" s="18" t="s">
        <v>294</v>
      </c>
      <c r="H1834" s="18" t="s">
        <v>162</v>
      </c>
      <c r="I1834" s="18"/>
      <c r="J1834" s="18"/>
      <c r="K1834" s="18"/>
      <c r="L1834" s="18" t="s">
        <v>129</v>
      </c>
      <c r="M1834" s="18" t="s">
        <v>129</v>
      </c>
      <c r="N1834" s="18"/>
      <c r="O1834" s="18"/>
      <c r="P1834" s="18" t="s">
        <v>7877</v>
      </c>
      <c r="Q1834" s="18" t="s">
        <v>131</v>
      </c>
      <c r="R1834" s="18" t="s">
        <v>296</v>
      </c>
      <c r="S1834" s="18" t="s">
        <v>133</v>
      </c>
      <c r="T1834" s="18" t="s">
        <v>7878</v>
      </c>
      <c r="U1834" s="18"/>
      <c r="V1834" s="19" t="s">
        <v>29</v>
      </c>
      <c r="W1834" s="19"/>
      <c r="X1834" s="19"/>
      <c r="Y1834" s="20"/>
      <c r="Z1834" s="19"/>
      <c r="AA1834" s="18" t="str">
        <f aca="false">IF(OR(V1834="Aprobada"),R1834,IF(AND(OR(V1834="Aprobada con ajuste",V1834="Rechazada"),W1834&lt;&gt;""),W1834,""))</f>
        <v/>
      </c>
    </row>
    <row r="1835" customFormat="false" ht="43.25" hidden="false" customHeight="false" outlineLevel="0" collapsed="false">
      <c r="A1835" s="18" t="s">
        <v>7879</v>
      </c>
      <c r="B1835" s="18" t="s">
        <v>66</v>
      </c>
      <c r="C1835" s="18" t="s">
        <v>67</v>
      </c>
      <c r="D1835" s="18" t="s">
        <v>7863</v>
      </c>
      <c r="E1835" s="18" t="n">
        <v>0</v>
      </c>
      <c r="F1835" s="18" t="s">
        <v>160</v>
      </c>
      <c r="G1835" s="18" t="s">
        <v>128</v>
      </c>
      <c r="H1835" s="18" t="s">
        <v>162</v>
      </c>
      <c r="I1835" s="18"/>
      <c r="J1835" s="18"/>
      <c r="K1835" s="18"/>
      <c r="L1835" s="18" t="s">
        <v>129</v>
      </c>
      <c r="M1835" s="18" t="s">
        <v>129</v>
      </c>
      <c r="N1835" s="18"/>
      <c r="O1835" s="18"/>
      <c r="P1835" s="18" t="s">
        <v>7880</v>
      </c>
      <c r="Q1835" s="18" t="s">
        <v>131</v>
      </c>
      <c r="R1835" s="18" t="s">
        <v>7881</v>
      </c>
      <c r="S1835" s="18" t="s">
        <v>133</v>
      </c>
      <c r="T1835" s="18" t="s">
        <v>7882</v>
      </c>
      <c r="U1835" s="18"/>
      <c r="V1835" s="19" t="s">
        <v>29</v>
      </c>
      <c r="W1835" s="19"/>
      <c r="X1835" s="19"/>
      <c r="Y1835" s="20"/>
      <c r="Z1835" s="19"/>
      <c r="AA1835" s="18" t="str">
        <f aca="false">IF(OR(V1835="Aprobada"),R1835,IF(AND(OR(V1835="Aprobada con ajuste",V1835="Rechazada"),W1835&lt;&gt;""),W1835,""))</f>
        <v/>
      </c>
    </row>
    <row r="1836" customFormat="false" ht="43.25" hidden="false" customHeight="false" outlineLevel="0" collapsed="false">
      <c r="A1836" s="18" t="s">
        <v>7883</v>
      </c>
      <c r="B1836" s="18" t="s">
        <v>66</v>
      </c>
      <c r="C1836" s="18" t="s">
        <v>67</v>
      </c>
      <c r="D1836" s="18" t="s">
        <v>7863</v>
      </c>
      <c r="E1836" s="18" t="n">
        <v>0</v>
      </c>
      <c r="F1836" s="18" t="s">
        <v>7884</v>
      </c>
      <c r="G1836" s="18" t="s">
        <v>180</v>
      </c>
      <c r="H1836" s="18" t="s">
        <v>129</v>
      </c>
      <c r="I1836" s="18"/>
      <c r="J1836" s="18"/>
      <c r="K1836" s="18"/>
      <c r="L1836" s="18" t="s">
        <v>129</v>
      </c>
      <c r="M1836" s="18" t="s">
        <v>129</v>
      </c>
      <c r="N1836" s="18"/>
      <c r="O1836" s="18"/>
      <c r="P1836" s="18" t="s">
        <v>7885</v>
      </c>
      <c r="Q1836" s="18" t="s">
        <v>131</v>
      </c>
      <c r="R1836" s="18" t="s">
        <v>7886</v>
      </c>
      <c r="S1836" s="18" t="s">
        <v>133</v>
      </c>
      <c r="T1836" s="18" t="s">
        <v>7887</v>
      </c>
      <c r="U1836" s="18"/>
      <c r="V1836" s="19" t="s">
        <v>29</v>
      </c>
      <c r="W1836" s="19"/>
      <c r="X1836" s="19"/>
      <c r="Y1836" s="20"/>
      <c r="Z1836" s="19"/>
      <c r="AA1836" s="18" t="str">
        <f aca="false">IF(OR(V1836="Aprobada"),R1836,IF(AND(OR(V1836="Aprobada con ajuste",V1836="Rechazada"),W1836&lt;&gt;""),W1836,""))</f>
        <v/>
      </c>
    </row>
    <row r="1837" customFormat="false" ht="43.25" hidden="false" customHeight="false" outlineLevel="0" collapsed="false">
      <c r="A1837" s="18" t="s">
        <v>7888</v>
      </c>
      <c r="B1837" s="18" t="s">
        <v>66</v>
      </c>
      <c r="C1837" s="18" t="s">
        <v>67</v>
      </c>
      <c r="D1837" s="18" t="s">
        <v>7863</v>
      </c>
      <c r="E1837" s="18" t="n">
        <v>0</v>
      </c>
      <c r="F1837" s="18" t="s">
        <v>7889</v>
      </c>
      <c r="G1837" s="18" t="s">
        <v>161</v>
      </c>
      <c r="H1837" s="18" t="s">
        <v>162</v>
      </c>
      <c r="I1837" s="18"/>
      <c r="J1837" s="18"/>
      <c r="K1837" s="18"/>
      <c r="L1837" s="18" t="s">
        <v>129</v>
      </c>
      <c r="M1837" s="18" t="s">
        <v>129</v>
      </c>
      <c r="N1837" s="18"/>
      <c r="O1837" s="18"/>
      <c r="P1837" s="18" t="s">
        <v>7890</v>
      </c>
      <c r="Q1837" s="18" t="s">
        <v>131</v>
      </c>
      <c r="R1837" s="18" t="s">
        <v>7891</v>
      </c>
      <c r="S1837" s="18" t="s">
        <v>133</v>
      </c>
      <c r="T1837" s="18" t="s">
        <v>7892</v>
      </c>
      <c r="U1837" s="18"/>
      <c r="V1837" s="19" t="s">
        <v>29</v>
      </c>
      <c r="W1837" s="19"/>
      <c r="X1837" s="19"/>
      <c r="Y1837" s="20"/>
      <c r="Z1837" s="19"/>
      <c r="AA1837" s="18" t="str">
        <f aca="false">IF(OR(V1837="Aprobada"),R1837,IF(AND(OR(V1837="Aprobada con ajuste",V1837="Rechazada"),W1837&lt;&gt;""),W1837,""))</f>
        <v/>
      </c>
    </row>
    <row r="1838" customFormat="false" ht="32.8" hidden="false" customHeight="false" outlineLevel="0" collapsed="false">
      <c r="A1838" s="18" t="s">
        <v>7893</v>
      </c>
      <c r="B1838" s="18" t="s">
        <v>66</v>
      </c>
      <c r="C1838" s="18" t="s">
        <v>67</v>
      </c>
      <c r="D1838" s="18" t="s">
        <v>7863</v>
      </c>
      <c r="E1838" s="18" t="n">
        <v>0</v>
      </c>
      <c r="F1838" s="18" t="s">
        <v>7894</v>
      </c>
      <c r="G1838" s="18" t="s">
        <v>584</v>
      </c>
      <c r="H1838" s="18" t="s">
        <v>162</v>
      </c>
      <c r="I1838" s="18"/>
      <c r="J1838" s="18"/>
      <c r="K1838" s="18"/>
      <c r="L1838" s="18" t="s">
        <v>129</v>
      </c>
      <c r="M1838" s="18" t="s">
        <v>129</v>
      </c>
      <c r="N1838" s="18"/>
      <c r="O1838" s="18"/>
      <c r="P1838" s="18" t="s">
        <v>7895</v>
      </c>
      <c r="Q1838" s="18" t="s">
        <v>138</v>
      </c>
      <c r="R1838" s="18" t="s">
        <v>1094</v>
      </c>
      <c r="S1838" s="18" t="s">
        <v>140</v>
      </c>
      <c r="T1838" s="18" t="s">
        <v>141</v>
      </c>
      <c r="U1838" s="18"/>
      <c r="V1838" s="19" t="s">
        <v>29</v>
      </c>
      <c r="W1838" s="19"/>
      <c r="X1838" s="19"/>
      <c r="Y1838" s="20"/>
      <c r="Z1838" s="19"/>
      <c r="AA1838" s="18" t="str">
        <f aca="false">IF(OR(V1838="Aprobada"),R1838,IF(AND(OR(V1838="Aprobada con ajuste",V1838="Rechazada"),W1838&lt;&gt;""),W1838,""))</f>
        <v/>
      </c>
    </row>
    <row r="1839" customFormat="false" ht="43.25" hidden="false" customHeight="false" outlineLevel="0" collapsed="false">
      <c r="A1839" s="18" t="s">
        <v>7896</v>
      </c>
      <c r="B1839" s="18" t="s">
        <v>66</v>
      </c>
      <c r="C1839" s="18" t="s">
        <v>67</v>
      </c>
      <c r="D1839" s="18" t="s">
        <v>7863</v>
      </c>
      <c r="E1839" s="18" t="n">
        <v>0</v>
      </c>
      <c r="F1839" s="18" t="s">
        <v>7585</v>
      </c>
      <c r="G1839" s="18" t="s">
        <v>186</v>
      </c>
      <c r="H1839" s="18" t="s">
        <v>162</v>
      </c>
      <c r="I1839" s="18"/>
      <c r="J1839" s="18"/>
      <c r="K1839" s="18"/>
      <c r="L1839" s="18" t="s">
        <v>129</v>
      </c>
      <c r="M1839" s="18" t="s">
        <v>129</v>
      </c>
      <c r="N1839" s="18"/>
      <c r="O1839" s="18"/>
      <c r="P1839" s="18" t="s">
        <v>7897</v>
      </c>
      <c r="Q1839" s="18" t="s">
        <v>131</v>
      </c>
      <c r="R1839" s="18" t="s">
        <v>7898</v>
      </c>
      <c r="S1839" s="18" t="s">
        <v>133</v>
      </c>
      <c r="T1839" s="18" t="s">
        <v>7899</v>
      </c>
      <c r="U1839" s="18"/>
      <c r="V1839" s="19" t="s">
        <v>29</v>
      </c>
      <c r="W1839" s="19"/>
      <c r="X1839" s="19"/>
      <c r="Y1839" s="20"/>
      <c r="Z1839" s="19"/>
      <c r="AA1839" s="18" t="str">
        <f aca="false">IF(OR(V1839="Aprobada"),R1839,IF(AND(OR(V1839="Aprobada con ajuste",V1839="Rechazada"),W1839&lt;&gt;""),W1839,""))</f>
        <v/>
      </c>
    </row>
    <row r="1840" customFormat="false" ht="53.7" hidden="false" customHeight="false" outlineLevel="0" collapsed="false">
      <c r="A1840" s="18" t="s">
        <v>7900</v>
      </c>
      <c r="B1840" s="18" t="s">
        <v>66</v>
      </c>
      <c r="C1840" s="18" t="s">
        <v>67</v>
      </c>
      <c r="D1840" s="18" t="s">
        <v>7863</v>
      </c>
      <c r="E1840" s="18" t="n">
        <v>0</v>
      </c>
      <c r="F1840" s="18" t="s">
        <v>305</v>
      </c>
      <c r="G1840" s="18" t="s">
        <v>128</v>
      </c>
      <c r="H1840" s="18" t="s">
        <v>162</v>
      </c>
      <c r="I1840" s="18"/>
      <c r="J1840" s="18"/>
      <c r="K1840" s="18"/>
      <c r="L1840" s="18" t="s">
        <v>129</v>
      </c>
      <c r="M1840" s="18" t="s">
        <v>129</v>
      </c>
      <c r="N1840" s="18"/>
      <c r="O1840" s="18"/>
      <c r="P1840" s="18" t="s">
        <v>7901</v>
      </c>
      <c r="Q1840" s="18" t="s">
        <v>131</v>
      </c>
      <c r="R1840" s="18" t="s">
        <v>7902</v>
      </c>
      <c r="S1840" s="18" t="s">
        <v>133</v>
      </c>
      <c r="T1840" s="18" t="s">
        <v>7903</v>
      </c>
      <c r="U1840" s="18"/>
      <c r="V1840" s="19" t="s">
        <v>29</v>
      </c>
      <c r="W1840" s="19"/>
      <c r="X1840" s="19"/>
      <c r="Y1840" s="20"/>
      <c r="Z1840" s="19"/>
      <c r="AA1840" s="18" t="str">
        <f aca="false">IF(OR(V1840="Aprobada"),R1840,IF(AND(OR(V1840="Aprobada con ajuste",V1840="Rechazada"),W1840&lt;&gt;""),W1840,""))</f>
        <v/>
      </c>
    </row>
    <row r="1841" customFormat="false" ht="43.25" hidden="false" customHeight="false" outlineLevel="0" collapsed="false">
      <c r="A1841" s="18" t="s">
        <v>7904</v>
      </c>
      <c r="B1841" s="18" t="s">
        <v>66</v>
      </c>
      <c r="C1841" s="18" t="s">
        <v>67</v>
      </c>
      <c r="D1841" s="18" t="s">
        <v>7863</v>
      </c>
      <c r="E1841" s="18" t="n">
        <v>0</v>
      </c>
      <c r="F1841" s="18" t="s">
        <v>7600</v>
      </c>
      <c r="G1841" s="18" t="s">
        <v>173</v>
      </c>
      <c r="H1841" s="18" t="s">
        <v>162</v>
      </c>
      <c r="I1841" s="18"/>
      <c r="J1841" s="18"/>
      <c r="K1841" s="18"/>
      <c r="L1841" s="18" t="s">
        <v>129</v>
      </c>
      <c r="M1841" s="18" t="s">
        <v>129</v>
      </c>
      <c r="N1841" s="18"/>
      <c r="O1841" s="18"/>
      <c r="P1841" s="18" t="s">
        <v>7905</v>
      </c>
      <c r="Q1841" s="18" t="s">
        <v>131</v>
      </c>
      <c r="R1841" s="18" t="s">
        <v>7906</v>
      </c>
      <c r="S1841" s="18" t="s">
        <v>133</v>
      </c>
      <c r="T1841" s="18" t="s">
        <v>7907</v>
      </c>
      <c r="U1841" s="18"/>
      <c r="V1841" s="19" t="s">
        <v>29</v>
      </c>
      <c r="W1841" s="19"/>
      <c r="X1841" s="19"/>
      <c r="Y1841" s="20"/>
      <c r="Z1841" s="19"/>
      <c r="AA1841" s="18" t="str">
        <f aca="false">IF(OR(V1841="Aprobada"),R1841,IF(AND(OR(V1841="Aprobada con ajuste",V1841="Rechazada"),W1841&lt;&gt;""),W1841,""))</f>
        <v/>
      </c>
    </row>
    <row r="1842" customFormat="false" ht="43.25" hidden="false" customHeight="false" outlineLevel="0" collapsed="false">
      <c r="A1842" s="18" t="s">
        <v>7908</v>
      </c>
      <c r="B1842" s="18" t="s">
        <v>66</v>
      </c>
      <c r="C1842" s="18" t="s">
        <v>67</v>
      </c>
      <c r="D1842" s="18" t="s">
        <v>7863</v>
      </c>
      <c r="E1842" s="18" t="n">
        <v>0</v>
      </c>
      <c r="F1842" s="18" t="s">
        <v>7909</v>
      </c>
      <c r="G1842" s="18" t="s">
        <v>180</v>
      </c>
      <c r="H1842" s="18" t="s">
        <v>162</v>
      </c>
      <c r="I1842" s="18"/>
      <c r="J1842" s="18"/>
      <c r="K1842" s="18"/>
      <c r="L1842" s="18" t="s">
        <v>129</v>
      </c>
      <c r="M1842" s="18" t="s">
        <v>129</v>
      </c>
      <c r="N1842" s="18"/>
      <c r="O1842" s="18"/>
      <c r="P1842" s="18" t="s">
        <v>7910</v>
      </c>
      <c r="Q1842" s="18" t="s">
        <v>131</v>
      </c>
      <c r="R1842" s="18" t="s">
        <v>7911</v>
      </c>
      <c r="S1842" s="18" t="s">
        <v>133</v>
      </c>
      <c r="T1842" s="18" t="s">
        <v>7912</v>
      </c>
      <c r="U1842" s="18"/>
      <c r="V1842" s="19" t="s">
        <v>29</v>
      </c>
      <c r="W1842" s="19"/>
      <c r="X1842" s="19"/>
      <c r="Y1842" s="20"/>
      <c r="Z1842" s="19"/>
      <c r="AA1842" s="18" t="str">
        <f aca="false">IF(OR(V1842="Aprobada"),R1842,IF(AND(OR(V1842="Aprobada con ajuste",V1842="Rechazada"),W1842&lt;&gt;""),W1842,""))</f>
        <v/>
      </c>
    </row>
    <row r="1843" customFormat="false" ht="43.25" hidden="false" customHeight="false" outlineLevel="0" collapsed="false">
      <c r="A1843" s="18" t="s">
        <v>7913</v>
      </c>
      <c r="B1843" s="18" t="s">
        <v>66</v>
      </c>
      <c r="C1843" s="18" t="s">
        <v>67</v>
      </c>
      <c r="D1843" s="18" t="s">
        <v>7863</v>
      </c>
      <c r="E1843" s="18" t="n">
        <v>0</v>
      </c>
      <c r="F1843" s="18" t="s">
        <v>7914</v>
      </c>
      <c r="G1843" s="18" t="s">
        <v>161</v>
      </c>
      <c r="H1843" s="18" t="s">
        <v>162</v>
      </c>
      <c r="I1843" s="18"/>
      <c r="J1843" s="18"/>
      <c r="K1843" s="18"/>
      <c r="L1843" s="18" t="s">
        <v>129</v>
      </c>
      <c r="M1843" s="18" t="s">
        <v>129</v>
      </c>
      <c r="N1843" s="18"/>
      <c r="O1843" s="18"/>
      <c r="P1843" s="18" t="s">
        <v>7915</v>
      </c>
      <c r="Q1843" s="18" t="s">
        <v>131</v>
      </c>
      <c r="R1843" s="18" t="s">
        <v>7916</v>
      </c>
      <c r="S1843" s="18" t="s">
        <v>133</v>
      </c>
      <c r="T1843" s="18" t="s">
        <v>7917</v>
      </c>
      <c r="U1843" s="18"/>
      <c r="V1843" s="19" t="s">
        <v>29</v>
      </c>
      <c r="W1843" s="19"/>
      <c r="X1843" s="19"/>
      <c r="Y1843" s="20"/>
      <c r="Z1843" s="19"/>
      <c r="AA1843" s="18" t="str">
        <f aca="false">IF(OR(V1843="Aprobada"),R1843,IF(AND(OR(V1843="Aprobada con ajuste",V1843="Rechazada"),W1843&lt;&gt;""),W1843,""))</f>
        <v/>
      </c>
    </row>
    <row r="1844" customFormat="false" ht="43.25" hidden="false" customHeight="false" outlineLevel="0" collapsed="false">
      <c r="A1844" s="18" t="s">
        <v>7918</v>
      </c>
      <c r="B1844" s="18" t="s">
        <v>66</v>
      </c>
      <c r="C1844" s="18" t="s">
        <v>67</v>
      </c>
      <c r="D1844" s="18" t="s">
        <v>7863</v>
      </c>
      <c r="E1844" s="18" t="n">
        <v>0</v>
      </c>
      <c r="F1844" s="18" t="s">
        <v>7919</v>
      </c>
      <c r="G1844" s="18" t="s">
        <v>584</v>
      </c>
      <c r="H1844" s="18" t="s">
        <v>162</v>
      </c>
      <c r="I1844" s="18"/>
      <c r="J1844" s="18"/>
      <c r="K1844" s="18"/>
      <c r="L1844" s="18" t="s">
        <v>129</v>
      </c>
      <c r="M1844" s="18" t="s">
        <v>129</v>
      </c>
      <c r="N1844" s="18"/>
      <c r="O1844" s="18"/>
      <c r="P1844" s="18" t="s">
        <v>7920</v>
      </c>
      <c r="Q1844" s="18" t="s">
        <v>131</v>
      </c>
      <c r="R1844" s="18" t="s">
        <v>7921</v>
      </c>
      <c r="S1844" s="18" t="s">
        <v>133</v>
      </c>
      <c r="T1844" s="18" t="s">
        <v>7922</v>
      </c>
      <c r="U1844" s="18"/>
      <c r="V1844" s="19" t="s">
        <v>29</v>
      </c>
      <c r="W1844" s="19"/>
      <c r="X1844" s="19"/>
      <c r="Y1844" s="20"/>
      <c r="Z1844" s="19"/>
      <c r="AA1844" s="18" t="str">
        <f aca="false">IF(OR(V1844="Aprobada"),R1844,IF(AND(OR(V1844="Aprobada con ajuste",V1844="Rechazada"),W1844&lt;&gt;""),W1844,""))</f>
        <v/>
      </c>
    </row>
    <row r="1845" customFormat="false" ht="64.15" hidden="false" customHeight="false" outlineLevel="0" collapsed="false">
      <c r="A1845" s="18" t="s">
        <v>7923</v>
      </c>
      <c r="B1845" s="18" t="s">
        <v>66</v>
      </c>
      <c r="C1845" s="18" t="s">
        <v>67</v>
      </c>
      <c r="D1845" s="18" t="s">
        <v>7924</v>
      </c>
      <c r="E1845" s="18" t="n">
        <v>48</v>
      </c>
      <c r="F1845" s="18" t="s">
        <v>275</v>
      </c>
      <c r="G1845" s="18" t="s">
        <v>180</v>
      </c>
      <c r="H1845" s="18" t="s">
        <v>129</v>
      </c>
      <c r="I1845" s="18"/>
      <c r="J1845" s="18"/>
      <c r="K1845" s="18"/>
      <c r="L1845" s="18" t="s">
        <v>129</v>
      </c>
      <c r="M1845" s="18" t="s">
        <v>129</v>
      </c>
      <c r="N1845" s="18"/>
      <c r="O1845" s="18"/>
      <c r="P1845" s="18" t="s">
        <v>7925</v>
      </c>
      <c r="Q1845" s="18" t="s">
        <v>131</v>
      </c>
      <c r="R1845" s="18" t="s">
        <v>7926</v>
      </c>
      <c r="S1845" s="18" t="s">
        <v>133</v>
      </c>
      <c r="T1845" s="18" t="s">
        <v>7927</v>
      </c>
      <c r="U1845" s="18"/>
      <c r="V1845" s="19" t="s">
        <v>29</v>
      </c>
      <c r="W1845" s="19"/>
      <c r="X1845" s="19"/>
      <c r="Y1845" s="20"/>
      <c r="Z1845" s="19"/>
      <c r="AA1845" s="18" t="str">
        <f aca="false">IF(OR(V1845="Aprobada"),R1845,IF(AND(OR(V1845="Aprobada con ajuste",V1845="Rechazada"),W1845&lt;&gt;""),W1845,""))</f>
        <v/>
      </c>
    </row>
    <row r="1846" customFormat="false" ht="53.7" hidden="false" customHeight="false" outlineLevel="0" collapsed="false">
      <c r="A1846" s="18" t="s">
        <v>7928</v>
      </c>
      <c r="B1846" s="18" t="s">
        <v>66</v>
      </c>
      <c r="C1846" s="18" t="s">
        <v>67</v>
      </c>
      <c r="D1846" s="18" t="s">
        <v>7924</v>
      </c>
      <c r="E1846" s="18" t="n">
        <v>48</v>
      </c>
      <c r="F1846" s="18" t="s">
        <v>160</v>
      </c>
      <c r="G1846" s="18" t="s">
        <v>128</v>
      </c>
      <c r="H1846" s="18" t="s">
        <v>162</v>
      </c>
      <c r="I1846" s="18"/>
      <c r="J1846" s="18"/>
      <c r="K1846" s="18"/>
      <c r="L1846" s="18" t="s">
        <v>129</v>
      </c>
      <c r="M1846" s="18" t="s">
        <v>129</v>
      </c>
      <c r="N1846" s="18"/>
      <c r="O1846" s="18"/>
      <c r="P1846" s="18" t="s">
        <v>7929</v>
      </c>
      <c r="Q1846" s="18" t="s">
        <v>138</v>
      </c>
      <c r="R1846" s="18" t="s">
        <v>7930</v>
      </c>
      <c r="S1846" s="18" t="s">
        <v>140</v>
      </c>
      <c r="T1846" s="18" t="s">
        <v>141</v>
      </c>
      <c r="U1846" s="18"/>
      <c r="V1846" s="19" t="s">
        <v>29</v>
      </c>
      <c r="W1846" s="19"/>
      <c r="X1846" s="19"/>
      <c r="Y1846" s="20"/>
      <c r="Z1846" s="19"/>
      <c r="AA1846" s="18" t="str">
        <f aca="false">IF(OR(V1846="Aprobada"),R1846,IF(AND(OR(V1846="Aprobada con ajuste",V1846="Rechazada"),W1846&lt;&gt;""),W1846,""))</f>
        <v/>
      </c>
    </row>
    <row r="1847" customFormat="false" ht="64.15" hidden="false" customHeight="false" outlineLevel="0" collapsed="false">
      <c r="A1847" s="18" t="s">
        <v>7931</v>
      </c>
      <c r="B1847" s="18" t="s">
        <v>66</v>
      </c>
      <c r="C1847" s="18" t="s">
        <v>67</v>
      </c>
      <c r="D1847" s="18" t="s">
        <v>7924</v>
      </c>
      <c r="E1847" s="18" t="n">
        <v>48</v>
      </c>
      <c r="F1847" s="18" t="s">
        <v>896</v>
      </c>
      <c r="G1847" s="18" t="s">
        <v>7932</v>
      </c>
      <c r="H1847" s="18" t="s">
        <v>129</v>
      </c>
      <c r="I1847" s="18" t="s">
        <v>5921</v>
      </c>
      <c r="J1847" s="18" t="s">
        <v>7933</v>
      </c>
      <c r="K1847" s="18"/>
      <c r="L1847" s="18" t="s">
        <v>162</v>
      </c>
      <c r="M1847" s="18" t="s">
        <v>129</v>
      </c>
      <c r="N1847" s="18"/>
      <c r="O1847" s="18" t="s">
        <v>7934</v>
      </c>
      <c r="P1847" s="18" t="s">
        <v>7935</v>
      </c>
      <c r="Q1847" s="18" t="s">
        <v>149</v>
      </c>
      <c r="R1847" s="18" t="s">
        <v>7936</v>
      </c>
      <c r="S1847" s="18" t="s">
        <v>133</v>
      </c>
      <c r="T1847" s="18" t="s">
        <v>7937</v>
      </c>
      <c r="U1847" s="18"/>
      <c r="V1847" s="19" t="s">
        <v>29</v>
      </c>
      <c r="W1847" s="19"/>
      <c r="X1847" s="19"/>
      <c r="Y1847" s="20"/>
      <c r="Z1847" s="19"/>
      <c r="AA1847" s="18" t="str">
        <f aca="false">IF(OR(V1847="Aprobada"),R1847,IF(AND(OR(V1847="Aprobada con ajuste",V1847="Rechazada"),W1847&lt;&gt;""),W1847,""))</f>
        <v/>
      </c>
    </row>
    <row r="1848" customFormat="false" ht="43.25" hidden="false" customHeight="false" outlineLevel="0" collapsed="false">
      <c r="A1848" s="18" t="s">
        <v>7938</v>
      </c>
      <c r="B1848" s="18" t="s">
        <v>66</v>
      </c>
      <c r="C1848" s="18" t="s">
        <v>67</v>
      </c>
      <c r="D1848" s="18" t="s">
        <v>7924</v>
      </c>
      <c r="E1848" s="18" t="n">
        <v>48</v>
      </c>
      <c r="F1848" s="18" t="s">
        <v>7490</v>
      </c>
      <c r="G1848" s="18" t="s">
        <v>161</v>
      </c>
      <c r="H1848" s="18" t="s">
        <v>129</v>
      </c>
      <c r="I1848" s="18"/>
      <c r="J1848" s="18"/>
      <c r="K1848" s="18"/>
      <c r="L1848" s="18" t="s">
        <v>129</v>
      </c>
      <c r="M1848" s="18" t="s">
        <v>129</v>
      </c>
      <c r="N1848" s="18"/>
      <c r="O1848" s="18"/>
      <c r="P1848" s="18" t="s">
        <v>7939</v>
      </c>
      <c r="Q1848" s="18" t="s">
        <v>131</v>
      </c>
      <c r="R1848" s="18" t="s">
        <v>7940</v>
      </c>
      <c r="S1848" s="18" t="s">
        <v>133</v>
      </c>
      <c r="T1848" s="18" t="s">
        <v>7941</v>
      </c>
      <c r="U1848" s="18"/>
      <c r="V1848" s="19" t="s">
        <v>29</v>
      </c>
      <c r="W1848" s="19"/>
      <c r="X1848" s="19"/>
      <c r="Y1848" s="20"/>
      <c r="Z1848" s="19"/>
      <c r="AA1848" s="18" t="str">
        <f aca="false">IF(OR(V1848="Aprobada"),R1848,IF(AND(OR(V1848="Aprobada con ajuste",V1848="Rechazada"),W1848&lt;&gt;""),W1848,""))</f>
        <v/>
      </c>
    </row>
    <row r="1849" customFormat="false" ht="43.25" hidden="false" customHeight="false" outlineLevel="0" collapsed="false">
      <c r="A1849" s="18" t="s">
        <v>7942</v>
      </c>
      <c r="B1849" s="18" t="s">
        <v>66</v>
      </c>
      <c r="C1849" s="18" t="s">
        <v>67</v>
      </c>
      <c r="D1849" s="18" t="s">
        <v>7924</v>
      </c>
      <c r="E1849" s="18" t="n">
        <v>48</v>
      </c>
      <c r="F1849" s="18" t="s">
        <v>7566</v>
      </c>
      <c r="G1849" s="18" t="s">
        <v>180</v>
      </c>
      <c r="H1849" s="18" t="s">
        <v>129</v>
      </c>
      <c r="I1849" s="18"/>
      <c r="J1849" s="18"/>
      <c r="K1849" s="18"/>
      <c r="L1849" s="18" t="s">
        <v>129</v>
      </c>
      <c r="M1849" s="18" t="s">
        <v>129</v>
      </c>
      <c r="N1849" s="18"/>
      <c r="O1849" s="18"/>
      <c r="P1849" s="18" t="s">
        <v>7943</v>
      </c>
      <c r="Q1849" s="18" t="s">
        <v>149</v>
      </c>
      <c r="R1849" s="18" t="s">
        <v>7568</v>
      </c>
      <c r="S1849" s="18" t="s">
        <v>133</v>
      </c>
      <c r="T1849" s="18" t="s">
        <v>7012</v>
      </c>
      <c r="U1849" s="18"/>
      <c r="V1849" s="19" t="s">
        <v>29</v>
      </c>
      <c r="W1849" s="19"/>
      <c r="X1849" s="19"/>
      <c r="Y1849" s="20"/>
      <c r="Z1849" s="19"/>
      <c r="AA1849" s="18" t="str">
        <f aca="false">IF(OR(V1849="Aprobada"),R1849,IF(AND(OR(V1849="Aprobada con ajuste",V1849="Rechazada"),W1849&lt;&gt;""),W1849,""))</f>
        <v/>
      </c>
    </row>
    <row r="1850" customFormat="false" ht="43.25" hidden="false" customHeight="false" outlineLevel="0" collapsed="false">
      <c r="A1850" s="18" t="s">
        <v>7944</v>
      </c>
      <c r="B1850" s="18" t="s">
        <v>66</v>
      </c>
      <c r="C1850" s="18" t="s">
        <v>67</v>
      </c>
      <c r="D1850" s="18" t="s">
        <v>7924</v>
      </c>
      <c r="E1850" s="18" t="n">
        <v>48</v>
      </c>
      <c r="F1850" s="18" t="s">
        <v>3167</v>
      </c>
      <c r="G1850" s="18" t="s">
        <v>486</v>
      </c>
      <c r="H1850" s="18" t="s">
        <v>129</v>
      </c>
      <c r="I1850" s="18"/>
      <c r="J1850" s="18"/>
      <c r="K1850" s="18"/>
      <c r="L1850" s="18" t="s">
        <v>129</v>
      </c>
      <c r="M1850" s="18" t="s">
        <v>129</v>
      </c>
      <c r="N1850" s="18"/>
      <c r="O1850" s="18"/>
      <c r="P1850" s="18" t="s">
        <v>7945</v>
      </c>
      <c r="Q1850" s="18" t="s">
        <v>149</v>
      </c>
      <c r="R1850" s="18" t="s">
        <v>1082</v>
      </c>
      <c r="S1850" s="18" t="s">
        <v>133</v>
      </c>
      <c r="T1850" s="18" t="s">
        <v>7012</v>
      </c>
      <c r="U1850" s="18"/>
      <c r="V1850" s="19" t="s">
        <v>29</v>
      </c>
      <c r="W1850" s="19"/>
      <c r="X1850" s="19"/>
      <c r="Y1850" s="20"/>
      <c r="Z1850" s="19"/>
      <c r="AA1850" s="18" t="str">
        <f aca="false">IF(OR(V1850="Aprobada"),R1850,IF(AND(OR(V1850="Aprobada con ajuste",V1850="Rechazada"),W1850&lt;&gt;""),W1850,""))</f>
        <v/>
      </c>
    </row>
    <row r="1851" customFormat="false" ht="53.7" hidden="false" customHeight="false" outlineLevel="0" collapsed="false">
      <c r="A1851" s="18" t="s">
        <v>7946</v>
      </c>
      <c r="B1851" s="18" t="s">
        <v>66</v>
      </c>
      <c r="C1851" s="18" t="s">
        <v>67</v>
      </c>
      <c r="D1851" s="18" t="s">
        <v>7924</v>
      </c>
      <c r="E1851" s="18" t="n">
        <v>48</v>
      </c>
      <c r="F1851" s="18" t="s">
        <v>7500</v>
      </c>
      <c r="G1851" s="18" t="s">
        <v>294</v>
      </c>
      <c r="H1851" s="18" t="s">
        <v>129</v>
      </c>
      <c r="I1851" s="18"/>
      <c r="J1851" s="18"/>
      <c r="K1851" s="18"/>
      <c r="L1851" s="18" t="s">
        <v>129</v>
      </c>
      <c r="M1851" s="18" t="s">
        <v>129</v>
      </c>
      <c r="N1851" s="18"/>
      <c r="O1851" s="18"/>
      <c r="P1851" s="18" t="s">
        <v>7947</v>
      </c>
      <c r="Q1851" s="18" t="s">
        <v>149</v>
      </c>
      <c r="R1851" s="18" t="s">
        <v>7502</v>
      </c>
      <c r="S1851" s="18" t="s">
        <v>133</v>
      </c>
      <c r="T1851" s="18" t="s">
        <v>7503</v>
      </c>
      <c r="U1851" s="18"/>
      <c r="V1851" s="19" t="s">
        <v>29</v>
      </c>
      <c r="W1851" s="19"/>
      <c r="X1851" s="19"/>
      <c r="Y1851" s="20"/>
      <c r="Z1851" s="19"/>
      <c r="AA1851" s="18" t="str">
        <f aca="false">IF(OR(V1851="Aprobada"),R1851,IF(AND(OR(V1851="Aprobada con ajuste",V1851="Rechazada"),W1851&lt;&gt;""),W1851,""))</f>
        <v/>
      </c>
    </row>
    <row r="1852" customFormat="false" ht="43.25" hidden="false" customHeight="false" outlineLevel="0" collapsed="false">
      <c r="A1852" s="18" t="s">
        <v>7948</v>
      </c>
      <c r="B1852" s="18" t="s">
        <v>66</v>
      </c>
      <c r="C1852" s="18" t="s">
        <v>67</v>
      </c>
      <c r="D1852" s="18" t="s">
        <v>7924</v>
      </c>
      <c r="E1852" s="18" t="n">
        <v>48</v>
      </c>
      <c r="F1852" s="18" t="s">
        <v>1018</v>
      </c>
      <c r="G1852" s="18" t="s">
        <v>503</v>
      </c>
      <c r="H1852" s="18" t="s">
        <v>162</v>
      </c>
      <c r="I1852" s="18"/>
      <c r="J1852" s="18"/>
      <c r="K1852" s="18"/>
      <c r="L1852" s="18" t="s">
        <v>129</v>
      </c>
      <c r="M1852" s="18" t="s">
        <v>129</v>
      </c>
      <c r="N1852" s="18"/>
      <c r="O1852" s="18"/>
      <c r="P1852" s="18" t="s">
        <v>7949</v>
      </c>
      <c r="Q1852" s="18" t="s">
        <v>131</v>
      </c>
      <c r="R1852" s="18" t="s">
        <v>7950</v>
      </c>
      <c r="S1852" s="18" t="s">
        <v>133</v>
      </c>
      <c r="T1852" s="18" t="s">
        <v>7951</v>
      </c>
      <c r="U1852" s="18"/>
      <c r="V1852" s="19" t="s">
        <v>29</v>
      </c>
      <c r="W1852" s="19"/>
      <c r="X1852" s="19"/>
      <c r="Y1852" s="20"/>
      <c r="Z1852" s="19"/>
      <c r="AA1852" s="18" t="str">
        <f aca="false">IF(OR(V1852="Aprobada"),R1852,IF(AND(OR(V1852="Aprobada con ajuste",V1852="Rechazada"),W1852&lt;&gt;""),W1852,""))</f>
        <v/>
      </c>
    </row>
    <row r="1853" customFormat="false" ht="43.25" hidden="false" customHeight="false" outlineLevel="0" collapsed="false">
      <c r="A1853" s="18" t="s">
        <v>7952</v>
      </c>
      <c r="B1853" s="18" t="s">
        <v>66</v>
      </c>
      <c r="C1853" s="18" t="s">
        <v>67</v>
      </c>
      <c r="D1853" s="18" t="s">
        <v>7924</v>
      </c>
      <c r="E1853" s="18" t="n">
        <v>48</v>
      </c>
      <c r="F1853" s="18" t="s">
        <v>7953</v>
      </c>
      <c r="G1853" s="18" t="s">
        <v>173</v>
      </c>
      <c r="H1853" s="18" t="s">
        <v>162</v>
      </c>
      <c r="I1853" s="18"/>
      <c r="J1853" s="18"/>
      <c r="K1853" s="18"/>
      <c r="L1853" s="18" t="s">
        <v>129</v>
      </c>
      <c r="M1853" s="18" t="s">
        <v>129</v>
      </c>
      <c r="N1853" s="18"/>
      <c r="O1853" s="18"/>
      <c r="P1853" s="18" t="s">
        <v>7954</v>
      </c>
      <c r="Q1853" s="18" t="s">
        <v>138</v>
      </c>
      <c r="R1853" s="18" t="s">
        <v>7955</v>
      </c>
      <c r="S1853" s="18" t="s">
        <v>140</v>
      </c>
      <c r="T1853" s="18" t="s">
        <v>141</v>
      </c>
      <c r="U1853" s="18"/>
      <c r="V1853" s="19" t="s">
        <v>29</v>
      </c>
      <c r="W1853" s="19"/>
      <c r="X1853" s="19"/>
      <c r="Y1853" s="20"/>
      <c r="Z1853" s="19"/>
      <c r="AA1853" s="18" t="str">
        <f aca="false">IF(OR(V1853="Aprobada"),R1853,IF(AND(OR(V1853="Aprobada con ajuste",V1853="Rechazada"),W1853&lt;&gt;""),W1853,""))</f>
        <v/>
      </c>
    </row>
    <row r="1854" customFormat="false" ht="43.25" hidden="false" customHeight="false" outlineLevel="0" collapsed="false">
      <c r="A1854" s="18" t="s">
        <v>7956</v>
      </c>
      <c r="B1854" s="18" t="s">
        <v>66</v>
      </c>
      <c r="C1854" s="18" t="s">
        <v>67</v>
      </c>
      <c r="D1854" s="18" t="s">
        <v>7924</v>
      </c>
      <c r="E1854" s="18" t="n">
        <v>48</v>
      </c>
      <c r="F1854" s="18" t="s">
        <v>311</v>
      </c>
      <c r="G1854" s="18" t="s">
        <v>180</v>
      </c>
      <c r="H1854" s="18" t="s">
        <v>162</v>
      </c>
      <c r="I1854" s="18"/>
      <c r="J1854" s="18"/>
      <c r="K1854" s="18"/>
      <c r="L1854" s="18" t="s">
        <v>129</v>
      </c>
      <c r="M1854" s="18" t="s">
        <v>129</v>
      </c>
      <c r="N1854" s="18"/>
      <c r="O1854" s="18"/>
      <c r="P1854" s="18" t="s">
        <v>7957</v>
      </c>
      <c r="Q1854" s="18" t="s">
        <v>138</v>
      </c>
      <c r="R1854" s="18" t="s">
        <v>314</v>
      </c>
      <c r="S1854" s="18" t="s">
        <v>140</v>
      </c>
      <c r="T1854" s="18" t="s">
        <v>141</v>
      </c>
      <c r="U1854" s="18"/>
      <c r="V1854" s="19" t="s">
        <v>29</v>
      </c>
      <c r="W1854" s="19"/>
      <c r="X1854" s="19"/>
      <c r="Y1854" s="20"/>
      <c r="Z1854" s="19"/>
      <c r="AA1854" s="18" t="str">
        <f aca="false">IF(OR(V1854="Aprobada"),R1854,IF(AND(OR(V1854="Aprobada con ajuste",V1854="Rechazada"),W1854&lt;&gt;""),W1854,""))</f>
        <v/>
      </c>
    </row>
    <row r="1855" customFormat="false" ht="43.25" hidden="false" customHeight="false" outlineLevel="0" collapsed="false">
      <c r="A1855" s="18" t="s">
        <v>7958</v>
      </c>
      <c r="B1855" s="18" t="s">
        <v>66</v>
      </c>
      <c r="C1855" s="18" t="s">
        <v>67</v>
      </c>
      <c r="D1855" s="18" t="s">
        <v>7924</v>
      </c>
      <c r="E1855" s="18" t="n">
        <v>48</v>
      </c>
      <c r="F1855" s="18" t="s">
        <v>316</v>
      </c>
      <c r="G1855" s="18" t="s">
        <v>317</v>
      </c>
      <c r="H1855" s="18" t="s">
        <v>162</v>
      </c>
      <c r="I1855" s="18"/>
      <c r="J1855" s="18"/>
      <c r="K1855" s="18"/>
      <c r="L1855" s="18" t="s">
        <v>129</v>
      </c>
      <c r="M1855" s="18" t="s">
        <v>129</v>
      </c>
      <c r="N1855" s="18"/>
      <c r="O1855" s="18"/>
      <c r="P1855" s="18" t="s">
        <v>7959</v>
      </c>
      <c r="Q1855" s="18" t="s">
        <v>138</v>
      </c>
      <c r="R1855" s="18" t="s">
        <v>319</v>
      </c>
      <c r="S1855" s="18" t="s">
        <v>140</v>
      </c>
      <c r="T1855" s="18" t="s">
        <v>141</v>
      </c>
      <c r="U1855" s="18"/>
      <c r="V1855" s="19" t="s">
        <v>29</v>
      </c>
      <c r="W1855" s="19"/>
      <c r="X1855" s="19"/>
      <c r="Y1855" s="20"/>
      <c r="Z1855" s="19"/>
      <c r="AA1855" s="18" t="str">
        <f aca="false">IF(OR(V1855="Aprobada"),R1855,IF(AND(OR(V1855="Aprobada con ajuste",V1855="Rechazada"),W1855&lt;&gt;""),W1855,""))</f>
        <v/>
      </c>
    </row>
    <row r="1856" customFormat="false" ht="53.7" hidden="false" customHeight="false" outlineLevel="0" collapsed="false">
      <c r="A1856" s="18" t="s">
        <v>7960</v>
      </c>
      <c r="B1856" s="18" t="s">
        <v>66</v>
      </c>
      <c r="C1856" s="18" t="s">
        <v>67</v>
      </c>
      <c r="D1856" s="18" t="s">
        <v>7924</v>
      </c>
      <c r="E1856" s="18" t="n">
        <v>48</v>
      </c>
      <c r="F1856" s="18" t="s">
        <v>7961</v>
      </c>
      <c r="G1856" s="18" t="s">
        <v>128</v>
      </c>
      <c r="H1856" s="18" t="s">
        <v>162</v>
      </c>
      <c r="I1856" s="18"/>
      <c r="J1856" s="18"/>
      <c r="K1856" s="18"/>
      <c r="L1856" s="18" t="s">
        <v>129</v>
      </c>
      <c r="M1856" s="18" t="s">
        <v>129</v>
      </c>
      <c r="N1856" s="18"/>
      <c r="O1856" s="18"/>
      <c r="P1856" s="18" t="s">
        <v>7962</v>
      </c>
      <c r="Q1856" s="18" t="s">
        <v>149</v>
      </c>
      <c r="R1856" s="18" t="s">
        <v>7963</v>
      </c>
      <c r="S1856" s="18" t="s">
        <v>133</v>
      </c>
      <c r="T1856" s="18" t="s">
        <v>7594</v>
      </c>
      <c r="U1856" s="18"/>
      <c r="V1856" s="19" t="s">
        <v>29</v>
      </c>
      <c r="W1856" s="19"/>
      <c r="X1856" s="19"/>
      <c r="Y1856" s="20"/>
      <c r="Z1856" s="19"/>
      <c r="AA1856" s="18" t="str">
        <f aca="false">IF(OR(V1856="Aprobada"),R1856,IF(AND(OR(V1856="Aprobada con ajuste",V1856="Rechazada"),W1856&lt;&gt;""),W1856,""))</f>
        <v/>
      </c>
    </row>
    <row r="1857" customFormat="false" ht="43.25" hidden="false" customHeight="false" outlineLevel="0" collapsed="false">
      <c r="A1857" s="18" t="s">
        <v>7964</v>
      </c>
      <c r="B1857" s="18" t="s">
        <v>66</v>
      </c>
      <c r="C1857" s="18" t="s">
        <v>67</v>
      </c>
      <c r="D1857" s="18" t="s">
        <v>7924</v>
      </c>
      <c r="E1857" s="18" t="n">
        <v>48</v>
      </c>
      <c r="F1857" s="18" t="s">
        <v>5125</v>
      </c>
      <c r="G1857" s="18" t="s">
        <v>180</v>
      </c>
      <c r="H1857" s="18" t="s">
        <v>129</v>
      </c>
      <c r="I1857" s="18"/>
      <c r="J1857" s="18"/>
      <c r="K1857" s="18"/>
      <c r="L1857" s="18" t="s">
        <v>129</v>
      </c>
      <c r="M1857" s="18" t="s">
        <v>129</v>
      </c>
      <c r="N1857" s="18"/>
      <c r="O1857" s="18"/>
      <c r="P1857" s="18" t="s">
        <v>7965</v>
      </c>
      <c r="Q1857" s="18" t="s">
        <v>131</v>
      </c>
      <c r="R1857" s="18" t="s">
        <v>7966</v>
      </c>
      <c r="S1857" s="18" t="s">
        <v>133</v>
      </c>
      <c r="T1857" s="18" t="s">
        <v>7967</v>
      </c>
      <c r="U1857" s="18"/>
      <c r="V1857" s="19" t="s">
        <v>29</v>
      </c>
      <c r="W1857" s="19"/>
      <c r="X1857" s="19"/>
      <c r="Y1857" s="20"/>
      <c r="Z1857" s="19"/>
      <c r="AA1857" s="18" t="str">
        <f aca="false">IF(OR(V1857="Aprobada"),R1857,IF(AND(OR(V1857="Aprobada con ajuste",V1857="Rechazada"),W1857&lt;&gt;""),W1857,""))</f>
        <v/>
      </c>
    </row>
    <row r="1858" customFormat="false" ht="32.8" hidden="false" customHeight="false" outlineLevel="0" collapsed="false">
      <c r="A1858" s="18" t="s">
        <v>7968</v>
      </c>
      <c r="B1858" s="18" t="s">
        <v>66</v>
      </c>
      <c r="C1858" s="18" t="s">
        <v>67</v>
      </c>
      <c r="D1858" s="18" t="s">
        <v>7924</v>
      </c>
      <c r="E1858" s="18" t="n">
        <v>48</v>
      </c>
      <c r="F1858" s="18" t="s">
        <v>7576</v>
      </c>
      <c r="G1858" s="18" t="s">
        <v>294</v>
      </c>
      <c r="H1858" s="18" t="s">
        <v>162</v>
      </c>
      <c r="I1858" s="18"/>
      <c r="J1858" s="18"/>
      <c r="K1858" s="18"/>
      <c r="L1858" s="18" t="s">
        <v>129</v>
      </c>
      <c r="M1858" s="18" t="s">
        <v>129</v>
      </c>
      <c r="N1858" s="18"/>
      <c r="O1858" s="18" t="s">
        <v>7969</v>
      </c>
      <c r="P1858" s="18" t="s">
        <v>7970</v>
      </c>
      <c r="Q1858" s="18" t="s">
        <v>131</v>
      </c>
      <c r="R1858" s="18" t="s">
        <v>7971</v>
      </c>
      <c r="S1858" s="18" t="s">
        <v>133</v>
      </c>
      <c r="T1858" s="18" t="s">
        <v>7972</v>
      </c>
      <c r="U1858" s="18"/>
      <c r="V1858" s="19" t="s">
        <v>29</v>
      </c>
      <c r="W1858" s="19"/>
      <c r="X1858" s="19"/>
      <c r="Y1858" s="20"/>
      <c r="Z1858" s="19"/>
      <c r="AA1858" s="18" t="str">
        <f aca="false">IF(OR(V1858="Aprobada"),R1858,IF(AND(OR(V1858="Aprobada con ajuste",V1858="Rechazada"),W1858&lt;&gt;""),W1858,""))</f>
        <v/>
      </c>
    </row>
    <row r="1859" customFormat="false" ht="43.25" hidden="false" customHeight="false" outlineLevel="0" collapsed="false">
      <c r="A1859" s="18" t="s">
        <v>7973</v>
      </c>
      <c r="B1859" s="18" t="s">
        <v>66</v>
      </c>
      <c r="C1859" s="18" t="s">
        <v>67</v>
      </c>
      <c r="D1859" s="18" t="s">
        <v>7924</v>
      </c>
      <c r="E1859" s="18" t="n">
        <v>48</v>
      </c>
      <c r="F1859" s="18" t="s">
        <v>321</v>
      </c>
      <c r="G1859" s="18" t="s">
        <v>317</v>
      </c>
      <c r="H1859" s="18" t="s">
        <v>162</v>
      </c>
      <c r="I1859" s="18"/>
      <c r="J1859" s="18"/>
      <c r="K1859" s="18"/>
      <c r="L1859" s="18" t="s">
        <v>129</v>
      </c>
      <c r="M1859" s="18" t="s">
        <v>129</v>
      </c>
      <c r="N1859" s="18"/>
      <c r="O1859" s="18" t="s">
        <v>7974</v>
      </c>
      <c r="P1859" s="18" t="s">
        <v>7975</v>
      </c>
      <c r="Q1859" s="18" t="s">
        <v>138</v>
      </c>
      <c r="R1859" s="18" t="s">
        <v>7583</v>
      </c>
      <c r="S1859" s="18" t="s">
        <v>140</v>
      </c>
      <c r="T1859" s="18" t="s">
        <v>141</v>
      </c>
      <c r="U1859" s="18"/>
      <c r="V1859" s="19" t="s">
        <v>29</v>
      </c>
      <c r="W1859" s="19"/>
      <c r="X1859" s="19"/>
      <c r="Y1859" s="20"/>
      <c r="Z1859" s="19"/>
      <c r="AA1859" s="18" t="str">
        <f aca="false">IF(OR(V1859="Aprobada"),R1859,IF(AND(OR(V1859="Aprobada con ajuste",V1859="Rechazada"),W1859&lt;&gt;""),W1859,""))</f>
        <v/>
      </c>
    </row>
    <row r="1860" customFormat="false" ht="43.25" hidden="false" customHeight="false" outlineLevel="0" collapsed="false">
      <c r="A1860" s="18" t="s">
        <v>7976</v>
      </c>
      <c r="B1860" s="18" t="s">
        <v>66</v>
      </c>
      <c r="C1860" s="18" t="s">
        <v>67</v>
      </c>
      <c r="D1860" s="18" t="s">
        <v>7924</v>
      </c>
      <c r="E1860" s="18" t="n">
        <v>48</v>
      </c>
      <c r="F1860" s="18" t="s">
        <v>7517</v>
      </c>
      <c r="G1860" s="18" t="s">
        <v>161</v>
      </c>
      <c r="H1860" s="18" t="s">
        <v>162</v>
      </c>
      <c r="I1860" s="18"/>
      <c r="J1860" s="18"/>
      <c r="K1860" s="18"/>
      <c r="L1860" s="18" t="s">
        <v>129</v>
      </c>
      <c r="M1860" s="18" t="s">
        <v>129</v>
      </c>
      <c r="N1860" s="18"/>
      <c r="O1860" s="18"/>
      <c r="P1860" s="18" t="s">
        <v>7977</v>
      </c>
      <c r="Q1860" s="18" t="s">
        <v>131</v>
      </c>
      <c r="R1860" s="18" t="s">
        <v>7978</v>
      </c>
      <c r="S1860" s="18" t="s">
        <v>133</v>
      </c>
      <c r="T1860" s="18" t="s">
        <v>7979</v>
      </c>
      <c r="U1860" s="18"/>
      <c r="V1860" s="19" t="s">
        <v>29</v>
      </c>
      <c r="W1860" s="19"/>
      <c r="X1860" s="19"/>
      <c r="Y1860" s="20"/>
      <c r="Z1860" s="19"/>
      <c r="AA1860" s="18" t="str">
        <f aca="false">IF(OR(V1860="Aprobada"),R1860,IF(AND(OR(V1860="Aprobada con ajuste",V1860="Rechazada"),W1860&lt;&gt;""),W1860,""))</f>
        <v/>
      </c>
    </row>
    <row r="1861" customFormat="false" ht="43.25" hidden="false" customHeight="false" outlineLevel="0" collapsed="false">
      <c r="A1861" s="18" t="s">
        <v>7980</v>
      </c>
      <c r="B1861" s="18" t="s">
        <v>66</v>
      </c>
      <c r="C1861" s="18" t="s">
        <v>67</v>
      </c>
      <c r="D1861" s="18" t="s">
        <v>7924</v>
      </c>
      <c r="E1861" s="18" t="n">
        <v>48</v>
      </c>
      <c r="F1861" s="18" t="s">
        <v>7523</v>
      </c>
      <c r="G1861" s="18" t="s">
        <v>173</v>
      </c>
      <c r="H1861" s="18" t="s">
        <v>162</v>
      </c>
      <c r="I1861" s="18"/>
      <c r="J1861" s="18"/>
      <c r="K1861" s="18"/>
      <c r="L1861" s="18" t="s">
        <v>129</v>
      </c>
      <c r="M1861" s="18" t="s">
        <v>129</v>
      </c>
      <c r="N1861" s="18"/>
      <c r="O1861" s="18"/>
      <c r="P1861" s="18" t="s">
        <v>7981</v>
      </c>
      <c r="Q1861" s="18" t="s">
        <v>138</v>
      </c>
      <c r="R1861" s="18" t="s">
        <v>7525</v>
      </c>
      <c r="S1861" s="18" t="s">
        <v>140</v>
      </c>
      <c r="T1861" s="18" t="s">
        <v>141</v>
      </c>
      <c r="U1861" s="18"/>
      <c r="V1861" s="19" t="s">
        <v>29</v>
      </c>
      <c r="W1861" s="19"/>
      <c r="X1861" s="19"/>
      <c r="Y1861" s="20"/>
      <c r="Z1861" s="19"/>
      <c r="AA1861" s="18" t="str">
        <f aca="false">IF(OR(V1861="Aprobada"),R1861,IF(AND(OR(V1861="Aprobada con ajuste",V1861="Rechazada"),W1861&lt;&gt;""),W1861,""))</f>
        <v/>
      </c>
    </row>
    <row r="1862" customFormat="false" ht="43.25" hidden="false" customHeight="false" outlineLevel="0" collapsed="false">
      <c r="A1862" s="18" t="s">
        <v>7982</v>
      </c>
      <c r="B1862" s="18" t="s">
        <v>66</v>
      </c>
      <c r="C1862" s="18" t="s">
        <v>67</v>
      </c>
      <c r="D1862" s="18" t="s">
        <v>7924</v>
      </c>
      <c r="E1862" s="18" t="n">
        <v>48</v>
      </c>
      <c r="F1862" s="18" t="s">
        <v>7527</v>
      </c>
      <c r="G1862" s="18" t="s">
        <v>317</v>
      </c>
      <c r="H1862" s="18" t="s">
        <v>162</v>
      </c>
      <c r="I1862" s="18"/>
      <c r="J1862" s="18"/>
      <c r="K1862" s="18"/>
      <c r="L1862" s="18" t="s">
        <v>129</v>
      </c>
      <c r="M1862" s="18" t="s">
        <v>129</v>
      </c>
      <c r="N1862" s="18"/>
      <c r="O1862" s="18"/>
      <c r="P1862" s="18" t="s">
        <v>7983</v>
      </c>
      <c r="Q1862" s="18" t="s">
        <v>138</v>
      </c>
      <c r="R1862" s="18" t="s">
        <v>7529</v>
      </c>
      <c r="S1862" s="18" t="s">
        <v>140</v>
      </c>
      <c r="T1862" s="18" t="s">
        <v>141</v>
      </c>
      <c r="U1862" s="18"/>
      <c r="V1862" s="19" t="s">
        <v>29</v>
      </c>
      <c r="W1862" s="19"/>
      <c r="X1862" s="19"/>
      <c r="Y1862" s="20"/>
      <c r="Z1862" s="19"/>
      <c r="AA1862" s="18" t="str">
        <f aca="false">IF(OR(V1862="Aprobada"),R1862,IF(AND(OR(V1862="Aprobada con ajuste",V1862="Rechazada"),W1862&lt;&gt;""),W1862,""))</f>
        <v/>
      </c>
    </row>
    <row r="1863" customFormat="false" ht="43.25" hidden="false" customHeight="false" outlineLevel="0" collapsed="false">
      <c r="A1863" s="18" t="s">
        <v>7984</v>
      </c>
      <c r="B1863" s="18" t="s">
        <v>66</v>
      </c>
      <c r="C1863" s="18" t="s">
        <v>67</v>
      </c>
      <c r="D1863" s="18" t="s">
        <v>7985</v>
      </c>
      <c r="E1863" s="18" t="n">
        <v>34</v>
      </c>
      <c r="F1863" s="18" t="s">
        <v>611</v>
      </c>
      <c r="G1863" s="18" t="s">
        <v>180</v>
      </c>
      <c r="H1863" s="18" t="s">
        <v>129</v>
      </c>
      <c r="I1863" s="18" t="s">
        <v>146</v>
      </c>
      <c r="J1863" s="18"/>
      <c r="K1863" s="18"/>
      <c r="L1863" s="18" t="s">
        <v>129</v>
      </c>
      <c r="M1863" s="18" t="s">
        <v>129</v>
      </c>
      <c r="N1863" s="18"/>
      <c r="O1863" s="18" t="s">
        <v>7986</v>
      </c>
      <c r="P1863" s="18" t="s">
        <v>7987</v>
      </c>
      <c r="Q1863" s="18" t="s">
        <v>138</v>
      </c>
      <c r="R1863" s="18" t="s">
        <v>7988</v>
      </c>
      <c r="S1863" s="18" t="s">
        <v>140</v>
      </c>
      <c r="T1863" s="18" t="s">
        <v>141</v>
      </c>
      <c r="U1863" s="18"/>
      <c r="V1863" s="19" t="s">
        <v>29</v>
      </c>
      <c r="W1863" s="19"/>
      <c r="X1863" s="19"/>
      <c r="Y1863" s="20"/>
      <c r="Z1863" s="19"/>
      <c r="AA1863" s="18" t="str">
        <f aca="false">IF(OR(V1863="Aprobada"),R1863,IF(AND(OR(V1863="Aprobada con ajuste",V1863="Rechazada"),W1863&lt;&gt;""),W1863,""))</f>
        <v/>
      </c>
    </row>
    <row r="1864" customFormat="false" ht="74.6" hidden="false" customHeight="false" outlineLevel="0" collapsed="false">
      <c r="A1864" s="18" t="s">
        <v>7989</v>
      </c>
      <c r="B1864" s="18" t="s">
        <v>66</v>
      </c>
      <c r="C1864" s="18" t="s">
        <v>67</v>
      </c>
      <c r="D1864" s="18" t="s">
        <v>7985</v>
      </c>
      <c r="E1864" s="18" t="n">
        <v>34</v>
      </c>
      <c r="F1864" s="18" t="s">
        <v>281</v>
      </c>
      <c r="G1864" s="18" t="s">
        <v>145</v>
      </c>
      <c r="H1864" s="18" t="s">
        <v>129</v>
      </c>
      <c r="I1864" s="18" t="s">
        <v>298</v>
      </c>
      <c r="J1864" s="18" t="s">
        <v>7990</v>
      </c>
      <c r="K1864" s="18"/>
      <c r="L1864" s="18" t="s">
        <v>162</v>
      </c>
      <c r="M1864" s="18" t="s">
        <v>129</v>
      </c>
      <c r="N1864" s="18"/>
      <c r="O1864" s="18" t="s">
        <v>7991</v>
      </c>
      <c r="P1864" s="18" t="s">
        <v>7992</v>
      </c>
      <c r="Q1864" s="18" t="s">
        <v>149</v>
      </c>
      <c r="R1864" s="18" t="s">
        <v>7993</v>
      </c>
      <c r="S1864" s="18" t="s">
        <v>140</v>
      </c>
      <c r="T1864" s="18" t="s">
        <v>801</v>
      </c>
      <c r="U1864" s="18" t="s">
        <v>7994</v>
      </c>
      <c r="V1864" s="19" t="s">
        <v>29</v>
      </c>
      <c r="W1864" s="19"/>
      <c r="X1864" s="19"/>
      <c r="Y1864" s="20"/>
      <c r="Z1864" s="19"/>
      <c r="AA1864" s="18" t="str">
        <f aca="false">IF(OR(V1864="Aprobada"),R1864,IF(AND(OR(V1864="Aprobada con ajuste",V1864="Rechazada"),W1864&lt;&gt;""),W1864,""))</f>
        <v/>
      </c>
    </row>
    <row r="1865" customFormat="false" ht="64.15" hidden="false" customHeight="false" outlineLevel="0" collapsed="false">
      <c r="A1865" s="18" t="s">
        <v>7995</v>
      </c>
      <c r="B1865" s="18" t="s">
        <v>66</v>
      </c>
      <c r="C1865" s="18" t="s">
        <v>67</v>
      </c>
      <c r="D1865" s="18" t="s">
        <v>7985</v>
      </c>
      <c r="E1865" s="18" t="n">
        <v>34</v>
      </c>
      <c r="F1865" s="18" t="s">
        <v>185</v>
      </c>
      <c r="G1865" s="18" t="s">
        <v>180</v>
      </c>
      <c r="H1865" s="18" t="s">
        <v>129</v>
      </c>
      <c r="I1865" s="18"/>
      <c r="J1865" s="18"/>
      <c r="K1865" s="18"/>
      <c r="L1865" s="18" t="s">
        <v>129</v>
      </c>
      <c r="M1865" s="18" t="s">
        <v>129</v>
      </c>
      <c r="N1865" s="18"/>
      <c r="O1865" s="18" t="s">
        <v>7996</v>
      </c>
      <c r="P1865" s="18" t="s">
        <v>7997</v>
      </c>
      <c r="Q1865" s="18" t="s">
        <v>138</v>
      </c>
      <c r="R1865" s="18" t="s">
        <v>7998</v>
      </c>
      <c r="S1865" s="18" t="s">
        <v>140</v>
      </c>
      <c r="T1865" s="18" t="s">
        <v>141</v>
      </c>
      <c r="U1865" s="18"/>
      <c r="V1865" s="19" t="s">
        <v>29</v>
      </c>
      <c r="W1865" s="19"/>
      <c r="X1865" s="19"/>
      <c r="Y1865" s="20"/>
      <c r="Z1865" s="19"/>
      <c r="AA1865" s="18" t="str">
        <f aca="false">IF(OR(V1865="Aprobada"),R1865,IF(AND(OR(V1865="Aprobada con ajuste",V1865="Rechazada"),W1865&lt;&gt;""),W1865,""))</f>
        <v/>
      </c>
    </row>
    <row r="1866" customFormat="false" ht="43.25" hidden="false" customHeight="false" outlineLevel="0" collapsed="false">
      <c r="A1866" s="18" t="s">
        <v>7999</v>
      </c>
      <c r="B1866" s="18" t="s">
        <v>66</v>
      </c>
      <c r="C1866" s="18" t="s">
        <v>67</v>
      </c>
      <c r="D1866" s="18" t="s">
        <v>7985</v>
      </c>
      <c r="E1866" s="18" t="n">
        <v>34</v>
      </c>
      <c r="F1866" s="18" t="s">
        <v>6890</v>
      </c>
      <c r="G1866" s="18" t="s">
        <v>180</v>
      </c>
      <c r="H1866" s="18" t="s">
        <v>129</v>
      </c>
      <c r="I1866" s="18"/>
      <c r="J1866" s="18"/>
      <c r="K1866" s="18"/>
      <c r="L1866" s="18" t="s">
        <v>129</v>
      </c>
      <c r="M1866" s="18" t="s">
        <v>129</v>
      </c>
      <c r="N1866" s="18"/>
      <c r="O1866" s="18"/>
      <c r="P1866" s="18" t="s">
        <v>8000</v>
      </c>
      <c r="Q1866" s="18" t="s">
        <v>149</v>
      </c>
      <c r="R1866" s="18" t="s">
        <v>8001</v>
      </c>
      <c r="S1866" s="18" t="s">
        <v>133</v>
      </c>
      <c r="T1866" s="18" t="s">
        <v>7012</v>
      </c>
      <c r="U1866" s="18"/>
      <c r="V1866" s="19" t="s">
        <v>29</v>
      </c>
      <c r="W1866" s="19"/>
      <c r="X1866" s="19"/>
      <c r="Y1866" s="20"/>
      <c r="Z1866" s="19"/>
      <c r="AA1866" s="18" t="str">
        <f aca="false">IF(OR(V1866="Aprobada"),R1866,IF(AND(OR(V1866="Aprobada con ajuste",V1866="Rechazada"),W1866&lt;&gt;""),W1866,""))</f>
        <v/>
      </c>
    </row>
    <row r="1867" customFormat="false" ht="43.25" hidden="false" customHeight="false" outlineLevel="0" collapsed="false">
      <c r="A1867" s="18" t="s">
        <v>8002</v>
      </c>
      <c r="B1867" s="18" t="s">
        <v>66</v>
      </c>
      <c r="C1867" s="18" t="s">
        <v>67</v>
      </c>
      <c r="D1867" s="18" t="s">
        <v>7985</v>
      </c>
      <c r="E1867" s="18" t="n">
        <v>34</v>
      </c>
      <c r="F1867" s="18" t="s">
        <v>6916</v>
      </c>
      <c r="G1867" s="18" t="s">
        <v>180</v>
      </c>
      <c r="H1867" s="18" t="s">
        <v>129</v>
      </c>
      <c r="I1867" s="18"/>
      <c r="J1867" s="18"/>
      <c r="K1867" s="18"/>
      <c r="L1867" s="18" t="s">
        <v>129</v>
      </c>
      <c r="M1867" s="18" t="s">
        <v>129</v>
      </c>
      <c r="N1867" s="18"/>
      <c r="O1867" s="18"/>
      <c r="P1867" s="18" t="s">
        <v>8003</v>
      </c>
      <c r="Q1867" s="18" t="s">
        <v>149</v>
      </c>
      <c r="R1867" s="18" t="s">
        <v>8004</v>
      </c>
      <c r="S1867" s="18" t="s">
        <v>140</v>
      </c>
      <c r="T1867" s="18" t="s">
        <v>8005</v>
      </c>
      <c r="U1867" s="18" t="s">
        <v>8006</v>
      </c>
      <c r="V1867" s="19" t="s">
        <v>29</v>
      </c>
      <c r="W1867" s="19"/>
      <c r="X1867" s="19"/>
      <c r="Y1867" s="20"/>
      <c r="Z1867" s="19"/>
      <c r="AA1867" s="18" t="str">
        <f aca="false">IF(OR(V1867="Aprobada"),R1867,IF(AND(OR(V1867="Aprobada con ajuste",V1867="Rechazada"),W1867&lt;&gt;""),W1867,""))</f>
        <v/>
      </c>
    </row>
    <row r="1868" customFormat="false" ht="43.25" hidden="false" customHeight="false" outlineLevel="0" collapsed="false">
      <c r="A1868" s="18" t="s">
        <v>8007</v>
      </c>
      <c r="B1868" s="18" t="s">
        <v>66</v>
      </c>
      <c r="C1868" s="18" t="s">
        <v>67</v>
      </c>
      <c r="D1868" s="18" t="s">
        <v>7985</v>
      </c>
      <c r="E1868" s="18" t="n">
        <v>34</v>
      </c>
      <c r="F1868" s="18" t="s">
        <v>160</v>
      </c>
      <c r="G1868" s="18" t="s">
        <v>128</v>
      </c>
      <c r="H1868" s="18" t="s">
        <v>129</v>
      </c>
      <c r="I1868" s="18"/>
      <c r="J1868" s="18"/>
      <c r="K1868" s="18"/>
      <c r="L1868" s="18" t="s">
        <v>129</v>
      </c>
      <c r="M1868" s="18" t="s">
        <v>129</v>
      </c>
      <c r="N1868" s="18"/>
      <c r="O1868" s="18"/>
      <c r="P1868" s="18" t="s">
        <v>8008</v>
      </c>
      <c r="Q1868" s="18" t="s">
        <v>138</v>
      </c>
      <c r="R1868" s="18" t="s">
        <v>8009</v>
      </c>
      <c r="S1868" s="18" t="s">
        <v>140</v>
      </c>
      <c r="T1868" s="18" t="s">
        <v>141</v>
      </c>
      <c r="U1868" s="18"/>
      <c r="V1868" s="19" t="s">
        <v>29</v>
      </c>
      <c r="W1868" s="19"/>
      <c r="X1868" s="19"/>
      <c r="Y1868" s="20"/>
      <c r="Z1868" s="19"/>
      <c r="AA1868" s="18" t="str">
        <f aca="false">IF(OR(V1868="Aprobada"),R1868,IF(AND(OR(V1868="Aprobada con ajuste",V1868="Rechazada"),W1868&lt;&gt;""),W1868,""))</f>
        <v/>
      </c>
    </row>
    <row r="1869" customFormat="false" ht="43.25" hidden="false" customHeight="false" outlineLevel="0" collapsed="false">
      <c r="A1869" s="18" t="s">
        <v>8010</v>
      </c>
      <c r="B1869" s="18" t="s">
        <v>66</v>
      </c>
      <c r="C1869" s="18" t="s">
        <v>67</v>
      </c>
      <c r="D1869" s="18" t="s">
        <v>7985</v>
      </c>
      <c r="E1869" s="18" t="n">
        <v>34</v>
      </c>
      <c r="F1869" s="18" t="s">
        <v>8011</v>
      </c>
      <c r="G1869" s="18" t="s">
        <v>128</v>
      </c>
      <c r="H1869" s="18" t="s">
        <v>129</v>
      </c>
      <c r="I1869" s="18"/>
      <c r="J1869" s="18"/>
      <c r="K1869" s="18"/>
      <c r="L1869" s="18" t="s">
        <v>129</v>
      </c>
      <c r="M1869" s="18" t="s">
        <v>129</v>
      </c>
      <c r="N1869" s="18"/>
      <c r="O1869" s="18"/>
      <c r="P1869" s="18" t="s">
        <v>8012</v>
      </c>
      <c r="Q1869" s="18" t="s">
        <v>149</v>
      </c>
      <c r="R1869" s="18" t="s">
        <v>8013</v>
      </c>
      <c r="S1869" s="18" t="s">
        <v>133</v>
      </c>
      <c r="T1869" s="18" t="s">
        <v>7012</v>
      </c>
      <c r="U1869" s="18"/>
      <c r="V1869" s="19" t="s">
        <v>29</v>
      </c>
      <c r="W1869" s="19"/>
      <c r="X1869" s="19"/>
      <c r="Y1869" s="20"/>
      <c r="Z1869" s="19"/>
      <c r="AA1869" s="18" t="str">
        <f aca="false">IF(OR(V1869="Aprobada"),R1869,IF(AND(OR(V1869="Aprobada con ajuste",V1869="Rechazada"),W1869&lt;&gt;""),W1869,""))</f>
        <v/>
      </c>
    </row>
    <row r="1870" customFormat="false" ht="43.25" hidden="false" customHeight="false" outlineLevel="0" collapsed="false">
      <c r="A1870" s="18" t="s">
        <v>8014</v>
      </c>
      <c r="B1870" s="18" t="s">
        <v>66</v>
      </c>
      <c r="C1870" s="18" t="s">
        <v>67</v>
      </c>
      <c r="D1870" s="18" t="s">
        <v>7985</v>
      </c>
      <c r="E1870" s="18" t="n">
        <v>34</v>
      </c>
      <c r="F1870" s="18" t="s">
        <v>8015</v>
      </c>
      <c r="G1870" s="18" t="s">
        <v>192</v>
      </c>
      <c r="H1870" s="18" t="s">
        <v>129</v>
      </c>
      <c r="I1870" s="18"/>
      <c r="J1870" s="18"/>
      <c r="K1870" s="18"/>
      <c r="L1870" s="18" t="s">
        <v>129</v>
      </c>
      <c r="M1870" s="18" t="s">
        <v>129</v>
      </c>
      <c r="N1870" s="18"/>
      <c r="O1870" s="18"/>
      <c r="P1870" s="18" t="s">
        <v>8016</v>
      </c>
      <c r="Q1870" s="18" t="s">
        <v>149</v>
      </c>
      <c r="R1870" s="18" t="s">
        <v>8017</v>
      </c>
      <c r="S1870" s="18" t="s">
        <v>133</v>
      </c>
      <c r="T1870" s="18" t="s">
        <v>8018</v>
      </c>
      <c r="U1870" s="18"/>
      <c r="V1870" s="19" t="s">
        <v>29</v>
      </c>
      <c r="W1870" s="19"/>
      <c r="X1870" s="19"/>
      <c r="Y1870" s="20"/>
      <c r="Z1870" s="19"/>
      <c r="AA1870" s="18" t="str">
        <f aca="false">IF(OR(V1870="Aprobada"),R1870,IF(AND(OR(V1870="Aprobada con ajuste",V1870="Rechazada"),W1870&lt;&gt;""),W1870,""))</f>
        <v/>
      </c>
    </row>
    <row r="1871" customFormat="false" ht="43.25" hidden="false" customHeight="false" outlineLevel="0" collapsed="false">
      <c r="A1871" s="18" t="s">
        <v>8019</v>
      </c>
      <c r="B1871" s="18" t="s">
        <v>66</v>
      </c>
      <c r="C1871" s="18" t="s">
        <v>67</v>
      </c>
      <c r="D1871" s="18" t="s">
        <v>7985</v>
      </c>
      <c r="E1871" s="18" t="n">
        <v>34</v>
      </c>
      <c r="F1871" s="18" t="s">
        <v>5179</v>
      </c>
      <c r="G1871" s="18" t="s">
        <v>192</v>
      </c>
      <c r="H1871" s="18" t="s">
        <v>129</v>
      </c>
      <c r="I1871" s="18"/>
      <c r="J1871" s="18"/>
      <c r="K1871" s="18"/>
      <c r="L1871" s="18" t="s">
        <v>129</v>
      </c>
      <c r="M1871" s="18" t="s">
        <v>129</v>
      </c>
      <c r="N1871" s="18"/>
      <c r="O1871" s="18"/>
      <c r="P1871" s="18" t="s">
        <v>8020</v>
      </c>
      <c r="Q1871" s="18" t="s">
        <v>149</v>
      </c>
      <c r="R1871" s="18" t="s">
        <v>8021</v>
      </c>
      <c r="S1871" s="18" t="s">
        <v>140</v>
      </c>
      <c r="T1871" s="18" t="s">
        <v>8022</v>
      </c>
      <c r="U1871" s="18" t="s">
        <v>8023</v>
      </c>
      <c r="V1871" s="19" t="s">
        <v>29</v>
      </c>
      <c r="W1871" s="19"/>
      <c r="X1871" s="19"/>
      <c r="Y1871" s="20"/>
      <c r="Z1871" s="19"/>
      <c r="AA1871" s="18" t="str">
        <f aca="false">IF(OR(V1871="Aprobada"),R1871,IF(AND(OR(V1871="Aprobada con ajuste",V1871="Rechazada"),W1871&lt;&gt;""),W1871,""))</f>
        <v/>
      </c>
    </row>
    <row r="1872" customFormat="false" ht="43.25" hidden="false" customHeight="false" outlineLevel="0" collapsed="false">
      <c r="A1872" s="18" t="s">
        <v>8024</v>
      </c>
      <c r="B1872" s="18" t="s">
        <v>66</v>
      </c>
      <c r="C1872" s="18" t="s">
        <v>67</v>
      </c>
      <c r="D1872" s="18" t="s">
        <v>7985</v>
      </c>
      <c r="E1872" s="18" t="n">
        <v>34</v>
      </c>
      <c r="F1872" s="18" t="s">
        <v>4612</v>
      </c>
      <c r="G1872" s="18" t="s">
        <v>192</v>
      </c>
      <c r="H1872" s="18" t="s">
        <v>129</v>
      </c>
      <c r="I1872" s="18"/>
      <c r="J1872" s="18"/>
      <c r="K1872" s="18"/>
      <c r="L1872" s="18" t="s">
        <v>129</v>
      </c>
      <c r="M1872" s="18" t="s">
        <v>129</v>
      </c>
      <c r="N1872" s="18"/>
      <c r="O1872" s="18"/>
      <c r="P1872" s="18" t="s">
        <v>8025</v>
      </c>
      <c r="Q1872" s="18" t="s">
        <v>149</v>
      </c>
      <c r="R1872" s="18" t="s">
        <v>8026</v>
      </c>
      <c r="S1872" s="18" t="s">
        <v>133</v>
      </c>
      <c r="T1872" s="18" t="s">
        <v>8018</v>
      </c>
      <c r="U1872" s="18"/>
      <c r="V1872" s="19" t="s">
        <v>29</v>
      </c>
      <c r="W1872" s="19"/>
      <c r="X1872" s="19"/>
      <c r="Y1872" s="20"/>
      <c r="Z1872" s="19"/>
      <c r="AA1872" s="18" t="str">
        <f aca="false">IF(OR(V1872="Aprobada"),R1872,IF(AND(OR(V1872="Aprobada con ajuste",V1872="Rechazada"),W1872&lt;&gt;""),W1872,""))</f>
        <v/>
      </c>
    </row>
    <row r="1873" customFormat="false" ht="43.25" hidden="false" customHeight="false" outlineLevel="0" collapsed="false">
      <c r="A1873" s="18" t="s">
        <v>8027</v>
      </c>
      <c r="B1873" s="18" t="s">
        <v>66</v>
      </c>
      <c r="C1873" s="18" t="s">
        <v>67</v>
      </c>
      <c r="D1873" s="18" t="s">
        <v>7985</v>
      </c>
      <c r="E1873" s="18" t="n">
        <v>34</v>
      </c>
      <c r="F1873" s="18" t="s">
        <v>8028</v>
      </c>
      <c r="G1873" s="18" t="s">
        <v>137</v>
      </c>
      <c r="H1873" s="18" t="s">
        <v>129</v>
      </c>
      <c r="I1873" s="18"/>
      <c r="J1873" s="18"/>
      <c r="K1873" s="18"/>
      <c r="L1873" s="18" t="s">
        <v>129</v>
      </c>
      <c r="M1873" s="18" t="s">
        <v>129</v>
      </c>
      <c r="N1873" s="18"/>
      <c r="O1873" s="18"/>
      <c r="P1873" s="18" t="s">
        <v>8029</v>
      </c>
      <c r="Q1873" s="18" t="s">
        <v>138</v>
      </c>
      <c r="R1873" s="18" t="s">
        <v>8030</v>
      </c>
      <c r="S1873" s="18" t="s">
        <v>140</v>
      </c>
      <c r="T1873" s="18" t="s">
        <v>141</v>
      </c>
      <c r="U1873" s="18"/>
      <c r="V1873" s="19" t="s">
        <v>29</v>
      </c>
      <c r="W1873" s="19"/>
      <c r="X1873" s="19"/>
      <c r="Y1873" s="20"/>
      <c r="Z1873" s="19"/>
      <c r="AA1873" s="18" t="str">
        <f aca="false">IF(OR(V1873="Aprobada"),R1873,IF(AND(OR(V1873="Aprobada con ajuste",V1873="Rechazada"),W1873&lt;&gt;""),W1873,""))</f>
        <v/>
      </c>
    </row>
    <row r="1874" customFormat="false" ht="43.25" hidden="false" customHeight="false" outlineLevel="0" collapsed="false">
      <c r="A1874" s="18" t="s">
        <v>8031</v>
      </c>
      <c r="B1874" s="18" t="s">
        <v>66</v>
      </c>
      <c r="C1874" s="18" t="s">
        <v>67</v>
      </c>
      <c r="D1874" s="18" t="s">
        <v>7985</v>
      </c>
      <c r="E1874" s="18" t="n">
        <v>34</v>
      </c>
      <c r="F1874" s="18" t="s">
        <v>4443</v>
      </c>
      <c r="G1874" s="18" t="s">
        <v>137</v>
      </c>
      <c r="H1874" s="18" t="s">
        <v>162</v>
      </c>
      <c r="I1874" s="18"/>
      <c r="J1874" s="18"/>
      <c r="K1874" s="18"/>
      <c r="L1874" s="18" t="s">
        <v>129</v>
      </c>
      <c r="M1874" s="18" t="s">
        <v>129</v>
      </c>
      <c r="N1874" s="18"/>
      <c r="O1874" s="18"/>
      <c r="P1874" s="18" t="s">
        <v>8032</v>
      </c>
      <c r="Q1874" s="18" t="s">
        <v>138</v>
      </c>
      <c r="R1874" s="18" t="s">
        <v>4445</v>
      </c>
      <c r="S1874" s="18" t="s">
        <v>140</v>
      </c>
      <c r="T1874" s="18" t="s">
        <v>141</v>
      </c>
      <c r="U1874" s="18"/>
      <c r="V1874" s="19" t="s">
        <v>29</v>
      </c>
      <c r="W1874" s="19"/>
      <c r="X1874" s="19"/>
      <c r="Y1874" s="20"/>
      <c r="Z1874" s="19"/>
      <c r="AA1874" s="18" t="str">
        <f aca="false">IF(OR(V1874="Aprobada"),R1874,IF(AND(OR(V1874="Aprobada con ajuste",V1874="Rechazada"),W1874&lt;&gt;""),W1874,""))</f>
        <v/>
      </c>
    </row>
    <row r="1875" customFormat="false" ht="43.25" hidden="false" customHeight="false" outlineLevel="0" collapsed="false">
      <c r="A1875" s="18" t="s">
        <v>8033</v>
      </c>
      <c r="B1875" s="18" t="s">
        <v>66</v>
      </c>
      <c r="C1875" s="18" t="s">
        <v>67</v>
      </c>
      <c r="D1875" s="18" t="s">
        <v>7985</v>
      </c>
      <c r="E1875" s="18" t="n">
        <v>34</v>
      </c>
      <c r="F1875" s="18" t="s">
        <v>5081</v>
      </c>
      <c r="G1875" s="18" t="s">
        <v>180</v>
      </c>
      <c r="H1875" s="18" t="s">
        <v>162</v>
      </c>
      <c r="I1875" s="18"/>
      <c r="J1875" s="18"/>
      <c r="K1875" s="18"/>
      <c r="L1875" s="18" t="s">
        <v>129</v>
      </c>
      <c r="M1875" s="18" t="s">
        <v>129</v>
      </c>
      <c r="N1875" s="18"/>
      <c r="O1875" s="18"/>
      <c r="P1875" s="18" t="s">
        <v>8034</v>
      </c>
      <c r="Q1875" s="18" t="s">
        <v>149</v>
      </c>
      <c r="R1875" s="18" t="s">
        <v>8035</v>
      </c>
      <c r="S1875" s="18" t="s">
        <v>140</v>
      </c>
      <c r="T1875" s="18" t="s">
        <v>858</v>
      </c>
      <c r="U1875" s="18" t="s">
        <v>6637</v>
      </c>
      <c r="V1875" s="19" t="s">
        <v>29</v>
      </c>
      <c r="W1875" s="19"/>
      <c r="X1875" s="19"/>
      <c r="Y1875" s="20"/>
      <c r="Z1875" s="19"/>
      <c r="AA1875" s="18" t="str">
        <f aca="false">IF(OR(V1875="Aprobada"),R1875,IF(AND(OR(V1875="Aprobada con ajuste",V1875="Rechazada"),W1875&lt;&gt;""),W1875,""))</f>
        <v/>
      </c>
    </row>
    <row r="1876" customFormat="false" ht="43.25" hidden="false" customHeight="false" outlineLevel="0" collapsed="false">
      <c r="A1876" s="18" t="s">
        <v>8036</v>
      </c>
      <c r="B1876" s="18" t="s">
        <v>66</v>
      </c>
      <c r="C1876" s="18" t="s">
        <v>67</v>
      </c>
      <c r="D1876" s="18" t="s">
        <v>7985</v>
      </c>
      <c r="E1876" s="18" t="n">
        <v>34</v>
      </c>
      <c r="F1876" s="18" t="s">
        <v>8037</v>
      </c>
      <c r="G1876" s="18" t="s">
        <v>137</v>
      </c>
      <c r="H1876" s="18" t="s">
        <v>162</v>
      </c>
      <c r="I1876" s="18"/>
      <c r="J1876" s="18"/>
      <c r="K1876" s="18"/>
      <c r="L1876" s="18" t="s">
        <v>129</v>
      </c>
      <c r="M1876" s="18" t="s">
        <v>129</v>
      </c>
      <c r="N1876" s="18"/>
      <c r="O1876" s="18"/>
      <c r="P1876" s="18" t="s">
        <v>8038</v>
      </c>
      <c r="Q1876" s="18" t="s">
        <v>138</v>
      </c>
      <c r="R1876" s="18" t="s">
        <v>8039</v>
      </c>
      <c r="S1876" s="18" t="s">
        <v>140</v>
      </c>
      <c r="T1876" s="18" t="s">
        <v>141</v>
      </c>
      <c r="U1876" s="18"/>
      <c r="V1876" s="19" t="s">
        <v>29</v>
      </c>
      <c r="W1876" s="19"/>
      <c r="X1876" s="19"/>
      <c r="Y1876" s="20"/>
      <c r="Z1876" s="19"/>
      <c r="AA1876" s="18" t="str">
        <f aca="false">IF(OR(V1876="Aprobada"),R1876,IF(AND(OR(V1876="Aprobada con ajuste",V1876="Rechazada"),W1876&lt;&gt;""),W1876,""))</f>
        <v/>
      </c>
    </row>
    <row r="1877" customFormat="false" ht="43.25" hidden="false" customHeight="false" outlineLevel="0" collapsed="false">
      <c r="A1877" s="18" t="s">
        <v>8040</v>
      </c>
      <c r="B1877" s="18" t="s">
        <v>66</v>
      </c>
      <c r="C1877" s="18" t="s">
        <v>67</v>
      </c>
      <c r="D1877" s="18" t="s">
        <v>7985</v>
      </c>
      <c r="E1877" s="18" t="n">
        <v>34</v>
      </c>
      <c r="F1877" s="18" t="s">
        <v>8041</v>
      </c>
      <c r="G1877" s="18" t="s">
        <v>128</v>
      </c>
      <c r="H1877" s="18" t="s">
        <v>162</v>
      </c>
      <c r="I1877" s="18"/>
      <c r="J1877" s="18"/>
      <c r="K1877" s="18"/>
      <c r="L1877" s="18" t="s">
        <v>129</v>
      </c>
      <c r="M1877" s="18" t="s">
        <v>129</v>
      </c>
      <c r="N1877" s="18"/>
      <c r="O1877" s="18"/>
      <c r="P1877" s="18" t="s">
        <v>8042</v>
      </c>
      <c r="Q1877" s="18" t="s">
        <v>149</v>
      </c>
      <c r="R1877" s="18" t="s">
        <v>8043</v>
      </c>
      <c r="S1877" s="18" t="s">
        <v>133</v>
      </c>
      <c r="T1877" s="18" t="s">
        <v>8044</v>
      </c>
      <c r="U1877" s="18"/>
      <c r="V1877" s="19" t="s">
        <v>29</v>
      </c>
      <c r="W1877" s="19"/>
      <c r="X1877" s="19"/>
      <c r="Y1877" s="20"/>
      <c r="Z1877" s="19"/>
      <c r="AA1877" s="18" t="str">
        <f aca="false">IF(OR(V1877="Aprobada"),R1877,IF(AND(OR(V1877="Aprobada con ajuste",V1877="Rechazada"),W1877&lt;&gt;""),W1877,""))</f>
        <v/>
      </c>
    </row>
    <row r="1878" customFormat="false" ht="43.25" hidden="false" customHeight="false" outlineLevel="0" collapsed="false">
      <c r="A1878" s="18" t="s">
        <v>8045</v>
      </c>
      <c r="B1878" s="18" t="s">
        <v>66</v>
      </c>
      <c r="C1878" s="18" t="s">
        <v>67</v>
      </c>
      <c r="D1878" s="18" t="s">
        <v>7985</v>
      </c>
      <c r="E1878" s="18" t="n">
        <v>34</v>
      </c>
      <c r="F1878" s="18" t="s">
        <v>4369</v>
      </c>
      <c r="G1878" s="18" t="s">
        <v>161</v>
      </c>
      <c r="H1878" s="18" t="s">
        <v>162</v>
      </c>
      <c r="I1878" s="18"/>
      <c r="J1878" s="18"/>
      <c r="K1878" s="18"/>
      <c r="L1878" s="18" t="s">
        <v>129</v>
      </c>
      <c r="M1878" s="18" t="s">
        <v>129</v>
      </c>
      <c r="N1878" s="18"/>
      <c r="O1878" s="18"/>
      <c r="P1878" s="18" t="s">
        <v>8046</v>
      </c>
      <c r="Q1878" s="18" t="s">
        <v>149</v>
      </c>
      <c r="R1878" s="18" t="s">
        <v>5452</v>
      </c>
      <c r="S1878" s="18" t="s">
        <v>133</v>
      </c>
      <c r="T1878" s="18" t="s">
        <v>7012</v>
      </c>
      <c r="U1878" s="18"/>
      <c r="V1878" s="19" t="s">
        <v>29</v>
      </c>
      <c r="W1878" s="19"/>
      <c r="X1878" s="19"/>
      <c r="Y1878" s="20"/>
      <c r="Z1878" s="19"/>
      <c r="AA1878" s="18" t="str">
        <f aca="false">IF(OR(V1878="Aprobada"),R1878,IF(AND(OR(V1878="Aprobada con ajuste",V1878="Rechazada"),W1878&lt;&gt;""),W1878,""))</f>
        <v/>
      </c>
    </row>
    <row r="1879" customFormat="false" ht="22.35" hidden="false" customHeight="false" outlineLevel="0" collapsed="false">
      <c r="A1879" s="18" t="s">
        <v>8047</v>
      </c>
      <c r="B1879" s="18" t="s">
        <v>66</v>
      </c>
      <c r="C1879" s="18" t="s">
        <v>67</v>
      </c>
      <c r="D1879" s="18" t="s">
        <v>7985</v>
      </c>
      <c r="E1879" s="18" t="n">
        <v>34</v>
      </c>
      <c r="F1879" s="18" t="s">
        <v>8048</v>
      </c>
      <c r="G1879" s="18" t="s">
        <v>205</v>
      </c>
      <c r="H1879" s="18" t="s">
        <v>162</v>
      </c>
      <c r="I1879" s="18" t="s">
        <v>298</v>
      </c>
      <c r="J1879" s="18" t="s">
        <v>8049</v>
      </c>
      <c r="K1879" s="18"/>
      <c r="L1879" s="18" t="s">
        <v>162</v>
      </c>
      <c r="M1879" s="18" t="s">
        <v>129</v>
      </c>
      <c r="N1879" s="18"/>
      <c r="O1879" s="18" t="s">
        <v>8050</v>
      </c>
      <c r="P1879" s="18"/>
      <c r="Q1879" s="18" t="s">
        <v>149</v>
      </c>
      <c r="R1879" s="18" t="s">
        <v>8051</v>
      </c>
      <c r="S1879" s="18" t="s">
        <v>133</v>
      </c>
      <c r="T1879" s="18" t="s">
        <v>6905</v>
      </c>
      <c r="U1879" s="18"/>
      <c r="V1879" s="19" t="s">
        <v>29</v>
      </c>
      <c r="W1879" s="19"/>
      <c r="X1879" s="19"/>
      <c r="Y1879" s="20"/>
      <c r="Z1879" s="19"/>
      <c r="AA1879" s="18" t="str">
        <f aca="false">IF(OR(V1879="Aprobada"),R1879,IF(AND(OR(V1879="Aprobada con ajuste",V1879="Rechazada"),W1879&lt;&gt;""),W1879,""))</f>
        <v/>
      </c>
    </row>
    <row r="1880" customFormat="false" ht="22.35" hidden="false" customHeight="false" outlineLevel="0" collapsed="false">
      <c r="A1880" s="18" t="s">
        <v>8052</v>
      </c>
      <c r="B1880" s="18" t="s">
        <v>66</v>
      </c>
      <c r="C1880" s="18" t="s">
        <v>67</v>
      </c>
      <c r="D1880" s="18" t="s">
        <v>7985</v>
      </c>
      <c r="E1880" s="18" t="n">
        <v>34</v>
      </c>
      <c r="F1880" s="18" t="s">
        <v>5479</v>
      </c>
      <c r="G1880" s="18" t="s">
        <v>137</v>
      </c>
      <c r="H1880" s="18" t="s">
        <v>162</v>
      </c>
      <c r="I1880" s="18"/>
      <c r="J1880" s="18"/>
      <c r="K1880" s="18"/>
      <c r="L1880" s="18" t="s">
        <v>129</v>
      </c>
      <c r="M1880" s="18" t="s">
        <v>129</v>
      </c>
      <c r="N1880" s="18"/>
      <c r="O1880" s="18"/>
      <c r="P1880" s="18"/>
      <c r="Q1880" s="18" t="s">
        <v>138</v>
      </c>
      <c r="R1880" s="18" t="s">
        <v>5482</v>
      </c>
      <c r="S1880" s="18" t="s">
        <v>140</v>
      </c>
      <c r="T1880" s="18" t="s">
        <v>141</v>
      </c>
      <c r="U1880" s="18"/>
      <c r="V1880" s="19" t="s">
        <v>29</v>
      </c>
      <c r="W1880" s="19"/>
      <c r="X1880" s="19"/>
      <c r="Y1880" s="20"/>
      <c r="Z1880" s="19"/>
      <c r="AA1880" s="18" t="str">
        <f aca="false">IF(OR(V1880="Aprobada"),R1880,IF(AND(OR(V1880="Aprobada con ajuste",V1880="Rechazada"),W1880&lt;&gt;""),W1880,""))</f>
        <v/>
      </c>
    </row>
    <row r="1881" customFormat="false" ht="22.35" hidden="false" customHeight="false" outlineLevel="0" collapsed="false">
      <c r="A1881" s="18" t="s">
        <v>8053</v>
      </c>
      <c r="B1881" s="18" t="s">
        <v>66</v>
      </c>
      <c r="C1881" s="18" t="s">
        <v>67</v>
      </c>
      <c r="D1881" s="18" t="s">
        <v>7985</v>
      </c>
      <c r="E1881" s="18" t="n">
        <v>34</v>
      </c>
      <c r="F1881" s="18" t="s">
        <v>8054</v>
      </c>
      <c r="G1881" s="18" t="s">
        <v>503</v>
      </c>
      <c r="H1881" s="18" t="s">
        <v>162</v>
      </c>
      <c r="I1881" s="18" t="s">
        <v>298</v>
      </c>
      <c r="J1881" s="18"/>
      <c r="K1881" s="18"/>
      <c r="L1881" s="18" t="s">
        <v>129</v>
      </c>
      <c r="M1881" s="18" t="s">
        <v>129</v>
      </c>
      <c r="N1881" s="18"/>
      <c r="O1881" s="18"/>
      <c r="P1881" s="18"/>
      <c r="Q1881" s="18" t="s">
        <v>149</v>
      </c>
      <c r="R1881" s="18" t="s">
        <v>8055</v>
      </c>
      <c r="S1881" s="18" t="s">
        <v>140</v>
      </c>
      <c r="T1881" s="18" t="s">
        <v>7145</v>
      </c>
      <c r="U1881" s="18" t="s">
        <v>8056</v>
      </c>
      <c r="V1881" s="19" t="s">
        <v>29</v>
      </c>
      <c r="W1881" s="19"/>
      <c r="X1881" s="19"/>
      <c r="Y1881" s="20"/>
      <c r="Z1881" s="19"/>
      <c r="AA1881" s="18" t="str">
        <f aca="false">IF(OR(V1881="Aprobada"),R1881,IF(AND(OR(V1881="Aprobada con ajuste",V1881="Rechazada"),W1881&lt;&gt;""),W1881,""))</f>
        <v/>
      </c>
    </row>
    <row r="1882" customFormat="false" ht="32.8" hidden="false" customHeight="false" outlineLevel="0" collapsed="false">
      <c r="A1882" s="18" t="s">
        <v>8057</v>
      </c>
      <c r="B1882" s="18" t="s">
        <v>66</v>
      </c>
      <c r="C1882" s="18" t="s">
        <v>67</v>
      </c>
      <c r="D1882" s="18" t="s">
        <v>7985</v>
      </c>
      <c r="E1882" s="18" t="n">
        <v>34</v>
      </c>
      <c r="F1882" s="18" t="s">
        <v>8058</v>
      </c>
      <c r="G1882" s="18" t="s">
        <v>145</v>
      </c>
      <c r="H1882" s="18" t="s">
        <v>162</v>
      </c>
      <c r="I1882" s="18"/>
      <c r="J1882" s="18"/>
      <c r="K1882" s="18"/>
      <c r="L1882" s="18" t="s">
        <v>129</v>
      </c>
      <c r="M1882" s="18" t="s">
        <v>129</v>
      </c>
      <c r="N1882" s="18"/>
      <c r="O1882" s="18"/>
      <c r="P1882" s="18" t="s">
        <v>8059</v>
      </c>
      <c r="Q1882" s="18" t="s">
        <v>131</v>
      </c>
      <c r="R1882" s="18" t="s">
        <v>8060</v>
      </c>
      <c r="S1882" s="18" t="s">
        <v>133</v>
      </c>
      <c r="T1882" s="18" t="s">
        <v>8061</v>
      </c>
      <c r="U1882" s="18"/>
      <c r="V1882" s="19" t="s">
        <v>29</v>
      </c>
      <c r="W1882" s="19"/>
      <c r="X1882" s="19"/>
      <c r="Y1882" s="20"/>
      <c r="Z1882" s="19"/>
      <c r="AA1882" s="18" t="str">
        <f aca="false">IF(OR(V1882="Aprobada"),R1882,IF(AND(OR(V1882="Aprobada con ajuste",V1882="Rechazada"),W1882&lt;&gt;""),W1882,""))</f>
        <v/>
      </c>
    </row>
    <row r="1883" customFormat="false" ht="53.7" hidden="false" customHeight="false" outlineLevel="0" collapsed="false">
      <c r="A1883" s="18" t="s">
        <v>8062</v>
      </c>
      <c r="B1883" s="18" t="s">
        <v>66</v>
      </c>
      <c r="C1883" s="18" t="s">
        <v>67</v>
      </c>
      <c r="D1883" s="18" t="s">
        <v>8063</v>
      </c>
      <c r="E1883" s="18" t="n">
        <v>480</v>
      </c>
      <c r="F1883" s="18" t="s">
        <v>4507</v>
      </c>
      <c r="G1883" s="18" t="s">
        <v>145</v>
      </c>
      <c r="H1883" s="18" t="s">
        <v>129</v>
      </c>
      <c r="I1883" s="18" t="s">
        <v>298</v>
      </c>
      <c r="J1883" s="18" t="s">
        <v>8064</v>
      </c>
      <c r="K1883" s="18"/>
      <c r="L1883" s="18" t="s">
        <v>162</v>
      </c>
      <c r="M1883" s="18" t="s">
        <v>162</v>
      </c>
      <c r="N1883" s="18" t="s">
        <v>8065</v>
      </c>
      <c r="O1883" s="18" t="s">
        <v>8066</v>
      </c>
      <c r="P1883" s="18" t="s">
        <v>8067</v>
      </c>
      <c r="Q1883" s="18" t="s">
        <v>149</v>
      </c>
      <c r="R1883" s="18" t="s">
        <v>8068</v>
      </c>
      <c r="S1883" s="18" t="s">
        <v>133</v>
      </c>
      <c r="T1883" s="18" t="s">
        <v>8069</v>
      </c>
      <c r="U1883" s="18"/>
      <c r="V1883" s="19" t="s">
        <v>29</v>
      </c>
      <c r="W1883" s="19"/>
      <c r="X1883" s="19"/>
      <c r="Y1883" s="20"/>
      <c r="Z1883" s="19"/>
      <c r="AA1883" s="18" t="str">
        <f aca="false">IF(OR(V1883="Aprobada"),R1883,IF(AND(OR(V1883="Aprobada con ajuste",V1883="Rechazada"),W1883&lt;&gt;""),W1883,""))</f>
        <v/>
      </c>
    </row>
    <row r="1884" customFormat="false" ht="53.7" hidden="false" customHeight="false" outlineLevel="0" collapsed="false">
      <c r="A1884" s="18" t="s">
        <v>8070</v>
      </c>
      <c r="B1884" s="18" t="s">
        <v>66</v>
      </c>
      <c r="C1884" s="18" t="s">
        <v>67</v>
      </c>
      <c r="D1884" s="18" t="s">
        <v>8063</v>
      </c>
      <c r="E1884" s="18" t="n">
        <v>480</v>
      </c>
      <c r="F1884" s="18" t="s">
        <v>331</v>
      </c>
      <c r="G1884" s="18" t="s">
        <v>137</v>
      </c>
      <c r="H1884" s="18" t="s">
        <v>129</v>
      </c>
      <c r="I1884" s="18"/>
      <c r="J1884" s="18"/>
      <c r="K1884" s="18"/>
      <c r="L1884" s="18" t="s">
        <v>129</v>
      </c>
      <c r="M1884" s="18" t="s">
        <v>162</v>
      </c>
      <c r="N1884" s="18" t="s">
        <v>8071</v>
      </c>
      <c r="O1884" s="18" t="s">
        <v>8072</v>
      </c>
      <c r="P1884" s="18" t="s">
        <v>8073</v>
      </c>
      <c r="Q1884" s="18" t="s">
        <v>149</v>
      </c>
      <c r="R1884" s="18" t="s">
        <v>8074</v>
      </c>
      <c r="S1884" s="18" t="s">
        <v>133</v>
      </c>
      <c r="T1884" s="18" t="s">
        <v>8075</v>
      </c>
      <c r="U1884" s="18"/>
      <c r="V1884" s="19" t="s">
        <v>29</v>
      </c>
      <c r="W1884" s="19"/>
      <c r="X1884" s="19"/>
      <c r="Y1884" s="20"/>
      <c r="Z1884" s="19"/>
      <c r="AA1884" s="18" t="str">
        <f aca="false">IF(OR(V1884="Aprobada"),R1884,IF(AND(OR(V1884="Aprobada con ajuste",V1884="Rechazada"),W1884&lt;&gt;""),W1884,""))</f>
        <v/>
      </c>
    </row>
    <row r="1885" customFormat="false" ht="53.7" hidden="false" customHeight="false" outlineLevel="0" collapsed="false">
      <c r="A1885" s="18" t="s">
        <v>8076</v>
      </c>
      <c r="B1885" s="18" t="s">
        <v>66</v>
      </c>
      <c r="C1885" s="18" t="s">
        <v>67</v>
      </c>
      <c r="D1885" s="18" t="s">
        <v>8063</v>
      </c>
      <c r="E1885" s="18" t="n">
        <v>480</v>
      </c>
      <c r="F1885" s="18" t="s">
        <v>8077</v>
      </c>
      <c r="G1885" s="18" t="s">
        <v>8078</v>
      </c>
      <c r="H1885" s="18" t="s">
        <v>129</v>
      </c>
      <c r="I1885" s="18"/>
      <c r="J1885" s="18"/>
      <c r="K1885" s="18"/>
      <c r="L1885" s="18" t="s">
        <v>129</v>
      </c>
      <c r="M1885" s="18" t="s">
        <v>162</v>
      </c>
      <c r="N1885" s="18" t="s">
        <v>8079</v>
      </c>
      <c r="O1885" s="18" t="s">
        <v>8072</v>
      </c>
      <c r="P1885" s="18" t="s">
        <v>8080</v>
      </c>
      <c r="Q1885" s="18" t="s">
        <v>149</v>
      </c>
      <c r="R1885" s="18" t="s">
        <v>8081</v>
      </c>
      <c r="S1885" s="18" t="s">
        <v>133</v>
      </c>
      <c r="T1885" s="18" t="s">
        <v>8075</v>
      </c>
      <c r="U1885" s="18"/>
      <c r="V1885" s="19" t="s">
        <v>29</v>
      </c>
      <c r="W1885" s="19"/>
      <c r="X1885" s="19"/>
      <c r="Y1885" s="20"/>
      <c r="Z1885" s="19"/>
      <c r="AA1885" s="18" t="str">
        <f aca="false">IF(OR(V1885="Aprobada"),R1885,IF(AND(OR(V1885="Aprobada con ajuste",V1885="Rechazada"),W1885&lt;&gt;""),W1885,""))</f>
        <v/>
      </c>
    </row>
    <row r="1886" customFormat="false" ht="53.7" hidden="false" customHeight="false" outlineLevel="0" collapsed="false">
      <c r="A1886" s="18" t="s">
        <v>8082</v>
      </c>
      <c r="B1886" s="18" t="s">
        <v>66</v>
      </c>
      <c r="C1886" s="18" t="s">
        <v>67</v>
      </c>
      <c r="D1886" s="18" t="s">
        <v>8063</v>
      </c>
      <c r="E1886" s="18" t="n">
        <v>480</v>
      </c>
      <c r="F1886" s="18" t="s">
        <v>1744</v>
      </c>
      <c r="G1886" s="18" t="s">
        <v>180</v>
      </c>
      <c r="H1886" s="18" t="s">
        <v>129</v>
      </c>
      <c r="I1886" s="18"/>
      <c r="J1886" s="18"/>
      <c r="K1886" s="18"/>
      <c r="L1886" s="18" t="s">
        <v>129</v>
      </c>
      <c r="M1886" s="18" t="s">
        <v>162</v>
      </c>
      <c r="N1886" s="18" t="s">
        <v>8083</v>
      </c>
      <c r="O1886" s="18"/>
      <c r="P1886" s="18" t="s">
        <v>8084</v>
      </c>
      <c r="Q1886" s="18" t="s">
        <v>149</v>
      </c>
      <c r="R1886" s="18" t="s">
        <v>8085</v>
      </c>
      <c r="S1886" s="18" t="s">
        <v>140</v>
      </c>
      <c r="T1886" s="18" t="s">
        <v>8086</v>
      </c>
      <c r="U1886" s="18" t="s">
        <v>8087</v>
      </c>
      <c r="V1886" s="19" t="s">
        <v>29</v>
      </c>
      <c r="W1886" s="19"/>
      <c r="X1886" s="19"/>
      <c r="Y1886" s="20"/>
      <c r="Z1886" s="19"/>
      <c r="AA1886" s="18" t="str">
        <f aca="false">IF(OR(V1886="Aprobada"),R1886,IF(AND(OR(V1886="Aprobada con ajuste",V1886="Rechazada"),W1886&lt;&gt;""),W1886,""))</f>
        <v/>
      </c>
    </row>
    <row r="1887" customFormat="false" ht="53.7" hidden="false" customHeight="false" outlineLevel="0" collapsed="false">
      <c r="A1887" s="18" t="s">
        <v>8088</v>
      </c>
      <c r="B1887" s="18" t="s">
        <v>66</v>
      </c>
      <c r="C1887" s="18" t="s">
        <v>67</v>
      </c>
      <c r="D1887" s="18" t="s">
        <v>8063</v>
      </c>
      <c r="E1887" s="18" t="n">
        <v>480</v>
      </c>
      <c r="F1887" s="18" t="s">
        <v>160</v>
      </c>
      <c r="G1887" s="18" t="s">
        <v>128</v>
      </c>
      <c r="H1887" s="18" t="s">
        <v>162</v>
      </c>
      <c r="I1887" s="18"/>
      <c r="J1887" s="18"/>
      <c r="K1887" s="18"/>
      <c r="L1887" s="18" t="s">
        <v>129</v>
      </c>
      <c r="M1887" s="18" t="s">
        <v>162</v>
      </c>
      <c r="N1887" s="18" t="s">
        <v>8089</v>
      </c>
      <c r="O1887" s="18"/>
      <c r="P1887" s="18" t="s">
        <v>8090</v>
      </c>
      <c r="Q1887" s="18" t="s">
        <v>138</v>
      </c>
      <c r="R1887" s="18" t="s">
        <v>8091</v>
      </c>
      <c r="S1887" s="18" t="s">
        <v>140</v>
      </c>
      <c r="T1887" s="18" t="s">
        <v>141</v>
      </c>
      <c r="U1887" s="18"/>
      <c r="V1887" s="19" t="s">
        <v>29</v>
      </c>
      <c r="W1887" s="19"/>
      <c r="X1887" s="19"/>
      <c r="Y1887" s="20"/>
      <c r="Z1887" s="19"/>
      <c r="AA1887" s="18" t="str">
        <f aca="false">IF(OR(V1887="Aprobada"),R1887,IF(AND(OR(V1887="Aprobada con ajuste",V1887="Rechazada"),W1887&lt;&gt;""),W1887,""))</f>
        <v/>
      </c>
    </row>
    <row r="1888" customFormat="false" ht="43.25" hidden="false" customHeight="false" outlineLevel="0" collapsed="false">
      <c r="A1888" s="18" t="s">
        <v>8092</v>
      </c>
      <c r="B1888" s="18" t="s">
        <v>66</v>
      </c>
      <c r="C1888" s="18" t="s">
        <v>67</v>
      </c>
      <c r="D1888" s="18" t="s">
        <v>8063</v>
      </c>
      <c r="E1888" s="18" t="n">
        <v>480</v>
      </c>
      <c r="F1888" s="18" t="s">
        <v>886</v>
      </c>
      <c r="G1888" s="18" t="s">
        <v>128</v>
      </c>
      <c r="H1888" s="18" t="s">
        <v>162</v>
      </c>
      <c r="I1888" s="18"/>
      <c r="J1888" s="18"/>
      <c r="K1888" s="18"/>
      <c r="L1888" s="18" t="s">
        <v>129</v>
      </c>
      <c r="M1888" s="18" t="s">
        <v>129</v>
      </c>
      <c r="N1888" s="18"/>
      <c r="O1888" s="18"/>
      <c r="P1888" s="18" t="s">
        <v>8093</v>
      </c>
      <c r="Q1888" s="18" t="s">
        <v>138</v>
      </c>
      <c r="R1888" s="18" t="s">
        <v>1693</v>
      </c>
      <c r="S1888" s="18" t="s">
        <v>140</v>
      </c>
      <c r="T1888" s="18" t="s">
        <v>141</v>
      </c>
      <c r="U1888" s="18"/>
      <c r="V1888" s="19" t="s">
        <v>29</v>
      </c>
      <c r="W1888" s="19"/>
      <c r="X1888" s="19"/>
      <c r="Y1888" s="20"/>
      <c r="Z1888" s="19"/>
      <c r="AA1888" s="18" t="str">
        <f aca="false">IF(OR(V1888="Aprobada"),R1888,IF(AND(OR(V1888="Aprobada con ajuste",V1888="Rechazada"),W1888&lt;&gt;""),W1888,""))</f>
        <v/>
      </c>
    </row>
    <row r="1889" customFormat="false" ht="43.25" hidden="false" customHeight="false" outlineLevel="0" collapsed="false">
      <c r="A1889" s="18" t="s">
        <v>8094</v>
      </c>
      <c r="B1889" s="18" t="s">
        <v>66</v>
      </c>
      <c r="C1889" s="18" t="s">
        <v>67</v>
      </c>
      <c r="D1889" s="18" t="s">
        <v>8063</v>
      </c>
      <c r="E1889" s="18" t="n">
        <v>480</v>
      </c>
      <c r="F1889" s="18" t="s">
        <v>8095</v>
      </c>
      <c r="G1889" s="18" t="s">
        <v>161</v>
      </c>
      <c r="H1889" s="18" t="s">
        <v>162</v>
      </c>
      <c r="I1889" s="18"/>
      <c r="J1889" s="18"/>
      <c r="K1889" s="18"/>
      <c r="L1889" s="18" t="s">
        <v>129</v>
      </c>
      <c r="M1889" s="18" t="s">
        <v>129</v>
      </c>
      <c r="N1889" s="18"/>
      <c r="O1889" s="18"/>
      <c r="P1889" s="18" t="s">
        <v>8096</v>
      </c>
      <c r="Q1889" s="18" t="s">
        <v>149</v>
      </c>
      <c r="R1889" s="18" t="s">
        <v>8097</v>
      </c>
      <c r="S1889" s="18" t="s">
        <v>140</v>
      </c>
      <c r="T1889" s="18" t="s">
        <v>858</v>
      </c>
      <c r="U1889" s="18" t="s">
        <v>8098</v>
      </c>
      <c r="V1889" s="19" t="s">
        <v>29</v>
      </c>
      <c r="W1889" s="19"/>
      <c r="X1889" s="19"/>
      <c r="Y1889" s="20"/>
      <c r="Z1889" s="19"/>
      <c r="AA1889" s="18" t="str">
        <f aca="false">IF(OR(V1889="Aprobada"),R1889,IF(AND(OR(V1889="Aprobada con ajuste",V1889="Rechazada"),W1889&lt;&gt;""),W1889,""))</f>
        <v/>
      </c>
    </row>
    <row r="1890" customFormat="false" ht="32.8" hidden="false" customHeight="false" outlineLevel="0" collapsed="false">
      <c r="A1890" s="18" t="s">
        <v>8099</v>
      </c>
      <c r="B1890" s="18" t="s">
        <v>66</v>
      </c>
      <c r="C1890" s="18" t="s">
        <v>67</v>
      </c>
      <c r="D1890" s="18" t="s">
        <v>8063</v>
      </c>
      <c r="E1890" s="18" t="n">
        <v>480</v>
      </c>
      <c r="F1890" s="18" t="s">
        <v>1049</v>
      </c>
      <c r="G1890" s="18" t="s">
        <v>8100</v>
      </c>
      <c r="H1890" s="18" t="s">
        <v>162</v>
      </c>
      <c r="I1890" s="18"/>
      <c r="J1890" s="18"/>
      <c r="K1890" s="18"/>
      <c r="L1890" s="18" t="s">
        <v>129</v>
      </c>
      <c r="M1890" s="18" t="s">
        <v>129</v>
      </c>
      <c r="N1890" s="18"/>
      <c r="O1890" s="18"/>
      <c r="P1890" s="18" t="s">
        <v>8101</v>
      </c>
      <c r="Q1890" s="18" t="s">
        <v>149</v>
      </c>
      <c r="R1890" s="18" t="s">
        <v>8102</v>
      </c>
      <c r="S1890" s="18" t="s">
        <v>133</v>
      </c>
      <c r="T1890" s="18" t="s">
        <v>8103</v>
      </c>
      <c r="U1890" s="18"/>
      <c r="V1890" s="19" t="s">
        <v>29</v>
      </c>
      <c r="W1890" s="19"/>
      <c r="X1890" s="19"/>
      <c r="Y1890" s="20"/>
      <c r="Z1890" s="19"/>
      <c r="AA1890" s="18" t="str">
        <f aca="false">IF(OR(V1890="Aprobada"),R1890,IF(AND(OR(V1890="Aprobada con ajuste",V1890="Rechazada"),W1890&lt;&gt;""),W1890,""))</f>
        <v/>
      </c>
    </row>
    <row r="1891" customFormat="false" ht="32.8" hidden="false" customHeight="false" outlineLevel="0" collapsed="false">
      <c r="A1891" s="18" t="s">
        <v>8104</v>
      </c>
      <c r="B1891" s="18" t="s">
        <v>66</v>
      </c>
      <c r="C1891" s="18" t="s">
        <v>67</v>
      </c>
      <c r="D1891" s="18" t="s">
        <v>8063</v>
      </c>
      <c r="E1891" s="18" t="n">
        <v>480</v>
      </c>
      <c r="F1891" s="18" t="s">
        <v>1054</v>
      </c>
      <c r="G1891" s="18" t="s">
        <v>128</v>
      </c>
      <c r="H1891" s="18" t="s">
        <v>162</v>
      </c>
      <c r="I1891" s="18"/>
      <c r="J1891" s="18"/>
      <c r="K1891" s="18"/>
      <c r="L1891" s="18" t="s">
        <v>129</v>
      </c>
      <c r="M1891" s="18" t="s">
        <v>129</v>
      </c>
      <c r="N1891" s="18"/>
      <c r="O1891" s="18"/>
      <c r="P1891" s="18" t="s">
        <v>8105</v>
      </c>
      <c r="Q1891" s="18" t="s">
        <v>138</v>
      </c>
      <c r="R1891" s="18" t="s">
        <v>1056</v>
      </c>
      <c r="S1891" s="18" t="s">
        <v>140</v>
      </c>
      <c r="T1891" s="18" t="s">
        <v>141</v>
      </c>
      <c r="U1891" s="18"/>
      <c r="V1891" s="19" t="s">
        <v>29</v>
      </c>
      <c r="W1891" s="19"/>
      <c r="X1891" s="19"/>
      <c r="Y1891" s="20"/>
      <c r="Z1891" s="19"/>
      <c r="AA1891" s="18" t="str">
        <f aca="false">IF(OR(V1891="Aprobada"),R1891,IF(AND(OR(V1891="Aprobada con ajuste",V1891="Rechazada"),W1891&lt;&gt;""),W1891,""))</f>
        <v/>
      </c>
    </row>
    <row r="1892" customFormat="false" ht="64.15" hidden="false" customHeight="false" outlineLevel="0" collapsed="false">
      <c r="A1892" s="18" t="s">
        <v>8106</v>
      </c>
      <c r="B1892" s="18" t="s">
        <v>66</v>
      </c>
      <c r="C1892" s="18" t="s">
        <v>67</v>
      </c>
      <c r="D1892" s="18" t="s">
        <v>8063</v>
      </c>
      <c r="E1892" s="18" t="n">
        <v>480</v>
      </c>
      <c r="F1892" s="18" t="s">
        <v>5530</v>
      </c>
      <c r="G1892" s="18" t="s">
        <v>145</v>
      </c>
      <c r="H1892" s="18" t="s">
        <v>162</v>
      </c>
      <c r="I1892" s="18"/>
      <c r="J1892" s="18"/>
      <c r="K1892" s="18"/>
      <c r="L1892" s="18" t="s">
        <v>129</v>
      </c>
      <c r="M1892" s="18" t="s">
        <v>162</v>
      </c>
      <c r="N1892" s="18" t="s">
        <v>8107</v>
      </c>
      <c r="O1892" s="18"/>
      <c r="P1892" s="18" t="s">
        <v>8108</v>
      </c>
      <c r="Q1892" s="18" t="s">
        <v>149</v>
      </c>
      <c r="R1892" s="18" t="s">
        <v>8109</v>
      </c>
      <c r="S1892" s="18" t="s">
        <v>133</v>
      </c>
      <c r="T1892" s="18" t="s">
        <v>8110</v>
      </c>
      <c r="U1892" s="18"/>
      <c r="V1892" s="19" t="s">
        <v>29</v>
      </c>
      <c r="W1892" s="19"/>
      <c r="X1892" s="19"/>
      <c r="Y1892" s="20"/>
      <c r="Z1892" s="19"/>
      <c r="AA1892" s="18" t="str">
        <f aca="false">IF(OR(V1892="Aprobada"),R1892,IF(AND(OR(V1892="Aprobada con ajuste",V1892="Rechazada"),W1892&lt;&gt;""),W1892,""))</f>
        <v/>
      </c>
    </row>
    <row r="1893" customFormat="false" ht="53.7" hidden="false" customHeight="false" outlineLevel="0" collapsed="false">
      <c r="A1893" s="18" t="s">
        <v>8111</v>
      </c>
      <c r="B1893" s="18" t="s">
        <v>66</v>
      </c>
      <c r="C1893" s="18" t="s">
        <v>67</v>
      </c>
      <c r="D1893" s="18" t="s">
        <v>8063</v>
      </c>
      <c r="E1893" s="18" t="n">
        <v>480</v>
      </c>
      <c r="F1893" s="18" t="s">
        <v>5533</v>
      </c>
      <c r="G1893" s="18" t="s">
        <v>145</v>
      </c>
      <c r="H1893" s="18" t="s">
        <v>162</v>
      </c>
      <c r="I1893" s="18"/>
      <c r="J1893" s="18"/>
      <c r="K1893" s="18"/>
      <c r="L1893" s="18" t="s">
        <v>129</v>
      </c>
      <c r="M1893" s="18" t="s">
        <v>162</v>
      </c>
      <c r="N1893" s="18" t="s">
        <v>8112</v>
      </c>
      <c r="O1893" s="18"/>
      <c r="P1893" s="18" t="s">
        <v>8113</v>
      </c>
      <c r="Q1893" s="18" t="s">
        <v>149</v>
      </c>
      <c r="R1893" s="18" t="s">
        <v>8114</v>
      </c>
      <c r="S1893" s="18" t="s">
        <v>133</v>
      </c>
      <c r="T1893" s="18" t="s">
        <v>8110</v>
      </c>
      <c r="U1893" s="18"/>
      <c r="V1893" s="19" t="s">
        <v>29</v>
      </c>
      <c r="W1893" s="19"/>
      <c r="X1893" s="19"/>
      <c r="Y1893" s="20"/>
      <c r="Z1893" s="19"/>
      <c r="AA1893" s="18" t="str">
        <f aca="false">IF(OR(V1893="Aprobada"),R1893,IF(AND(OR(V1893="Aprobada con ajuste",V1893="Rechazada"),W1893&lt;&gt;""),W1893,""))</f>
        <v/>
      </c>
    </row>
    <row r="1894" customFormat="false" ht="105.95" hidden="false" customHeight="false" outlineLevel="0" collapsed="false">
      <c r="A1894" s="18" t="s">
        <v>8115</v>
      </c>
      <c r="B1894" s="18" t="s">
        <v>66</v>
      </c>
      <c r="C1894" s="18" t="s">
        <v>67</v>
      </c>
      <c r="D1894" s="18" t="s">
        <v>8063</v>
      </c>
      <c r="E1894" s="18" t="n">
        <v>480</v>
      </c>
      <c r="F1894" s="18" t="s">
        <v>1734</v>
      </c>
      <c r="G1894" s="18" t="s">
        <v>312</v>
      </c>
      <c r="H1894" s="18" t="s">
        <v>162</v>
      </c>
      <c r="I1894" s="18"/>
      <c r="J1894" s="18"/>
      <c r="K1894" s="18"/>
      <c r="L1894" s="18" t="s">
        <v>129</v>
      </c>
      <c r="M1894" s="18" t="s">
        <v>162</v>
      </c>
      <c r="N1894" s="18" t="s">
        <v>8116</v>
      </c>
      <c r="O1894" s="18"/>
      <c r="P1894" s="18" t="s">
        <v>8117</v>
      </c>
      <c r="Q1894" s="18" t="s">
        <v>131</v>
      </c>
      <c r="R1894" s="18" t="s">
        <v>8118</v>
      </c>
      <c r="S1894" s="18" t="s">
        <v>140</v>
      </c>
      <c r="T1894" s="18" t="s">
        <v>8119</v>
      </c>
      <c r="U1894" s="18" t="s">
        <v>8120</v>
      </c>
      <c r="V1894" s="19" t="s">
        <v>29</v>
      </c>
      <c r="W1894" s="19"/>
      <c r="X1894" s="19"/>
      <c r="Y1894" s="20"/>
      <c r="Z1894" s="19"/>
      <c r="AA1894" s="18" t="str">
        <f aca="false">IF(OR(V1894="Aprobada"),R1894,IF(AND(OR(V1894="Aprobada con ajuste",V1894="Rechazada"),W1894&lt;&gt;""),W1894,""))</f>
        <v/>
      </c>
    </row>
    <row r="1895" customFormat="false" ht="64.15" hidden="false" customHeight="false" outlineLevel="0" collapsed="false">
      <c r="A1895" s="18" t="s">
        <v>8121</v>
      </c>
      <c r="B1895" s="18" t="s">
        <v>66</v>
      </c>
      <c r="C1895" s="18" t="s">
        <v>67</v>
      </c>
      <c r="D1895" s="18" t="s">
        <v>8122</v>
      </c>
      <c r="E1895" s="18" t="n">
        <v>0</v>
      </c>
      <c r="F1895" s="18" t="s">
        <v>1744</v>
      </c>
      <c r="G1895" s="18" t="s">
        <v>486</v>
      </c>
      <c r="H1895" s="18" t="s">
        <v>129</v>
      </c>
      <c r="I1895" s="18"/>
      <c r="J1895" s="18"/>
      <c r="K1895" s="18"/>
      <c r="L1895" s="18" t="s">
        <v>129</v>
      </c>
      <c r="M1895" s="18" t="s">
        <v>129</v>
      </c>
      <c r="N1895" s="18"/>
      <c r="O1895" s="18" t="s">
        <v>8123</v>
      </c>
      <c r="P1895" s="18" t="s">
        <v>8124</v>
      </c>
      <c r="Q1895" s="18" t="s">
        <v>131</v>
      </c>
      <c r="R1895" s="18" t="s">
        <v>8125</v>
      </c>
      <c r="S1895" s="18" t="s">
        <v>133</v>
      </c>
      <c r="T1895" s="18" t="s">
        <v>8126</v>
      </c>
      <c r="U1895" s="18"/>
      <c r="V1895" s="19" t="s">
        <v>29</v>
      </c>
      <c r="W1895" s="19"/>
      <c r="X1895" s="19"/>
      <c r="Y1895" s="20"/>
      <c r="Z1895" s="19"/>
      <c r="AA1895" s="18" t="str">
        <f aca="false">IF(OR(V1895="Aprobada"),R1895,IF(AND(OR(V1895="Aprobada con ajuste",V1895="Rechazada"),W1895&lt;&gt;""),W1895,""))</f>
        <v/>
      </c>
    </row>
    <row r="1896" customFormat="false" ht="53.7" hidden="false" customHeight="false" outlineLevel="0" collapsed="false">
      <c r="A1896" s="18" t="s">
        <v>8127</v>
      </c>
      <c r="B1896" s="18" t="s">
        <v>66</v>
      </c>
      <c r="C1896" s="18" t="s">
        <v>67</v>
      </c>
      <c r="D1896" s="18" t="s">
        <v>8122</v>
      </c>
      <c r="E1896" s="18" t="n">
        <v>0</v>
      </c>
      <c r="F1896" s="18" t="s">
        <v>1734</v>
      </c>
      <c r="G1896" s="18" t="s">
        <v>180</v>
      </c>
      <c r="H1896" s="18" t="s">
        <v>162</v>
      </c>
      <c r="I1896" s="18"/>
      <c r="J1896" s="18"/>
      <c r="K1896" s="18"/>
      <c r="L1896" s="18" t="s">
        <v>129</v>
      </c>
      <c r="M1896" s="18" t="s">
        <v>129</v>
      </c>
      <c r="N1896" s="18"/>
      <c r="O1896" s="18"/>
      <c r="P1896" s="18" t="s">
        <v>8128</v>
      </c>
      <c r="Q1896" s="18" t="s">
        <v>149</v>
      </c>
      <c r="R1896" s="18" t="s">
        <v>8129</v>
      </c>
      <c r="S1896" s="18" t="s">
        <v>140</v>
      </c>
      <c r="T1896" s="18" t="s">
        <v>8130</v>
      </c>
      <c r="U1896" s="18" t="s">
        <v>8131</v>
      </c>
      <c r="V1896" s="19" t="s">
        <v>29</v>
      </c>
      <c r="W1896" s="19"/>
      <c r="X1896" s="19"/>
      <c r="Y1896" s="20"/>
      <c r="Z1896" s="19"/>
      <c r="AA1896" s="18" t="str">
        <f aca="false">IF(OR(V1896="Aprobada"),R1896,IF(AND(OR(V1896="Aprobada con ajuste",V1896="Rechazada"),W1896&lt;&gt;""),W1896,""))</f>
        <v/>
      </c>
    </row>
    <row r="1897" customFormat="false" ht="53.7" hidden="false" customHeight="false" outlineLevel="0" collapsed="false">
      <c r="A1897" s="18" t="s">
        <v>8132</v>
      </c>
      <c r="B1897" s="18" t="s">
        <v>66</v>
      </c>
      <c r="C1897" s="18" t="s">
        <v>67</v>
      </c>
      <c r="D1897" s="18" t="s">
        <v>8122</v>
      </c>
      <c r="E1897" s="18" t="n">
        <v>0</v>
      </c>
      <c r="F1897" s="18" t="s">
        <v>1738</v>
      </c>
      <c r="G1897" s="18" t="s">
        <v>180</v>
      </c>
      <c r="H1897" s="18" t="s">
        <v>162</v>
      </c>
      <c r="I1897" s="18"/>
      <c r="J1897" s="18"/>
      <c r="K1897" s="18"/>
      <c r="L1897" s="18" t="s">
        <v>129</v>
      </c>
      <c r="M1897" s="18" t="s">
        <v>129</v>
      </c>
      <c r="N1897" s="18"/>
      <c r="O1897" s="18"/>
      <c r="P1897" s="18" t="s">
        <v>8133</v>
      </c>
      <c r="Q1897" s="18" t="s">
        <v>149</v>
      </c>
      <c r="R1897" s="18" t="s">
        <v>8134</v>
      </c>
      <c r="S1897" s="18" t="s">
        <v>133</v>
      </c>
      <c r="T1897" s="18" t="s">
        <v>8135</v>
      </c>
      <c r="U1897" s="18"/>
      <c r="V1897" s="19" t="s">
        <v>29</v>
      </c>
      <c r="W1897" s="19"/>
      <c r="X1897" s="19"/>
      <c r="Y1897" s="20"/>
      <c r="Z1897" s="19"/>
      <c r="AA1897" s="18" t="str">
        <f aca="false">IF(OR(V1897="Aprobada"),R1897,IF(AND(OR(V1897="Aprobada con ajuste",V1897="Rechazada"),W1897&lt;&gt;""),W1897,""))</f>
        <v/>
      </c>
    </row>
    <row r="1898" customFormat="false" ht="53.7" hidden="false" customHeight="false" outlineLevel="0" collapsed="false">
      <c r="A1898" s="18" t="s">
        <v>8136</v>
      </c>
      <c r="B1898" s="18" t="s">
        <v>66</v>
      </c>
      <c r="C1898" s="18" t="s">
        <v>67</v>
      </c>
      <c r="D1898" s="18" t="s">
        <v>8122</v>
      </c>
      <c r="E1898" s="18" t="n">
        <v>0</v>
      </c>
      <c r="F1898" s="18" t="s">
        <v>886</v>
      </c>
      <c r="G1898" s="18" t="s">
        <v>128</v>
      </c>
      <c r="H1898" s="18" t="s">
        <v>162</v>
      </c>
      <c r="I1898" s="18"/>
      <c r="J1898" s="18"/>
      <c r="K1898" s="18"/>
      <c r="L1898" s="18" t="s">
        <v>129</v>
      </c>
      <c r="M1898" s="18" t="s">
        <v>129</v>
      </c>
      <c r="N1898" s="18"/>
      <c r="O1898" s="18"/>
      <c r="P1898" s="18" t="s">
        <v>8137</v>
      </c>
      <c r="Q1898" s="18" t="s">
        <v>138</v>
      </c>
      <c r="R1898" s="18" t="s">
        <v>1693</v>
      </c>
      <c r="S1898" s="18" t="s">
        <v>140</v>
      </c>
      <c r="T1898" s="18" t="s">
        <v>141</v>
      </c>
      <c r="U1898" s="18"/>
      <c r="V1898" s="19" t="s">
        <v>29</v>
      </c>
      <c r="W1898" s="19"/>
      <c r="X1898" s="19"/>
      <c r="Y1898" s="20"/>
      <c r="Z1898" s="19"/>
      <c r="AA1898" s="18" t="str">
        <f aca="false">IF(OR(V1898="Aprobada"),R1898,IF(AND(OR(V1898="Aprobada con ajuste",V1898="Rechazada"),W1898&lt;&gt;""),W1898,""))</f>
        <v/>
      </c>
    </row>
    <row r="1899" customFormat="false" ht="43.25" hidden="false" customHeight="false" outlineLevel="0" collapsed="false">
      <c r="A1899" s="18" t="s">
        <v>8138</v>
      </c>
      <c r="B1899" s="18" t="s">
        <v>66</v>
      </c>
      <c r="C1899" s="18" t="s">
        <v>67</v>
      </c>
      <c r="D1899" s="18" t="s">
        <v>8122</v>
      </c>
      <c r="E1899" s="18" t="n">
        <v>0</v>
      </c>
      <c r="F1899" s="18" t="s">
        <v>8139</v>
      </c>
      <c r="G1899" s="18" t="s">
        <v>192</v>
      </c>
      <c r="H1899" s="18" t="s">
        <v>162</v>
      </c>
      <c r="I1899" s="18"/>
      <c r="J1899" s="18"/>
      <c r="K1899" s="18"/>
      <c r="L1899" s="18" t="s">
        <v>129</v>
      </c>
      <c r="M1899" s="18" t="s">
        <v>129</v>
      </c>
      <c r="N1899" s="18"/>
      <c r="O1899" s="18"/>
      <c r="P1899" s="18" t="s">
        <v>8140</v>
      </c>
      <c r="Q1899" s="18" t="s">
        <v>149</v>
      </c>
      <c r="R1899" s="18" t="s">
        <v>8141</v>
      </c>
      <c r="S1899" s="18" t="s">
        <v>133</v>
      </c>
      <c r="T1899" s="18" t="s">
        <v>8142</v>
      </c>
      <c r="U1899" s="18"/>
      <c r="V1899" s="19" t="s">
        <v>29</v>
      </c>
      <c r="W1899" s="19"/>
      <c r="X1899" s="19"/>
      <c r="Y1899" s="20"/>
      <c r="Z1899" s="19"/>
      <c r="AA1899" s="18" t="str">
        <f aca="false">IF(OR(V1899="Aprobada"),R1899,IF(AND(OR(V1899="Aprobada con ajuste",V1899="Rechazada"),W1899&lt;&gt;""),W1899,""))</f>
        <v/>
      </c>
    </row>
    <row r="1900" customFormat="false" ht="43.25" hidden="false" customHeight="false" outlineLevel="0" collapsed="false">
      <c r="A1900" s="18" t="s">
        <v>8143</v>
      </c>
      <c r="B1900" s="18" t="s">
        <v>66</v>
      </c>
      <c r="C1900" s="18" t="s">
        <v>67</v>
      </c>
      <c r="D1900" s="18" t="s">
        <v>8122</v>
      </c>
      <c r="E1900" s="18" t="n">
        <v>0</v>
      </c>
      <c r="F1900" s="18" t="s">
        <v>8144</v>
      </c>
      <c r="G1900" s="18" t="s">
        <v>192</v>
      </c>
      <c r="H1900" s="18" t="s">
        <v>162</v>
      </c>
      <c r="I1900" s="18"/>
      <c r="J1900" s="18"/>
      <c r="K1900" s="18"/>
      <c r="L1900" s="18" t="s">
        <v>129</v>
      </c>
      <c r="M1900" s="18" t="s">
        <v>129</v>
      </c>
      <c r="N1900" s="18"/>
      <c r="O1900" s="18"/>
      <c r="P1900" s="18" t="s">
        <v>8145</v>
      </c>
      <c r="Q1900" s="18" t="s">
        <v>149</v>
      </c>
      <c r="R1900" s="18" t="s">
        <v>8146</v>
      </c>
      <c r="S1900" s="18" t="s">
        <v>133</v>
      </c>
      <c r="T1900" s="18" t="s">
        <v>8147</v>
      </c>
      <c r="U1900" s="18"/>
      <c r="V1900" s="19" t="s">
        <v>29</v>
      </c>
      <c r="W1900" s="19"/>
      <c r="X1900" s="19"/>
      <c r="Y1900" s="20"/>
      <c r="Z1900" s="19"/>
      <c r="AA1900" s="18" t="str">
        <f aca="false">IF(OR(V1900="Aprobada"),R1900,IF(AND(OR(V1900="Aprobada con ajuste",V1900="Rechazada"),W1900&lt;&gt;""),W1900,""))</f>
        <v/>
      </c>
    </row>
    <row r="1901" customFormat="false" ht="43.25" hidden="false" customHeight="false" outlineLevel="0" collapsed="false">
      <c r="A1901" s="18" t="s">
        <v>8148</v>
      </c>
      <c r="B1901" s="18" t="s">
        <v>66</v>
      </c>
      <c r="C1901" s="18" t="s">
        <v>67</v>
      </c>
      <c r="D1901" s="18" t="s">
        <v>8122</v>
      </c>
      <c r="E1901" s="18" t="n">
        <v>0</v>
      </c>
      <c r="F1901" s="18" t="s">
        <v>8149</v>
      </c>
      <c r="G1901" s="18" t="s">
        <v>145</v>
      </c>
      <c r="H1901" s="18" t="s">
        <v>162</v>
      </c>
      <c r="I1901" s="18"/>
      <c r="J1901" s="18"/>
      <c r="K1901" s="18"/>
      <c r="L1901" s="18" t="s">
        <v>129</v>
      </c>
      <c r="M1901" s="18" t="s">
        <v>129</v>
      </c>
      <c r="N1901" s="18"/>
      <c r="O1901" s="18"/>
      <c r="P1901" s="18" t="s">
        <v>8150</v>
      </c>
      <c r="Q1901" s="18" t="s">
        <v>149</v>
      </c>
      <c r="R1901" s="18" t="s">
        <v>1770</v>
      </c>
      <c r="S1901" s="18" t="s">
        <v>133</v>
      </c>
      <c r="T1901" s="18" t="s">
        <v>8103</v>
      </c>
      <c r="U1901" s="18"/>
      <c r="V1901" s="19" t="s">
        <v>29</v>
      </c>
      <c r="W1901" s="19"/>
      <c r="X1901" s="19"/>
      <c r="Y1901" s="20"/>
      <c r="Z1901" s="19"/>
      <c r="AA1901" s="18" t="str">
        <f aca="false">IF(OR(V1901="Aprobada"),R1901,IF(AND(OR(V1901="Aprobada con ajuste",V1901="Rechazada"),W1901&lt;&gt;""),W1901,""))</f>
        <v/>
      </c>
    </row>
    <row r="1902" customFormat="false" ht="43.25" hidden="false" customHeight="false" outlineLevel="0" collapsed="false">
      <c r="A1902" s="18" t="s">
        <v>8151</v>
      </c>
      <c r="B1902" s="18" t="s">
        <v>66</v>
      </c>
      <c r="C1902" s="18" t="s">
        <v>67</v>
      </c>
      <c r="D1902" s="18" t="s">
        <v>8122</v>
      </c>
      <c r="E1902" s="18" t="n">
        <v>0</v>
      </c>
      <c r="F1902" s="18" t="s">
        <v>1054</v>
      </c>
      <c r="G1902" s="18" t="s">
        <v>128</v>
      </c>
      <c r="H1902" s="18" t="s">
        <v>162</v>
      </c>
      <c r="I1902" s="18"/>
      <c r="J1902" s="18"/>
      <c r="K1902" s="18"/>
      <c r="L1902" s="18" t="s">
        <v>129</v>
      </c>
      <c r="M1902" s="18" t="s">
        <v>129</v>
      </c>
      <c r="N1902" s="18"/>
      <c r="O1902" s="18"/>
      <c r="P1902" s="18" t="s">
        <v>8152</v>
      </c>
      <c r="Q1902" s="18" t="s">
        <v>138</v>
      </c>
      <c r="R1902" s="18" t="s">
        <v>1056</v>
      </c>
      <c r="S1902" s="18" t="s">
        <v>140</v>
      </c>
      <c r="T1902" s="18" t="s">
        <v>141</v>
      </c>
      <c r="U1902" s="18"/>
      <c r="V1902" s="19" t="s">
        <v>29</v>
      </c>
      <c r="W1902" s="19"/>
      <c r="X1902" s="19"/>
      <c r="Y1902" s="20"/>
      <c r="Z1902" s="19"/>
      <c r="AA1902" s="18" t="str">
        <f aca="false">IF(OR(V1902="Aprobada"),R1902,IF(AND(OR(V1902="Aprobada con ajuste",V1902="Rechazada"),W1902&lt;&gt;""),W1902,""))</f>
        <v/>
      </c>
    </row>
    <row r="1903" customFormat="false" ht="53.7" hidden="false" customHeight="false" outlineLevel="0" collapsed="false">
      <c r="A1903" s="18" t="s">
        <v>8153</v>
      </c>
      <c r="B1903" s="18" t="s">
        <v>66</v>
      </c>
      <c r="C1903" s="18" t="s">
        <v>67</v>
      </c>
      <c r="D1903" s="18" t="s">
        <v>8154</v>
      </c>
      <c r="E1903" s="18" t="n">
        <v>29731</v>
      </c>
      <c r="F1903" s="18" t="s">
        <v>331</v>
      </c>
      <c r="G1903" s="18" t="s">
        <v>137</v>
      </c>
      <c r="H1903" s="18" t="s">
        <v>129</v>
      </c>
      <c r="I1903" s="18"/>
      <c r="J1903" s="18"/>
      <c r="K1903" s="18"/>
      <c r="L1903" s="18" t="s">
        <v>129</v>
      </c>
      <c r="M1903" s="18" t="s">
        <v>162</v>
      </c>
      <c r="N1903" s="18" t="s">
        <v>8155</v>
      </c>
      <c r="O1903" s="18" t="s">
        <v>8156</v>
      </c>
      <c r="P1903" s="18" t="s">
        <v>8157</v>
      </c>
      <c r="Q1903" s="18" t="s">
        <v>149</v>
      </c>
      <c r="R1903" s="18" t="s">
        <v>8158</v>
      </c>
      <c r="S1903" s="18" t="s">
        <v>133</v>
      </c>
      <c r="T1903" s="18" t="s">
        <v>8159</v>
      </c>
      <c r="U1903" s="18"/>
      <c r="V1903" s="19" t="s">
        <v>29</v>
      </c>
      <c r="W1903" s="19"/>
      <c r="X1903" s="19"/>
      <c r="Y1903" s="20"/>
      <c r="Z1903" s="19"/>
      <c r="AA1903" s="18" t="str">
        <f aca="false">IF(OR(V1903="Aprobada"),R1903,IF(AND(OR(V1903="Aprobada con ajuste",V1903="Rechazada"),W1903&lt;&gt;""),W1903,""))</f>
        <v/>
      </c>
    </row>
    <row r="1904" customFormat="false" ht="53.7" hidden="false" customHeight="false" outlineLevel="0" collapsed="false">
      <c r="A1904" s="18" t="s">
        <v>8160</v>
      </c>
      <c r="B1904" s="18" t="s">
        <v>66</v>
      </c>
      <c r="C1904" s="18" t="s">
        <v>67</v>
      </c>
      <c r="D1904" s="18" t="s">
        <v>8154</v>
      </c>
      <c r="E1904" s="18" t="n">
        <v>29731</v>
      </c>
      <c r="F1904" s="18" t="s">
        <v>8077</v>
      </c>
      <c r="G1904" s="18" t="s">
        <v>8078</v>
      </c>
      <c r="H1904" s="18" t="s">
        <v>129</v>
      </c>
      <c r="I1904" s="18"/>
      <c r="J1904" s="18"/>
      <c r="K1904" s="18"/>
      <c r="L1904" s="18" t="s">
        <v>129</v>
      </c>
      <c r="M1904" s="18" t="s">
        <v>162</v>
      </c>
      <c r="N1904" s="18" t="s">
        <v>8161</v>
      </c>
      <c r="O1904" s="18" t="s">
        <v>8156</v>
      </c>
      <c r="P1904" s="18" t="s">
        <v>8162</v>
      </c>
      <c r="Q1904" s="18" t="s">
        <v>149</v>
      </c>
      <c r="R1904" s="18" t="s">
        <v>8163</v>
      </c>
      <c r="S1904" s="18" t="s">
        <v>133</v>
      </c>
      <c r="T1904" s="18" t="s">
        <v>8159</v>
      </c>
      <c r="U1904" s="18"/>
      <c r="V1904" s="19" t="s">
        <v>29</v>
      </c>
      <c r="W1904" s="19"/>
      <c r="X1904" s="19"/>
      <c r="Y1904" s="20"/>
      <c r="Z1904" s="19"/>
      <c r="AA1904" s="18" t="str">
        <f aca="false">IF(OR(V1904="Aprobada"),R1904,IF(AND(OR(V1904="Aprobada con ajuste",V1904="Rechazada"),W1904&lt;&gt;""),W1904,""))</f>
        <v/>
      </c>
    </row>
    <row r="1905" customFormat="false" ht="53.7" hidden="false" customHeight="false" outlineLevel="0" collapsed="false">
      <c r="A1905" s="18" t="s">
        <v>8164</v>
      </c>
      <c r="B1905" s="18" t="s">
        <v>66</v>
      </c>
      <c r="C1905" s="18" t="s">
        <v>67</v>
      </c>
      <c r="D1905" s="18" t="s">
        <v>8154</v>
      </c>
      <c r="E1905" s="18" t="n">
        <v>29731</v>
      </c>
      <c r="F1905" s="18" t="s">
        <v>1744</v>
      </c>
      <c r="G1905" s="18" t="s">
        <v>180</v>
      </c>
      <c r="H1905" s="18" t="s">
        <v>129</v>
      </c>
      <c r="I1905" s="18"/>
      <c r="J1905" s="18"/>
      <c r="K1905" s="18"/>
      <c r="L1905" s="18" t="s">
        <v>129</v>
      </c>
      <c r="M1905" s="18" t="s">
        <v>162</v>
      </c>
      <c r="N1905" s="18" t="s">
        <v>8165</v>
      </c>
      <c r="O1905" s="18"/>
      <c r="P1905" s="18" t="s">
        <v>8166</v>
      </c>
      <c r="Q1905" s="18" t="s">
        <v>149</v>
      </c>
      <c r="R1905" s="18" t="s">
        <v>8167</v>
      </c>
      <c r="S1905" s="18" t="s">
        <v>140</v>
      </c>
      <c r="T1905" s="18" t="s">
        <v>8168</v>
      </c>
      <c r="U1905" s="18" t="s">
        <v>8087</v>
      </c>
      <c r="V1905" s="19" t="s">
        <v>29</v>
      </c>
      <c r="W1905" s="19"/>
      <c r="X1905" s="19"/>
      <c r="Y1905" s="20"/>
      <c r="Z1905" s="19"/>
      <c r="AA1905" s="18" t="str">
        <f aca="false">IF(OR(V1905="Aprobada"),R1905,IF(AND(OR(V1905="Aprobada con ajuste",V1905="Rechazada"),W1905&lt;&gt;""),W1905,""))</f>
        <v/>
      </c>
    </row>
    <row r="1906" customFormat="false" ht="53.7" hidden="false" customHeight="false" outlineLevel="0" collapsed="false">
      <c r="A1906" s="18" t="s">
        <v>8169</v>
      </c>
      <c r="B1906" s="18" t="s">
        <v>66</v>
      </c>
      <c r="C1906" s="18" t="s">
        <v>67</v>
      </c>
      <c r="D1906" s="18" t="s">
        <v>8154</v>
      </c>
      <c r="E1906" s="18" t="n">
        <v>29731</v>
      </c>
      <c r="F1906" s="18" t="s">
        <v>160</v>
      </c>
      <c r="G1906" s="18" t="s">
        <v>128</v>
      </c>
      <c r="H1906" s="18" t="s">
        <v>162</v>
      </c>
      <c r="I1906" s="18"/>
      <c r="J1906" s="18"/>
      <c r="K1906" s="18"/>
      <c r="L1906" s="18" t="s">
        <v>129</v>
      </c>
      <c r="M1906" s="18" t="s">
        <v>162</v>
      </c>
      <c r="N1906" s="18" t="s">
        <v>8170</v>
      </c>
      <c r="O1906" s="18"/>
      <c r="P1906" s="18" t="s">
        <v>8171</v>
      </c>
      <c r="Q1906" s="18" t="s">
        <v>138</v>
      </c>
      <c r="R1906" s="18" t="s">
        <v>8172</v>
      </c>
      <c r="S1906" s="18" t="s">
        <v>140</v>
      </c>
      <c r="T1906" s="18" t="s">
        <v>141</v>
      </c>
      <c r="U1906" s="18"/>
      <c r="V1906" s="19" t="s">
        <v>29</v>
      </c>
      <c r="W1906" s="19"/>
      <c r="X1906" s="19"/>
      <c r="Y1906" s="20"/>
      <c r="Z1906" s="19"/>
      <c r="AA1906" s="18" t="str">
        <f aca="false">IF(OR(V1906="Aprobada"),R1906,IF(AND(OR(V1906="Aprobada con ajuste",V1906="Rechazada"),W1906&lt;&gt;""),W1906,""))</f>
        <v/>
      </c>
    </row>
    <row r="1907" customFormat="false" ht="43.25" hidden="false" customHeight="false" outlineLevel="0" collapsed="false">
      <c r="A1907" s="18" t="s">
        <v>8173</v>
      </c>
      <c r="B1907" s="18" t="s">
        <v>66</v>
      </c>
      <c r="C1907" s="18" t="s">
        <v>67</v>
      </c>
      <c r="D1907" s="18" t="s">
        <v>8154</v>
      </c>
      <c r="E1907" s="18" t="n">
        <v>29731</v>
      </c>
      <c r="F1907" s="18" t="s">
        <v>886</v>
      </c>
      <c r="G1907" s="18" t="s">
        <v>128</v>
      </c>
      <c r="H1907" s="18" t="s">
        <v>162</v>
      </c>
      <c r="I1907" s="18"/>
      <c r="J1907" s="18"/>
      <c r="K1907" s="18"/>
      <c r="L1907" s="18" t="s">
        <v>129</v>
      </c>
      <c r="M1907" s="18" t="s">
        <v>129</v>
      </c>
      <c r="N1907" s="18"/>
      <c r="O1907" s="18"/>
      <c r="P1907" s="18" t="s">
        <v>8174</v>
      </c>
      <c r="Q1907" s="18" t="s">
        <v>138</v>
      </c>
      <c r="R1907" s="18" t="s">
        <v>1693</v>
      </c>
      <c r="S1907" s="18" t="s">
        <v>140</v>
      </c>
      <c r="T1907" s="18" t="s">
        <v>141</v>
      </c>
      <c r="U1907" s="18"/>
      <c r="V1907" s="19" t="s">
        <v>29</v>
      </c>
      <c r="W1907" s="19"/>
      <c r="X1907" s="19"/>
      <c r="Y1907" s="20"/>
      <c r="Z1907" s="19"/>
      <c r="AA1907" s="18" t="str">
        <f aca="false">IF(OR(V1907="Aprobada"),R1907,IF(AND(OR(V1907="Aprobada con ajuste",V1907="Rechazada"),W1907&lt;&gt;""),W1907,""))</f>
        <v/>
      </c>
    </row>
    <row r="1908" customFormat="false" ht="53.7" hidden="false" customHeight="false" outlineLevel="0" collapsed="false">
      <c r="A1908" s="18" t="s">
        <v>8175</v>
      </c>
      <c r="B1908" s="18" t="s">
        <v>66</v>
      </c>
      <c r="C1908" s="18" t="s">
        <v>67</v>
      </c>
      <c r="D1908" s="18" t="s">
        <v>8154</v>
      </c>
      <c r="E1908" s="18" t="n">
        <v>29731</v>
      </c>
      <c r="F1908" s="18" t="s">
        <v>5530</v>
      </c>
      <c r="G1908" s="18" t="s">
        <v>145</v>
      </c>
      <c r="H1908" s="18" t="s">
        <v>162</v>
      </c>
      <c r="I1908" s="18"/>
      <c r="J1908" s="18"/>
      <c r="K1908" s="18"/>
      <c r="L1908" s="18" t="s">
        <v>129</v>
      </c>
      <c r="M1908" s="18" t="s">
        <v>162</v>
      </c>
      <c r="N1908" s="18" t="s">
        <v>8176</v>
      </c>
      <c r="O1908" s="18"/>
      <c r="P1908" s="18" t="s">
        <v>8177</v>
      </c>
      <c r="Q1908" s="18" t="s">
        <v>149</v>
      </c>
      <c r="R1908" s="18" t="s">
        <v>8178</v>
      </c>
      <c r="S1908" s="18" t="s">
        <v>133</v>
      </c>
      <c r="T1908" s="18" t="s">
        <v>8179</v>
      </c>
      <c r="U1908" s="18"/>
      <c r="V1908" s="19" t="s">
        <v>29</v>
      </c>
      <c r="W1908" s="19"/>
      <c r="X1908" s="19"/>
      <c r="Y1908" s="20"/>
      <c r="Z1908" s="19"/>
      <c r="AA1908" s="18" t="str">
        <f aca="false">IF(OR(V1908="Aprobada"),R1908,IF(AND(OR(V1908="Aprobada con ajuste",V1908="Rechazada"),W1908&lt;&gt;""),W1908,""))</f>
        <v/>
      </c>
    </row>
    <row r="1909" customFormat="false" ht="53.7" hidden="false" customHeight="false" outlineLevel="0" collapsed="false">
      <c r="A1909" s="18" t="s">
        <v>8180</v>
      </c>
      <c r="B1909" s="18" t="s">
        <v>66</v>
      </c>
      <c r="C1909" s="18" t="s">
        <v>67</v>
      </c>
      <c r="D1909" s="18" t="s">
        <v>8154</v>
      </c>
      <c r="E1909" s="18" t="n">
        <v>29731</v>
      </c>
      <c r="F1909" s="18" t="s">
        <v>5533</v>
      </c>
      <c r="G1909" s="18" t="s">
        <v>145</v>
      </c>
      <c r="H1909" s="18" t="s">
        <v>162</v>
      </c>
      <c r="I1909" s="18"/>
      <c r="J1909" s="18"/>
      <c r="K1909" s="18"/>
      <c r="L1909" s="18" t="s">
        <v>129</v>
      </c>
      <c r="M1909" s="18" t="s">
        <v>162</v>
      </c>
      <c r="N1909" s="18" t="s">
        <v>8181</v>
      </c>
      <c r="O1909" s="18"/>
      <c r="P1909" s="18" t="s">
        <v>8182</v>
      </c>
      <c r="Q1909" s="18" t="s">
        <v>149</v>
      </c>
      <c r="R1909" s="18" t="s">
        <v>8183</v>
      </c>
      <c r="S1909" s="18" t="s">
        <v>133</v>
      </c>
      <c r="T1909" s="18" t="s">
        <v>8179</v>
      </c>
      <c r="U1909" s="18"/>
      <c r="V1909" s="19" t="s">
        <v>29</v>
      </c>
      <c r="W1909" s="19"/>
      <c r="X1909" s="19"/>
      <c r="Y1909" s="20"/>
      <c r="Z1909" s="19"/>
      <c r="AA1909" s="18" t="str">
        <f aca="false">IF(OR(V1909="Aprobada"),R1909,IF(AND(OR(V1909="Aprobada con ajuste",V1909="Rechazada"),W1909&lt;&gt;""),W1909,""))</f>
        <v/>
      </c>
    </row>
    <row r="1910" customFormat="false" ht="43.25" hidden="false" customHeight="false" outlineLevel="0" collapsed="false">
      <c r="A1910" s="18" t="s">
        <v>8184</v>
      </c>
      <c r="B1910" s="18" t="s">
        <v>66</v>
      </c>
      <c r="C1910" s="18" t="s">
        <v>67</v>
      </c>
      <c r="D1910" s="18" t="s">
        <v>8185</v>
      </c>
      <c r="E1910" s="18" t="n">
        <v>16</v>
      </c>
      <c r="F1910" s="18" t="s">
        <v>611</v>
      </c>
      <c r="G1910" s="18" t="s">
        <v>180</v>
      </c>
      <c r="H1910" s="18" t="s">
        <v>129</v>
      </c>
      <c r="I1910" s="18" t="s">
        <v>146</v>
      </c>
      <c r="J1910" s="18"/>
      <c r="K1910" s="18"/>
      <c r="L1910" s="18" t="s">
        <v>129</v>
      </c>
      <c r="M1910" s="18" t="s">
        <v>129</v>
      </c>
      <c r="N1910" s="18"/>
      <c r="O1910" s="18" t="s">
        <v>8186</v>
      </c>
      <c r="P1910" s="18" t="s">
        <v>8187</v>
      </c>
      <c r="Q1910" s="18" t="s">
        <v>131</v>
      </c>
      <c r="R1910" s="18" t="s">
        <v>8188</v>
      </c>
      <c r="S1910" s="18" t="s">
        <v>133</v>
      </c>
      <c r="T1910" s="18" t="s">
        <v>8189</v>
      </c>
      <c r="U1910" s="18"/>
      <c r="V1910" s="19" t="s">
        <v>29</v>
      </c>
      <c r="W1910" s="19"/>
      <c r="X1910" s="19"/>
      <c r="Y1910" s="20"/>
      <c r="Z1910" s="19"/>
      <c r="AA1910" s="18" t="str">
        <f aca="false">IF(OR(V1910="Aprobada"),R1910,IF(AND(OR(V1910="Aprobada con ajuste",V1910="Rechazada"),W1910&lt;&gt;""),W1910,""))</f>
        <v/>
      </c>
    </row>
    <row r="1911" customFormat="false" ht="53.7" hidden="false" customHeight="false" outlineLevel="0" collapsed="false">
      <c r="A1911" s="18" t="s">
        <v>8190</v>
      </c>
      <c r="B1911" s="18" t="s">
        <v>66</v>
      </c>
      <c r="C1911" s="18" t="s">
        <v>67</v>
      </c>
      <c r="D1911" s="18" t="s">
        <v>8185</v>
      </c>
      <c r="E1911" s="18" t="n">
        <v>16</v>
      </c>
      <c r="F1911" s="18" t="s">
        <v>275</v>
      </c>
      <c r="G1911" s="18" t="s">
        <v>180</v>
      </c>
      <c r="H1911" s="18" t="s">
        <v>129</v>
      </c>
      <c r="I1911" s="18"/>
      <c r="J1911" s="18"/>
      <c r="K1911" s="18"/>
      <c r="L1911" s="18" t="s">
        <v>129</v>
      </c>
      <c r="M1911" s="18" t="s">
        <v>129</v>
      </c>
      <c r="N1911" s="18"/>
      <c r="O1911" s="18"/>
      <c r="P1911" s="18" t="s">
        <v>8191</v>
      </c>
      <c r="Q1911" s="18" t="s">
        <v>138</v>
      </c>
      <c r="R1911" s="18" t="s">
        <v>8192</v>
      </c>
      <c r="S1911" s="18" t="s">
        <v>140</v>
      </c>
      <c r="T1911" s="18" t="s">
        <v>141</v>
      </c>
      <c r="U1911" s="18"/>
      <c r="V1911" s="19" t="s">
        <v>29</v>
      </c>
      <c r="W1911" s="19"/>
      <c r="X1911" s="19"/>
      <c r="Y1911" s="20"/>
      <c r="Z1911" s="19"/>
      <c r="AA1911" s="18" t="str">
        <f aca="false">IF(OR(V1911="Aprobada"),R1911,IF(AND(OR(V1911="Aprobada con ajuste",V1911="Rechazada"),W1911&lt;&gt;""),W1911,""))</f>
        <v/>
      </c>
    </row>
    <row r="1912" customFormat="false" ht="43.25" hidden="false" customHeight="false" outlineLevel="0" collapsed="false">
      <c r="A1912" s="18" t="s">
        <v>8193</v>
      </c>
      <c r="B1912" s="18" t="s">
        <v>66</v>
      </c>
      <c r="C1912" s="18" t="s">
        <v>67</v>
      </c>
      <c r="D1912" s="18" t="s">
        <v>8185</v>
      </c>
      <c r="E1912" s="18" t="n">
        <v>16</v>
      </c>
      <c r="F1912" s="18" t="s">
        <v>160</v>
      </c>
      <c r="G1912" s="18" t="s">
        <v>128</v>
      </c>
      <c r="H1912" s="18" t="s">
        <v>129</v>
      </c>
      <c r="I1912" s="18"/>
      <c r="J1912" s="18"/>
      <c r="K1912" s="18"/>
      <c r="L1912" s="18" t="s">
        <v>129</v>
      </c>
      <c r="M1912" s="18" t="s">
        <v>129</v>
      </c>
      <c r="N1912" s="18"/>
      <c r="O1912" s="18"/>
      <c r="P1912" s="18" t="s">
        <v>8194</v>
      </c>
      <c r="Q1912" s="18" t="s">
        <v>138</v>
      </c>
      <c r="R1912" s="18" t="s">
        <v>8195</v>
      </c>
      <c r="S1912" s="18" t="s">
        <v>140</v>
      </c>
      <c r="T1912" s="18" t="s">
        <v>141</v>
      </c>
      <c r="U1912" s="18"/>
      <c r="V1912" s="19" t="s">
        <v>29</v>
      </c>
      <c r="W1912" s="19"/>
      <c r="X1912" s="19"/>
      <c r="Y1912" s="20"/>
      <c r="Z1912" s="19"/>
      <c r="AA1912" s="18" t="str">
        <f aca="false">IF(OR(V1912="Aprobada"),R1912,IF(AND(OR(V1912="Aprobada con ajuste",V1912="Rechazada"),W1912&lt;&gt;""),W1912,""))</f>
        <v/>
      </c>
    </row>
    <row r="1913" customFormat="false" ht="85.05" hidden="false" customHeight="false" outlineLevel="0" collapsed="false">
      <c r="A1913" s="18" t="s">
        <v>8196</v>
      </c>
      <c r="B1913" s="18" t="s">
        <v>66</v>
      </c>
      <c r="C1913" s="18" t="s">
        <v>67</v>
      </c>
      <c r="D1913" s="18" t="s">
        <v>8185</v>
      </c>
      <c r="E1913" s="18" t="n">
        <v>16</v>
      </c>
      <c r="F1913" s="18" t="s">
        <v>127</v>
      </c>
      <c r="G1913" s="18" t="s">
        <v>145</v>
      </c>
      <c r="H1913" s="18" t="s">
        <v>162</v>
      </c>
      <c r="I1913" s="18" t="s">
        <v>298</v>
      </c>
      <c r="J1913" s="18" t="s">
        <v>8197</v>
      </c>
      <c r="K1913" s="18"/>
      <c r="L1913" s="18" t="s">
        <v>162</v>
      </c>
      <c r="M1913" s="18" t="s">
        <v>129</v>
      </c>
      <c r="N1913" s="18"/>
      <c r="O1913" s="18"/>
      <c r="P1913" s="18" t="s">
        <v>8198</v>
      </c>
      <c r="Q1913" s="18" t="s">
        <v>138</v>
      </c>
      <c r="R1913" s="18" t="s">
        <v>8199</v>
      </c>
      <c r="S1913" s="18" t="s">
        <v>140</v>
      </c>
      <c r="T1913" s="18" t="s">
        <v>141</v>
      </c>
      <c r="U1913" s="18"/>
      <c r="V1913" s="19" t="s">
        <v>29</v>
      </c>
      <c r="W1913" s="19"/>
      <c r="X1913" s="19"/>
      <c r="Y1913" s="20"/>
      <c r="Z1913" s="19"/>
      <c r="AA1913" s="18" t="str">
        <f aca="false">IF(OR(V1913="Aprobada"),R1913,IF(AND(OR(V1913="Aprobada con ajuste",V1913="Rechazada"),W1913&lt;&gt;""),W1913,""))</f>
        <v/>
      </c>
    </row>
    <row r="1914" customFormat="false" ht="53.7" hidden="false" customHeight="false" outlineLevel="0" collapsed="false">
      <c r="A1914" s="18" t="s">
        <v>8200</v>
      </c>
      <c r="B1914" s="18" t="s">
        <v>66</v>
      </c>
      <c r="C1914" s="18" t="s">
        <v>67</v>
      </c>
      <c r="D1914" s="18" t="s">
        <v>8185</v>
      </c>
      <c r="E1914" s="18" t="n">
        <v>16</v>
      </c>
      <c r="F1914" s="18" t="s">
        <v>7014</v>
      </c>
      <c r="G1914" s="18" t="s">
        <v>145</v>
      </c>
      <c r="H1914" s="18" t="s">
        <v>129</v>
      </c>
      <c r="I1914" s="18" t="s">
        <v>298</v>
      </c>
      <c r="J1914" s="18" t="s">
        <v>8201</v>
      </c>
      <c r="K1914" s="18"/>
      <c r="L1914" s="18" t="s">
        <v>162</v>
      </c>
      <c r="M1914" s="18" t="s">
        <v>129</v>
      </c>
      <c r="N1914" s="18"/>
      <c r="O1914" s="18"/>
      <c r="P1914" s="18" t="s">
        <v>8202</v>
      </c>
      <c r="Q1914" s="18" t="s">
        <v>149</v>
      </c>
      <c r="R1914" s="18" t="s">
        <v>8203</v>
      </c>
      <c r="S1914" s="18" t="s">
        <v>140</v>
      </c>
      <c r="T1914" s="18" t="s">
        <v>801</v>
      </c>
      <c r="U1914" s="18" t="s">
        <v>8204</v>
      </c>
      <c r="V1914" s="19" t="s">
        <v>29</v>
      </c>
      <c r="W1914" s="19"/>
      <c r="X1914" s="19"/>
      <c r="Y1914" s="20"/>
      <c r="Z1914" s="19"/>
      <c r="AA1914" s="18" t="str">
        <f aca="false">IF(OR(V1914="Aprobada"),R1914,IF(AND(OR(V1914="Aprobada con ajuste",V1914="Rechazada"),W1914&lt;&gt;""),W1914,""))</f>
        <v/>
      </c>
    </row>
    <row r="1915" customFormat="false" ht="32.8" hidden="false" customHeight="false" outlineLevel="0" collapsed="false">
      <c r="A1915" s="18" t="s">
        <v>8205</v>
      </c>
      <c r="B1915" s="18" t="s">
        <v>66</v>
      </c>
      <c r="C1915" s="18" t="s">
        <v>67</v>
      </c>
      <c r="D1915" s="18" t="s">
        <v>8185</v>
      </c>
      <c r="E1915" s="18" t="n">
        <v>16</v>
      </c>
      <c r="F1915" s="18" t="s">
        <v>326</v>
      </c>
      <c r="G1915" s="18" t="s">
        <v>137</v>
      </c>
      <c r="H1915" s="18" t="s">
        <v>162</v>
      </c>
      <c r="I1915" s="18"/>
      <c r="J1915" s="18"/>
      <c r="K1915" s="18"/>
      <c r="L1915" s="18" t="s">
        <v>129</v>
      </c>
      <c r="M1915" s="18" t="s">
        <v>129</v>
      </c>
      <c r="N1915" s="18"/>
      <c r="O1915" s="18" t="s">
        <v>8206</v>
      </c>
      <c r="P1915" s="18" t="s">
        <v>8207</v>
      </c>
      <c r="Q1915" s="18" t="s">
        <v>131</v>
      </c>
      <c r="R1915" s="18" t="s">
        <v>8208</v>
      </c>
      <c r="S1915" s="18" t="s">
        <v>133</v>
      </c>
      <c r="T1915" s="18" t="s">
        <v>183</v>
      </c>
      <c r="U1915" s="18"/>
      <c r="V1915" s="19" t="s">
        <v>29</v>
      </c>
      <c r="W1915" s="19"/>
      <c r="X1915" s="19"/>
      <c r="Y1915" s="20"/>
      <c r="Z1915" s="19"/>
      <c r="AA1915" s="18" t="str">
        <f aca="false">IF(OR(V1915="Aprobada"),R1915,IF(AND(OR(V1915="Aprobada con ajuste",V1915="Rechazada"),W1915&lt;&gt;""),W1915,""))</f>
        <v/>
      </c>
    </row>
    <row r="1916" customFormat="false" ht="64.15" hidden="false" customHeight="false" outlineLevel="0" collapsed="false">
      <c r="A1916" s="18" t="s">
        <v>8209</v>
      </c>
      <c r="B1916" s="18" t="s">
        <v>66</v>
      </c>
      <c r="C1916" s="18" t="s">
        <v>67</v>
      </c>
      <c r="D1916" s="18" t="s">
        <v>8185</v>
      </c>
      <c r="E1916" s="18" t="n">
        <v>16</v>
      </c>
      <c r="F1916" s="18" t="s">
        <v>185</v>
      </c>
      <c r="G1916" s="18" t="s">
        <v>145</v>
      </c>
      <c r="H1916" s="18" t="s">
        <v>162</v>
      </c>
      <c r="I1916" s="18" t="s">
        <v>298</v>
      </c>
      <c r="J1916" s="18" t="s">
        <v>8210</v>
      </c>
      <c r="K1916" s="18"/>
      <c r="L1916" s="18" t="s">
        <v>162</v>
      </c>
      <c r="M1916" s="18" t="s">
        <v>129</v>
      </c>
      <c r="N1916" s="18"/>
      <c r="O1916" s="18" t="s">
        <v>8211</v>
      </c>
      <c r="P1916" s="18" t="s">
        <v>8212</v>
      </c>
      <c r="Q1916" s="18" t="s">
        <v>138</v>
      </c>
      <c r="R1916" s="18" t="s">
        <v>8213</v>
      </c>
      <c r="S1916" s="18" t="s">
        <v>140</v>
      </c>
      <c r="T1916" s="18" t="s">
        <v>141</v>
      </c>
      <c r="U1916" s="18"/>
      <c r="V1916" s="19" t="s">
        <v>29</v>
      </c>
      <c r="W1916" s="19"/>
      <c r="X1916" s="19"/>
      <c r="Y1916" s="20"/>
      <c r="Z1916" s="19"/>
      <c r="AA1916" s="18" t="str">
        <f aca="false">IF(OR(V1916="Aprobada"),R1916,IF(AND(OR(V1916="Aprobada con ajuste",V1916="Rechazada"),W1916&lt;&gt;""),W1916,""))</f>
        <v/>
      </c>
    </row>
    <row r="1917" customFormat="false" ht="43.25" hidden="false" customHeight="false" outlineLevel="0" collapsed="false">
      <c r="A1917" s="18" t="s">
        <v>8214</v>
      </c>
      <c r="B1917" s="18" t="s">
        <v>66</v>
      </c>
      <c r="C1917" s="18" t="s">
        <v>67</v>
      </c>
      <c r="D1917" s="18" t="s">
        <v>8185</v>
      </c>
      <c r="E1917" s="18" t="n">
        <v>16</v>
      </c>
      <c r="F1917" s="18" t="s">
        <v>7055</v>
      </c>
      <c r="G1917" s="18" t="s">
        <v>503</v>
      </c>
      <c r="H1917" s="18" t="s">
        <v>162</v>
      </c>
      <c r="I1917" s="18"/>
      <c r="J1917" s="18"/>
      <c r="K1917" s="18"/>
      <c r="L1917" s="18" t="s">
        <v>129</v>
      </c>
      <c r="M1917" s="18" t="s">
        <v>129</v>
      </c>
      <c r="N1917" s="18"/>
      <c r="O1917" s="18"/>
      <c r="P1917" s="18" t="s">
        <v>8215</v>
      </c>
      <c r="Q1917" s="18" t="s">
        <v>149</v>
      </c>
      <c r="R1917" s="18" t="s">
        <v>8216</v>
      </c>
      <c r="S1917" s="18" t="s">
        <v>140</v>
      </c>
      <c r="T1917" s="18" t="s">
        <v>8217</v>
      </c>
      <c r="U1917" s="18" t="s">
        <v>8218</v>
      </c>
      <c r="V1917" s="19" t="s">
        <v>29</v>
      </c>
      <c r="W1917" s="19"/>
      <c r="X1917" s="19"/>
      <c r="Y1917" s="20"/>
      <c r="Z1917" s="19"/>
      <c r="AA1917" s="18" t="str">
        <f aca="false">IF(OR(V1917="Aprobada"),R1917,IF(AND(OR(V1917="Aprobada con ajuste",V1917="Rechazada"),W1917&lt;&gt;""),W1917,""))</f>
        <v/>
      </c>
    </row>
    <row r="1918" customFormat="false" ht="32.8" hidden="false" customHeight="false" outlineLevel="0" collapsed="false">
      <c r="A1918" s="18" t="s">
        <v>8219</v>
      </c>
      <c r="B1918" s="18" t="s">
        <v>66</v>
      </c>
      <c r="C1918" s="18" t="s">
        <v>67</v>
      </c>
      <c r="D1918" s="18" t="s">
        <v>8185</v>
      </c>
      <c r="E1918" s="18" t="n">
        <v>16</v>
      </c>
      <c r="F1918" s="18" t="s">
        <v>8220</v>
      </c>
      <c r="G1918" s="18" t="s">
        <v>145</v>
      </c>
      <c r="H1918" s="18" t="s">
        <v>162</v>
      </c>
      <c r="I1918" s="18" t="s">
        <v>298</v>
      </c>
      <c r="J1918" s="18" t="s">
        <v>8221</v>
      </c>
      <c r="K1918" s="18"/>
      <c r="L1918" s="18" t="s">
        <v>162</v>
      </c>
      <c r="M1918" s="18" t="s">
        <v>129</v>
      </c>
      <c r="N1918" s="18"/>
      <c r="O1918" s="18"/>
      <c r="P1918" s="18" t="s">
        <v>8222</v>
      </c>
      <c r="Q1918" s="18" t="s">
        <v>149</v>
      </c>
      <c r="R1918" s="18" t="s">
        <v>8223</v>
      </c>
      <c r="S1918" s="18" t="s">
        <v>140</v>
      </c>
      <c r="T1918" s="18" t="s">
        <v>801</v>
      </c>
      <c r="U1918" s="18" t="s">
        <v>8224</v>
      </c>
      <c r="V1918" s="19" t="s">
        <v>29</v>
      </c>
      <c r="W1918" s="19"/>
      <c r="X1918" s="19"/>
      <c r="Y1918" s="20"/>
      <c r="Z1918" s="19"/>
      <c r="AA1918" s="18" t="str">
        <f aca="false">IF(OR(V1918="Aprobada"),R1918,IF(AND(OR(V1918="Aprobada con ajuste",V1918="Rechazada"),W1918&lt;&gt;""),W1918,""))</f>
        <v/>
      </c>
    </row>
    <row r="1919" customFormat="false" ht="43.25" hidden="false" customHeight="false" outlineLevel="0" collapsed="false">
      <c r="A1919" s="18" t="s">
        <v>8225</v>
      </c>
      <c r="B1919" s="18" t="s">
        <v>66</v>
      </c>
      <c r="C1919" s="18" t="s">
        <v>67</v>
      </c>
      <c r="D1919" s="18" t="s">
        <v>8185</v>
      </c>
      <c r="E1919" s="18" t="n">
        <v>16</v>
      </c>
      <c r="F1919" s="18" t="s">
        <v>6890</v>
      </c>
      <c r="G1919" s="18" t="s">
        <v>180</v>
      </c>
      <c r="H1919" s="18" t="s">
        <v>129</v>
      </c>
      <c r="I1919" s="18"/>
      <c r="J1919" s="18"/>
      <c r="K1919" s="18"/>
      <c r="L1919" s="18" t="s">
        <v>129</v>
      </c>
      <c r="M1919" s="18" t="s">
        <v>129</v>
      </c>
      <c r="N1919" s="18"/>
      <c r="O1919" s="18"/>
      <c r="P1919" s="18" t="s">
        <v>8226</v>
      </c>
      <c r="Q1919" s="18" t="s">
        <v>149</v>
      </c>
      <c r="R1919" s="18" t="s">
        <v>8227</v>
      </c>
      <c r="S1919" s="18" t="s">
        <v>140</v>
      </c>
      <c r="T1919" s="18" t="s">
        <v>8228</v>
      </c>
      <c r="U1919" s="18" t="s">
        <v>8229</v>
      </c>
      <c r="V1919" s="19" t="s">
        <v>29</v>
      </c>
      <c r="W1919" s="19"/>
      <c r="X1919" s="19"/>
      <c r="Y1919" s="20"/>
      <c r="Z1919" s="19"/>
      <c r="AA1919" s="18" t="str">
        <f aca="false">IF(OR(V1919="Aprobada"),R1919,IF(AND(OR(V1919="Aprobada con ajuste",V1919="Rechazada"),W1919&lt;&gt;""),W1919,""))</f>
        <v/>
      </c>
    </row>
    <row r="1920" customFormat="false" ht="43.25" hidden="false" customHeight="false" outlineLevel="0" collapsed="false">
      <c r="A1920" s="18" t="s">
        <v>8230</v>
      </c>
      <c r="B1920" s="18" t="s">
        <v>66</v>
      </c>
      <c r="C1920" s="18" t="s">
        <v>67</v>
      </c>
      <c r="D1920" s="18" t="s">
        <v>8185</v>
      </c>
      <c r="E1920" s="18" t="n">
        <v>16</v>
      </c>
      <c r="F1920" s="18" t="s">
        <v>5081</v>
      </c>
      <c r="G1920" s="18" t="s">
        <v>180</v>
      </c>
      <c r="H1920" s="18" t="s">
        <v>129</v>
      </c>
      <c r="I1920" s="18"/>
      <c r="J1920" s="18"/>
      <c r="K1920" s="18"/>
      <c r="L1920" s="18" t="s">
        <v>129</v>
      </c>
      <c r="M1920" s="18" t="s">
        <v>129</v>
      </c>
      <c r="N1920" s="18"/>
      <c r="O1920" s="18"/>
      <c r="P1920" s="18" t="s">
        <v>8231</v>
      </c>
      <c r="Q1920" s="18" t="s">
        <v>149</v>
      </c>
      <c r="R1920" s="18" t="s">
        <v>8232</v>
      </c>
      <c r="S1920" s="18" t="s">
        <v>140</v>
      </c>
      <c r="T1920" s="18" t="s">
        <v>858</v>
      </c>
      <c r="U1920" s="18" t="s">
        <v>6637</v>
      </c>
      <c r="V1920" s="19" t="s">
        <v>29</v>
      </c>
      <c r="W1920" s="19"/>
      <c r="X1920" s="19"/>
      <c r="Y1920" s="20"/>
      <c r="Z1920" s="19"/>
      <c r="AA1920" s="18" t="str">
        <f aca="false">IF(OR(V1920="Aprobada"),R1920,IF(AND(OR(V1920="Aprobada con ajuste",V1920="Rechazada"),W1920&lt;&gt;""),W1920,""))</f>
        <v/>
      </c>
    </row>
    <row r="1921" customFormat="false" ht="43.25" hidden="false" customHeight="false" outlineLevel="0" collapsed="false">
      <c r="A1921" s="18" t="s">
        <v>8233</v>
      </c>
      <c r="B1921" s="18" t="s">
        <v>66</v>
      </c>
      <c r="C1921" s="18" t="s">
        <v>67</v>
      </c>
      <c r="D1921" s="18" t="s">
        <v>8185</v>
      </c>
      <c r="E1921" s="18" t="n">
        <v>16</v>
      </c>
      <c r="F1921" s="18" t="s">
        <v>8234</v>
      </c>
      <c r="G1921" s="18" t="s">
        <v>128</v>
      </c>
      <c r="H1921" s="18" t="s">
        <v>162</v>
      </c>
      <c r="I1921" s="18"/>
      <c r="J1921" s="18"/>
      <c r="K1921" s="18"/>
      <c r="L1921" s="18" t="s">
        <v>129</v>
      </c>
      <c r="M1921" s="18" t="s">
        <v>129</v>
      </c>
      <c r="N1921" s="18"/>
      <c r="O1921" s="18"/>
      <c r="P1921" s="18" t="s">
        <v>8235</v>
      </c>
      <c r="Q1921" s="18" t="s">
        <v>149</v>
      </c>
      <c r="R1921" s="18" t="s">
        <v>8236</v>
      </c>
      <c r="S1921" s="18" t="s">
        <v>133</v>
      </c>
      <c r="T1921" s="18" t="s">
        <v>7287</v>
      </c>
      <c r="U1921" s="18"/>
      <c r="V1921" s="19" t="s">
        <v>29</v>
      </c>
      <c r="W1921" s="19"/>
      <c r="X1921" s="19"/>
      <c r="Y1921" s="20"/>
      <c r="Z1921" s="19"/>
      <c r="AA1921" s="18" t="str">
        <f aca="false">IF(OR(V1921="Aprobada"),R1921,IF(AND(OR(V1921="Aprobada con ajuste",V1921="Rechazada"),W1921&lt;&gt;""),W1921,""))</f>
        <v/>
      </c>
    </row>
    <row r="1922" customFormat="false" ht="32.8" hidden="false" customHeight="false" outlineLevel="0" collapsed="false">
      <c r="A1922" s="18" t="s">
        <v>8237</v>
      </c>
      <c r="B1922" s="18" t="s">
        <v>66</v>
      </c>
      <c r="C1922" s="18" t="s">
        <v>67</v>
      </c>
      <c r="D1922" s="18" t="s">
        <v>8185</v>
      </c>
      <c r="E1922" s="18" t="n">
        <v>16</v>
      </c>
      <c r="F1922" s="18" t="s">
        <v>8238</v>
      </c>
      <c r="G1922" s="18" t="s">
        <v>192</v>
      </c>
      <c r="H1922" s="18" t="s">
        <v>162</v>
      </c>
      <c r="I1922" s="18"/>
      <c r="J1922" s="18"/>
      <c r="K1922" s="18"/>
      <c r="L1922" s="18" t="s">
        <v>129</v>
      </c>
      <c r="M1922" s="18" t="s">
        <v>129</v>
      </c>
      <c r="N1922" s="18"/>
      <c r="O1922" s="18"/>
      <c r="P1922" s="18" t="s">
        <v>8239</v>
      </c>
      <c r="Q1922" s="18" t="s">
        <v>149</v>
      </c>
      <c r="R1922" s="18" t="s">
        <v>8240</v>
      </c>
      <c r="S1922" s="18" t="s">
        <v>242</v>
      </c>
      <c r="T1922" s="18" t="s">
        <v>3193</v>
      </c>
      <c r="U1922" s="18" t="s">
        <v>8241</v>
      </c>
      <c r="V1922" s="19" t="s">
        <v>29</v>
      </c>
      <c r="W1922" s="19"/>
      <c r="X1922" s="19"/>
      <c r="Y1922" s="20"/>
      <c r="Z1922" s="19"/>
      <c r="AA1922" s="18" t="str">
        <f aca="false">IF(OR(V1922="Aprobada"),R1922,IF(AND(OR(V1922="Aprobada con ajuste",V1922="Rechazada"),W1922&lt;&gt;""),W1922,""))</f>
        <v/>
      </c>
    </row>
    <row r="1923" customFormat="false" ht="32.8" hidden="false" customHeight="false" outlineLevel="0" collapsed="false">
      <c r="A1923" s="18" t="s">
        <v>8242</v>
      </c>
      <c r="B1923" s="18" t="s">
        <v>66</v>
      </c>
      <c r="C1923" s="18" t="s">
        <v>67</v>
      </c>
      <c r="D1923" s="18" t="s">
        <v>8185</v>
      </c>
      <c r="E1923" s="18" t="n">
        <v>16</v>
      </c>
      <c r="F1923" s="18" t="s">
        <v>4404</v>
      </c>
      <c r="G1923" s="18" t="s">
        <v>192</v>
      </c>
      <c r="H1923" s="18" t="s">
        <v>162</v>
      </c>
      <c r="I1923" s="18"/>
      <c r="J1923" s="18"/>
      <c r="K1923" s="18"/>
      <c r="L1923" s="18" t="s">
        <v>129</v>
      </c>
      <c r="M1923" s="18" t="s">
        <v>129</v>
      </c>
      <c r="N1923" s="18"/>
      <c r="O1923" s="18"/>
      <c r="P1923" s="18" t="s">
        <v>8243</v>
      </c>
      <c r="Q1923" s="18" t="s">
        <v>149</v>
      </c>
      <c r="R1923" s="18" t="s">
        <v>8244</v>
      </c>
      <c r="S1923" s="18" t="s">
        <v>242</v>
      </c>
      <c r="T1923" s="18" t="s">
        <v>3193</v>
      </c>
      <c r="U1923" s="18" t="s">
        <v>8245</v>
      </c>
      <c r="V1923" s="19" t="s">
        <v>29</v>
      </c>
      <c r="W1923" s="19"/>
      <c r="X1923" s="19"/>
      <c r="Y1923" s="20"/>
      <c r="Z1923" s="19"/>
      <c r="AA1923" s="18" t="str">
        <f aca="false">IF(OR(V1923="Aprobada"),R1923,IF(AND(OR(V1923="Aprobada con ajuste",V1923="Rechazada"),W1923&lt;&gt;""),W1923,""))</f>
        <v/>
      </c>
    </row>
    <row r="1924" customFormat="false" ht="32.8" hidden="false" customHeight="false" outlineLevel="0" collapsed="false">
      <c r="A1924" s="18" t="s">
        <v>8246</v>
      </c>
      <c r="B1924" s="18" t="s">
        <v>66</v>
      </c>
      <c r="C1924" s="18" t="s">
        <v>67</v>
      </c>
      <c r="D1924" s="18" t="s">
        <v>8185</v>
      </c>
      <c r="E1924" s="18" t="n">
        <v>16</v>
      </c>
      <c r="F1924" s="18" t="s">
        <v>8247</v>
      </c>
      <c r="G1924" s="18" t="s">
        <v>317</v>
      </c>
      <c r="H1924" s="18" t="s">
        <v>162</v>
      </c>
      <c r="I1924" s="18"/>
      <c r="J1924" s="18"/>
      <c r="K1924" s="18"/>
      <c r="L1924" s="18" t="s">
        <v>129</v>
      </c>
      <c r="M1924" s="18" t="s">
        <v>129</v>
      </c>
      <c r="N1924" s="18"/>
      <c r="O1924" s="18"/>
      <c r="P1924" s="18" t="s">
        <v>8248</v>
      </c>
      <c r="Q1924" s="18" t="s">
        <v>149</v>
      </c>
      <c r="R1924" s="18" t="s">
        <v>8249</v>
      </c>
      <c r="S1924" s="18" t="s">
        <v>133</v>
      </c>
      <c r="T1924" s="18" t="s">
        <v>8250</v>
      </c>
      <c r="U1924" s="18"/>
      <c r="V1924" s="19" t="s">
        <v>29</v>
      </c>
      <c r="W1924" s="19"/>
      <c r="X1924" s="19"/>
      <c r="Y1924" s="20"/>
      <c r="Z1924" s="19"/>
      <c r="AA1924" s="18" t="str">
        <f aca="false">IF(OR(V1924="Aprobada"),R1924,IF(AND(OR(V1924="Aprobada con ajuste",V1924="Rechazada"),W1924&lt;&gt;""),W1924,""))</f>
        <v/>
      </c>
    </row>
    <row r="1925" customFormat="false" ht="32.8" hidden="false" customHeight="false" outlineLevel="0" collapsed="false">
      <c r="A1925" s="18" t="s">
        <v>8251</v>
      </c>
      <c r="B1925" s="18" t="s">
        <v>66</v>
      </c>
      <c r="C1925" s="18" t="s">
        <v>67</v>
      </c>
      <c r="D1925" s="18" t="s">
        <v>8185</v>
      </c>
      <c r="E1925" s="18" t="n">
        <v>16</v>
      </c>
      <c r="F1925" s="18" t="s">
        <v>8252</v>
      </c>
      <c r="G1925" s="18" t="s">
        <v>503</v>
      </c>
      <c r="H1925" s="18" t="s">
        <v>162</v>
      </c>
      <c r="I1925" s="18"/>
      <c r="J1925" s="18"/>
      <c r="K1925" s="18"/>
      <c r="L1925" s="18" t="s">
        <v>129</v>
      </c>
      <c r="M1925" s="18" t="s">
        <v>129</v>
      </c>
      <c r="N1925" s="18"/>
      <c r="O1925" s="18"/>
      <c r="P1925" s="18" t="s">
        <v>8253</v>
      </c>
      <c r="Q1925" s="18" t="s">
        <v>149</v>
      </c>
      <c r="R1925" s="18" t="s">
        <v>8254</v>
      </c>
      <c r="S1925" s="18" t="s">
        <v>133</v>
      </c>
      <c r="T1925" s="18" t="s">
        <v>4164</v>
      </c>
      <c r="U1925" s="18"/>
      <c r="V1925" s="19" t="s">
        <v>29</v>
      </c>
      <c r="W1925" s="19"/>
      <c r="X1925" s="19"/>
      <c r="Y1925" s="20"/>
      <c r="Z1925" s="19"/>
      <c r="AA1925" s="18" t="str">
        <f aca="false">IF(OR(V1925="Aprobada"),R1925,IF(AND(OR(V1925="Aprobada con ajuste",V1925="Rechazada"),W1925&lt;&gt;""),W1925,""))</f>
        <v/>
      </c>
    </row>
    <row r="1926" customFormat="false" ht="32.8" hidden="false" customHeight="false" outlineLevel="0" collapsed="false">
      <c r="A1926" s="18" t="s">
        <v>8255</v>
      </c>
      <c r="B1926" s="18" t="s">
        <v>66</v>
      </c>
      <c r="C1926" s="18" t="s">
        <v>67</v>
      </c>
      <c r="D1926" s="18" t="s">
        <v>8185</v>
      </c>
      <c r="E1926" s="18" t="n">
        <v>16</v>
      </c>
      <c r="F1926" s="18" t="s">
        <v>8256</v>
      </c>
      <c r="G1926" s="18" t="s">
        <v>180</v>
      </c>
      <c r="H1926" s="18" t="s">
        <v>162</v>
      </c>
      <c r="I1926" s="18"/>
      <c r="J1926" s="18"/>
      <c r="K1926" s="18"/>
      <c r="L1926" s="18" t="s">
        <v>129</v>
      </c>
      <c r="M1926" s="18" t="s">
        <v>129</v>
      </c>
      <c r="N1926" s="18"/>
      <c r="O1926" s="18"/>
      <c r="P1926" s="18" t="s">
        <v>8257</v>
      </c>
      <c r="Q1926" s="18" t="s">
        <v>149</v>
      </c>
      <c r="R1926" s="18" t="s">
        <v>8258</v>
      </c>
      <c r="S1926" s="18" t="s">
        <v>242</v>
      </c>
      <c r="T1926" s="18" t="s">
        <v>8259</v>
      </c>
      <c r="U1926" s="18" t="s">
        <v>8260</v>
      </c>
      <c r="V1926" s="19" t="s">
        <v>29</v>
      </c>
      <c r="W1926" s="19"/>
      <c r="X1926" s="19"/>
      <c r="Y1926" s="20"/>
      <c r="Z1926" s="19"/>
      <c r="AA1926" s="18" t="str">
        <f aca="false">IF(OR(V1926="Aprobada"),R1926,IF(AND(OR(V1926="Aprobada con ajuste",V1926="Rechazada"),W1926&lt;&gt;""),W1926,""))</f>
        <v/>
      </c>
    </row>
    <row r="1927" customFormat="false" ht="32.8" hidden="false" customHeight="false" outlineLevel="0" collapsed="false">
      <c r="A1927" s="18" t="s">
        <v>8261</v>
      </c>
      <c r="B1927" s="18" t="s">
        <v>66</v>
      </c>
      <c r="C1927" s="18" t="s">
        <v>67</v>
      </c>
      <c r="D1927" s="18" t="s">
        <v>8185</v>
      </c>
      <c r="E1927" s="18" t="n">
        <v>16</v>
      </c>
      <c r="F1927" s="18" t="s">
        <v>8262</v>
      </c>
      <c r="G1927" s="18" t="s">
        <v>192</v>
      </c>
      <c r="H1927" s="18" t="s">
        <v>162</v>
      </c>
      <c r="I1927" s="18"/>
      <c r="J1927" s="18"/>
      <c r="K1927" s="18"/>
      <c r="L1927" s="18" t="s">
        <v>129</v>
      </c>
      <c r="M1927" s="18" t="s">
        <v>129</v>
      </c>
      <c r="N1927" s="18"/>
      <c r="O1927" s="18"/>
      <c r="P1927" s="18" t="s">
        <v>8263</v>
      </c>
      <c r="Q1927" s="18" t="s">
        <v>149</v>
      </c>
      <c r="R1927" s="18" t="s">
        <v>8264</v>
      </c>
      <c r="S1927" s="18" t="s">
        <v>242</v>
      </c>
      <c r="T1927" s="18" t="s">
        <v>3193</v>
      </c>
      <c r="U1927" s="18" t="s">
        <v>8265</v>
      </c>
      <c r="V1927" s="19" t="s">
        <v>29</v>
      </c>
      <c r="W1927" s="19"/>
      <c r="X1927" s="19"/>
      <c r="Y1927" s="20"/>
      <c r="Z1927" s="19"/>
      <c r="AA1927" s="18" t="str">
        <f aca="false">IF(OR(V1927="Aprobada"),R1927,IF(AND(OR(V1927="Aprobada con ajuste",V1927="Rechazada"),W1927&lt;&gt;""),W1927,""))</f>
        <v/>
      </c>
    </row>
    <row r="1928" customFormat="false" ht="32.8" hidden="false" customHeight="false" outlineLevel="0" collapsed="false">
      <c r="A1928" s="18" t="s">
        <v>8266</v>
      </c>
      <c r="B1928" s="18" t="s">
        <v>66</v>
      </c>
      <c r="C1928" s="18" t="s">
        <v>67</v>
      </c>
      <c r="D1928" s="18" t="s">
        <v>8185</v>
      </c>
      <c r="E1928" s="18" t="n">
        <v>16</v>
      </c>
      <c r="F1928" s="18" t="s">
        <v>8267</v>
      </c>
      <c r="G1928" s="18" t="s">
        <v>145</v>
      </c>
      <c r="H1928" s="18" t="s">
        <v>162</v>
      </c>
      <c r="I1928" s="18" t="s">
        <v>146</v>
      </c>
      <c r="J1928" s="18"/>
      <c r="K1928" s="18"/>
      <c r="L1928" s="18" t="s">
        <v>129</v>
      </c>
      <c r="M1928" s="18" t="s">
        <v>129</v>
      </c>
      <c r="N1928" s="18"/>
      <c r="O1928" s="18" t="s">
        <v>8268</v>
      </c>
      <c r="P1928" s="18" t="s">
        <v>8269</v>
      </c>
      <c r="Q1928" s="18" t="s">
        <v>149</v>
      </c>
      <c r="R1928" s="18" t="s">
        <v>8270</v>
      </c>
      <c r="S1928" s="18" t="s">
        <v>140</v>
      </c>
      <c r="T1928" s="18" t="s">
        <v>5438</v>
      </c>
      <c r="U1928" s="18" t="s">
        <v>8271</v>
      </c>
      <c r="V1928" s="19" t="s">
        <v>29</v>
      </c>
      <c r="W1928" s="19"/>
      <c r="X1928" s="19"/>
      <c r="Y1928" s="20"/>
      <c r="Z1928" s="19"/>
      <c r="AA1928" s="18" t="str">
        <f aca="false">IF(OR(V1928="Aprobada"),R1928,IF(AND(OR(V1928="Aprobada con ajuste",V1928="Rechazada"),W1928&lt;&gt;""),W1928,""))</f>
        <v/>
      </c>
    </row>
    <row r="1929" customFormat="false" ht="74.6" hidden="false" customHeight="false" outlineLevel="0" collapsed="false">
      <c r="A1929" s="18" t="s">
        <v>8272</v>
      </c>
      <c r="B1929" s="18" t="s">
        <v>66</v>
      </c>
      <c r="C1929" s="18" t="s">
        <v>67</v>
      </c>
      <c r="D1929" s="18" t="s">
        <v>8185</v>
      </c>
      <c r="E1929" s="18" t="n">
        <v>16</v>
      </c>
      <c r="F1929" s="18" t="s">
        <v>281</v>
      </c>
      <c r="G1929" s="18" t="s">
        <v>486</v>
      </c>
      <c r="H1929" s="18" t="s">
        <v>162</v>
      </c>
      <c r="I1929" s="18" t="s">
        <v>298</v>
      </c>
      <c r="J1929" s="18" t="s">
        <v>8273</v>
      </c>
      <c r="K1929" s="18"/>
      <c r="L1929" s="18" t="s">
        <v>162</v>
      </c>
      <c r="M1929" s="18" t="s">
        <v>129</v>
      </c>
      <c r="N1929" s="18"/>
      <c r="O1929" s="18"/>
      <c r="P1929" s="18" t="s">
        <v>8274</v>
      </c>
      <c r="Q1929" s="18" t="s">
        <v>149</v>
      </c>
      <c r="R1929" s="18" t="s">
        <v>8275</v>
      </c>
      <c r="S1929" s="18" t="s">
        <v>133</v>
      </c>
      <c r="T1929" s="18" t="s">
        <v>6905</v>
      </c>
      <c r="U1929" s="18"/>
      <c r="V1929" s="19" t="s">
        <v>29</v>
      </c>
      <c r="W1929" s="19"/>
      <c r="X1929" s="19"/>
      <c r="Y1929" s="20"/>
      <c r="Z1929" s="19"/>
      <c r="AA1929" s="18" t="str">
        <f aca="false">IF(OR(V1929="Aprobada"),R1929,IF(AND(OR(V1929="Aprobada con ajuste",V1929="Rechazada"),W1929&lt;&gt;""),W1929,""))</f>
        <v/>
      </c>
    </row>
    <row r="1930" customFormat="false" ht="32.8" hidden="false" customHeight="false" outlineLevel="0" collapsed="false">
      <c r="A1930" s="18" t="s">
        <v>8276</v>
      </c>
      <c r="B1930" s="18" t="s">
        <v>66</v>
      </c>
      <c r="C1930" s="18" t="s">
        <v>67</v>
      </c>
      <c r="D1930" s="18" t="s">
        <v>8185</v>
      </c>
      <c r="E1930" s="18" t="n">
        <v>16</v>
      </c>
      <c r="F1930" s="18" t="s">
        <v>8277</v>
      </c>
      <c r="G1930" s="18" t="s">
        <v>503</v>
      </c>
      <c r="H1930" s="18" t="s">
        <v>162</v>
      </c>
      <c r="I1930" s="18" t="s">
        <v>298</v>
      </c>
      <c r="J1930" s="18"/>
      <c r="K1930" s="18"/>
      <c r="L1930" s="18" t="s">
        <v>129</v>
      </c>
      <c r="M1930" s="18" t="s">
        <v>129</v>
      </c>
      <c r="N1930" s="18"/>
      <c r="O1930" s="18"/>
      <c r="P1930" s="18" t="s">
        <v>8278</v>
      </c>
      <c r="Q1930" s="18" t="s">
        <v>131</v>
      </c>
      <c r="R1930" s="18" t="s">
        <v>8279</v>
      </c>
      <c r="S1930" s="18" t="s">
        <v>133</v>
      </c>
      <c r="T1930" s="18" t="s">
        <v>8280</v>
      </c>
      <c r="U1930" s="18"/>
      <c r="V1930" s="19" t="s">
        <v>29</v>
      </c>
      <c r="W1930" s="19"/>
      <c r="X1930" s="19"/>
      <c r="Y1930" s="20"/>
      <c r="Z1930" s="19"/>
      <c r="AA1930" s="18" t="str">
        <f aca="false">IF(OR(V1930="Aprobada"),R1930,IF(AND(OR(V1930="Aprobada con ajuste",V1930="Rechazada"),W1930&lt;&gt;""),W1930,""))</f>
        <v/>
      </c>
    </row>
    <row r="1931" customFormat="false" ht="43.25" hidden="false" customHeight="false" outlineLevel="0" collapsed="false">
      <c r="A1931" s="18" t="s">
        <v>8281</v>
      </c>
      <c r="B1931" s="18" t="s">
        <v>66</v>
      </c>
      <c r="C1931" s="18" t="s">
        <v>67</v>
      </c>
      <c r="D1931" s="18" t="s">
        <v>8185</v>
      </c>
      <c r="E1931" s="18" t="n">
        <v>16</v>
      </c>
      <c r="F1931" s="18" t="s">
        <v>8282</v>
      </c>
      <c r="G1931" s="18" t="s">
        <v>161</v>
      </c>
      <c r="H1931" s="18" t="s">
        <v>162</v>
      </c>
      <c r="I1931" s="18"/>
      <c r="J1931" s="18"/>
      <c r="K1931" s="18"/>
      <c r="L1931" s="18" t="s">
        <v>129</v>
      </c>
      <c r="M1931" s="18" t="s">
        <v>129</v>
      </c>
      <c r="N1931" s="18"/>
      <c r="O1931" s="18"/>
      <c r="P1931" s="18" t="s">
        <v>8283</v>
      </c>
      <c r="Q1931" s="18" t="s">
        <v>149</v>
      </c>
      <c r="R1931" s="18" t="s">
        <v>8284</v>
      </c>
      <c r="S1931" s="18" t="s">
        <v>133</v>
      </c>
      <c r="T1931" s="18" t="s">
        <v>858</v>
      </c>
      <c r="U1931" s="18"/>
      <c r="V1931" s="19" t="s">
        <v>29</v>
      </c>
      <c r="W1931" s="19"/>
      <c r="X1931" s="19"/>
      <c r="Y1931" s="20"/>
      <c r="Z1931" s="19"/>
      <c r="AA1931" s="18" t="str">
        <f aca="false">IF(OR(V1931="Aprobada"),R1931,IF(AND(OR(V1931="Aprobada con ajuste",V1931="Rechazada"),W1931&lt;&gt;""),W1931,""))</f>
        <v/>
      </c>
    </row>
    <row r="1932" customFormat="false" ht="53.7" hidden="false" customHeight="false" outlineLevel="0" collapsed="false">
      <c r="A1932" s="18" t="s">
        <v>8285</v>
      </c>
      <c r="B1932" s="18" t="s">
        <v>66</v>
      </c>
      <c r="C1932" s="18" t="s">
        <v>67</v>
      </c>
      <c r="D1932" s="18" t="s">
        <v>8185</v>
      </c>
      <c r="E1932" s="18" t="n">
        <v>16</v>
      </c>
      <c r="F1932" s="18" t="s">
        <v>5465</v>
      </c>
      <c r="G1932" s="18" t="s">
        <v>180</v>
      </c>
      <c r="H1932" s="18" t="s">
        <v>162</v>
      </c>
      <c r="I1932" s="18"/>
      <c r="J1932" s="18"/>
      <c r="K1932" s="18"/>
      <c r="L1932" s="18" t="s">
        <v>129</v>
      </c>
      <c r="M1932" s="18" t="s">
        <v>129</v>
      </c>
      <c r="N1932" s="18"/>
      <c r="O1932" s="18"/>
      <c r="P1932" s="18" t="s">
        <v>8286</v>
      </c>
      <c r="Q1932" s="18" t="s">
        <v>149</v>
      </c>
      <c r="R1932" s="18" t="s">
        <v>8287</v>
      </c>
      <c r="S1932" s="18" t="s">
        <v>140</v>
      </c>
      <c r="T1932" s="18" t="s">
        <v>8288</v>
      </c>
      <c r="U1932" s="18" t="s">
        <v>8289</v>
      </c>
      <c r="V1932" s="19" t="s">
        <v>29</v>
      </c>
      <c r="W1932" s="19"/>
      <c r="X1932" s="19"/>
      <c r="Y1932" s="20"/>
      <c r="Z1932" s="19"/>
      <c r="AA1932" s="18" t="str">
        <f aca="false">IF(OR(V1932="Aprobada"),R1932,IF(AND(OR(V1932="Aprobada con ajuste",V1932="Rechazada"),W1932&lt;&gt;""),W1932,""))</f>
        <v/>
      </c>
    </row>
    <row r="1933" customFormat="false" ht="32.8" hidden="false" customHeight="false" outlineLevel="0" collapsed="false">
      <c r="A1933" s="18" t="s">
        <v>8290</v>
      </c>
      <c r="B1933" s="18" t="s">
        <v>66</v>
      </c>
      <c r="C1933" s="18" t="s">
        <v>67</v>
      </c>
      <c r="D1933" s="18" t="s">
        <v>8185</v>
      </c>
      <c r="E1933" s="18" t="n">
        <v>16</v>
      </c>
      <c r="F1933" s="18" t="s">
        <v>8291</v>
      </c>
      <c r="G1933" s="18" t="s">
        <v>173</v>
      </c>
      <c r="H1933" s="18" t="s">
        <v>162</v>
      </c>
      <c r="I1933" s="18"/>
      <c r="J1933" s="18"/>
      <c r="K1933" s="18"/>
      <c r="L1933" s="18" t="s">
        <v>129</v>
      </c>
      <c r="M1933" s="18" t="s">
        <v>129</v>
      </c>
      <c r="N1933" s="18"/>
      <c r="O1933" s="18"/>
      <c r="P1933" s="18" t="s">
        <v>8292</v>
      </c>
      <c r="Q1933" s="18" t="s">
        <v>131</v>
      </c>
      <c r="R1933" s="18" t="s">
        <v>8293</v>
      </c>
      <c r="S1933" s="18" t="s">
        <v>133</v>
      </c>
      <c r="T1933" s="18" t="s">
        <v>8294</v>
      </c>
      <c r="U1933" s="18"/>
      <c r="V1933" s="19" t="s">
        <v>29</v>
      </c>
      <c r="W1933" s="19"/>
      <c r="X1933" s="19"/>
      <c r="Y1933" s="20"/>
      <c r="Z1933" s="19"/>
      <c r="AA1933" s="18" t="str">
        <f aca="false">IF(OR(V1933="Aprobada"),R1933,IF(AND(OR(V1933="Aprobada con ajuste",V1933="Rechazada"),W1933&lt;&gt;""),W1933,""))</f>
        <v/>
      </c>
    </row>
    <row r="1934" customFormat="false" ht="43.25" hidden="false" customHeight="false" outlineLevel="0" collapsed="false">
      <c r="A1934" s="18" t="s">
        <v>8295</v>
      </c>
      <c r="B1934" s="18" t="s">
        <v>66</v>
      </c>
      <c r="C1934" s="18" t="s">
        <v>67</v>
      </c>
      <c r="D1934" s="18" t="s">
        <v>8185</v>
      </c>
      <c r="E1934" s="18" t="n">
        <v>16</v>
      </c>
      <c r="F1934" s="18" t="s">
        <v>8296</v>
      </c>
      <c r="G1934" s="18" t="s">
        <v>161</v>
      </c>
      <c r="H1934" s="18" t="s">
        <v>162</v>
      </c>
      <c r="I1934" s="18"/>
      <c r="J1934" s="18"/>
      <c r="K1934" s="18"/>
      <c r="L1934" s="18" t="s">
        <v>129</v>
      </c>
      <c r="M1934" s="18" t="s">
        <v>129</v>
      </c>
      <c r="N1934" s="18"/>
      <c r="O1934" s="18"/>
      <c r="P1934" s="18" t="s">
        <v>8297</v>
      </c>
      <c r="Q1934" s="18" t="s">
        <v>149</v>
      </c>
      <c r="R1934" s="18" t="s">
        <v>8298</v>
      </c>
      <c r="S1934" s="18" t="s">
        <v>133</v>
      </c>
      <c r="T1934" s="18" t="s">
        <v>8299</v>
      </c>
      <c r="U1934" s="18"/>
      <c r="V1934" s="19" t="s">
        <v>29</v>
      </c>
      <c r="W1934" s="19"/>
      <c r="X1934" s="19"/>
      <c r="Y1934" s="20"/>
      <c r="Z1934" s="19"/>
      <c r="AA1934" s="18" t="str">
        <f aca="false">IF(OR(V1934="Aprobada"),R1934,IF(AND(OR(V1934="Aprobada con ajuste",V1934="Rechazada"),W1934&lt;&gt;""),W1934,""))</f>
        <v/>
      </c>
    </row>
    <row r="1935" customFormat="false" ht="32.8" hidden="false" customHeight="false" outlineLevel="0" collapsed="false">
      <c r="A1935" s="18" t="s">
        <v>8300</v>
      </c>
      <c r="B1935" s="18" t="s">
        <v>66</v>
      </c>
      <c r="C1935" s="18" t="s">
        <v>67</v>
      </c>
      <c r="D1935" s="18" t="s">
        <v>8185</v>
      </c>
      <c r="E1935" s="18" t="n">
        <v>16</v>
      </c>
      <c r="F1935" s="18" t="s">
        <v>8301</v>
      </c>
      <c r="G1935" s="18" t="s">
        <v>173</v>
      </c>
      <c r="H1935" s="18" t="s">
        <v>162</v>
      </c>
      <c r="I1935" s="18"/>
      <c r="J1935" s="18"/>
      <c r="K1935" s="18"/>
      <c r="L1935" s="18" t="s">
        <v>129</v>
      </c>
      <c r="M1935" s="18" t="s">
        <v>129</v>
      </c>
      <c r="N1935" s="18"/>
      <c r="O1935" s="18"/>
      <c r="P1935" s="18" t="s">
        <v>8302</v>
      </c>
      <c r="Q1935" s="18" t="s">
        <v>131</v>
      </c>
      <c r="R1935" s="18" t="s">
        <v>8303</v>
      </c>
      <c r="S1935" s="18" t="s">
        <v>133</v>
      </c>
      <c r="T1935" s="18" t="s">
        <v>183</v>
      </c>
      <c r="U1935" s="18"/>
      <c r="V1935" s="19" t="s">
        <v>29</v>
      </c>
      <c r="W1935" s="19"/>
      <c r="X1935" s="19"/>
      <c r="Y1935" s="20"/>
      <c r="Z1935" s="19"/>
      <c r="AA1935" s="18" t="str">
        <f aca="false">IF(OR(V1935="Aprobada"),R1935,IF(AND(OR(V1935="Aprobada con ajuste",V1935="Rechazada"),W1935&lt;&gt;""),W1935,""))</f>
        <v/>
      </c>
    </row>
    <row r="1936" customFormat="false" ht="43.25" hidden="false" customHeight="false" outlineLevel="0" collapsed="false">
      <c r="A1936" s="18" t="s">
        <v>8304</v>
      </c>
      <c r="B1936" s="18" t="s">
        <v>66</v>
      </c>
      <c r="C1936" s="18" t="s">
        <v>67</v>
      </c>
      <c r="D1936" s="18" t="s">
        <v>8185</v>
      </c>
      <c r="E1936" s="18" t="n">
        <v>16</v>
      </c>
      <c r="F1936" s="18" t="s">
        <v>7746</v>
      </c>
      <c r="G1936" s="18" t="s">
        <v>503</v>
      </c>
      <c r="H1936" s="18" t="s">
        <v>162</v>
      </c>
      <c r="I1936" s="18"/>
      <c r="J1936" s="18"/>
      <c r="K1936" s="18"/>
      <c r="L1936" s="18" t="s">
        <v>129</v>
      </c>
      <c r="M1936" s="18" t="s">
        <v>129</v>
      </c>
      <c r="N1936" s="18"/>
      <c r="O1936" s="18"/>
      <c r="P1936" s="18" t="s">
        <v>8305</v>
      </c>
      <c r="Q1936" s="18" t="s">
        <v>149</v>
      </c>
      <c r="R1936" s="18" t="s">
        <v>8306</v>
      </c>
      <c r="S1936" s="18" t="s">
        <v>140</v>
      </c>
      <c r="T1936" s="18" t="s">
        <v>8307</v>
      </c>
      <c r="U1936" s="18" t="s">
        <v>7750</v>
      </c>
      <c r="V1936" s="19" t="s">
        <v>29</v>
      </c>
      <c r="W1936" s="19"/>
      <c r="X1936" s="19"/>
      <c r="Y1936" s="20"/>
      <c r="Z1936" s="19"/>
      <c r="AA1936" s="18" t="str">
        <f aca="false">IF(OR(V1936="Aprobada"),R1936,IF(AND(OR(V1936="Aprobada con ajuste",V1936="Rechazada"),W1936&lt;&gt;""),W1936,""))</f>
        <v/>
      </c>
    </row>
    <row r="1937" customFormat="false" ht="43.25" hidden="false" customHeight="false" outlineLevel="0" collapsed="false">
      <c r="A1937" s="18" t="s">
        <v>8308</v>
      </c>
      <c r="B1937" s="18" t="s">
        <v>66</v>
      </c>
      <c r="C1937" s="18" t="s">
        <v>67</v>
      </c>
      <c r="D1937" s="18" t="s">
        <v>8185</v>
      </c>
      <c r="E1937" s="18" t="n">
        <v>16</v>
      </c>
      <c r="F1937" s="18" t="s">
        <v>172</v>
      </c>
      <c r="G1937" s="18" t="s">
        <v>173</v>
      </c>
      <c r="H1937" s="18" t="s">
        <v>162</v>
      </c>
      <c r="I1937" s="18"/>
      <c r="J1937" s="18"/>
      <c r="K1937" s="18"/>
      <c r="L1937" s="18" t="s">
        <v>129</v>
      </c>
      <c r="M1937" s="18" t="s">
        <v>129</v>
      </c>
      <c r="N1937" s="18"/>
      <c r="O1937" s="18"/>
      <c r="P1937" s="18" t="s">
        <v>8309</v>
      </c>
      <c r="Q1937" s="18" t="s">
        <v>138</v>
      </c>
      <c r="R1937" s="18" t="s">
        <v>176</v>
      </c>
      <c r="S1937" s="18" t="s">
        <v>140</v>
      </c>
      <c r="T1937" s="18" t="s">
        <v>141</v>
      </c>
      <c r="U1937" s="18"/>
      <c r="V1937" s="19" t="s">
        <v>29</v>
      </c>
      <c r="W1937" s="19"/>
      <c r="X1937" s="19"/>
      <c r="Y1937" s="20"/>
      <c r="Z1937" s="19"/>
      <c r="AA1937" s="18" t="str">
        <f aca="false">IF(OR(V1937="Aprobada"),R1937,IF(AND(OR(V1937="Aprobada con ajuste",V1937="Rechazada"),W1937&lt;&gt;""),W1937,""))</f>
        <v/>
      </c>
    </row>
    <row r="1938" customFormat="false" ht="22.35" hidden="false" customHeight="false" outlineLevel="0" collapsed="false">
      <c r="A1938" s="18" t="s">
        <v>8310</v>
      </c>
      <c r="B1938" s="18" t="s">
        <v>66</v>
      </c>
      <c r="C1938" s="18" t="s">
        <v>67</v>
      </c>
      <c r="D1938" s="18" t="s">
        <v>8311</v>
      </c>
      <c r="E1938" s="18" t="n">
        <v>0</v>
      </c>
      <c r="F1938" s="18" t="s">
        <v>275</v>
      </c>
      <c r="G1938" s="18" t="s">
        <v>180</v>
      </c>
      <c r="H1938" s="18" t="s">
        <v>129</v>
      </c>
      <c r="I1938" s="18"/>
      <c r="J1938" s="18"/>
      <c r="K1938" s="18"/>
      <c r="L1938" s="18" t="s">
        <v>129</v>
      </c>
      <c r="M1938" s="18" t="s">
        <v>129</v>
      </c>
      <c r="N1938" s="18"/>
      <c r="O1938" s="18"/>
      <c r="P1938" s="18"/>
      <c r="Q1938" s="18" t="s">
        <v>138</v>
      </c>
      <c r="R1938" s="18" t="s">
        <v>8312</v>
      </c>
      <c r="S1938" s="18" t="s">
        <v>140</v>
      </c>
      <c r="T1938" s="18" t="s">
        <v>141</v>
      </c>
      <c r="U1938" s="18"/>
      <c r="V1938" s="19" t="s">
        <v>29</v>
      </c>
      <c r="W1938" s="19"/>
      <c r="X1938" s="19"/>
      <c r="Y1938" s="20"/>
      <c r="Z1938" s="19"/>
      <c r="AA1938" s="18" t="str">
        <f aca="false">IF(OR(V1938="Aprobada"),R1938,IF(AND(OR(V1938="Aprobada con ajuste",V1938="Rechazada"),W1938&lt;&gt;""),W1938,""))</f>
        <v/>
      </c>
    </row>
    <row r="1939" customFormat="false" ht="22.35" hidden="false" customHeight="false" outlineLevel="0" collapsed="false">
      <c r="A1939" s="18" t="s">
        <v>8313</v>
      </c>
      <c r="B1939" s="18" t="s">
        <v>66</v>
      </c>
      <c r="C1939" s="18" t="s">
        <v>67</v>
      </c>
      <c r="D1939" s="18" t="s">
        <v>8311</v>
      </c>
      <c r="E1939" s="18" t="n">
        <v>0</v>
      </c>
      <c r="F1939" s="18" t="s">
        <v>127</v>
      </c>
      <c r="G1939" s="18" t="s">
        <v>486</v>
      </c>
      <c r="H1939" s="18" t="s">
        <v>129</v>
      </c>
      <c r="I1939" s="18" t="s">
        <v>298</v>
      </c>
      <c r="J1939" s="18" t="s">
        <v>8314</v>
      </c>
      <c r="K1939" s="18"/>
      <c r="L1939" s="18" t="s">
        <v>162</v>
      </c>
      <c r="M1939" s="18" t="s">
        <v>129</v>
      </c>
      <c r="N1939" s="18"/>
      <c r="O1939" s="18" t="s">
        <v>8315</v>
      </c>
      <c r="P1939" s="18"/>
      <c r="Q1939" s="18" t="s">
        <v>138</v>
      </c>
      <c r="R1939" s="18" t="s">
        <v>8316</v>
      </c>
      <c r="S1939" s="18" t="s">
        <v>140</v>
      </c>
      <c r="T1939" s="18" t="s">
        <v>141</v>
      </c>
      <c r="U1939" s="18"/>
      <c r="V1939" s="19" t="s">
        <v>29</v>
      </c>
      <c r="W1939" s="19"/>
      <c r="X1939" s="19"/>
      <c r="Y1939" s="20"/>
      <c r="Z1939" s="19"/>
      <c r="AA1939" s="18" t="str">
        <f aca="false">IF(OR(V1939="Aprobada"),R1939,IF(AND(OR(V1939="Aprobada con ajuste",V1939="Rechazada"),W1939&lt;&gt;""),W1939,""))</f>
        <v/>
      </c>
    </row>
    <row r="1940" customFormat="false" ht="32.8" hidden="false" customHeight="false" outlineLevel="0" collapsed="false">
      <c r="A1940" s="18" t="s">
        <v>8317</v>
      </c>
      <c r="B1940" s="18" t="s">
        <v>66</v>
      </c>
      <c r="C1940" s="18" t="s">
        <v>67</v>
      </c>
      <c r="D1940" s="18" t="s">
        <v>8311</v>
      </c>
      <c r="E1940" s="18" t="n">
        <v>0</v>
      </c>
      <c r="F1940" s="18" t="s">
        <v>8318</v>
      </c>
      <c r="G1940" s="18" t="s">
        <v>192</v>
      </c>
      <c r="H1940" s="18" t="s">
        <v>129</v>
      </c>
      <c r="I1940" s="18"/>
      <c r="J1940" s="18"/>
      <c r="K1940" s="18"/>
      <c r="L1940" s="18" t="s">
        <v>129</v>
      </c>
      <c r="M1940" s="18" t="s">
        <v>129</v>
      </c>
      <c r="N1940" s="18"/>
      <c r="O1940" s="18"/>
      <c r="P1940" s="18"/>
      <c r="Q1940" s="18" t="s">
        <v>149</v>
      </c>
      <c r="R1940" s="18" t="s">
        <v>8319</v>
      </c>
      <c r="S1940" s="18" t="s">
        <v>140</v>
      </c>
      <c r="T1940" s="18" t="s">
        <v>183</v>
      </c>
      <c r="U1940" s="18" t="s">
        <v>8320</v>
      </c>
      <c r="V1940" s="19" t="s">
        <v>29</v>
      </c>
      <c r="W1940" s="19"/>
      <c r="X1940" s="19"/>
      <c r="Y1940" s="20"/>
      <c r="Z1940" s="19"/>
      <c r="AA1940" s="18" t="str">
        <f aca="false">IF(OR(V1940="Aprobada"),R1940,IF(AND(OR(V1940="Aprobada con ajuste",V1940="Rechazada"),W1940&lt;&gt;""),W1940,""))</f>
        <v/>
      </c>
    </row>
    <row r="1941" customFormat="false" ht="22.35" hidden="false" customHeight="false" outlineLevel="0" collapsed="false">
      <c r="A1941" s="18" t="s">
        <v>8321</v>
      </c>
      <c r="B1941" s="18" t="s">
        <v>66</v>
      </c>
      <c r="C1941" s="18" t="s">
        <v>67</v>
      </c>
      <c r="D1941" s="18" t="s">
        <v>8311</v>
      </c>
      <c r="E1941" s="18" t="n">
        <v>0</v>
      </c>
      <c r="F1941" s="18" t="s">
        <v>1688</v>
      </c>
      <c r="G1941" s="18" t="s">
        <v>173</v>
      </c>
      <c r="H1941" s="18" t="s">
        <v>162</v>
      </c>
      <c r="I1941" s="18"/>
      <c r="J1941" s="18"/>
      <c r="K1941" s="18"/>
      <c r="L1941" s="18" t="s">
        <v>129</v>
      </c>
      <c r="M1941" s="18" t="s">
        <v>129</v>
      </c>
      <c r="N1941" s="18"/>
      <c r="O1941" s="18" t="s">
        <v>8322</v>
      </c>
      <c r="P1941" s="18"/>
      <c r="Q1941" s="18" t="s">
        <v>138</v>
      </c>
      <c r="R1941" s="18" t="s">
        <v>176</v>
      </c>
      <c r="S1941" s="18" t="s">
        <v>140</v>
      </c>
      <c r="T1941" s="18" t="s">
        <v>141</v>
      </c>
      <c r="U1941" s="18"/>
      <c r="V1941" s="19" t="s">
        <v>29</v>
      </c>
      <c r="W1941" s="19"/>
      <c r="X1941" s="19"/>
      <c r="Y1941" s="20"/>
      <c r="Z1941" s="19"/>
      <c r="AA1941" s="18" t="str">
        <f aca="false">IF(OR(V1941="Aprobada"),R1941,IF(AND(OR(V1941="Aprobada con ajuste",V1941="Rechazada"),W1941&lt;&gt;""),W1941,""))</f>
        <v/>
      </c>
    </row>
    <row r="1942" customFormat="false" ht="22.35" hidden="false" customHeight="false" outlineLevel="0" collapsed="false">
      <c r="A1942" s="18" t="s">
        <v>8323</v>
      </c>
      <c r="B1942" s="18" t="s">
        <v>66</v>
      </c>
      <c r="C1942" s="18" t="s">
        <v>67</v>
      </c>
      <c r="D1942" s="18" t="s">
        <v>8311</v>
      </c>
      <c r="E1942" s="18" t="n">
        <v>0</v>
      </c>
      <c r="F1942" s="18" t="s">
        <v>8324</v>
      </c>
      <c r="G1942" s="18" t="s">
        <v>317</v>
      </c>
      <c r="H1942" s="18" t="s">
        <v>162</v>
      </c>
      <c r="I1942" s="18"/>
      <c r="J1942" s="18"/>
      <c r="K1942" s="18"/>
      <c r="L1942" s="18" t="s">
        <v>129</v>
      </c>
      <c r="M1942" s="18" t="s">
        <v>129</v>
      </c>
      <c r="N1942" s="18"/>
      <c r="O1942" s="18"/>
      <c r="P1942" s="18"/>
      <c r="Q1942" s="18" t="s">
        <v>149</v>
      </c>
      <c r="R1942" s="18" t="s">
        <v>8325</v>
      </c>
      <c r="S1942" s="18" t="s">
        <v>133</v>
      </c>
      <c r="T1942" s="18" t="s">
        <v>183</v>
      </c>
      <c r="U1942" s="18"/>
      <c r="V1942" s="19" t="s">
        <v>29</v>
      </c>
      <c r="W1942" s="19"/>
      <c r="X1942" s="19"/>
      <c r="Y1942" s="20"/>
      <c r="Z1942" s="19"/>
      <c r="AA1942" s="18" t="str">
        <f aca="false">IF(OR(V1942="Aprobada"),R1942,IF(AND(OR(V1942="Aprobada con ajuste",V1942="Rechazada"),W1942&lt;&gt;""),W1942,""))</f>
        <v/>
      </c>
    </row>
    <row r="1943" customFormat="false" ht="22.35" hidden="false" customHeight="false" outlineLevel="0" collapsed="false">
      <c r="A1943" s="18" t="s">
        <v>8326</v>
      </c>
      <c r="B1943" s="18" t="s">
        <v>66</v>
      </c>
      <c r="C1943" s="18" t="s">
        <v>67</v>
      </c>
      <c r="D1943" s="18" t="s">
        <v>8327</v>
      </c>
      <c r="E1943" s="18" t="n">
        <v>0</v>
      </c>
      <c r="F1943" s="18" t="s">
        <v>8328</v>
      </c>
      <c r="G1943" s="18" t="s">
        <v>312</v>
      </c>
      <c r="H1943" s="18" t="s">
        <v>129</v>
      </c>
      <c r="I1943" s="18"/>
      <c r="J1943" s="18"/>
      <c r="K1943" s="18"/>
      <c r="L1943" s="18" t="s">
        <v>129</v>
      </c>
      <c r="M1943" s="18" t="s">
        <v>129</v>
      </c>
      <c r="N1943" s="18"/>
      <c r="O1943" s="18"/>
      <c r="P1943" s="18"/>
      <c r="Q1943" s="18" t="s">
        <v>149</v>
      </c>
      <c r="R1943" s="18" t="s">
        <v>8329</v>
      </c>
      <c r="S1943" s="18" t="s">
        <v>140</v>
      </c>
      <c r="T1943" s="18" t="s">
        <v>183</v>
      </c>
      <c r="U1943" s="18" t="s">
        <v>8330</v>
      </c>
      <c r="V1943" s="19" t="s">
        <v>29</v>
      </c>
      <c r="W1943" s="19"/>
      <c r="X1943" s="19"/>
      <c r="Y1943" s="20"/>
      <c r="Z1943" s="19"/>
      <c r="AA1943" s="18" t="str">
        <f aca="false">IF(OR(V1943="Aprobada"),R1943,IF(AND(OR(V1943="Aprobada con ajuste",V1943="Rechazada"),W1943&lt;&gt;""),W1943,""))</f>
        <v/>
      </c>
    </row>
    <row r="1944" customFormat="false" ht="22.35" hidden="false" customHeight="false" outlineLevel="0" collapsed="false">
      <c r="A1944" s="18" t="s">
        <v>8331</v>
      </c>
      <c r="B1944" s="18" t="s">
        <v>66</v>
      </c>
      <c r="C1944" s="18" t="s">
        <v>67</v>
      </c>
      <c r="D1944" s="18" t="s">
        <v>8327</v>
      </c>
      <c r="E1944" s="18" t="n">
        <v>0</v>
      </c>
      <c r="F1944" s="18" t="s">
        <v>8332</v>
      </c>
      <c r="G1944" s="18" t="s">
        <v>180</v>
      </c>
      <c r="H1944" s="18" t="s">
        <v>129</v>
      </c>
      <c r="I1944" s="18"/>
      <c r="J1944" s="18"/>
      <c r="K1944" s="18"/>
      <c r="L1944" s="18" t="s">
        <v>129</v>
      </c>
      <c r="M1944" s="18" t="s">
        <v>129</v>
      </c>
      <c r="N1944" s="18"/>
      <c r="O1944" s="18"/>
      <c r="P1944" s="18"/>
      <c r="Q1944" s="18" t="s">
        <v>149</v>
      </c>
      <c r="R1944" s="18" t="s">
        <v>8333</v>
      </c>
      <c r="S1944" s="18" t="s">
        <v>140</v>
      </c>
      <c r="T1944" s="18" t="s">
        <v>183</v>
      </c>
      <c r="U1944" s="18" t="s">
        <v>8334</v>
      </c>
      <c r="V1944" s="19" t="s">
        <v>29</v>
      </c>
      <c r="W1944" s="19"/>
      <c r="X1944" s="19"/>
      <c r="Y1944" s="20"/>
      <c r="Z1944" s="19"/>
      <c r="AA1944" s="18" t="str">
        <f aca="false">IF(OR(V1944="Aprobada"),R1944,IF(AND(OR(V1944="Aprobada con ajuste",V1944="Rechazada"),W1944&lt;&gt;""),W1944,""))</f>
        <v/>
      </c>
    </row>
    <row r="1945" customFormat="false" ht="22.35" hidden="false" customHeight="false" outlineLevel="0" collapsed="false">
      <c r="A1945" s="18" t="s">
        <v>8335</v>
      </c>
      <c r="B1945" s="18" t="s">
        <v>66</v>
      </c>
      <c r="C1945" s="18" t="s">
        <v>67</v>
      </c>
      <c r="D1945" s="18" t="s">
        <v>8327</v>
      </c>
      <c r="E1945" s="18" t="n">
        <v>0</v>
      </c>
      <c r="F1945" s="18" t="s">
        <v>8336</v>
      </c>
      <c r="G1945" s="18" t="s">
        <v>180</v>
      </c>
      <c r="H1945" s="18" t="s">
        <v>129</v>
      </c>
      <c r="I1945" s="18"/>
      <c r="J1945" s="18"/>
      <c r="K1945" s="18"/>
      <c r="L1945" s="18" t="s">
        <v>129</v>
      </c>
      <c r="M1945" s="18" t="s">
        <v>129</v>
      </c>
      <c r="N1945" s="18"/>
      <c r="O1945" s="18"/>
      <c r="P1945" s="18"/>
      <c r="Q1945" s="18" t="s">
        <v>149</v>
      </c>
      <c r="R1945" s="18" t="s">
        <v>8337</v>
      </c>
      <c r="S1945" s="18" t="s">
        <v>140</v>
      </c>
      <c r="T1945" s="18" t="s">
        <v>183</v>
      </c>
      <c r="U1945" s="18" t="s">
        <v>8338</v>
      </c>
      <c r="V1945" s="19" t="s">
        <v>29</v>
      </c>
      <c r="W1945" s="19"/>
      <c r="X1945" s="19"/>
      <c r="Y1945" s="20"/>
      <c r="Z1945" s="19"/>
      <c r="AA1945" s="18" t="str">
        <f aca="false">IF(OR(V1945="Aprobada"),R1945,IF(AND(OR(V1945="Aprobada con ajuste",V1945="Rechazada"),W1945&lt;&gt;""),W1945,""))</f>
        <v/>
      </c>
    </row>
    <row r="1946" customFormat="false" ht="32.8" hidden="false" customHeight="false" outlineLevel="0" collapsed="false">
      <c r="A1946" s="18" t="s">
        <v>8339</v>
      </c>
      <c r="B1946" s="18" t="s">
        <v>66</v>
      </c>
      <c r="C1946" s="18" t="s">
        <v>67</v>
      </c>
      <c r="D1946" s="18" t="s">
        <v>8327</v>
      </c>
      <c r="E1946" s="18" t="n">
        <v>0</v>
      </c>
      <c r="F1946" s="18" t="s">
        <v>8340</v>
      </c>
      <c r="G1946" s="18" t="s">
        <v>180</v>
      </c>
      <c r="H1946" s="18" t="s">
        <v>129</v>
      </c>
      <c r="I1946" s="18"/>
      <c r="J1946" s="18"/>
      <c r="K1946" s="18"/>
      <c r="L1946" s="18" t="s">
        <v>129</v>
      </c>
      <c r="M1946" s="18" t="s">
        <v>129</v>
      </c>
      <c r="N1946" s="18"/>
      <c r="O1946" s="18" t="s">
        <v>8341</v>
      </c>
      <c r="P1946" s="18"/>
      <c r="Q1946" s="18" t="s">
        <v>149</v>
      </c>
      <c r="R1946" s="18" t="s">
        <v>8342</v>
      </c>
      <c r="S1946" s="18" t="s">
        <v>140</v>
      </c>
      <c r="T1946" s="18" t="s">
        <v>183</v>
      </c>
      <c r="U1946" s="18" t="s">
        <v>8343</v>
      </c>
      <c r="V1946" s="19" t="s">
        <v>29</v>
      </c>
      <c r="W1946" s="19"/>
      <c r="X1946" s="19"/>
      <c r="Y1946" s="20"/>
      <c r="Z1946" s="19"/>
      <c r="AA1946" s="18" t="str">
        <f aca="false">IF(OR(V1946="Aprobada"),R1946,IF(AND(OR(V1946="Aprobada con ajuste",V1946="Rechazada"),W1946&lt;&gt;""),W1946,""))</f>
        <v/>
      </c>
    </row>
    <row r="1947" customFormat="false" ht="22.35" hidden="false" customHeight="false" outlineLevel="0" collapsed="false">
      <c r="A1947" s="18" t="s">
        <v>8344</v>
      </c>
      <c r="B1947" s="18" t="s">
        <v>66</v>
      </c>
      <c r="C1947" s="18" t="s">
        <v>67</v>
      </c>
      <c r="D1947" s="18" t="s">
        <v>8327</v>
      </c>
      <c r="E1947" s="18" t="n">
        <v>0</v>
      </c>
      <c r="F1947" s="18" t="s">
        <v>8345</v>
      </c>
      <c r="G1947" s="18" t="s">
        <v>137</v>
      </c>
      <c r="H1947" s="18" t="s">
        <v>129</v>
      </c>
      <c r="I1947" s="18"/>
      <c r="J1947" s="18"/>
      <c r="K1947" s="18"/>
      <c r="L1947" s="18" t="s">
        <v>129</v>
      </c>
      <c r="M1947" s="18" t="s">
        <v>129</v>
      </c>
      <c r="N1947" s="18"/>
      <c r="O1947" s="18" t="s">
        <v>8346</v>
      </c>
      <c r="P1947" s="18"/>
      <c r="Q1947" s="18" t="s">
        <v>138</v>
      </c>
      <c r="R1947" s="18" t="s">
        <v>8347</v>
      </c>
      <c r="S1947" s="18" t="s">
        <v>140</v>
      </c>
      <c r="T1947" s="18" t="s">
        <v>141</v>
      </c>
      <c r="U1947" s="18"/>
      <c r="V1947" s="19" t="s">
        <v>29</v>
      </c>
      <c r="W1947" s="19"/>
      <c r="X1947" s="19"/>
      <c r="Y1947" s="20"/>
      <c r="Z1947" s="19"/>
      <c r="AA1947" s="18" t="str">
        <f aca="false">IF(OR(V1947="Aprobada"),R1947,IF(AND(OR(V1947="Aprobada con ajuste",V1947="Rechazada"),W1947&lt;&gt;""),W1947,""))</f>
        <v/>
      </c>
    </row>
    <row r="1948" customFormat="false" ht="22.35" hidden="false" customHeight="false" outlineLevel="0" collapsed="false">
      <c r="A1948" s="18" t="s">
        <v>8348</v>
      </c>
      <c r="B1948" s="18" t="s">
        <v>66</v>
      </c>
      <c r="C1948" s="18" t="s">
        <v>67</v>
      </c>
      <c r="D1948" s="18" t="s">
        <v>8327</v>
      </c>
      <c r="E1948" s="18" t="n">
        <v>0</v>
      </c>
      <c r="F1948" s="18" t="s">
        <v>8349</v>
      </c>
      <c r="G1948" s="18" t="s">
        <v>180</v>
      </c>
      <c r="H1948" s="18" t="s">
        <v>129</v>
      </c>
      <c r="I1948" s="18"/>
      <c r="J1948" s="18"/>
      <c r="K1948" s="18"/>
      <c r="L1948" s="18" t="s">
        <v>129</v>
      </c>
      <c r="M1948" s="18" t="s">
        <v>129</v>
      </c>
      <c r="N1948" s="18"/>
      <c r="O1948" s="18"/>
      <c r="P1948" s="18"/>
      <c r="Q1948" s="18" t="s">
        <v>149</v>
      </c>
      <c r="R1948" s="18" t="s">
        <v>8350</v>
      </c>
      <c r="S1948" s="18" t="s">
        <v>140</v>
      </c>
      <c r="T1948" s="18" t="s">
        <v>183</v>
      </c>
      <c r="U1948" s="18" t="s">
        <v>8351</v>
      </c>
      <c r="V1948" s="19" t="s">
        <v>29</v>
      </c>
      <c r="W1948" s="19"/>
      <c r="X1948" s="19"/>
      <c r="Y1948" s="20"/>
      <c r="Z1948" s="19"/>
      <c r="AA1948" s="18" t="str">
        <f aca="false">IF(OR(V1948="Aprobada"),R1948,IF(AND(OR(V1948="Aprobada con ajuste",V1948="Rechazada"),W1948&lt;&gt;""),W1948,""))</f>
        <v/>
      </c>
    </row>
    <row r="1949" customFormat="false" ht="22.35" hidden="false" customHeight="false" outlineLevel="0" collapsed="false">
      <c r="A1949" s="18" t="s">
        <v>8352</v>
      </c>
      <c r="B1949" s="18" t="s">
        <v>66</v>
      </c>
      <c r="C1949" s="18" t="s">
        <v>67</v>
      </c>
      <c r="D1949" s="18" t="s">
        <v>8327</v>
      </c>
      <c r="E1949" s="18" t="n">
        <v>0</v>
      </c>
      <c r="F1949" s="18" t="s">
        <v>8353</v>
      </c>
      <c r="G1949" s="18" t="s">
        <v>192</v>
      </c>
      <c r="H1949" s="18" t="s">
        <v>129</v>
      </c>
      <c r="I1949" s="18"/>
      <c r="J1949" s="18"/>
      <c r="K1949" s="18"/>
      <c r="L1949" s="18" t="s">
        <v>129</v>
      </c>
      <c r="M1949" s="18" t="s">
        <v>129</v>
      </c>
      <c r="N1949" s="18"/>
      <c r="O1949" s="18"/>
      <c r="P1949" s="18"/>
      <c r="Q1949" s="18" t="s">
        <v>149</v>
      </c>
      <c r="R1949" s="18" t="s">
        <v>8354</v>
      </c>
      <c r="S1949" s="18" t="s">
        <v>140</v>
      </c>
      <c r="T1949" s="18" t="s">
        <v>183</v>
      </c>
      <c r="U1949" s="18" t="s">
        <v>8355</v>
      </c>
      <c r="V1949" s="19" t="s">
        <v>29</v>
      </c>
      <c r="W1949" s="19"/>
      <c r="X1949" s="19"/>
      <c r="Y1949" s="20"/>
      <c r="Z1949" s="19"/>
      <c r="AA1949" s="18" t="str">
        <f aca="false">IF(OR(V1949="Aprobada"),R1949,IF(AND(OR(V1949="Aprobada con ajuste",V1949="Rechazada"),W1949&lt;&gt;""),W1949,""))</f>
        <v/>
      </c>
    </row>
    <row r="1950" customFormat="false" ht="32.8" hidden="false" customHeight="false" outlineLevel="0" collapsed="false">
      <c r="A1950" s="18" t="s">
        <v>8356</v>
      </c>
      <c r="B1950" s="18" t="s">
        <v>66</v>
      </c>
      <c r="C1950" s="18" t="s">
        <v>67</v>
      </c>
      <c r="D1950" s="18" t="s">
        <v>8327</v>
      </c>
      <c r="E1950" s="18" t="n">
        <v>0</v>
      </c>
      <c r="F1950" s="18" t="s">
        <v>1766</v>
      </c>
      <c r="G1950" s="18" t="s">
        <v>192</v>
      </c>
      <c r="H1950" s="18" t="s">
        <v>129</v>
      </c>
      <c r="I1950" s="18"/>
      <c r="J1950" s="18"/>
      <c r="K1950" s="18"/>
      <c r="L1950" s="18" t="s">
        <v>129</v>
      </c>
      <c r="M1950" s="18" t="s">
        <v>129</v>
      </c>
      <c r="N1950" s="18"/>
      <c r="O1950" s="18"/>
      <c r="P1950" s="18"/>
      <c r="Q1950" s="18" t="s">
        <v>149</v>
      </c>
      <c r="R1950" s="18" t="s">
        <v>8357</v>
      </c>
      <c r="S1950" s="18" t="s">
        <v>140</v>
      </c>
      <c r="T1950" s="18" t="s">
        <v>183</v>
      </c>
      <c r="U1950" s="18" t="s">
        <v>8358</v>
      </c>
      <c r="V1950" s="19" t="s">
        <v>29</v>
      </c>
      <c r="W1950" s="19"/>
      <c r="X1950" s="19"/>
      <c r="Y1950" s="20"/>
      <c r="Z1950" s="19"/>
      <c r="AA1950" s="18" t="str">
        <f aca="false">IF(OR(V1950="Aprobada"),R1950,IF(AND(OR(V1950="Aprobada con ajuste",V1950="Rechazada"),W1950&lt;&gt;""),W1950,""))</f>
        <v/>
      </c>
    </row>
    <row r="1951" customFormat="false" ht="85.05" hidden="false" customHeight="false" outlineLevel="0" collapsed="false">
      <c r="A1951" s="18" t="s">
        <v>8359</v>
      </c>
      <c r="B1951" s="18" t="s">
        <v>66</v>
      </c>
      <c r="C1951" s="18" t="s">
        <v>67</v>
      </c>
      <c r="D1951" s="18" t="s">
        <v>8360</v>
      </c>
      <c r="E1951" s="18" t="n">
        <v>71</v>
      </c>
      <c r="F1951" s="18" t="s">
        <v>8340</v>
      </c>
      <c r="G1951" s="18" t="s">
        <v>312</v>
      </c>
      <c r="H1951" s="18" t="s">
        <v>162</v>
      </c>
      <c r="I1951" s="18"/>
      <c r="J1951" s="18"/>
      <c r="K1951" s="18"/>
      <c r="L1951" s="18" t="s">
        <v>129</v>
      </c>
      <c r="M1951" s="18" t="s">
        <v>129</v>
      </c>
      <c r="N1951" s="18"/>
      <c r="O1951" s="18" t="s">
        <v>8361</v>
      </c>
      <c r="P1951" s="18" t="s">
        <v>8362</v>
      </c>
      <c r="Q1951" s="18" t="s">
        <v>131</v>
      </c>
      <c r="R1951" s="18" t="s">
        <v>8363</v>
      </c>
      <c r="S1951" s="18" t="s">
        <v>140</v>
      </c>
      <c r="T1951" s="18" t="s">
        <v>183</v>
      </c>
      <c r="U1951" s="18" t="s">
        <v>8364</v>
      </c>
      <c r="V1951" s="19" t="s">
        <v>29</v>
      </c>
      <c r="W1951" s="19"/>
      <c r="X1951" s="19"/>
      <c r="Y1951" s="20"/>
      <c r="Z1951" s="19"/>
      <c r="AA1951" s="18" t="str">
        <f aca="false">IF(OR(V1951="Aprobada"),R1951,IF(AND(OR(V1951="Aprobada con ajuste",V1951="Rechazada"),W1951&lt;&gt;""),W1951,""))</f>
        <v/>
      </c>
    </row>
    <row r="1952" customFormat="false" ht="85.05" hidden="false" customHeight="false" outlineLevel="0" collapsed="false">
      <c r="A1952" s="18" t="s">
        <v>8365</v>
      </c>
      <c r="B1952" s="18" t="s">
        <v>66</v>
      </c>
      <c r="C1952" s="18" t="s">
        <v>67</v>
      </c>
      <c r="D1952" s="18" t="s">
        <v>8360</v>
      </c>
      <c r="E1952" s="18" t="n">
        <v>71</v>
      </c>
      <c r="F1952" s="18" t="s">
        <v>8366</v>
      </c>
      <c r="G1952" s="18" t="s">
        <v>161</v>
      </c>
      <c r="H1952" s="18" t="s">
        <v>162</v>
      </c>
      <c r="I1952" s="18"/>
      <c r="J1952" s="18"/>
      <c r="K1952" s="18"/>
      <c r="L1952" s="18" t="s">
        <v>129</v>
      </c>
      <c r="M1952" s="18" t="s">
        <v>129</v>
      </c>
      <c r="N1952" s="18"/>
      <c r="O1952" s="18"/>
      <c r="P1952" s="18" t="s">
        <v>8367</v>
      </c>
      <c r="Q1952" s="18" t="s">
        <v>131</v>
      </c>
      <c r="R1952" s="18" t="s">
        <v>8368</v>
      </c>
      <c r="S1952" s="18" t="s">
        <v>140</v>
      </c>
      <c r="T1952" s="18" t="s">
        <v>8369</v>
      </c>
      <c r="U1952" s="18" t="s">
        <v>8370</v>
      </c>
      <c r="V1952" s="19" t="s">
        <v>29</v>
      </c>
      <c r="W1952" s="19"/>
      <c r="X1952" s="19"/>
      <c r="Y1952" s="20"/>
      <c r="Z1952" s="19"/>
      <c r="AA1952" s="18" t="str">
        <f aca="false">IF(OR(V1952="Aprobada"),R1952,IF(AND(OR(V1952="Aprobada con ajuste",V1952="Rechazada"),W1952&lt;&gt;""),W1952,""))</f>
        <v/>
      </c>
    </row>
    <row r="1953" customFormat="false" ht="85.05" hidden="false" customHeight="false" outlineLevel="0" collapsed="false">
      <c r="A1953" s="18" t="s">
        <v>8371</v>
      </c>
      <c r="B1953" s="18" t="s">
        <v>66</v>
      </c>
      <c r="C1953" s="18" t="s">
        <v>67</v>
      </c>
      <c r="D1953" s="18" t="s">
        <v>8360</v>
      </c>
      <c r="E1953" s="18" t="n">
        <v>71</v>
      </c>
      <c r="F1953" s="18" t="s">
        <v>7406</v>
      </c>
      <c r="G1953" s="18" t="s">
        <v>180</v>
      </c>
      <c r="H1953" s="18" t="s">
        <v>162</v>
      </c>
      <c r="I1953" s="18"/>
      <c r="J1953" s="18"/>
      <c r="K1953" s="18"/>
      <c r="L1953" s="18" t="s">
        <v>129</v>
      </c>
      <c r="M1953" s="18" t="s">
        <v>129</v>
      </c>
      <c r="N1953" s="18"/>
      <c r="O1953" s="18"/>
      <c r="P1953" s="18" t="s">
        <v>8372</v>
      </c>
      <c r="Q1953" s="18" t="s">
        <v>131</v>
      </c>
      <c r="R1953" s="18" t="s">
        <v>8373</v>
      </c>
      <c r="S1953" s="18" t="s">
        <v>140</v>
      </c>
      <c r="T1953" s="18" t="s">
        <v>183</v>
      </c>
      <c r="U1953" s="18" t="s">
        <v>8374</v>
      </c>
      <c r="V1953" s="19" t="s">
        <v>29</v>
      </c>
      <c r="W1953" s="19"/>
      <c r="X1953" s="19"/>
      <c r="Y1953" s="20"/>
      <c r="Z1953" s="19"/>
      <c r="AA1953" s="18" t="str">
        <f aca="false">IF(OR(V1953="Aprobada"),R1953,IF(AND(OR(V1953="Aprobada con ajuste",V1953="Rechazada"),W1953&lt;&gt;""),W1953,""))</f>
        <v/>
      </c>
    </row>
    <row r="1954" customFormat="false" ht="74.6" hidden="false" customHeight="false" outlineLevel="0" collapsed="false">
      <c r="A1954" s="18" t="s">
        <v>8375</v>
      </c>
      <c r="B1954" s="18" t="s">
        <v>66</v>
      </c>
      <c r="C1954" s="18" t="s">
        <v>67</v>
      </c>
      <c r="D1954" s="18" t="s">
        <v>8360</v>
      </c>
      <c r="E1954" s="18" t="n">
        <v>71</v>
      </c>
      <c r="F1954" s="18" t="s">
        <v>8345</v>
      </c>
      <c r="G1954" s="18" t="s">
        <v>137</v>
      </c>
      <c r="H1954" s="18" t="s">
        <v>162</v>
      </c>
      <c r="I1954" s="18"/>
      <c r="J1954" s="18"/>
      <c r="K1954" s="18"/>
      <c r="L1954" s="18" t="s">
        <v>129</v>
      </c>
      <c r="M1954" s="18" t="s">
        <v>129</v>
      </c>
      <c r="N1954" s="18"/>
      <c r="O1954" s="18"/>
      <c r="P1954" s="18" t="s">
        <v>8376</v>
      </c>
      <c r="Q1954" s="18" t="s">
        <v>131</v>
      </c>
      <c r="R1954" s="18" t="s">
        <v>8377</v>
      </c>
      <c r="S1954" s="18" t="s">
        <v>140</v>
      </c>
      <c r="T1954" s="18" t="s">
        <v>873</v>
      </c>
      <c r="U1954" s="18" t="s">
        <v>8378</v>
      </c>
      <c r="V1954" s="19" t="s">
        <v>29</v>
      </c>
      <c r="W1954" s="19"/>
      <c r="X1954" s="19"/>
      <c r="Y1954" s="20"/>
      <c r="Z1954" s="19"/>
      <c r="AA1954" s="18" t="str">
        <f aca="false">IF(OR(V1954="Aprobada"),R1954,IF(AND(OR(V1954="Aprobada con ajuste",V1954="Rechazada"),W1954&lt;&gt;""),W1954,""))</f>
        <v/>
      </c>
    </row>
    <row r="1955" customFormat="false" ht="74.6" hidden="false" customHeight="false" outlineLevel="0" collapsed="false">
      <c r="A1955" s="18" t="s">
        <v>8379</v>
      </c>
      <c r="B1955" s="18" t="s">
        <v>66</v>
      </c>
      <c r="C1955" s="18" t="s">
        <v>67</v>
      </c>
      <c r="D1955" s="18" t="s">
        <v>8360</v>
      </c>
      <c r="E1955" s="18" t="n">
        <v>71</v>
      </c>
      <c r="F1955" s="18" t="s">
        <v>8380</v>
      </c>
      <c r="G1955" s="18" t="s">
        <v>137</v>
      </c>
      <c r="H1955" s="18" t="s">
        <v>162</v>
      </c>
      <c r="I1955" s="18"/>
      <c r="J1955" s="18"/>
      <c r="K1955" s="18"/>
      <c r="L1955" s="18" t="s">
        <v>129</v>
      </c>
      <c r="M1955" s="18" t="s">
        <v>129</v>
      </c>
      <c r="N1955" s="18"/>
      <c r="O1955" s="18"/>
      <c r="P1955" s="18" t="s">
        <v>8381</v>
      </c>
      <c r="Q1955" s="18" t="s">
        <v>131</v>
      </c>
      <c r="R1955" s="18" t="s">
        <v>8382</v>
      </c>
      <c r="S1955" s="18" t="s">
        <v>140</v>
      </c>
      <c r="T1955" s="18" t="s">
        <v>873</v>
      </c>
      <c r="U1955" s="18" t="s">
        <v>8383</v>
      </c>
      <c r="V1955" s="19" t="s">
        <v>29</v>
      </c>
      <c r="W1955" s="19"/>
      <c r="X1955" s="19"/>
      <c r="Y1955" s="20"/>
      <c r="Z1955" s="19"/>
      <c r="AA1955" s="18" t="str">
        <f aca="false">IF(OR(V1955="Aprobada"),R1955,IF(AND(OR(V1955="Aprobada con ajuste",V1955="Rechazada"),W1955&lt;&gt;""),W1955,""))</f>
        <v/>
      </c>
    </row>
    <row r="1956" customFormat="false" ht="74.6" hidden="false" customHeight="false" outlineLevel="0" collapsed="false">
      <c r="A1956" s="18" t="s">
        <v>8384</v>
      </c>
      <c r="B1956" s="18" t="s">
        <v>66</v>
      </c>
      <c r="C1956" s="18" t="s">
        <v>67</v>
      </c>
      <c r="D1956" s="18" t="s">
        <v>8360</v>
      </c>
      <c r="E1956" s="18" t="n">
        <v>71</v>
      </c>
      <c r="F1956" s="18" t="s">
        <v>8385</v>
      </c>
      <c r="G1956" s="18" t="s">
        <v>503</v>
      </c>
      <c r="H1956" s="18" t="s">
        <v>162</v>
      </c>
      <c r="I1956" s="18"/>
      <c r="J1956" s="18"/>
      <c r="K1956" s="18"/>
      <c r="L1956" s="18" t="s">
        <v>129</v>
      </c>
      <c r="M1956" s="18" t="s">
        <v>129</v>
      </c>
      <c r="N1956" s="18"/>
      <c r="O1956" s="18"/>
      <c r="P1956" s="18" t="s">
        <v>8386</v>
      </c>
      <c r="Q1956" s="18" t="s">
        <v>131</v>
      </c>
      <c r="R1956" s="18" t="s">
        <v>8387</v>
      </c>
      <c r="S1956" s="18" t="s">
        <v>133</v>
      </c>
      <c r="T1956" s="18" t="s">
        <v>183</v>
      </c>
      <c r="U1956" s="18"/>
      <c r="V1956" s="19" t="s">
        <v>29</v>
      </c>
      <c r="W1956" s="19"/>
      <c r="X1956" s="19"/>
      <c r="Y1956" s="20"/>
      <c r="Z1956" s="19"/>
      <c r="AA1956" s="18" t="str">
        <f aca="false">IF(OR(V1956="Aprobada"),R1956,IF(AND(OR(V1956="Aprobada con ajuste",V1956="Rechazada"),W1956&lt;&gt;""),W1956,""))</f>
        <v/>
      </c>
    </row>
    <row r="1957" customFormat="false" ht="74.6" hidden="false" customHeight="false" outlineLevel="0" collapsed="false">
      <c r="A1957" s="18" t="s">
        <v>8388</v>
      </c>
      <c r="B1957" s="18" t="s">
        <v>66</v>
      </c>
      <c r="C1957" s="18" t="s">
        <v>67</v>
      </c>
      <c r="D1957" s="18" t="s">
        <v>8360</v>
      </c>
      <c r="E1957" s="18" t="n">
        <v>71</v>
      </c>
      <c r="F1957" s="18" t="s">
        <v>8389</v>
      </c>
      <c r="G1957" s="18" t="s">
        <v>503</v>
      </c>
      <c r="H1957" s="18" t="s">
        <v>162</v>
      </c>
      <c r="I1957" s="18" t="s">
        <v>298</v>
      </c>
      <c r="J1957" s="18"/>
      <c r="K1957" s="18"/>
      <c r="L1957" s="18" t="s">
        <v>129</v>
      </c>
      <c r="M1957" s="18" t="s">
        <v>129</v>
      </c>
      <c r="N1957" s="18"/>
      <c r="O1957" s="18"/>
      <c r="P1957" s="18" t="s">
        <v>8390</v>
      </c>
      <c r="Q1957" s="18" t="s">
        <v>131</v>
      </c>
      <c r="R1957" s="18" t="s">
        <v>8391</v>
      </c>
      <c r="S1957" s="18" t="s">
        <v>140</v>
      </c>
      <c r="T1957" s="18" t="s">
        <v>183</v>
      </c>
      <c r="U1957" s="18" t="s">
        <v>8392</v>
      </c>
      <c r="V1957" s="19" t="s">
        <v>29</v>
      </c>
      <c r="W1957" s="19"/>
      <c r="X1957" s="19"/>
      <c r="Y1957" s="20"/>
      <c r="Z1957" s="19"/>
      <c r="AA1957" s="18" t="str">
        <f aca="false">IF(OR(V1957="Aprobada"),R1957,IF(AND(OR(V1957="Aprobada con ajuste",V1957="Rechazada"),W1957&lt;&gt;""),W1957,""))</f>
        <v/>
      </c>
    </row>
    <row r="1958" customFormat="false" ht="74.6" hidden="false" customHeight="false" outlineLevel="0" collapsed="false">
      <c r="A1958" s="18" t="s">
        <v>8393</v>
      </c>
      <c r="B1958" s="18" t="s">
        <v>66</v>
      </c>
      <c r="C1958" s="18" t="s">
        <v>67</v>
      </c>
      <c r="D1958" s="18" t="s">
        <v>8360</v>
      </c>
      <c r="E1958" s="18" t="n">
        <v>71</v>
      </c>
      <c r="F1958" s="18" t="s">
        <v>8394</v>
      </c>
      <c r="G1958" s="18" t="s">
        <v>503</v>
      </c>
      <c r="H1958" s="18" t="s">
        <v>162</v>
      </c>
      <c r="I1958" s="18"/>
      <c r="J1958" s="18"/>
      <c r="K1958" s="18"/>
      <c r="L1958" s="18" t="s">
        <v>129</v>
      </c>
      <c r="M1958" s="18" t="s">
        <v>129</v>
      </c>
      <c r="N1958" s="18"/>
      <c r="O1958" s="18"/>
      <c r="P1958" s="18" t="s">
        <v>8395</v>
      </c>
      <c r="Q1958" s="18" t="s">
        <v>131</v>
      </c>
      <c r="R1958" s="18" t="s">
        <v>8396</v>
      </c>
      <c r="S1958" s="18" t="s">
        <v>133</v>
      </c>
      <c r="T1958" s="18" t="s">
        <v>183</v>
      </c>
      <c r="U1958" s="18"/>
      <c r="V1958" s="19" t="s">
        <v>29</v>
      </c>
      <c r="W1958" s="19"/>
      <c r="X1958" s="19"/>
      <c r="Y1958" s="20"/>
      <c r="Z1958" s="19"/>
      <c r="AA1958" s="18" t="str">
        <f aca="false">IF(OR(V1958="Aprobada"),R1958,IF(AND(OR(V1958="Aprobada con ajuste",V1958="Rechazada"),W1958&lt;&gt;""),W1958,""))</f>
        <v/>
      </c>
    </row>
    <row r="1959" customFormat="false" ht="74.6" hidden="false" customHeight="false" outlineLevel="0" collapsed="false">
      <c r="A1959" s="18" t="s">
        <v>8397</v>
      </c>
      <c r="B1959" s="18" t="s">
        <v>66</v>
      </c>
      <c r="C1959" s="18" t="s">
        <v>67</v>
      </c>
      <c r="D1959" s="18" t="s">
        <v>8360</v>
      </c>
      <c r="E1959" s="18" t="n">
        <v>71</v>
      </c>
      <c r="F1959" s="18" t="s">
        <v>8398</v>
      </c>
      <c r="G1959" s="18" t="s">
        <v>503</v>
      </c>
      <c r="H1959" s="18" t="s">
        <v>162</v>
      </c>
      <c r="I1959" s="18"/>
      <c r="J1959" s="18"/>
      <c r="K1959" s="18"/>
      <c r="L1959" s="18" t="s">
        <v>129</v>
      </c>
      <c r="M1959" s="18" t="s">
        <v>129</v>
      </c>
      <c r="N1959" s="18"/>
      <c r="O1959" s="18"/>
      <c r="P1959" s="18" t="s">
        <v>8399</v>
      </c>
      <c r="Q1959" s="18" t="s">
        <v>131</v>
      </c>
      <c r="R1959" s="18" t="s">
        <v>8400</v>
      </c>
      <c r="S1959" s="18" t="s">
        <v>133</v>
      </c>
      <c r="T1959" s="18" t="s">
        <v>183</v>
      </c>
      <c r="U1959" s="18"/>
      <c r="V1959" s="19" t="s">
        <v>29</v>
      </c>
      <c r="W1959" s="19"/>
      <c r="X1959" s="19"/>
      <c r="Y1959" s="20"/>
      <c r="Z1959" s="19"/>
      <c r="AA1959" s="18" t="str">
        <f aca="false">IF(OR(V1959="Aprobada"),R1959,IF(AND(OR(V1959="Aprobada con ajuste",V1959="Rechazada"),W1959&lt;&gt;""),W1959,""))</f>
        <v/>
      </c>
    </row>
    <row r="1960" customFormat="false" ht="74.6" hidden="false" customHeight="false" outlineLevel="0" collapsed="false">
      <c r="A1960" s="18" t="s">
        <v>8401</v>
      </c>
      <c r="B1960" s="18" t="s">
        <v>66</v>
      </c>
      <c r="C1960" s="18" t="s">
        <v>67</v>
      </c>
      <c r="D1960" s="18" t="s">
        <v>8360</v>
      </c>
      <c r="E1960" s="18" t="n">
        <v>71</v>
      </c>
      <c r="F1960" s="18" t="s">
        <v>8402</v>
      </c>
      <c r="G1960" s="18" t="s">
        <v>503</v>
      </c>
      <c r="H1960" s="18" t="s">
        <v>162</v>
      </c>
      <c r="I1960" s="18"/>
      <c r="J1960" s="18"/>
      <c r="K1960" s="18"/>
      <c r="L1960" s="18" t="s">
        <v>129</v>
      </c>
      <c r="M1960" s="18" t="s">
        <v>129</v>
      </c>
      <c r="N1960" s="18"/>
      <c r="O1960" s="18"/>
      <c r="P1960" s="18" t="s">
        <v>8403</v>
      </c>
      <c r="Q1960" s="18" t="s">
        <v>131</v>
      </c>
      <c r="R1960" s="18" t="s">
        <v>8404</v>
      </c>
      <c r="S1960" s="18" t="s">
        <v>133</v>
      </c>
      <c r="T1960" s="18" t="s">
        <v>183</v>
      </c>
      <c r="U1960" s="18"/>
      <c r="V1960" s="19" t="s">
        <v>29</v>
      </c>
      <c r="W1960" s="19"/>
      <c r="X1960" s="19"/>
      <c r="Y1960" s="20"/>
      <c r="Z1960" s="19"/>
      <c r="AA1960" s="18" t="str">
        <f aca="false">IF(OR(V1960="Aprobada"),R1960,IF(AND(OR(V1960="Aprobada con ajuste",V1960="Rechazada"),W1960&lt;&gt;""),W1960,""))</f>
        <v/>
      </c>
    </row>
    <row r="1961" customFormat="false" ht="85.05" hidden="false" customHeight="false" outlineLevel="0" collapsed="false">
      <c r="A1961" s="18" t="s">
        <v>8405</v>
      </c>
      <c r="B1961" s="18" t="s">
        <v>66</v>
      </c>
      <c r="C1961" s="18" t="s">
        <v>67</v>
      </c>
      <c r="D1961" s="18" t="s">
        <v>8360</v>
      </c>
      <c r="E1961" s="18" t="n">
        <v>71</v>
      </c>
      <c r="F1961" s="18" t="s">
        <v>1018</v>
      </c>
      <c r="G1961" s="18" t="s">
        <v>145</v>
      </c>
      <c r="H1961" s="18" t="s">
        <v>162</v>
      </c>
      <c r="I1961" s="18"/>
      <c r="J1961" s="18"/>
      <c r="K1961" s="18"/>
      <c r="L1961" s="18" t="s">
        <v>129</v>
      </c>
      <c r="M1961" s="18" t="s">
        <v>129</v>
      </c>
      <c r="N1961" s="18"/>
      <c r="O1961" s="18"/>
      <c r="P1961" s="18" t="s">
        <v>8406</v>
      </c>
      <c r="Q1961" s="18" t="s">
        <v>131</v>
      </c>
      <c r="R1961" s="18" t="s">
        <v>8407</v>
      </c>
      <c r="S1961" s="18" t="s">
        <v>140</v>
      </c>
      <c r="T1961" s="18" t="s">
        <v>8408</v>
      </c>
      <c r="U1961" s="18" t="s">
        <v>8409</v>
      </c>
      <c r="V1961" s="19" t="s">
        <v>29</v>
      </c>
      <c r="W1961" s="19"/>
      <c r="X1961" s="19"/>
      <c r="Y1961" s="20"/>
      <c r="Z1961" s="19"/>
      <c r="AA1961" s="18" t="str">
        <f aca="false">IF(OR(V1961="Aprobada"),R1961,IF(AND(OR(V1961="Aprobada con ajuste",V1961="Rechazada"),W1961&lt;&gt;""),W1961,""))</f>
        <v/>
      </c>
    </row>
    <row r="1962" customFormat="false" ht="116.4" hidden="false" customHeight="false" outlineLevel="0" collapsed="false">
      <c r="A1962" s="18" t="s">
        <v>8410</v>
      </c>
      <c r="B1962" s="18" t="s">
        <v>66</v>
      </c>
      <c r="C1962" s="18" t="s">
        <v>67</v>
      </c>
      <c r="D1962" s="18" t="s">
        <v>8360</v>
      </c>
      <c r="E1962" s="18" t="n">
        <v>71</v>
      </c>
      <c r="F1962" s="18" t="s">
        <v>185</v>
      </c>
      <c r="G1962" s="18" t="s">
        <v>145</v>
      </c>
      <c r="H1962" s="18" t="s">
        <v>162</v>
      </c>
      <c r="I1962" s="18"/>
      <c r="J1962" s="18"/>
      <c r="K1962" s="18"/>
      <c r="L1962" s="18" t="s">
        <v>129</v>
      </c>
      <c r="M1962" s="18" t="s">
        <v>129</v>
      </c>
      <c r="N1962" s="18"/>
      <c r="O1962" s="18"/>
      <c r="P1962" s="18" t="s">
        <v>8411</v>
      </c>
      <c r="Q1962" s="18" t="s">
        <v>131</v>
      </c>
      <c r="R1962" s="18" t="s">
        <v>8412</v>
      </c>
      <c r="S1962" s="18" t="s">
        <v>140</v>
      </c>
      <c r="T1962" s="18" t="s">
        <v>5503</v>
      </c>
      <c r="U1962" s="18" t="s">
        <v>8413</v>
      </c>
      <c r="V1962" s="19" t="s">
        <v>29</v>
      </c>
      <c r="W1962" s="19"/>
      <c r="X1962" s="19"/>
      <c r="Y1962" s="20"/>
      <c r="Z1962" s="19"/>
      <c r="AA1962" s="18" t="str">
        <f aca="false">IF(OR(V1962="Aprobada"),R1962,IF(AND(OR(V1962="Aprobada con ajuste",V1962="Rechazada"),W1962&lt;&gt;""),W1962,""))</f>
        <v/>
      </c>
    </row>
    <row r="1963" customFormat="false" ht="85.05" hidden="false" customHeight="false" outlineLevel="0" collapsed="false">
      <c r="A1963" s="18" t="s">
        <v>8414</v>
      </c>
      <c r="B1963" s="18" t="s">
        <v>66</v>
      </c>
      <c r="C1963" s="18" t="s">
        <v>67</v>
      </c>
      <c r="D1963" s="18" t="s">
        <v>8360</v>
      </c>
      <c r="E1963" s="18" t="n">
        <v>71</v>
      </c>
      <c r="F1963" s="18" t="s">
        <v>8415</v>
      </c>
      <c r="G1963" s="18" t="s">
        <v>192</v>
      </c>
      <c r="H1963" s="18" t="s">
        <v>162</v>
      </c>
      <c r="I1963" s="18"/>
      <c r="J1963" s="18"/>
      <c r="K1963" s="18"/>
      <c r="L1963" s="18" t="s">
        <v>129</v>
      </c>
      <c r="M1963" s="18" t="s">
        <v>129</v>
      </c>
      <c r="N1963" s="18"/>
      <c r="O1963" s="18"/>
      <c r="P1963" s="18" t="s">
        <v>8416</v>
      </c>
      <c r="Q1963" s="18" t="s">
        <v>131</v>
      </c>
      <c r="R1963" s="18" t="s">
        <v>8417</v>
      </c>
      <c r="S1963" s="18" t="s">
        <v>140</v>
      </c>
      <c r="T1963" s="18" t="s">
        <v>5503</v>
      </c>
      <c r="U1963" s="18" t="s">
        <v>8418</v>
      </c>
      <c r="V1963" s="19" t="s">
        <v>29</v>
      </c>
      <c r="W1963" s="19"/>
      <c r="X1963" s="19"/>
      <c r="Y1963" s="20"/>
      <c r="Z1963" s="19"/>
      <c r="AA1963" s="18" t="str">
        <f aca="false">IF(OR(V1963="Aprobada"),R1963,IF(AND(OR(V1963="Aprobada con ajuste",V1963="Rechazada"),W1963&lt;&gt;""),W1963,""))</f>
        <v/>
      </c>
    </row>
    <row r="1964" customFormat="false" ht="74.6" hidden="false" customHeight="false" outlineLevel="0" collapsed="false">
      <c r="A1964" s="18" t="s">
        <v>8419</v>
      </c>
      <c r="B1964" s="18" t="s">
        <v>66</v>
      </c>
      <c r="C1964" s="18" t="s">
        <v>67</v>
      </c>
      <c r="D1964" s="18" t="s">
        <v>8360</v>
      </c>
      <c r="E1964" s="18" t="n">
        <v>71</v>
      </c>
      <c r="F1964" s="18" t="s">
        <v>8420</v>
      </c>
      <c r="G1964" s="18" t="s">
        <v>192</v>
      </c>
      <c r="H1964" s="18" t="s">
        <v>162</v>
      </c>
      <c r="I1964" s="18"/>
      <c r="J1964" s="18"/>
      <c r="K1964" s="18"/>
      <c r="L1964" s="18" t="s">
        <v>129</v>
      </c>
      <c r="M1964" s="18" t="s">
        <v>129</v>
      </c>
      <c r="N1964" s="18"/>
      <c r="O1964" s="18"/>
      <c r="P1964" s="18" t="s">
        <v>8421</v>
      </c>
      <c r="Q1964" s="18" t="s">
        <v>131</v>
      </c>
      <c r="R1964" s="18" t="s">
        <v>8422</v>
      </c>
      <c r="S1964" s="18" t="s">
        <v>140</v>
      </c>
      <c r="T1964" s="18" t="s">
        <v>858</v>
      </c>
      <c r="U1964" s="18" t="s">
        <v>8423</v>
      </c>
      <c r="V1964" s="19" t="s">
        <v>29</v>
      </c>
      <c r="W1964" s="19"/>
      <c r="X1964" s="19"/>
      <c r="Y1964" s="20"/>
      <c r="Z1964" s="19"/>
      <c r="AA1964" s="18" t="str">
        <f aca="false">IF(OR(V1964="Aprobada"),R1964,IF(AND(OR(V1964="Aprobada con ajuste",V1964="Rechazada"),W1964&lt;&gt;""),W1964,""))</f>
        <v/>
      </c>
    </row>
    <row r="1965" customFormat="false" ht="74.6" hidden="false" customHeight="false" outlineLevel="0" collapsed="false">
      <c r="A1965" s="18" t="s">
        <v>8424</v>
      </c>
      <c r="B1965" s="18" t="s">
        <v>66</v>
      </c>
      <c r="C1965" s="18" t="s">
        <v>67</v>
      </c>
      <c r="D1965" s="18" t="s">
        <v>8360</v>
      </c>
      <c r="E1965" s="18" t="n">
        <v>71</v>
      </c>
      <c r="F1965" s="18" t="s">
        <v>6165</v>
      </c>
      <c r="G1965" s="18" t="s">
        <v>180</v>
      </c>
      <c r="H1965" s="18" t="s">
        <v>162</v>
      </c>
      <c r="I1965" s="18"/>
      <c r="J1965" s="18"/>
      <c r="K1965" s="18"/>
      <c r="L1965" s="18" t="s">
        <v>129</v>
      </c>
      <c r="M1965" s="18" t="s">
        <v>129</v>
      </c>
      <c r="N1965" s="18"/>
      <c r="O1965" s="18"/>
      <c r="P1965" s="18" t="s">
        <v>8425</v>
      </c>
      <c r="Q1965" s="18" t="s">
        <v>131</v>
      </c>
      <c r="R1965" s="18" t="s">
        <v>8426</v>
      </c>
      <c r="S1965" s="18" t="s">
        <v>140</v>
      </c>
      <c r="T1965" s="18" t="s">
        <v>8427</v>
      </c>
      <c r="U1965" s="18" t="s">
        <v>8428</v>
      </c>
      <c r="V1965" s="19" t="s">
        <v>29</v>
      </c>
      <c r="W1965" s="19"/>
      <c r="X1965" s="19"/>
      <c r="Y1965" s="20"/>
      <c r="Z1965" s="19"/>
      <c r="AA1965" s="18" t="str">
        <f aca="false">IF(OR(V1965="Aprobada"),R1965,IF(AND(OR(V1965="Aprobada con ajuste",V1965="Rechazada"),W1965&lt;&gt;""),W1965,""))</f>
        <v/>
      </c>
    </row>
    <row r="1966" customFormat="false" ht="74.6" hidden="false" customHeight="false" outlineLevel="0" collapsed="false">
      <c r="A1966" s="18" t="s">
        <v>8429</v>
      </c>
      <c r="B1966" s="18" t="s">
        <v>66</v>
      </c>
      <c r="C1966" s="18" t="s">
        <v>67</v>
      </c>
      <c r="D1966" s="18" t="s">
        <v>8360</v>
      </c>
      <c r="E1966" s="18" t="n">
        <v>71</v>
      </c>
      <c r="F1966" s="18" t="s">
        <v>8430</v>
      </c>
      <c r="G1966" s="18" t="s">
        <v>180</v>
      </c>
      <c r="H1966" s="18" t="s">
        <v>162</v>
      </c>
      <c r="I1966" s="18"/>
      <c r="J1966" s="18"/>
      <c r="K1966" s="18"/>
      <c r="L1966" s="18" t="s">
        <v>129</v>
      </c>
      <c r="M1966" s="18" t="s">
        <v>129</v>
      </c>
      <c r="N1966" s="18"/>
      <c r="O1966" s="18"/>
      <c r="P1966" s="18" t="s">
        <v>8431</v>
      </c>
      <c r="Q1966" s="18" t="s">
        <v>131</v>
      </c>
      <c r="R1966" s="18" t="s">
        <v>8432</v>
      </c>
      <c r="S1966" s="18" t="s">
        <v>140</v>
      </c>
      <c r="T1966" s="18" t="s">
        <v>8433</v>
      </c>
      <c r="U1966" s="18" t="s">
        <v>8428</v>
      </c>
      <c r="V1966" s="19" t="s">
        <v>29</v>
      </c>
      <c r="W1966" s="19"/>
      <c r="X1966" s="19"/>
      <c r="Y1966" s="20"/>
      <c r="Z1966" s="19"/>
      <c r="AA1966" s="18" t="str">
        <f aca="false">IF(OR(V1966="Aprobada"),R1966,IF(AND(OR(V1966="Aprobada con ajuste",V1966="Rechazada"),W1966&lt;&gt;""),W1966,""))</f>
        <v/>
      </c>
    </row>
    <row r="1967" customFormat="false" ht="74.6" hidden="false" customHeight="false" outlineLevel="0" collapsed="false">
      <c r="A1967" s="18" t="s">
        <v>8434</v>
      </c>
      <c r="B1967" s="18" t="s">
        <v>66</v>
      </c>
      <c r="C1967" s="18" t="s">
        <v>67</v>
      </c>
      <c r="D1967" s="18" t="s">
        <v>8360</v>
      </c>
      <c r="E1967" s="18" t="n">
        <v>71</v>
      </c>
      <c r="F1967" s="18" t="s">
        <v>8435</v>
      </c>
      <c r="G1967" s="18" t="s">
        <v>486</v>
      </c>
      <c r="H1967" s="18" t="s">
        <v>162</v>
      </c>
      <c r="I1967" s="18"/>
      <c r="J1967" s="18"/>
      <c r="K1967" s="18"/>
      <c r="L1967" s="18" t="s">
        <v>129</v>
      </c>
      <c r="M1967" s="18" t="s">
        <v>129</v>
      </c>
      <c r="N1967" s="18"/>
      <c r="O1967" s="18"/>
      <c r="P1967" s="18" t="s">
        <v>8436</v>
      </c>
      <c r="Q1967" s="18" t="s">
        <v>131</v>
      </c>
      <c r="R1967" s="18" t="s">
        <v>8437</v>
      </c>
      <c r="S1967" s="18" t="s">
        <v>242</v>
      </c>
      <c r="T1967" s="18" t="s">
        <v>8438</v>
      </c>
      <c r="U1967" s="18" t="s">
        <v>8439</v>
      </c>
      <c r="V1967" s="19" t="s">
        <v>29</v>
      </c>
      <c r="W1967" s="19"/>
      <c r="X1967" s="19"/>
      <c r="Y1967" s="20"/>
      <c r="Z1967" s="19"/>
      <c r="AA1967" s="18" t="str">
        <f aca="false">IF(OR(V1967="Aprobada"),R1967,IF(AND(OR(V1967="Aprobada con ajuste",V1967="Rechazada"),W1967&lt;&gt;""),W1967,""))</f>
        <v/>
      </c>
    </row>
    <row r="1968" customFormat="false" ht="85.05" hidden="false" customHeight="false" outlineLevel="0" collapsed="false">
      <c r="A1968" s="18" t="s">
        <v>8440</v>
      </c>
      <c r="B1968" s="18" t="s">
        <v>66</v>
      </c>
      <c r="C1968" s="18" t="s">
        <v>67</v>
      </c>
      <c r="D1968" s="18" t="s">
        <v>8360</v>
      </c>
      <c r="E1968" s="18" t="n">
        <v>71</v>
      </c>
      <c r="F1968" s="18" t="s">
        <v>8441</v>
      </c>
      <c r="G1968" s="18" t="s">
        <v>128</v>
      </c>
      <c r="H1968" s="18" t="s">
        <v>162</v>
      </c>
      <c r="I1968" s="18"/>
      <c r="J1968" s="18"/>
      <c r="K1968" s="18"/>
      <c r="L1968" s="18" t="s">
        <v>129</v>
      </c>
      <c r="M1968" s="18" t="s">
        <v>129</v>
      </c>
      <c r="N1968" s="18"/>
      <c r="O1968" s="18"/>
      <c r="P1968" s="18" t="s">
        <v>8442</v>
      </c>
      <c r="Q1968" s="18" t="s">
        <v>131</v>
      </c>
      <c r="R1968" s="18" t="s">
        <v>8443</v>
      </c>
      <c r="S1968" s="18" t="s">
        <v>140</v>
      </c>
      <c r="T1968" s="18" t="s">
        <v>8444</v>
      </c>
      <c r="U1968" s="18" t="s">
        <v>8445</v>
      </c>
      <c r="V1968" s="19" t="s">
        <v>29</v>
      </c>
      <c r="W1968" s="19"/>
      <c r="X1968" s="19"/>
      <c r="Y1968" s="20"/>
      <c r="Z1968" s="19"/>
      <c r="AA1968" s="18" t="str">
        <f aca="false">IF(OR(V1968="Aprobada"),R1968,IF(AND(OR(V1968="Aprobada con ajuste",V1968="Rechazada"),W1968&lt;&gt;""),W1968,""))</f>
        <v/>
      </c>
    </row>
    <row r="1969" customFormat="false" ht="85.05" hidden="false" customHeight="false" outlineLevel="0" collapsed="false">
      <c r="A1969" s="18" t="s">
        <v>8446</v>
      </c>
      <c r="B1969" s="18" t="s">
        <v>66</v>
      </c>
      <c r="C1969" s="18" t="s">
        <v>67</v>
      </c>
      <c r="D1969" s="18" t="s">
        <v>8360</v>
      </c>
      <c r="E1969" s="18" t="n">
        <v>71</v>
      </c>
      <c r="F1969" s="18" t="s">
        <v>8447</v>
      </c>
      <c r="G1969" s="18" t="s">
        <v>128</v>
      </c>
      <c r="H1969" s="18" t="s">
        <v>162</v>
      </c>
      <c r="I1969" s="18"/>
      <c r="J1969" s="18"/>
      <c r="K1969" s="18"/>
      <c r="L1969" s="18" t="s">
        <v>129</v>
      </c>
      <c r="M1969" s="18" t="s">
        <v>129</v>
      </c>
      <c r="N1969" s="18"/>
      <c r="O1969" s="18"/>
      <c r="P1969" s="18" t="s">
        <v>8448</v>
      </c>
      <c r="Q1969" s="18" t="s">
        <v>131</v>
      </c>
      <c r="R1969" s="18" t="s">
        <v>8449</v>
      </c>
      <c r="S1969" s="18" t="s">
        <v>133</v>
      </c>
      <c r="T1969" s="18" t="s">
        <v>858</v>
      </c>
      <c r="U1969" s="18"/>
      <c r="V1969" s="19" t="s">
        <v>29</v>
      </c>
      <c r="W1969" s="19"/>
      <c r="X1969" s="19"/>
      <c r="Y1969" s="20"/>
      <c r="Z1969" s="19"/>
      <c r="AA1969" s="18" t="str">
        <f aca="false">IF(OR(V1969="Aprobada"),R1969,IF(AND(OR(V1969="Aprobada con ajuste",V1969="Rechazada"),W1969&lt;&gt;""),W1969,""))</f>
        <v/>
      </c>
    </row>
    <row r="1970" customFormat="false" ht="74.6" hidden="false" customHeight="false" outlineLevel="0" collapsed="false">
      <c r="A1970" s="18" t="s">
        <v>8450</v>
      </c>
      <c r="B1970" s="18" t="s">
        <v>66</v>
      </c>
      <c r="C1970" s="18" t="s">
        <v>67</v>
      </c>
      <c r="D1970" s="18" t="s">
        <v>8360</v>
      </c>
      <c r="E1970" s="18" t="n">
        <v>71</v>
      </c>
      <c r="F1970" s="18" t="s">
        <v>8451</v>
      </c>
      <c r="G1970" s="18" t="s">
        <v>145</v>
      </c>
      <c r="H1970" s="18" t="s">
        <v>162</v>
      </c>
      <c r="I1970" s="18"/>
      <c r="J1970" s="18"/>
      <c r="K1970" s="18"/>
      <c r="L1970" s="18" t="s">
        <v>129</v>
      </c>
      <c r="M1970" s="18" t="s">
        <v>129</v>
      </c>
      <c r="N1970" s="18"/>
      <c r="O1970" s="18"/>
      <c r="P1970" s="18" t="s">
        <v>8452</v>
      </c>
      <c r="Q1970" s="18" t="s">
        <v>131</v>
      </c>
      <c r="R1970" s="18" t="s">
        <v>8453</v>
      </c>
      <c r="S1970" s="18" t="s">
        <v>242</v>
      </c>
      <c r="T1970" s="18" t="s">
        <v>8454</v>
      </c>
      <c r="U1970" s="18" t="s">
        <v>8455</v>
      </c>
      <c r="V1970" s="19" t="s">
        <v>29</v>
      </c>
      <c r="W1970" s="19"/>
      <c r="X1970" s="19"/>
      <c r="Y1970" s="20"/>
      <c r="Z1970" s="19"/>
      <c r="AA1970" s="18" t="str">
        <f aca="false">IF(OR(V1970="Aprobada"),R1970,IF(AND(OR(V1970="Aprobada con ajuste",V1970="Rechazada"),W1970&lt;&gt;""),W1970,""))</f>
        <v/>
      </c>
    </row>
    <row r="1971" customFormat="false" ht="74.6" hidden="false" customHeight="false" outlineLevel="0" collapsed="false">
      <c r="A1971" s="18" t="s">
        <v>8456</v>
      </c>
      <c r="B1971" s="18" t="s">
        <v>66</v>
      </c>
      <c r="C1971" s="18" t="s">
        <v>67</v>
      </c>
      <c r="D1971" s="18" t="s">
        <v>8360</v>
      </c>
      <c r="E1971" s="18" t="n">
        <v>71</v>
      </c>
      <c r="F1971" s="18" t="s">
        <v>8457</v>
      </c>
      <c r="G1971" s="18" t="s">
        <v>173</v>
      </c>
      <c r="H1971" s="18" t="s">
        <v>162</v>
      </c>
      <c r="I1971" s="18"/>
      <c r="J1971" s="18"/>
      <c r="K1971" s="18"/>
      <c r="L1971" s="18" t="s">
        <v>129</v>
      </c>
      <c r="M1971" s="18" t="s">
        <v>129</v>
      </c>
      <c r="N1971" s="18"/>
      <c r="O1971" s="18"/>
      <c r="P1971" s="18" t="s">
        <v>8458</v>
      </c>
      <c r="Q1971" s="18" t="s">
        <v>131</v>
      </c>
      <c r="R1971" s="18" t="s">
        <v>8459</v>
      </c>
      <c r="S1971" s="18" t="s">
        <v>133</v>
      </c>
      <c r="T1971" s="18" t="s">
        <v>8460</v>
      </c>
      <c r="U1971" s="18"/>
      <c r="V1971" s="19" t="s">
        <v>29</v>
      </c>
      <c r="W1971" s="19"/>
      <c r="X1971" s="19"/>
      <c r="Y1971" s="20"/>
      <c r="Z1971" s="19"/>
      <c r="AA1971" s="18" t="str">
        <f aca="false">IF(OR(V1971="Aprobada"),R1971,IF(AND(OR(V1971="Aprobada con ajuste",V1971="Rechazada"),W1971&lt;&gt;""),W1971,""))</f>
        <v/>
      </c>
    </row>
    <row r="1972" customFormat="false" ht="74.6" hidden="false" customHeight="false" outlineLevel="0" collapsed="false">
      <c r="A1972" s="18" t="s">
        <v>8461</v>
      </c>
      <c r="B1972" s="18" t="s">
        <v>66</v>
      </c>
      <c r="C1972" s="18" t="s">
        <v>67</v>
      </c>
      <c r="D1972" s="18" t="s">
        <v>8360</v>
      </c>
      <c r="E1972" s="18" t="n">
        <v>71</v>
      </c>
      <c r="F1972" s="18" t="s">
        <v>8462</v>
      </c>
      <c r="G1972" s="18" t="s">
        <v>173</v>
      </c>
      <c r="H1972" s="18" t="s">
        <v>162</v>
      </c>
      <c r="I1972" s="18"/>
      <c r="J1972" s="18"/>
      <c r="K1972" s="18"/>
      <c r="L1972" s="18" t="s">
        <v>129</v>
      </c>
      <c r="M1972" s="18" t="s">
        <v>129</v>
      </c>
      <c r="N1972" s="18"/>
      <c r="O1972" s="18"/>
      <c r="P1972" s="18" t="s">
        <v>8463</v>
      </c>
      <c r="Q1972" s="18" t="s">
        <v>131</v>
      </c>
      <c r="R1972" s="18" t="s">
        <v>8464</v>
      </c>
      <c r="S1972" s="18" t="s">
        <v>140</v>
      </c>
      <c r="T1972" s="18" t="s">
        <v>873</v>
      </c>
      <c r="U1972" s="18" t="s">
        <v>8465</v>
      </c>
      <c r="V1972" s="19" t="s">
        <v>29</v>
      </c>
      <c r="W1972" s="19"/>
      <c r="X1972" s="19"/>
      <c r="Y1972" s="20"/>
      <c r="Z1972" s="19"/>
      <c r="AA1972" s="18" t="str">
        <f aca="false">IF(OR(V1972="Aprobada"),R1972,IF(AND(OR(V1972="Aprobada con ajuste",V1972="Rechazada"),W1972&lt;&gt;""),W1972,""))</f>
        <v/>
      </c>
    </row>
    <row r="1973" customFormat="false" ht="74.6" hidden="false" customHeight="false" outlineLevel="0" collapsed="false">
      <c r="A1973" s="18" t="s">
        <v>8466</v>
      </c>
      <c r="B1973" s="18" t="s">
        <v>66</v>
      </c>
      <c r="C1973" s="18" t="s">
        <v>67</v>
      </c>
      <c r="D1973" s="18" t="s">
        <v>8360</v>
      </c>
      <c r="E1973" s="18" t="n">
        <v>71</v>
      </c>
      <c r="F1973" s="18" t="s">
        <v>8467</v>
      </c>
      <c r="G1973" s="18" t="s">
        <v>173</v>
      </c>
      <c r="H1973" s="18" t="s">
        <v>162</v>
      </c>
      <c r="I1973" s="18"/>
      <c r="J1973" s="18"/>
      <c r="K1973" s="18"/>
      <c r="L1973" s="18" t="s">
        <v>129</v>
      </c>
      <c r="M1973" s="18" t="s">
        <v>129</v>
      </c>
      <c r="N1973" s="18"/>
      <c r="O1973" s="18"/>
      <c r="P1973" s="18" t="s">
        <v>8468</v>
      </c>
      <c r="Q1973" s="18" t="s">
        <v>131</v>
      </c>
      <c r="R1973" s="18" t="s">
        <v>8469</v>
      </c>
      <c r="S1973" s="18" t="s">
        <v>140</v>
      </c>
      <c r="T1973" s="18" t="s">
        <v>8470</v>
      </c>
      <c r="U1973" s="18" t="s">
        <v>8471</v>
      </c>
      <c r="V1973" s="19" t="s">
        <v>29</v>
      </c>
      <c r="W1973" s="19"/>
      <c r="X1973" s="19"/>
      <c r="Y1973" s="20"/>
      <c r="Z1973" s="19"/>
      <c r="AA1973" s="18" t="str">
        <f aca="false">IF(OR(V1973="Aprobada"),R1973,IF(AND(OR(V1973="Aprobada con ajuste",V1973="Rechazada"),W1973&lt;&gt;""),W1973,""))</f>
        <v/>
      </c>
    </row>
    <row r="1974" customFormat="false" ht="85.05" hidden="false" customHeight="false" outlineLevel="0" collapsed="false">
      <c r="A1974" s="18" t="s">
        <v>8472</v>
      </c>
      <c r="B1974" s="18" t="s">
        <v>66</v>
      </c>
      <c r="C1974" s="18" t="s">
        <v>67</v>
      </c>
      <c r="D1974" s="18" t="s">
        <v>8360</v>
      </c>
      <c r="E1974" s="18" t="n">
        <v>71</v>
      </c>
      <c r="F1974" s="18" t="s">
        <v>8473</v>
      </c>
      <c r="G1974" s="18" t="s">
        <v>173</v>
      </c>
      <c r="H1974" s="18" t="s">
        <v>162</v>
      </c>
      <c r="I1974" s="18"/>
      <c r="J1974" s="18"/>
      <c r="K1974" s="18"/>
      <c r="L1974" s="18" t="s">
        <v>129</v>
      </c>
      <c r="M1974" s="18" t="s">
        <v>129</v>
      </c>
      <c r="N1974" s="18"/>
      <c r="O1974" s="18"/>
      <c r="P1974" s="18" t="s">
        <v>8474</v>
      </c>
      <c r="Q1974" s="18" t="s">
        <v>131</v>
      </c>
      <c r="R1974" s="18" t="s">
        <v>8475</v>
      </c>
      <c r="S1974" s="18" t="s">
        <v>133</v>
      </c>
      <c r="T1974" s="18" t="s">
        <v>8476</v>
      </c>
      <c r="U1974" s="18"/>
      <c r="V1974" s="19" t="s">
        <v>29</v>
      </c>
      <c r="W1974" s="19"/>
      <c r="X1974" s="19"/>
      <c r="Y1974" s="20"/>
      <c r="Z1974" s="19"/>
      <c r="AA1974" s="18" t="str">
        <f aca="false">IF(OR(V1974="Aprobada"),R1974,IF(AND(OR(V1974="Aprobada con ajuste",V1974="Rechazada"),W1974&lt;&gt;""),W1974,""))</f>
        <v/>
      </c>
    </row>
    <row r="1975" customFormat="false" ht="85.05" hidden="false" customHeight="false" outlineLevel="0" collapsed="false">
      <c r="A1975" s="18" t="s">
        <v>8477</v>
      </c>
      <c r="B1975" s="18" t="s">
        <v>66</v>
      </c>
      <c r="C1975" s="18" t="s">
        <v>67</v>
      </c>
      <c r="D1975" s="18" t="s">
        <v>8360</v>
      </c>
      <c r="E1975" s="18" t="n">
        <v>71</v>
      </c>
      <c r="F1975" s="18" t="s">
        <v>8478</v>
      </c>
      <c r="G1975" s="18" t="s">
        <v>173</v>
      </c>
      <c r="H1975" s="18" t="s">
        <v>162</v>
      </c>
      <c r="I1975" s="18"/>
      <c r="J1975" s="18"/>
      <c r="K1975" s="18"/>
      <c r="L1975" s="18" t="s">
        <v>129</v>
      </c>
      <c r="M1975" s="18" t="s">
        <v>129</v>
      </c>
      <c r="N1975" s="18"/>
      <c r="O1975" s="18"/>
      <c r="P1975" s="18" t="s">
        <v>8479</v>
      </c>
      <c r="Q1975" s="18" t="s">
        <v>131</v>
      </c>
      <c r="R1975" s="18" t="s">
        <v>8480</v>
      </c>
      <c r="S1975" s="18" t="s">
        <v>133</v>
      </c>
      <c r="T1975" s="18" t="s">
        <v>8476</v>
      </c>
      <c r="U1975" s="18"/>
      <c r="V1975" s="19" t="s">
        <v>29</v>
      </c>
      <c r="W1975" s="19"/>
      <c r="X1975" s="19"/>
      <c r="Y1975" s="20"/>
      <c r="Z1975" s="19"/>
      <c r="AA1975" s="18" t="str">
        <f aca="false">IF(OR(V1975="Aprobada"),R1975,IF(AND(OR(V1975="Aprobada con ajuste",V1975="Rechazada"),W1975&lt;&gt;""),W1975,""))</f>
        <v/>
      </c>
    </row>
    <row r="1976" customFormat="false" ht="85.05" hidden="false" customHeight="false" outlineLevel="0" collapsed="false">
      <c r="A1976" s="18" t="s">
        <v>8481</v>
      </c>
      <c r="B1976" s="18" t="s">
        <v>66</v>
      </c>
      <c r="C1976" s="18" t="s">
        <v>67</v>
      </c>
      <c r="D1976" s="18" t="s">
        <v>8360</v>
      </c>
      <c r="E1976" s="18" t="n">
        <v>71</v>
      </c>
      <c r="F1976" s="18" t="s">
        <v>8482</v>
      </c>
      <c r="G1976" s="18" t="s">
        <v>173</v>
      </c>
      <c r="H1976" s="18" t="s">
        <v>162</v>
      </c>
      <c r="I1976" s="18"/>
      <c r="J1976" s="18"/>
      <c r="K1976" s="18"/>
      <c r="L1976" s="18" t="s">
        <v>129</v>
      </c>
      <c r="M1976" s="18" t="s">
        <v>129</v>
      </c>
      <c r="N1976" s="18"/>
      <c r="O1976" s="18"/>
      <c r="P1976" s="18" t="s">
        <v>8483</v>
      </c>
      <c r="Q1976" s="18" t="s">
        <v>131</v>
      </c>
      <c r="R1976" s="18" t="s">
        <v>8484</v>
      </c>
      <c r="S1976" s="18" t="s">
        <v>133</v>
      </c>
      <c r="T1976" s="18" t="s">
        <v>8476</v>
      </c>
      <c r="U1976" s="18"/>
      <c r="V1976" s="19" t="s">
        <v>29</v>
      </c>
      <c r="W1976" s="19"/>
      <c r="X1976" s="19"/>
      <c r="Y1976" s="20"/>
      <c r="Z1976" s="19"/>
      <c r="AA1976" s="18" t="str">
        <f aca="false">IF(OR(V1976="Aprobada"),R1976,IF(AND(OR(V1976="Aprobada con ajuste",V1976="Rechazada"),W1976&lt;&gt;""),W1976,""))</f>
        <v/>
      </c>
    </row>
    <row r="1977" customFormat="false" ht="85.05" hidden="false" customHeight="false" outlineLevel="0" collapsed="false">
      <c r="A1977" s="18" t="s">
        <v>8485</v>
      </c>
      <c r="B1977" s="18" t="s">
        <v>66</v>
      </c>
      <c r="C1977" s="18" t="s">
        <v>67</v>
      </c>
      <c r="D1977" s="18" t="s">
        <v>8360</v>
      </c>
      <c r="E1977" s="18" t="n">
        <v>71</v>
      </c>
      <c r="F1977" s="18" t="s">
        <v>8486</v>
      </c>
      <c r="G1977" s="18" t="s">
        <v>173</v>
      </c>
      <c r="H1977" s="18" t="s">
        <v>162</v>
      </c>
      <c r="I1977" s="18"/>
      <c r="J1977" s="18"/>
      <c r="K1977" s="18"/>
      <c r="L1977" s="18" t="s">
        <v>129</v>
      </c>
      <c r="M1977" s="18" t="s">
        <v>129</v>
      </c>
      <c r="N1977" s="18"/>
      <c r="O1977" s="18"/>
      <c r="P1977" s="18" t="s">
        <v>8487</v>
      </c>
      <c r="Q1977" s="18" t="s">
        <v>131</v>
      </c>
      <c r="R1977" s="18" t="s">
        <v>8488</v>
      </c>
      <c r="S1977" s="18" t="s">
        <v>133</v>
      </c>
      <c r="T1977" s="18" t="s">
        <v>8476</v>
      </c>
      <c r="U1977" s="18"/>
      <c r="V1977" s="19" t="s">
        <v>29</v>
      </c>
      <c r="W1977" s="19"/>
      <c r="X1977" s="19"/>
      <c r="Y1977" s="20"/>
      <c r="Z1977" s="19"/>
      <c r="AA1977" s="18" t="str">
        <f aca="false">IF(OR(V1977="Aprobada"),R1977,IF(AND(OR(V1977="Aprobada con ajuste",V1977="Rechazada"),W1977&lt;&gt;""),W1977,""))</f>
        <v/>
      </c>
    </row>
    <row r="1978" customFormat="false" ht="22.35" hidden="false" customHeight="false" outlineLevel="0" collapsed="false">
      <c r="A1978" s="18" t="s">
        <v>8489</v>
      </c>
      <c r="B1978" s="18" t="s">
        <v>66</v>
      </c>
      <c r="C1978" s="18" t="s">
        <v>67</v>
      </c>
      <c r="D1978" s="18" t="s">
        <v>8490</v>
      </c>
      <c r="E1978" s="18" t="n">
        <v>0</v>
      </c>
      <c r="F1978" s="18" t="s">
        <v>1744</v>
      </c>
      <c r="G1978" s="18" t="s">
        <v>180</v>
      </c>
      <c r="H1978" s="18" t="s">
        <v>129</v>
      </c>
      <c r="I1978" s="18"/>
      <c r="J1978" s="18"/>
      <c r="K1978" s="18"/>
      <c r="L1978" s="18" t="s">
        <v>129</v>
      </c>
      <c r="M1978" s="18" t="s">
        <v>129</v>
      </c>
      <c r="N1978" s="18"/>
      <c r="O1978" s="18" t="s">
        <v>8491</v>
      </c>
      <c r="P1978" s="18"/>
      <c r="Q1978" s="18" t="s">
        <v>149</v>
      </c>
      <c r="R1978" s="18" t="s">
        <v>8492</v>
      </c>
      <c r="S1978" s="18" t="s">
        <v>140</v>
      </c>
      <c r="T1978" s="18" t="s">
        <v>183</v>
      </c>
      <c r="U1978" s="18" t="s">
        <v>8493</v>
      </c>
      <c r="V1978" s="19" t="s">
        <v>29</v>
      </c>
      <c r="W1978" s="19"/>
      <c r="X1978" s="19"/>
      <c r="Y1978" s="20"/>
      <c r="Z1978" s="19"/>
      <c r="AA1978" s="18" t="str">
        <f aca="false">IF(OR(V1978="Aprobada"),R1978,IF(AND(OR(V1978="Aprobada con ajuste",V1978="Rechazada"),W1978&lt;&gt;""),W1978,""))</f>
        <v/>
      </c>
    </row>
    <row r="1979" customFormat="false" ht="22.35" hidden="false" customHeight="false" outlineLevel="0" collapsed="false">
      <c r="A1979" s="18" t="s">
        <v>8494</v>
      </c>
      <c r="B1979" s="18" t="s">
        <v>66</v>
      </c>
      <c r="C1979" s="18" t="s">
        <v>67</v>
      </c>
      <c r="D1979" s="18" t="s">
        <v>8490</v>
      </c>
      <c r="E1979" s="18" t="n">
        <v>0</v>
      </c>
      <c r="F1979" s="18" t="s">
        <v>8495</v>
      </c>
      <c r="G1979" s="18" t="s">
        <v>180</v>
      </c>
      <c r="H1979" s="18" t="s">
        <v>162</v>
      </c>
      <c r="I1979" s="18"/>
      <c r="J1979" s="18"/>
      <c r="K1979" s="18"/>
      <c r="L1979" s="18" t="s">
        <v>129</v>
      </c>
      <c r="M1979" s="18" t="s">
        <v>129</v>
      </c>
      <c r="N1979" s="18"/>
      <c r="O1979" s="18" t="s">
        <v>8496</v>
      </c>
      <c r="P1979" s="18"/>
      <c r="Q1979" s="18" t="s">
        <v>149</v>
      </c>
      <c r="R1979" s="18" t="s">
        <v>8497</v>
      </c>
      <c r="S1979" s="18" t="s">
        <v>133</v>
      </c>
      <c r="T1979" s="18" t="s">
        <v>183</v>
      </c>
      <c r="U1979" s="18"/>
      <c r="V1979" s="19" t="s">
        <v>29</v>
      </c>
      <c r="W1979" s="19"/>
      <c r="X1979" s="19"/>
      <c r="Y1979" s="20"/>
      <c r="Z1979" s="19"/>
      <c r="AA1979" s="18" t="str">
        <f aca="false">IF(OR(V1979="Aprobada"),R1979,IF(AND(OR(V1979="Aprobada con ajuste",V1979="Rechazada"),W1979&lt;&gt;""),W1979,""))</f>
        <v/>
      </c>
    </row>
    <row r="1980" customFormat="false" ht="22.35" hidden="false" customHeight="false" outlineLevel="0" collapsed="false">
      <c r="A1980" s="18" t="s">
        <v>8498</v>
      </c>
      <c r="B1980" s="18" t="s">
        <v>66</v>
      </c>
      <c r="C1980" s="18" t="s">
        <v>67</v>
      </c>
      <c r="D1980" s="18" t="s">
        <v>8490</v>
      </c>
      <c r="E1980" s="18" t="n">
        <v>0</v>
      </c>
      <c r="F1980" s="18" t="s">
        <v>1759</v>
      </c>
      <c r="G1980" s="18" t="s">
        <v>312</v>
      </c>
      <c r="H1980" s="18" t="s">
        <v>162</v>
      </c>
      <c r="I1980" s="18"/>
      <c r="J1980" s="18"/>
      <c r="K1980" s="18"/>
      <c r="L1980" s="18" t="s">
        <v>129</v>
      </c>
      <c r="M1980" s="18" t="s">
        <v>129</v>
      </c>
      <c r="N1980" s="18"/>
      <c r="O1980" s="18"/>
      <c r="P1980" s="18"/>
      <c r="Q1980" s="18" t="s">
        <v>149</v>
      </c>
      <c r="R1980" s="18" t="s">
        <v>1760</v>
      </c>
      <c r="S1980" s="18" t="s">
        <v>133</v>
      </c>
      <c r="T1980" s="18" t="s">
        <v>183</v>
      </c>
      <c r="U1980" s="18"/>
      <c r="V1980" s="19" t="s">
        <v>29</v>
      </c>
      <c r="W1980" s="19"/>
      <c r="X1980" s="19"/>
      <c r="Y1980" s="20"/>
      <c r="Z1980" s="19"/>
      <c r="AA1980" s="18" t="str">
        <f aca="false">IF(OR(V1980="Aprobada"),R1980,IF(AND(OR(V1980="Aprobada con ajuste",V1980="Rechazada"),W1980&lt;&gt;""),W1980,""))</f>
        <v/>
      </c>
    </row>
    <row r="1981" customFormat="false" ht="22.35" hidden="false" customHeight="false" outlineLevel="0" collapsed="false">
      <c r="A1981" s="18" t="s">
        <v>8499</v>
      </c>
      <c r="B1981" s="18" t="s">
        <v>66</v>
      </c>
      <c r="C1981" s="18" t="s">
        <v>67</v>
      </c>
      <c r="D1981" s="18" t="s">
        <v>8490</v>
      </c>
      <c r="E1981" s="18" t="n">
        <v>0</v>
      </c>
      <c r="F1981" s="18" t="s">
        <v>1763</v>
      </c>
      <c r="G1981" s="18" t="s">
        <v>192</v>
      </c>
      <c r="H1981" s="18" t="s">
        <v>162</v>
      </c>
      <c r="I1981" s="18"/>
      <c r="J1981" s="18"/>
      <c r="K1981" s="18"/>
      <c r="L1981" s="18" t="s">
        <v>129</v>
      </c>
      <c r="M1981" s="18" t="s">
        <v>129</v>
      </c>
      <c r="N1981" s="18"/>
      <c r="O1981" s="18"/>
      <c r="P1981" s="18"/>
      <c r="Q1981" s="18" t="s">
        <v>149</v>
      </c>
      <c r="R1981" s="18" t="s">
        <v>8500</v>
      </c>
      <c r="S1981" s="18" t="s">
        <v>140</v>
      </c>
      <c r="T1981" s="18" t="s">
        <v>183</v>
      </c>
      <c r="U1981" s="18" t="s">
        <v>8501</v>
      </c>
      <c r="V1981" s="19" t="s">
        <v>29</v>
      </c>
      <c r="W1981" s="19"/>
      <c r="X1981" s="19"/>
      <c r="Y1981" s="20"/>
      <c r="Z1981" s="19"/>
      <c r="AA1981" s="18" t="str">
        <f aca="false">IF(OR(V1981="Aprobada"),R1981,IF(AND(OR(V1981="Aprobada con ajuste",V1981="Rechazada"),W1981&lt;&gt;""),W1981,""))</f>
        <v/>
      </c>
    </row>
    <row r="1982" customFormat="false" ht="22.35" hidden="false" customHeight="false" outlineLevel="0" collapsed="false">
      <c r="A1982" s="18" t="s">
        <v>8502</v>
      </c>
      <c r="B1982" s="18" t="s">
        <v>66</v>
      </c>
      <c r="C1982" s="18" t="s">
        <v>67</v>
      </c>
      <c r="D1982" s="18" t="s">
        <v>8490</v>
      </c>
      <c r="E1982" s="18" t="n">
        <v>0</v>
      </c>
      <c r="F1982" s="18" t="s">
        <v>1049</v>
      </c>
      <c r="G1982" s="18" t="s">
        <v>8100</v>
      </c>
      <c r="H1982" s="18" t="s">
        <v>162</v>
      </c>
      <c r="I1982" s="18"/>
      <c r="J1982" s="18"/>
      <c r="K1982" s="18"/>
      <c r="L1982" s="18" t="s">
        <v>129</v>
      </c>
      <c r="M1982" s="18" t="s">
        <v>129</v>
      </c>
      <c r="N1982" s="18"/>
      <c r="O1982" s="18"/>
      <c r="P1982" s="18"/>
      <c r="Q1982" s="18" t="s">
        <v>149</v>
      </c>
      <c r="R1982" s="18" t="s">
        <v>8503</v>
      </c>
      <c r="S1982" s="18" t="s">
        <v>133</v>
      </c>
      <c r="T1982" s="18" t="s">
        <v>8504</v>
      </c>
      <c r="U1982" s="18"/>
      <c r="V1982" s="19" t="s">
        <v>29</v>
      </c>
      <c r="W1982" s="19"/>
      <c r="X1982" s="19"/>
      <c r="Y1982" s="20"/>
      <c r="Z1982" s="19"/>
      <c r="AA1982" s="18" t="str">
        <f aca="false">IF(OR(V1982="Aprobada"),R1982,IF(AND(OR(V1982="Aprobada con ajuste",V1982="Rechazada"),W1982&lt;&gt;""),W1982,""))</f>
        <v/>
      </c>
    </row>
    <row r="1983" customFormat="false" ht="22.35" hidden="false" customHeight="false" outlineLevel="0" collapsed="false">
      <c r="A1983" s="18" t="s">
        <v>8505</v>
      </c>
      <c r="B1983" s="18" t="s">
        <v>66</v>
      </c>
      <c r="C1983" s="18" t="s">
        <v>67</v>
      </c>
      <c r="D1983" s="18" t="s">
        <v>8490</v>
      </c>
      <c r="E1983" s="18" t="n">
        <v>0</v>
      </c>
      <c r="F1983" s="18" t="s">
        <v>1054</v>
      </c>
      <c r="G1983" s="18" t="s">
        <v>128</v>
      </c>
      <c r="H1983" s="18" t="s">
        <v>162</v>
      </c>
      <c r="I1983" s="18"/>
      <c r="J1983" s="18"/>
      <c r="K1983" s="18"/>
      <c r="L1983" s="18" t="s">
        <v>129</v>
      </c>
      <c r="M1983" s="18" t="s">
        <v>129</v>
      </c>
      <c r="N1983" s="18"/>
      <c r="O1983" s="18"/>
      <c r="P1983" s="18"/>
      <c r="Q1983" s="18" t="s">
        <v>138</v>
      </c>
      <c r="R1983" s="18" t="s">
        <v>1056</v>
      </c>
      <c r="S1983" s="18" t="s">
        <v>140</v>
      </c>
      <c r="T1983" s="18" t="s">
        <v>141</v>
      </c>
      <c r="U1983" s="18"/>
      <c r="V1983" s="19" t="s">
        <v>29</v>
      </c>
      <c r="W1983" s="19"/>
      <c r="X1983" s="19"/>
      <c r="Y1983" s="20"/>
      <c r="Z1983" s="19"/>
      <c r="AA1983" s="18" t="str">
        <f aca="false">IF(OR(V1983="Aprobada"),R1983,IF(AND(OR(V1983="Aprobada con ajuste",V1983="Rechazada"),W1983&lt;&gt;""),W1983,""))</f>
        <v/>
      </c>
    </row>
    <row r="1984" customFormat="false" ht="32.8" hidden="false" customHeight="false" outlineLevel="0" collapsed="false">
      <c r="A1984" s="18" t="s">
        <v>8506</v>
      </c>
      <c r="B1984" s="18" t="s">
        <v>66</v>
      </c>
      <c r="C1984" s="18" t="s">
        <v>67</v>
      </c>
      <c r="D1984" s="18" t="s">
        <v>4606</v>
      </c>
      <c r="E1984" s="18" t="n">
        <v>0</v>
      </c>
      <c r="F1984" s="18" t="s">
        <v>8507</v>
      </c>
      <c r="G1984" s="18" t="s">
        <v>128</v>
      </c>
      <c r="H1984" s="18" t="s">
        <v>129</v>
      </c>
      <c r="I1984" s="18"/>
      <c r="J1984" s="18"/>
      <c r="K1984" s="18"/>
      <c r="L1984" s="18" t="s">
        <v>129</v>
      </c>
      <c r="M1984" s="18" t="s">
        <v>129</v>
      </c>
      <c r="N1984" s="18"/>
      <c r="O1984" s="18"/>
      <c r="P1984" s="18" t="s">
        <v>8508</v>
      </c>
      <c r="Q1984" s="18" t="s">
        <v>131</v>
      </c>
      <c r="R1984" s="18" t="s">
        <v>8509</v>
      </c>
      <c r="S1984" s="18" t="s">
        <v>133</v>
      </c>
      <c r="T1984" s="18" t="s">
        <v>8510</v>
      </c>
      <c r="U1984" s="18"/>
      <c r="V1984" s="19" t="s">
        <v>29</v>
      </c>
      <c r="W1984" s="19"/>
      <c r="X1984" s="19"/>
      <c r="Y1984" s="20"/>
      <c r="Z1984" s="19"/>
      <c r="AA1984" s="18" t="str">
        <f aca="false">IF(OR(V1984="Aprobada"),R1984,IF(AND(OR(V1984="Aprobada con ajuste",V1984="Rechazada"),W1984&lt;&gt;""),W1984,""))</f>
        <v/>
      </c>
    </row>
    <row r="1985" customFormat="false" ht="32.8" hidden="false" customHeight="false" outlineLevel="0" collapsed="false">
      <c r="A1985" s="18" t="s">
        <v>8511</v>
      </c>
      <c r="B1985" s="18" t="s">
        <v>66</v>
      </c>
      <c r="C1985" s="18" t="s">
        <v>67</v>
      </c>
      <c r="D1985" s="18" t="s">
        <v>4606</v>
      </c>
      <c r="E1985" s="18" t="n">
        <v>0</v>
      </c>
      <c r="F1985" s="18" t="s">
        <v>127</v>
      </c>
      <c r="G1985" s="18" t="s">
        <v>486</v>
      </c>
      <c r="H1985" s="18" t="s">
        <v>162</v>
      </c>
      <c r="I1985" s="18"/>
      <c r="J1985" s="18"/>
      <c r="K1985" s="18"/>
      <c r="L1985" s="18" t="s">
        <v>129</v>
      </c>
      <c r="M1985" s="18" t="s">
        <v>129</v>
      </c>
      <c r="N1985" s="18"/>
      <c r="O1985" s="18"/>
      <c r="P1985" s="18" t="s">
        <v>8512</v>
      </c>
      <c r="Q1985" s="18" t="s">
        <v>131</v>
      </c>
      <c r="R1985" s="18" t="s">
        <v>8513</v>
      </c>
      <c r="S1985" s="18" t="s">
        <v>133</v>
      </c>
      <c r="T1985" s="18" t="s">
        <v>8514</v>
      </c>
      <c r="U1985" s="18"/>
      <c r="V1985" s="19" t="s">
        <v>29</v>
      </c>
      <c r="W1985" s="19"/>
      <c r="X1985" s="19"/>
      <c r="Y1985" s="20"/>
      <c r="Z1985" s="19"/>
      <c r="AA1985" s="18" t="str">
        <f aca="false">IF(OR(V1985="Aprobada"),R1985,IF(AND(OR(V1985="Aprobada con ajuste",V1985="Rechazada"),W1985&lt;&gt;""),W1985,""))</f>
        <v/>
      </c>
    </row>
    <row r="1986" customFormat="false" ht="22.35" hidden="false" customHeight="false" outlineLevel="0" collapsed="false">
      <c r="A1986" s="18" t="s">
        <v>8515</v>
      </c>
      <c r="B1986" s="18" t="s">
        <v>66</v>
      </c>
      <c r="C1986" s="18" t="s">
        <v>67</v>
      </c>
      <c r="D1986" s="18" t="s">
        <v>4606</v>
      </c>
      <c r="E1986" s="18" t="n">
        <v>0</v>
      </c>
      <c r="F1986" s="18" t="s">
        <v>172</v>
      </c>
      <c r="G1986" s="18" t="s">
        <v>173</v>
      </c>
      <c r="H1986" s="18" t="s">
        <v>162</v>
      </c>
      <c r="I1986" s="18"/>
      <c r="J1986" s="18"/>
      <c r="K1986" s="18"/>
      <c r="L1986" s="18" t="s">
        <v>129</v>
      </c>
      <c r="M1986" s="18" t="s">
        <v>129</v>
      </c>
      <c r="N1986" s="18"/>
      <c r="O1986" s="18" t="s">
        <v>8516</v>
      </c>
      <c r="P1986" s="18"/>
      <c r="Q1986" s="18" t="s">
        <v>138</v>
      </c>
      <c r="R1986" s="18" t="s">
        <v>176</v>
      </c>
      <c r="S1986" s="18" t="s">
        <v>140</v>
      </c>
      <c r="T1986" s="18" t="s">
        <v>141</v>
      </c>
      <c r="U1986" s="18"/>
      <c r="V1986" s="19" t="s">
        <v>29</v>
      </c>
      <c r="W1986" s="19"/>
      <c r="X1986" s="19"/>
      <c r="Y1986" s="20"/>
      <c r="Z1986" s="19"/>
      <c r="AA1986" s="18" t="str">
        <f aca="false">IF(OR(V1986="Aprobada"),R1986,IF(AND(OR(V1986="Aprobada con ajuste",V1986="Rechazada"),W1986&lt;&gt;""),W1986,""))</f>
        <v/>
      </c>
    </row>
    <row r="1987" customFormat="false" ht="43.25" hidden="false" customHeight="false" outlineLevel="0" collapsed="false">
      <c r="A1987" s="18" t="s">
        <v>8517</v>
      </c>
      <c r="B1987" s="18" t="s">
        <v>66</v>
      </c>
      <c r="C1987" s="18" t="s">
        <v>67</v>
      </c>
      <c r="D1987" s="18" t="s">
        <v>8518</v>
      </c>
      <c r="E1987" s="18" t="n">
        <v>0</v>
      </c>
      <c r="F1987" s="18" t="s">
        <v>3176</v>
      </c>
      <c r="G1987" s="18" t="s">
        <v>128</v>
      </c>
      <c r="H1987" s="18" t="s">
        <v>129</v>
      </c>
      <c r="I1987" s="18"/>
      <c r="J1987" s="18"/>
      <c r="K1987" s="18"/>
      <c r="L1987" s="18" t="s">
        <v>129</v>
      </c>
      <c r="M1987" s="18" t="s">
        <v>129</v>
      </c>
      <c r="N1987" s="18"/>
      <c r="O1987" s="18"/>
      <c r="P1987" s="18" t="s">
        <v>8519</v>
      </c>
      <c r="Q1987" s="18" t="s">
        <v>149</v>
      </c>
      <c r="R1987" s="18" t="s">
        <v>8520</v>
      </c>
      <c r="S1987" s="18" t="s">
        <v>133</v>
      </c>
      <c r="T1987" s="18" t="s">
        <v>3165</v>
      </c>
      <c r="U1987" s="18"/>
      <c r="V1987" s="19" t="s">
        <v>29</v>
      </c>
      <c r="W1987" s="19"/>
      <c r="X1987" s="19"/>
      <c r="Y1987" s="20"/>
      <c r="Z1987" s="19"/>
      <c r="AA1987" s="18" t="str">
        <f aca="false">IF(OR(V1987="Aprobada"),R1987,IF(AND(OR(V1987="Aprobada con ajuste",V1987="Rechazada"),W1987&lt;&gt;""),W1987,""))</f>
        <v/>
      </c>
    </row>
    <row r="1988" customFormat="false" ht="43.25" hidden="false" customHeight="false" outlineLevel="0" collapsed="false">
      <c r="A1988" s="18" t="s">
        <v>8521</v>
      </c>
      <c r="B1988" s="18" t="s">
        <v>66</v>
      </c>
      <c r="C1988" s="18" t="s">
        <v>67</v>
      </c>
      <c r="D1988" s="18" t="s">
        <v>8518</v>
      </c>
      <c r="E1988" s="18" t="n">
        <v>0</v>
      </c>
      <c r="F1988" s="18" t="s">
        <v>331</v>
      </c>
      <c r="G1988" s="18" t="s">
        <v>137</v>
      </c>
      <c r="H1988" s="18" t="s">
        <v>129</v>
      </c>
      <c r="I1988" s="18"/>
      <c r="J1988" s="18"/>
      <c r="K1988" s="18"/>
      <c r="L1988" s="18" t="s">
        <v>129</v>
      </c>
      <c r="M1988" s="18" t="s">
        <v>129</v>
      </c>
      <c r="N1988" s="18"/>
      <c r="O1988" s="18" t="s">
        <v>8522</v>
      </c>
      <c r="P1988" s="18" t="s">
        <v>8523</v>
      </c>
      <c r="Q1988" s="18" t="s">
        <v>149</v>
      </c>
      <c r="R1988" s="18" t="s">
        <v>8524</v>
      </c>
      <c r="S1988" s="18" t="s">
        <v>133</v>
      </c>
      <c r="T1988" s="18" t="s">
        <v>8525</v>
      </c>
      <c r="U1988" s="18"/>
      <c r="V1988" s="19" t="s">
        <v>29</v>
      </c>
      <c r="W1988" s="19"/>
      <c r="X1988" s="19"/>
      <c r="Y1988" s="20"/>
      <c r="Z1988" s="19"/>
      <c r="AA1988" s="18" t="str">
        <f aca="false">IF(OR(V1988="Aprobada"),R1988,IF(AND(OR(V1988="Aprobada con ajuste",V1988="Rechazada"),W1988&lt;&gt;""),W1988,""))</f>
        <v/>
      </c>
    </row>
    <row r="1989" customFormat="false" ht="43.25" hidden="false" customHeight="false" outlineLevel="0" collapsed="false">
      <c r="A1989" s="18" t="s">
        <v>8526</v>
      </c>
      <c r="B1989" s="18" t="s">
        <v>66</v>
      </c>
      <c r="C1989" s="18" t="s">
        <v>67</v>
      </c>
      <c r="D1989" s="18" t="s">
        <v>8518</v>
      </c>
      <c r="E1989" s="18" t="n">
        <v>0</v>
      </c>
      <c r="F1989" s="18" t="s">
        <v>8077</v>
      </c>
      <c r="G1989" s="18" t="s">
        <v>8078</v>
      </c>
      <c r="H1989" s="18" t="s">
        <v>129</v>
      </c>
      <c r="I1989" s="18"/>
      <c r="J1989" s="18"/>
      <c r="K1989" s="18"/>
      <c r="L1989" s="18" t="s">
        <v>129</v>
      </c>
      <c r="M1989" s="18" t="s">
        <v>129</v>
      </c>
      <c r="N1989" s="18"/>
      <c r="O1989" s="18" t="s">
        <v>8527</v>
      </c>
      <c r="P1989" s="18" t="s">
        <v>8528</v>
      </c>
      <c r="Q1989" s="18" t="s">
        <v>149</v>
      </c>
      <c r="R1989" s="18" t="s">
        <v>8529</v>
      </c>
      <c r="S1989" s="18" t="s">
        <v>133</v>
      </c>
      <c r="T1989" s="18" t="s">
        <v>8530</v>
      </c>
      <c r="U1989" s="18"/>
      <c r="V1989" s="19" t="s">
        <v>29</v>
      </c>
      <c r="W1989" s="19"/>
      <c r="X1989" s="19"/>
      <c r="Y1989" s="20"/>
      <c r="Z1989" s="19"/>
      <c r="AA1989" s="18" t="str">
        <f aca="false">IF(OR(V1989="Aprobada"),R1989,IF(AND(OR(V1989="Aprobada con ajuste",V1989="Rechazada"),W1989&lt;&gt;""),W1989,""))</f>
        <v/>
      </c>
    </row>
    <row r="1990" customFormat="false" ht="32.8" hidden="false" customHeight="false" outlineLevel="0" collapsed="false">
      <c r="A1990" s="18" t="s">
        <v>8531</v>
      </c>
      <c r="B1990" s="18" t="s">
        <v>66</v>
      </c>
      <c r="C1990" s="18" t="s">
        <v>67</v>
      </c>
      <c r="D1990" s="18" t="s">
        <v>8518</v>
      </c>
      <c r="E1990" s="18" t="n">
        <v>0</v>
      </c>
      <c r="F1990" s="18" t="s">
        <v>8532</v>
      </c>
      <c r="G1990" s="18" t="s">
        <v>173</v>
      </c>
      <c r="H1990" s="18" t="s">
        <v>162</v>
      </c>
      <c r="I1990" s="18"/>
      <c r="J1990" s="18"/>
      <c r="K1990" s="18"/>
      <c r="L1990" s="18" t="s">
        <v>129</v>
      </c>
      <c r="M1990" s="18" t="s">
        <v>129</v>
      </c>
      <c r="N1990" s="18"/>
      <c r="O1990" s="18"/>
      <c r="P1990" s="18" t="s">
        <v>8533</v>
      </c>
      <c r="Q1990" s="18" t="s">
        <v>138</v>
      </c>
      <c r="R1990" s="18" t="s">
        <v>8534</v>
      </c>
      <c r="S1990" s="18" t="s">
        <v>140</v>
      </c>
      <c r="T1990" s="18" t="s">
        <v>141</v>
      </c>
      <c r="U1990" s="18"/>
      <c r="V1990" s="19" t="s">
        <v>29</v>
      </c>
      <c r="W1990" s="19"/>
      <c r="X1990" s="19"/>
      <c r="Y1990" s="20"/>
      <c r="Z1990" s="19"/>
      <c r="AA1990" s="18" t="str">
        <f aca="false">IF(OR(V1990="Aprobada"),R1990,IF(AND(OR(V1990="Aprobada con ajuste",V1990="Rechazada"),W1990&lt;&gt;""),W1990,""))</f>
        <v/>
      </c>
    </row>
    <row r="1991" customFormat="false" ht="32.8" hidden="false" customHeight="false" outlineLevel="0" collapsed="false">
      <c r="A1991" s="18" t="s">
        <v>8535</v>
      </c>
      <c r="B1991" s="18" t="s">
        <v>66</v>
      </c>
      <c r="C1991" s="18" t="s">
        <v>67</v>
      </c>
      <c r="D1991" s="18" t="s">
        <v>8518</v>
      </c>
      <c r="E1991" s="18" t="n">
        <v>0</v>
      </c>
      <c r="F1991" s="18" t="s">
        <v>8536</v>
      </c>
      <c r="G1991" s="18" t="s">
        <v>317</v>
      </c>
      <c r="H1991" s="18" t="s">
        <v>162</v>
      </c>
      <c r="I1991" s="18"/>
      <c r="J1991" s="18"/>
      <c r="K1991" s="18"/>
      <c r="L1991" s="18" t="s">
        <v>129</v>
      </c>
      <c r="M1991" s="18" t="s">
        <v>129</v>
      </c>
      <c r="N1991" s="18"/>
      <c r="O1991" s="18"/>
      <c r="P1991" s="18" t="s">
        <v>8537</v>
      </c>
      <c r="Q1991" s="18" t="s">
        <v>138</v>
      </c>
      <c r="R1991" s="18" t="s">
        <v>8538</v>
      </c>
      <c r="S1991" s="18" t="s">
        <v>140</v>
      </c>
      <c r="T1991" s="18" t="s">
        <v>141</v>
      </c>
      <c r="U1991" s="18"/>
      <c r="V1991" s="19" t="s">
        <v>29</v>
      </c>
      <c r="W1991" s="19"/>
      <c r="X1991" s="19"/>
      <c r="Y1991" s="20"/>
      <c r="Z1991" s="19"/>
      <c r="AA1991" s="18" t="str">
        <f aca="false">IF(OR(V1991="Aprobada"),R1991,IF(AND(OR(V1991="Aprobada con ajuste",V1991="Rechazada"),W1991&lt;&gt;""),W1991,""))</f>
        <v/>
      </c>
    </row>
    <row r="1992" customFormat="false" ht="43.25" hidden="false" customHeight="false" outlineLevel="0" collapsed="false">
      <c r="A1992" s="18" t="s">
        <v>8539</v>
      </c>
      <c r="B1992" s="18" t="s">
        <v>66</v>
      </c>
      <c r="C1992" s="18" t="s">
        <v>67</v>
      </c>
      <c r="D1992" s="18" t="s">
        <v>8518</v>
      </c>
      <c r="E1992" s="18" t="n">
        <v>0</v>
      </c>
      <c r="F1992" s="18" t="s">
        <v>172</v>
      </c>
      <c r="G1992" s="18" t="s">
        <v>173</v>
      </c>
      <c r="H1992" s="18" t="s">
        <v>162</v>
      </c>
      <c r="I1992" s="18"/>
      <c r="J1992" s="18"/>
      <c r="K1992" s="18"/>
      <c r="L1992" s="18" t="s">
        <v>129</v>
      </c>
      <c r="M1992" s="18" t="s">
        <v>129</v>
      </c>
      <c r="N1992" s="18"/>
      <c r="O1992" s="18"/>
      <c r="P1992" s="18" t="s">
        <v>8540</v>
      </c>
      <c r="Q1992" s="18" t="s">
        <v>138</v>
      </c>
      <c r="R1992" s="18" t="s">
        <v>176</v>
      </c>
      <c r="S1992" s="18" t="s">
        <v>140</v>
      </c>
      <c r="T1992" s="18" t="s">
        <v>141</v>
      </c>
      <c r="U1992" s="18"/>
      <c r="V1992" s="19" t="s">
        <v>29</v>
      </c>
      <c r="W1992" s="19"/>
      <c r="X1992" s="19"/>
      <c r="Y1992" s="20"/>
      <c r="Z1992" s="19"/>
      <c r="AA1992" s="18" t="str">
        <f aca="false">IF(OR(V1992="Aprobada"),R1992,IF(AND(OR(V1992="Aprobada con ajuste",V1992="Rechazada"),W1992&lt;&gt;""),W1992,""))</f>
        <v/>
      </c>
    </row>
    <row r="1993" customFormat="false" ht="43.25" hidden="false" customHeight="false" outlineLevel="0" collapsed="false">
      <c r="A1993" s="18" t="s">
        <v>8541</v>
      </c>
      <c r="B1993" s="18" t="s">
        <v>66</v>
      </c>
      <c r="C1993" s="18" t="s">
        <v>67</v>
      </c>
      <c r="D1993" s="18" t="s">
        <v>8542</v>
      </c>
      <c r="E1993" s="18" t="n">
        <v>945</v>
      </c>
      <c r="F1993" s="18" t="s">
        <v>1734</v>
      </c>
      <c r="G1993" s="18" t="s">
        <v>180</v>
      </c>
      <c r="H1993" s="18" t="s">
        <v>129</v>
      </c>
      <c r="I1993" s="18"/>
      <c r="J1993" s="18"/>
      <c r="K1993" s="18"/>
      <c r="L1993" s="18" t="s">
        <v>129</v>
      </c>
      <c r="M1993" s="18" t="s">
        <v>129</v>
      </c>
      <c r="N1993" s="18"/>
      <c r="O1993" s="18" t="s">
        <v>8543</v>
      </c>
      <c r="P1993" s="18" t="s">
        <v>8544</v>
      </c>
      <c r="Q1993" s="18" t="s">
        <v>149</v>
      </c>
      <c r="R1993" s="18" t="s">
        <v>8545</v>
      </c>
      <c r="S1993" s="18" t="s">
        <v>140</v>
      </c>
      <c r="T1993" s="18" t="s">
        <v>8546</v>
      </c>
      <c r="U1993" s="18" t="s">
        <v>8547</v>
      </c>
      <c r="V1993" s="19" t="s">
        <v>29</v>
      </c>
      <c r="W1993" s="19"/>
      <c r="X1993" s="19"/>
      <c r="Y1993" s="20"/>
      <c r="Z1993" s="19"/>
      <c r="AA1993" s="18" t="str">
        <f aca="false">IF(OR(V1993="Aprobada"),R1993,IF(AND(OR(V1993="Aprobada con ajuste",V1993="Rechazada"),W1993&lt;&gt;""),W1993,""))</f>
        <v/>
      </c>
    </row>
    <row r="1994" customFormat="false" ht="95.5" hidden="false" customHeight="false" outlineLevel="0" collapsed="false">
      <c r="A1994" s="18" t="s">
        <v>8548</v>
      </c>
      <c r="B1994" s="18" t="s">
        <v>66</v>
      </c>
      <c r="C1994" s="18" t="s">
        <v>67</v>
      </c>
      <c r="D1994" s="18" t="s">
        <v>8542</v>
      </c>
      <c r="E1994" s="18" t="n">
        <v>945</v>
      </c>
      <c r="F1994" s="18" t="s">
        <v>8549</v>
      </c>
      <c r="G1994" s="18" t="s">
        <v>486</v>
      </c>
      <c r="H1994" s="18" t="s">
        <v>129</v>
      </c>
      <c r="I1994" s="18" t="s">
        <v>298</v>
      </c>
      <c r="J1994" s="18" t="s">
        <v>8550</v>
      </c>
      <c r="K1994" s="18"/>
      <c r="L1994" s="18" t="s">
        <v>162</v>
      </c>
      <c r="M1994" s="18" t="s">
        <v>129</v>
      </c>
      <c r="N1994" s="18"/>
      <c r="O1994" s="18" t="s">
        <v>8551</v>
      </c>
      <c r="P1994" s="18" t="s">
        <v>8552</v>
      </c>
      <c r="Q1994" s="18" t="s">
        <v>149</v>
      </c>
      <c r="R1994" s="18" t="s">
        <v>8553</v>
      </c>
      <c r="S1994" s="18" t="s">
        <v>140</v>
      </c>
      <c r="T1994" s="18" t="s">
        <v>801</v>
      </c>
      <c r="U1994" s="18" t="s">
        <v>8554</v>
      </c>
      <c r="V1994" s="19" t="s">
        <v>29</v>
      </c>
      <c r="W1994" s="19"/>
      <c r="X1994" s="19"/>
      <c r="Y1994" s="20"/>
      <c r="Z1994" s="19"/>
      <c r="AA1994" s="18" t="str">
        <f aca="false">IF(OR(V1994="Aprobada"),R1994,IF(AND(OR(V1994="Aprobada con ajuste",V1994="Rechazada"),W1994&lt;&gt;""),W1994,""))</f>
        <v/>
      </c>
    </row>
    <row r="1995" customFormat="false" ht="53.7" hidden="false" customHeight="false" outlineLevel="0" collapsed="false">
      <c r="A1995" s="18" t="s">
        <v>8555</v>
      </c>
      <c r="B1995" s="18" t="s">
        <v>66</v>
      </c>
      <c r="C1995" s="18" t="s">
        <v>67</v>
      </c>
      <c r="D1995" s="18" t="s">
        <v>8542</v>
      </c>
      <c r="E1995" s="18" t="n">
        <v>945</v>
      </c>
      <c r="F1995" s="18" t="s">
        <v>4369</v>
      </c>
      <c r="G1995" s="18" t="s">
        <v>180</v>
      </c>
      <c r="H1995" s="18" t="s">
        <v>129</v>
      </c>
      <c r="I1995" s="18"/>
      <c r="J1995" s="18"/>
      <c r="K1995" s="18"/>
      <c r="L1995" s="18" t="s">
        <v>129</v>
      </c>
      <c r="M1995" s="18" t="s">
        <v>129</v>
      </c>
      <c r="N1995" s="18"/>
      <c r="O1995" s="18"/>
      <c r="P1995" s="18" t="s">
        <v>8556</v>
      </c>
      <c r="Q1995" s="18" t="s">
        <v>149</v>
      </c>
      <c r="R1995" s="18" t="s">
        <v>8557</v>
      </c>
      <c r="S1995" s="18" t="s">
        <v>133</v>
      </c>
      <c r="T1995" s="18" t="s">
        <v>183</v>
      </c>
      <c r="U1995" s="18"/>
      <c r="V1995" s="19" t="s">
        <v>29</v>
      </c>
      <c r="W1995" s="19"/>
      <c r="X1995" s="19"/>
      <c r="Y1995" s="20"/>
      <c r="Z1995" s="19"/>
      <c r="AA1995" s="18" t="str">
        <f aca="false">IF(OR(V1995="Aprobada"),R1995,IF(AND(OR(V1995="Aprobada con ajuste",V1995="Rechazada"),W1995&lt;&gt;""),W1995,""))</f>
        <v/>
      </c>
    </row>
    <row r="1996" customFormat="false" ht="43.25" hidden="false" customHeight="false" outlineLevel="0" collapsed="false">
      <c r="A1996" s="18" t="s">
        <v>8558</v>
      </c>
      <c r="B1996" s="18" t="s">
        <v>66</v>
      </c>
      <c r="C1996" s="18" t="s">
        <v>67</v>
      </c>
      <c r="D1996" s="18" t="s">
        <v>8542</v>
      </c>
      <c r="E1996" s="18" t="n">
        <v>945</v>
      </c>
      <c r="F1996" s="18" t="s">
        <v>1918</v>
      </c>
      <c r="G1996" s="18" t="s">
        <v>128</v>
      </c>
      <c r="H1996" s="18" t="s">
        <v>129</v>
      </c>
      <c r="I1996" s="18"/>
      <c r="J1996" s="18"/>
      <c r="K1996" s="18"/>
      <c r="L1996" s="18" t="s">
        <v>129</v>
      </c>
      <c r="M1996" s="18" t="s">
        <v>129</v>
      </c>
      <c r="N1996" s="18"/>
      <c r="O1996" s="18"/>
      <c r="P1996" s="18" t="s">
        <v>8559</v>
      </c>
      <c r="Q1996" s="18" t="s">
        <v>149</v>
      </c>
      <c r="R1996" s="18" t="s">
        <v>8560</v>
      </c>
      <c r="S1996" s="18" t="s">
        <v>133</v>
      </c>
      <c r="T1996" s="18" t="s">
        <v>183</v>
      </c>
      <c r="U1996" s="18"/>
      <c r="V1996" s="19" t="s">
        <v>29</v>
      </c>
      <c r="W1996" s="19"/>
      <c r="X1996" s="19"/>
      <c r="Y1996" s="20"/>
      <c r="Z1996" s="19"/>
      <c r="AA1996" s="18" t="str">
        <f aca="false">IF(OR(V1996="Aprobada"),R1996,IF(AND(OR(V1996="Aprobada con ajuste",V1996="Rechazada"),W1996&lt;&gt;""),W1996,""))</f>
        <v/>
      </c>
    </row>
    <row r="1997" customFormat="false" ht="64.15" hidden="false" customHeight="false" outlineLevel="0" collapsed="false">
      <c r="A1997" s="18" t="s">
        <v>8561</v>
      </c>
      <c r="B1997" s="18" t="s">
        <v>66</v>
      </c>
      <c r="C1997" s="18" t="s">
        <v>67</v>
      </c>
      <c r="D1997" s="18" t="s">
        <v>8542</v>
      </c>
      <c r="E1997" s="18" t="n">
        <v>945</v>
      </c>
      <c r="F1997" s="18" t="s">
        <v>185</v>
      </c>
      <c r="G1997" s="18" t="s">
        <v>145</v>
      </c>
      <c r="H1997" s="18" t="s">
        <v>162</v>
      </c>
      <c r="I1997" s="18" t="s">
        <v>298</v>
      </c>
      <c r="J1997" s="18" t="s">
        <v>8562</v>
      </c>
      <c r="K1997" s="18"/>
      <c r="L1997" s="18" t="s">
        <v>162</v>
      </c>
      <c r="M1997" s="18" t="s">
        <v>129</v>
      </c>
      <c r="N1997" s="18"/>
      <c r="O1997" s="18" t="s">
        <v>8563</v>
      </c>
      <c r="P1997" s="18" t="s">
        <v>8564</v>
      </c>
      <c r="Q1997" s="18" t="s">
        <v>138</v>
      </c>
      <c r="R1997" s="18" t="s">
        <v>8565</v>
      </c>
      <c r="S1997" s="18" t="s">
        <v>140</v>
      </c>
      <c r="T1997" s="18" t="s">
        <v>141</v>
      </c>
      <c r="U1997" s="18"/>
      <c r="V1997" s="19" t="s">
        <v>29</v>
      </c>
      <c r="W1997" s="19"/>
      <c r="X1997" s="19"/>
      <c r="Y1997" s="20"/>
      <c r="Z1997" s="19"/>
      <c r="AA1997" s="18" t="str">
        <f aca="false">IF(OR(V1997="Aprobada"),R1997,IF(AND(OR(V1997="Aprobada con ajuste",V1997="Rechazada"),W1997&lt;&gt;""),W1997,""))</f>
        <v/>
      </c>
    </row>
    <row r="1998" customFormat="false" ht="43.25" hidden="false" customHeight="false" outlineLevel="0" collapsed="false">
      <c r="A1998" s="18" t="s">
        <v>8566</v>
      </c>
      <c r="B1998" s="18" t="s">
        <v>66</v>
      </c>
      <c r="C1998" s="18" t="s">
        <v>67</v>
      </c>
      <c r="D1998" s="18" t="s">
        <v>8542</v>
      </c>
      <c r="E1998" s="18" t="n">
        <v>945</v>
      </c>
      <c r="F1998" s="18" t="s">
        <v>8567</v>
      </c>
      <c r="G1998" s="18" t="s">
        <v>145</v>
      </c>
      <c r="H1998" s="18" t="s">
        <v>162</v>
      </c>
      <c r="I1998" s="18" t="s">
        <v>298</v>
      </c>
      <c r="J1998" s="18" t="s">
        <v>8568</v>
      </c>
      <c r="K1998" s="18"/>
      <c r="L1998" s="18" t="s">
        <v>162</v>
      </c>
      <c r="M1998" s="18" t="s">
        <v>129</v>
      </c>
      <c r="N1998" s="18"/>
      <c r="O1998" s="18"/>
      <c r="P1998" s="18" t="s">
        <v>8569</v>
      </c>
      <c r="Q1998" s="18" t="s">
        <v>149</v>
      </c>
      <c r="R1998" s="18" t="s">
        <v>8570</v>
      </c>
      <c r="S1998" s="18" t="s">
        <v>133</v>
      </c>
      <c r="T1998" s="18" t="s">
        <v>801</v>
      </c>
      <c r="U1998" s="18"/>
      <c r="V1998" s="19" t="s">
        <v>29</v>
      </c>
      <c r="W1998" s="19"/>
      <c r="X1998" s="19"/>
      <c r="Y1998" s="20"/>
      <c r="Z1998" s="19"/>
      <c r="AA1998" s="18" t="str">
        <f aca="false">IF(OR(V1998="Aprobada"),R1998,IF(AND(OR(V1998="Aprobada con ajuste",V1998="Rechazada"),W1998&lt;&gt;""),W1998,""))</f>
        <v/>
      </c>
    </row>
    <row r="1999" customFormat="false" ht="32.8" hidden="false" customHeight="false" outlineLevel="0" collapsed="false">
      <c r="A1999" s="18" t="s">
        <v>8571</v>
      </c>
      <c r="B1999" s="18" t="s">
        <v>66</v>
      </c>
      <c r="C1999" s="18" t="s">
        <v>67</v>
      </c>
      <c r="D1999" s="18" t="s">
        <v>8542</v>
      </c>
      <c r="E1999" s="18" t="n">
        <v>945</v>
      </c>
      <c r="F1999" s="18" t="s">
        <v>8572</v>
      </c>
      <c r="G1999" s="18" t="s">
        <v>173</v>
      </c>
      <c r="H1999" s="18" t="s">
        <v>162</v>
      </c>
      <c r="I1999" s="18" t="s">
        <v>298</v>
      </c>
      <c r="J1999" s="18"/>
      <c r="K1999" s="18"/>
      <c r="L1999" s="18" t="s">
        <v>129</v>
      </c>
      <c r="M1999" s="18" t="s">
        <v>129</v>
      </c>
      <c r="N1999" s="18"/>
      <c r="O1999" s="18"/>
      <c r="P1999" s="18" t="s">
        <v>8573</v>
      </c>
      <c r="Q1999" s="18" t="s">
        <v>138</v>
      </c>
      <c r="R1999" s="18" t="s">
        <v>8574</v>
      </c>
      <c r="S1999" s="18" t="s">
        <v>140</v>
      </c>
      <c r="T1999" s="18" t="s">
        <v>141</v>
      </c>
      <c r="U1999" s="18"/>
      <c r="V1999" s="19" t="s">
        <v>29</v>
      </c>
      <c r="W1999" s="19"/>
      <c r="X1999" s="19"/>
      <c r="Y1999" s="20"/>
      <c r="Z1999" s="19"/>
      <c r="AA1999" s="18" t="str">
        <f aca="false">IF(OR(V1999="Aprobada"),R1999,IF(AND(OR(V1999="Aprobada con ajuste",V1999="Rechazada"),W1999&lt;&gt;""),W1999,""))</f>
        <v/>
      </c>
    </row>
    <row r="2000" customFormat="false" ht="32.8" hidden="false" customHeight="false" outlineLevel="0" collapsed="false">
      <c r="A2000" s="18" t="s">
        <v>8575</v>
      </c>
      <c r="B2000" s="18" t="s">
        <v>66</v>
      </c>
      <c r="C2000" s="18" t="s">
        <v>67</v>
      </c>
      <c r="D2000" s="18" t="s">
        <v>8542</v>
      </c>
      <c r="E2000" s="18" t="n">
        <v>945</v>
      </c>
      <c r="F2000" s="18" t="s">
        <v>8576</v>
      </c>
      <c r="G2000" s="18" t="s">
        <v>317</v>
      </c>
      <c r="H2000" s="18" t="s">
        <v>162</v>
      </c>
      <c r="I2000" s="18"/>
      <c r="J2000" s="18"/>
      <c r="K2000" s="18"/>
      <c r="L2000" s="18" t="s">
        <v>129</v>
      </c>
      <c r="M2000" s="18" t="s">
        <v>129</v>
      </c>
      <c r="N2000" s="18"/>
      <c r="O2000" s="18"/>
      <c r="P2000" s="18" t="s">
        <v>8577</v>
      </c>
      <c r="Q2000" s="18" t="s">
        <v>138</v>
      </c>
      <c r="R2000" s="18" t="s">
        <v>8578</v>
      </c>
      <c r="S2000" s="18" t="s">
        <v>140</v>
      </c>
      <c r="T2000" s="18" t="s">
        <v>141</v>
      </c>
      <c r="U2000" s="18"/>
      <c r="V2000" s="19" t="s">
        <v>29</v>
      </c>
      <c r="W2000" s="19"/>
      <c r="X2000" s="19"/>
      <c r="Y2000" s="20"/>
      <c r="Z2000" s="19"/>
      <c r="AA2000" s="18" t="str">
        <f aca="false">IF(OR(V2000="Aprobada"),R2000,IF(AND(OR(V2000="Aprobada con ajuste",V2000="Rechazada"),W2000&lt;&gt;""),W2000,""))</f>
        <v/>
      </c>
    </row>
    <row r="2001" customFormat="false" ht="32.8" hidden="false" customHeight="false" outlineLevel="0" collapsed="false">
      <c r="A2001" s="18" t="s">
        <v>8579</v>
      </c>
      <c r="B2001" s="18" t="s">
        <v>66</v>
      </c>
      <c r="C2001" s="18" t="s">
        <v>67</v>
      </c>
      <c r="D2001" s="18" t="s">
        <v>8542</v>
      </c>
      <c r="E2001" s="18" t="n">
        <v>945</v>
      </c>
      <c r="F2001" s="18" t="s">
        <v>8580</v>
      </c>
      <c r="G2001" s="18" t="s">
        <v>173</v>
      </c>
      <c r="H2001" s="18" t="s">
        <v>162</v>
      </c>
      <c r="I2001" s="18"/>
      <c r="J2001" s="18"/>
      <c r="K2001" s="18"/>
      <c r="L2001" s="18" t="s">
        <v>129</v>
      </c>
      <c r="M2001" s="18" t="s">
        <v>129</v>
      </c>
      <c r="N2001" s="18"/>
      <c r="O2001" s="18"/>
      <c r="P2001" s="18" t="s">
        <v>8581</v>
      </c>
      <c r="Q2001" s="18" t="s">
        <v>138</v>
      </c>
      <c r="R2001" s="18" t="s">
        <v>8582</v>
      </c>
      <c r="S2001" s="18" t="s">
        <v>140</v>
      </c>
      <c r="T2001" s="18" t="s">
        <v>141</v>
      </c>
      <c r="U2001" s="18"/>
      <c r="V2001" s="19" t="s">
        <v>29</v>
      </c>
      <c r="W2001" s="19"/>
      <c r="X2001" s="19"/>
      <c r="Y2001" s="20"/>
      <c r="Z2001" s="19"/>
      <c r="AA2001" s="18" t="str">
        <f aca="false">IF(OR(V2001="Aprobada"),R2001,IF(AND(OR(V2001="Aprobada con ajuste",V2001="Rechazada"),W2001&lt;&gt;""),W2001,""))</f>
        <v/>
      </c>
    </row>
    <row r="2002" customFormat="false" ht="32.8" hidden="false" customHeight="false" outlineLevel="0" collapsed="false">
      <c r="A2002" s="18" t="s">
        <v>8583</v>
      </c>
      <c r="B2002" s="18" t="s">
        <v>66</v>
      </c>
      <c r="C2002" s="18" t="s">
        <v>67</v>
      </c>
      <c r="D2002" s="18" t="s">
        <v>8542</v>
      </c>
      <c r="E2002" s="18" t="n">
        <v>945</v>
      </c>
      <c r="F2002" s="18" t="s">
        <v>8584</v>
      </c>
      <c r="G2002" s="18" t="s">
        <v>317</v>
      </c>
      <c r="H2002" s="18" t="s">
        <v>162</v>
      </c>
      <c r="I2002" s="18"/>
      <c r="J2002" s="18"/>
      <c r="K2002" s="18"/>
      <c r="L2002" s="18" t="s">
        <v>129</v>
      </c>
      <c r="M2002" s="18" t="s">
        <v>129</v>
      </c>
      <c r="N2002" s="18"/>
      <c r="O2002" s="18"/>
      <c r="P2002" s="18" t="s">
        <v>8585</v>
      </c>
      <c r="Q2002" s="18" t="s">
        <v>138</v>
      </c>
      <c r="R2002" s="18" t="s">
        <v>8586</v>
      </c>
      <c r="S2002" s="18" t="s">
        <v>140</v>
      </c>
      <c r="T2002" s="18" t="s">
        <v>141</v>
      </c>
      <c r="U2002" s="18"/>
      <c r="V2002" s="19" t="s">
        <v>29</v>
      </c>
      <c r="W2002" s="19"/>
      <c r="X2002" s="19"/>
      <c r="Y2002" s="20"/>
      <c r="Z2002" s="19"/>
      <c r="AA2002" s="18" t="str">
        <f aca="false">IF(OR(V2002="Aprobada"),R2002,IF(AND(OR(V2002="Aprobada con ajuste",V2002="Rechazada"),W2002&lt;&gt;""),W2002,""))</f>
        <v/>
      </c>
    </row>
    <row r="2003" customFormat="false" ht="43.25" hidden="false" customHeight="false" outlineLevel="0" collapsed="false">
      <c r="A2003" s="18" t="s">
        <v>8587</v>
      </c>
      <c r="B2003" s="18" t="s">
        <v>66</v>
      </c>
      <c r="C2003" s="18" t="s">
        <v>67</v>
      </c>
      <c r="D2003" s="18" t="s">
        <v>8542</v>
      </c>
      <c r="E2003" s="18" t="n">
        <v>945</v>
      </c>
      <c r="F2003" s="18" t="s">
        <v>191</v>
      </c>
      <c r="G2003" s="18" t="s">
        <v>192</v>
      </c>
      <c r="H2003" s="18" t="s">
        <v>162</v>
      </c>
      <c r="I2003" s="18"/>
      <c r="J2003" s="18"/>
      <c r="K2003" s="18"/>
      <c r="L2003" s="18" t="s">
        <v>129</v>
      </c>
      <c r="M2003" s="18" t="s">
        <v>129</v>
      </c>
      <c r="N2003" s="18"/>
      <c r="O2003" s="18"/>
      <c r="P2003" s="18" t="s">
        <v>8588</v>
      </c>
      <c r="Q2003" s="18" t="s">
        <v>138</v>
      </c>
      <c r="R2003" s="18" t="s">
        <v>194</v>
      </c>
      <c r="S2003" s="18" t="s">
        <v>140</v>
      </c>
      <c r="T2003" s="18" t="s">
        <v>141</v>
      </c>
      <c r="U2003" s="18"/>
      <c r="V2003" s="19" t="s">
        <v>29</v>
      </c>
      <c r="W2003" s="19"/>
      <c r="X2003" s="19"/>
      <c r="Y2003" s="20"/>
      <c r="Z2003" s="19"/>
      <c r="AA2003" s="18" t="str">
        <f aca="false">IF(OR(V2003="Aprobada"),R2003,IF(AND(OR(V2003="Aprobada con ajuste",V2003="Rechazada"),W2003&lt;&gt;""),W2003,""))</f>
        <v/>
      </c>
    </row>
    <row r="2004" customFormat="false" ht="43.25" hidden="false" customHeight="false" outlineLevel="0" collapsed="false">
      <c r="A2004" s="18" t="s">
        <v>8589</v>
      </c>
      <c r="B2004" s="18" t="s">
        <v>66</v>
      </c>
      <c r="C2004" s="18" t="s">
        <v>67</v>
      </c>
      <c r="D2004" s="18" t="s">
        <v>8542</v>
      </c>
      <c r="E2004" s="18" t="n">
        <v>945</v>
      </c>
      <c r="F2004" s="18" t="s">
        <v>8590</v>
      </c>
      <c r="G2004" s="18" t="s">
        <v>161</v>
      </c>
      <c r="H2004" s="18" t="s">
        <v>162</v>
      </c>
      <c r="I2004" s="18"/>
      <c r="J2004" s="18"/>
      <c r="K2004" s="18"/>
      <c r="L2004" s="18" t="s">
        <v>129</v>
      </c>
      <c r="M2004" s="18" t="s">
        <v>129</v>
      </c>
      <c r="N2004" s="18"/>
      <c r="O2004" s="18"/>
      <c r="P2004" s="18" t="s">
        <v>8591</v>
      </c>
      <c r="Q2004" s="18" t="s">
        <v>149</v>
      </c>
      <c r="R2004" s="18" t="s">
        <v>8592</v>
      </c>
      <c r="S2004" s="18" t="s">
        <v>133</v>
      </c>
      <c r="T2004" s="18" t="s">
        <v>183</v>
      </c>
      <c r="U2004" s="18"/>
      <c r="V2004" s="19" t="s">
        <v>29</v>
      </c>
      <c r="W2004" s="19"/>
      <c r="X2004" s="19"/>
      <c r="Y2004" s="20"/>
      <c r="Z2004" s="19"/>
      <c r="AA2004" s="18" t="str">
        <f aca="false">IF(OR(V2004="Aprobada"),R2004,IF(AND(OR(V2004="Aprobada con ajuste",V2004="Rechazada"),W2004&lt;&gt;""),W2004,""))</f>
        <v/>
      </c>
    </row>
    <row r="2005" customFormat="false" ht="74.6" hidden="false" customHeight="false" outlineLevel="0" collapsed="false">
      <c r="A2005" s="18" t="s">
        <v>8593</v>
      </c>
      <c r="B2005" s="18" t="s">
        <v>66</v>
      </c>
      <c r="C2005" s="18" t="s">
        <v>67</v>
      </c>
      <c r="D2005" s="18" t="s">
        <v>8542</v>
      </c>
      <c r="E2005" s="18" t="n">
        <v>945</v>
      </c>
      <c r="F2005" s="18" t="s">
        <v>4777</v>
      </c>
      <c r="G2005" s="18" t="s">
        <v>205</v>
      </c>
      <c r="H2005" s="18" t="s">
        <v>162</v>
      </c>
      <c r="I2005" s="18" t="s">
        <v>298</v>
      </c>
      <c r="J2005" s="18" t="s">
        <v>8594</v>
      </c>
      <c r="K2005" s="18"/>
      <c r="L2005" s="18" t="s">
        <v>162</v>
      </c>
      <c r="M2005" s="18" t="s">
        <v>129</v>
      </c>
      <c r="N2005" s="18"/>
      <c r="O2005" s="18"/>
      <c r="P2005" s="18" t="s">
        <v>8595</v>
      </c>
      <c r="Q2005" s="18" t="s">
        <v>149</v>
      </c>
      <c r="R2005" s="18" t="s">
        <v>8596</v>
      </c>
      <c r="S2005" s="18" t="s">
        <v>133</v>
      </c>
      <c r="T2005" s="18" t="s">
        <v>801</v>
      </c>
      <c r="U2005" s="18"/>
      <c r="V2005" s="19" t="s">
        <v>29</v>
      </c>
      <c r="W2005" s="19"/>
      <c r="X2005" s="19"/>
      <c r="Y2005" s="20"/>
      <c r="Z2005" s="19"/>
      <c r="AA2005" s="18" t="str">
        <f aca="false">IF(OR(V2005="Aprobada"),R2005,IF(AND(OR(V2005="Aprobada con ajuste",V2005="Rechazada"),W2005&lt;&gt;""),W2005,""))</f>
        <v/>
      </c>
    </row>
    <row r="2006" customFormat="false" ht="43.25" hidden="false" customHeight="false" outlineLevel="0" collapsed="false">
      <c r="A2006" s="18" t="s">
        <v>8597</v>
      </c>
      <c r="B2006" s="18" t="s">
        <v>66</v>
      </c>
      <c r="C2006" s="18" t="s">
        <v>67</v>
      </c>
      <c r="D2006" s="18" t="s">
        <v>8598</v>
      </c>
      <c r="E2006" s="18" t="n">
        <v>39</v>
      </c>
      <c r="F2006" s="18" t="s">
        <v>160</v>
      </c>
      <c r="G2006" s="18" t="s">
        <v>128</v>
      </c>
      <c r="H2006" s="18" t="s">
        <v>129</v>
      </c>
      <c r="I2006" s="18"/>
      <c r="J2006" s="18"/>
      <c r="K2006" s="18"/>
      <c r="L2006" s="18" t="s">
        <v>129</v>
      </c>
      <c r="M2006" s="18" t="s">
        <v>129</v>
      </c>
      <c r="N2006" s="18"/>
      <c r="O2006" s="18"/>
      <c r="P2006" s="18" t="s">
        <v>8599</v>
      </c>
      <c r="Q2006" s="18" t="s">
        <v>138</v>
      </c>
      <c r="R2006" s="18" t="s">
        <v>8600</v>
      </c>
      <c r="S2006" s="18" t="s">
        <v>140</v>
      </c>
      <c r="T2006" s="18" t="s">
        <v>141</v>
      </c>
      <c r="U2006" s="18"/>
      <c r="V2006" s="19" t="s">
        <v>29</v>
      </c>
      <c r="W2006" s="19"/>
      <c r="X2006" s="19"/>
      <c r="Y2006" s="20"/>
      <c r="Z2006" s="19"/>
      <c r="AA2006" s="18" t="str">
        <f aca="false">IF(OR(V2006="Aprobada"),R2006,IF(AND(OR(V2006="Aprobada con ajuste",V2006="Rechazada"),W2006&lt;&gt;""),W2006,""))</f>
        <v/>
      </c>
    </row>
    <row r="2007" customFormat="false" ht="43.25" hidden="false" customHeight="false" outlineLevel="0" collapsed="false">
      <c r="A2007" s="18" t="s">
        <v>8601</v>
      </c>
      <c r="B2007" s="18" t="s">
        <v>66</v>
      </c>
      <c r="C2007" s="18" t="s">
        <v>67</v>
      </c>
      <c r="D2007" s="18" t="s">
        <v>8598</v>
      </c>
      <c r="E2007" s="18" t="n">
        <v>39</v>
      </c>
      <c r="F2007" s="18" t="s">
        <v>937</v>
      </c>
      <c r="G2007" s="18" t="s">
        <v>503</v>
      </c>
      <c r="H2007" s="18" t="s">
        <v>162</v>
      </c>
      <c r="I2007" s="18"/>
      <c r="J2007" s="18"/>
      <c r="K2007" s="18"/>
      <c r="L2007" s="18" t="s">
        <v>129</v>
      </c>
      <c r="M2007" s="18" t="s">
        <v>129</v>
      </c>
      <c r="N2007" s="18"/>
      <c r="O2007" s="18"/>
      <c r="P2007" s="18" t="s">
        <v>8602</v>
      </c>
      <c r="Q2007" s="18" t="s">
        <v>138</v>
      </c>
      <c r="R2007" s="18" t="s">
        <v>939</v>
      </c>
      <c r="S2007" s="18" t="s">
        <v>140</v>
      </c>
      <c r="T2007" s="18" t="s">
        <v>141</v>
      </c>
      <c r="U2007" s="18"/>
      <c r="V2007" s="19" t="s">
        <v>29</v>
      </c>
      <c r="W2007" s="19"/>
      <c r="X2007" s="19"/>
      <c r="Y2007" s="20"/>
      <c r="Z2007" s="19"/>
      <c r="AA2007" s="18" t="str">
        <f aca="false">IF(OR(V2007="Aprobada"),R2007,IF(AND(OR(V2007="Aprobada con ajuste",V2007="Rechazada"),W2007&lt;&gt;""),W2007,""))</f>
        <v/>
      </c>
    </row>
    <row r="2008" customFormat="false" ht="43.25" hidden="false" customHeight="false" outlineLevel="0" collapsed="false">
      <c r="A2008" s="18" t="s">
        <v>8603</v>
      </c>
      <c r="B2008" s="18" t="s">
        <v>66</v>
      </c>
      <c r="C2008" s="18" t="s">
        <v>67</v>
      </c>
      <c r="D2008" s="18" t="s">
        <v>8598</v>
      </c>
      <c r="E2008" s="18" t="n">
        <v>39</v>
      </c>
      <c r="F2008" s="18" t="s">
        <v>172</v>
      </c>
      <c r="G2008" s="18" t="s">
        <v>173</v>
      </c>
      <c r="H2008" s="18" t="s">
        <v>162</v>
      </c>
      <c r="I2008" s="18"/>
      <c r="J2008" s="18"/>
      <c r="K2008" s="18"/>
      <c r="L2008" s="18" t="s">
        <v>129</v>
      </c>
      <c r="M2008" s="18" t="s">
        <v>129</v>
      </c>
      <c r="N2008" s="18"/>
      <c r="O2008" s="18" t="s">
        <v>8604</v>
      </c>
      <c r="P2008" s="18" t="s">
        <v>8605</v>
      </c>
      <c r="Q2008" s="18" t="s">
        <v>138</v>
      </c>
      <c r="R2008" s="18" t="s">
        <v>176</v>
      </c>
      <c r="S2008" s="18" t="s">
        <v>140</v>
      </c>
      <c r="T2008" s="18" t="s">
        <v>141</v>
      </c>
      <c r="U2008" s="18"/>
      <c r="V2008" s="19" t="s">
        <v>29</v>
      </c>
      <c r="W2008" s="19"/>
      <c r="X2008" s="19"/>
      <c r="Y2008" s="20"/>
      <c r="Z2008" s="19"/>
      <c r="AA2008" s="18" t="str">
        <f aca="false">IF(OR(V2008="Aprobada"),R2008,IF(AND(OR(V2008="Aprobada con ajuste",V2008="Rechazada"),W2008&lt;&gt;""),W2008,""))</f>
        <v/>
      </c>
    </row>
    <row r="2009" customFormat="false" ht="32.8" hidden="false" customHeight="false" outlineLevel="0" collapsed="false">
      <c r="A2009" s="18" t="s">
        <v>8606</v>
      </c>
      <c r="B2009" s="18" t="s">
        <v>66</v>
      </c>
      <c r="C2009" s="18" t="s">
        <v>67</v>
      </c>
      <c r="D2009" s="18" t="s">
        <v>8607</v>
      </c>
      <c r="E2009" s="18" t="n">
        <v>1</v>
      </c>
      <c r="F2009" s="18" t="s">
        <v>7294</v>
      </c>
      <c r="G2009" s="18" t="s">
        <v>180</v>
      </c>
      <c r="H2009" s="18" t="s">
        <v>129</v>
      </c>
      <c r="I2009" s="18" t="s">
        <v>146</v>
      </c>
      <c r="J2009" s="18"/>
      <c r="K2009" s="18"/>
      <c r="L2009" s="18" t="s">
        <v>162</v>
      </c>
      <c r="M2009" s="18" t="s">
        <v>129</v>
      </c>
      <c r="N2009" s="18"/>
      <c r="O2009" s="18" t="s">
        <v>8608</v>
      </c>
      <c r="P2009" s="18"/>
      <c r="Q2009" s="18" t="s">
        <v>149</v>
      </c>
      <c r="R2009" s="18" t="s">
        <v>8609</v>
      </c>
      <c r="S2009" s="18" t="s">
        <v>133</v>
      </c>
      <c r="T2009" s="18" t="s">
        <v>3029</v>
      </c>
      <c r="U2009" s="18"/>
      <c r="V2009" s="19" t="s">
        <v>29</v>
      </c>
      <c r="W2009" s="19"/>
      <c r="X2009" s="19"/>
      <c r="Y2009" s="20"/>
      <c r="Z2009" s="19"/>
      <c r="AA2009" s="18" t="str">
        <f aca="false">IF(OR(V2009="Aprobada"),R2009,IF(AND(OR(V2009="Aprobada con ajuste",V2009="Rechazada"),W2009&lt;&gt;""),W2009,""))</f>
        <v/>
      </c>
    </row>
    <row r="2010" customFormat="false" ht="22.35" hidden="false" customHeight="false" outlineLevel="0" collapsed="false">
      <c r="A2010" s="18" t="s">
        <v>8610</v>
      </c>
      <c r="B2010" s="18" t="s">
        <v>66</v>
      </c>
      <c r="C2010" s="18" t="s">
        <v>67</v>
      </c>
      <c r="D2010" s="18" t="s">
        <v>8607</v>
      </c>
      <c r="E2010" s="18" t="n">
        <v>1</v>
      </c>
      <c r="F2010" s="18" t="s">
        <v>1922</v>
      </c>
      <c r="G2010" s="18" t="s">
        <v>128</v>
      </c>
      <c r="H2010" s="18" t="s">
        <v>129</v>
      </c>
      <c r="I2010" s="18"/>
      <c r="J2010" s="18"/>
      <c r="K2010" s="18"/>
      <c r="L2010" s="18" t="s">
        <v>162</v>
      </c>
      <c r="M2010" s="18" t="s">
        <v>129</v>
      </c>
      <c r="N2010" s="18"/>
      <c r="O2010" s="18"/>
      <c r="P2010" s="18"/>
      <c r="Q2010" s="18" t="s">
        <v>149</v>
      </c>
      <c r="R2010" s="18" t="s">
        <v>8611</v>
      </c>
      <c r="S2010" s="18" t="s">
        <v>133</v>
      </c>
      <c r="T2010" s="18" t="s">
        <v>183</v>
      </c>
      <c r="U2010" s="18"/>
      <c r="V2010" s="19" t="s">
        <v>29</v>
      </c>
      <c r="W2010" s="19"/>
      <c r="X2010" s="19"/>
      <c r="Y2010" s="20"/>
      <c r="Z2010" s="19"/>
      <c r="AA2010" s="18" t="str">
        <f aca="false">IF(OR(V2010="Aprobada"),R2010,IF(AND(OR(V2010="Aprobada con ajuste",V2010="Rechazada"),W2010&lt;&gt;""),W2010,""))</f>
        <v/>
      </c>
    </row>
    <row r="2011" customFormat="false" ht="22.35" hidden="false" customHeight="false" outlineLevel="0" collapsed="false">
      <c r="A2011" s="18" t="s">
        <v>8612</v>
      </c>
      <c r="B2011" s="18" t="s">
        <v>66</v>
      </c>
      <c r="C2011" s="18" t="s">
        <v>67</v>
      </c>
      <c r="D2011" s="18" t="s">
        <v>8607</v>
      </c>
      <c r="E2011" s="18" t="n">
        <v>1</v>
      </c>
      <c r="F2011" s="18" t="s">
        <v>160</v>
      </c>
      <c r="G2011" s="18" t="s">
        <v>128</v>
      </c>
      <c r="H2011" s="18" t="s">
        <v>162</v>
      </c>
      <c r="I2011" s="18"/>
      <c r="J2011" s="18"/>
      <c r="K2011" s="18"/>
      <c r="L2011" s="18" t="s">
        <v>162</v>
      </c>
      <c r="M2011" s="18" t="s">
        <v>129</v>
      </c>
      <c r="N2011" s="18"/>
      <c r="O2011" s="18"/>
      <c r="P2011" s="18"/>
      <c r="Q2011" s="18" t="s">
        <v>138</v>
      </c>
      <c r="R2011" s="18" t="s">
        <v>8613</v>
      </c>
      <c r="S2011" s="18" t="s">
        <v>140</v>
      </c>
      <c r="T2011" s="18" t="s">
        <v>141</v>
      </c>
      <c r="U2011" s="18"/>
      <c r="V2011" s="19" t="s">
        <v>29</v>
      </c>
      <c r="W2011" s="19"/>
      <c r="X2011" s="19"/>
      <c r="Y2011" s="20"/>
      <c r="Z2011" s="19"/>
      <c r="AA2011" s="18" t="str">
        <f aca="false">IF(OR(V2011="Aprobada"),R2011,IF(AND(OR(V2011="Aprobada con ajuste",V2011="Rechazada"),W2011&lt;&gt;""),W2011,""))</f>
        <v/>
      </c>
    </row>
    <row r="2012" customFormat="false" ht="22.35" hidden="false" customHeight="false" outlineLevel="0" collapsed="false">
      <c r="A2012" s="18" t="s">
        <v>8614</v>
      </c>
      <c r="B2012" s="18" t="s">
        <v>66</v>
      </c>
      <c r="C2012" s="18" t="s">
        <v>67</v>
      </c>
      <c r="D2012" s="18" t="s">
        <v>8607</v>
      </c>
      <c r="E2012" s="18" t="n">
        <v>1</v>
      </c>
      <c r="F2012" s="18" t="s">
        <v>127</v>
      </c>
      <c r="G2012" s="18" t="s">
        <v>145</v>
      </c>
      <c r="H2012" s="18" t="s">
        <v>162</v>
      </c>
      <c r="I2012" s="18" t="s">
        <v>298</v>
      </c>
      <c r="J2012" s="18" t="s">
        <v>7362</v>
      </c>
      <c r="K2012" s="18"/>
      <c r="L2012" s="18" t="s">
        <v>162</v>
      </c>
      <c r="M2012" s="18" t="s">
        <v>129</v>
      </c>
      <c r="N2012" s="18"/>
      <c r="O2012" s="18"/>
      <c r="P2012" s="18"/>
      <c r="Q2012" s="18" t="s">
        <v>138</v>
      </c>
      <c r="R2012" s="18" t="s">
        <v>8615</v>
      </c>
      <c r="S2012" s="18" t="s">
        <v>140</v>
      </c>
      <c r="T2012" s="18" t="s">
        <v>141</v>
      </c>
      <c r="U2012" s="18"/>
      <c r="V2012" s="19" t="s">
        <v>29</v>
      </c>
      <c r="W2012" s="19"/>
      <c r="X2012" s="19"/>
      <c r="Y2012" s="20"/>
      <c r="Z2012" s="19"/>
      <c r="AA2012" s="18" t="str">
        <f aca="false">IF(OR(V2012="Aprobada"),R2012,IF(AND(OR(V2012="Aprobada con ajuste",V2012="Rechazada"),W2012&lt;&gt;""),W2012,""))</f>
        <v/>
      </c>
    </row>
    <row r="2013" customFormat="false" ht="22.35" hidden="false" customHeight="false" outlineLevel="0" collapsed="false">
      <c r="A2013" s="18" t="s">
        <v>8616</v>
      </c>
      <c r="B2013" s="18" t="s">
        <v>66</v>
      </c>
      <c r="C2013" s="18" t="s">
        <v>67</v>
      </c>
      <c r="D2013" s="18" t="s">
        <v>8607</v>
      </c>
      <c r="E2013" s="18" t="n">
        <v>1</v>
      </c>
      <c r="F2013" s="18" t="s">
        <v>281</v>
      </c>
      <c r="G2013" s="18" t="s">
        <v>180</v>
      </c>
      <c r="H2013" s="18" t="s">
        <v>162</v>
      </c>
      <c r="I2013" s="18"/>
      <c r="J2013" s="18"/>
      <c r="K2013" s="18"/>
      <c r="L2013" s="18" t="s">
        <v>162</v>
      </c>
      <c r="M2013" s="18" t="s">
        <v>129</v>
      </c>
      <c r="N2013" s="18"/>
      <c r="O2013" s="18" t="s">
        <v>8617</v>
      </c>
      <c r="P2013" s="18"/>
      <c r="Q2013" s="18" t="s">
        <v>149</v>
      </c>
      <c r="R2013" s="18" t="s">
        <v>8618</v>
      </c>
      <c r="S2013" s="18" t="s">
        <v>140</v>
      </c>
      <c r="T2013" s="18" t="s">
        <v>183</v>
      </c>
      <c r="U2013" s="18" t="s">
        <v>8619</v>
      </c>
      <c r="V2013" s="19" t="s">
        <v>29</v>
      </c>
      <c r="W2013" s="19"/>
      <c r="X2013" s="19"/>
      <c r="Y2013" s="20"/>
      <c r="Z2013" s="19"/>
      <c r="AA2013" s="18" t="str">
        <f aca="false">IF(OR(V2013="Aprobada"),R2013,IF(AND(OR(V2013="Aprobada con ajuste",V2013="Rechazada"),W2013&lt;&gt;""),W2013,""))</f>
        <v/>
      </c>
    </row>
    <row r="2014" customFormat="false" ht="22.35" hidden="false" customHeight="false" outlineLevel="0" collapsed="false">
      <c r="A2014" s="18" t="s">
        <v>8620</v>
      </c>
      <c r="B2014" s="18" t="s">
        <v>66</v>
      </c>
      <c r="C2014" s="18" t="s">
        <v>67</v>
      </c>
      <c r="D2014" s="18" t="s">
        <v>8607</v>
      </c>
      <c r="E2014" s="18" t="n">
        <v>1</v>
      </c>
      <c r="F2014" s="18" t="s">
        <v>8621</v>
      </c>
      <c r="G2014" s="18" t="s">
        <v>173</v>
      </c>
      <c r="H2014" s="18" t="s">
        <v>162</v>
      </c>
      <c r="I2014" s="18"/>
      <c r="J2014" s="18"/>
      <c r="K2014" s="18"/>
      <c r="L2014" s="18" t="s">
        <v>162</v>
      </c>
      <c r="M2014" s="18" t="s">
        <v>129</v>
      </c>
      <c r="N2014" s="18"/>
      <c r="O2014" s="18"/>
      <c r="P2014" s="18"/>
      <c r="Q2014" s="18" t="s">
        <v>138</v>
      </c>
      <c r="R2014" s="18" t="s">
        <v>8622</v>
      </c>
      <c r="S2014" s="18" t="s">
        <v>140</v>
      </c>
      <c r="T2014" s="18" t="s">
        <v>141</v>
      </c>
      <c r="U2014" s="18"/>
      <c r="V2014" s="19" t="s">
        <v>29</v>
      </c>
      <c r="W2014" s="19"/>
      <c r="X2014" s="19"/>
      <c r="Y2014" s="20"/>
      <c r="Z2014" s="19"/>
      <c r="AA2014" s="18" t="str">
        <f aca="false">IF(OR(V2014="Aprobada"),R2014,IF(AND(OR(V2014="Aprobada con ajuste",V2014="Rechazada"),W2014&lt;&gt;""),W2014,""))</f>
        <v/>
      </c>
    </row>
    <row r="2015" customFormat="false" ht="43.25" hidden="false" customHeight="false" outlineLevel="0" collapsed="false">
      <c r="A2015" s="18" t="s">
        <v>8623</v>
      </c>
      <c r="B2015" s="18" t="s">
        <v>66</v>
      </c>
      <c r="C2015" s="18" t="s">
        <v>67</v>
      </c>
      <c r="D2015" s="18" t="s">
        <v>8624</v>
      </c>
      <c r="E2015" s="18" t="n">
        <v>0</v>
      </c>
      <c r="F2015" s="18" t="s">
        <v>8625</v>
      </c>
      <c r="G2015" s="18" t="s">
        <v>503</v>
      </c>
      <c r="H2015" s="18" t="s">
        <v>129</v>
      </c>
      <c r="I2015" s="18"/>
      <c r="J2015" s="18"/>
      <c r="K2015" s="18"/>
      <c r="L2015" s="18" t="s">
        <v>129</v>
      </c>
      <c r="M2015" s="18" t="s">
        <v>129</v>
      </c>
      <c r="N2015" s="18"/>
      <c r="O2015" s="18" t="s">
        <v>8626</v>
      </c>
      <c r="P2015" s="18" t="s">
        <v>8627</v>
      </c>
      <c r="Q2015" s="18" t="s">
        <v>149</v>
      </c>
      <c r="R2015" s="18" t="s">
        <v>8628</v>
      </c>
      <c r="S2015" s="18" t="s">
        <v>133</v>
      </c>
      <c r="T2015" s="18" t="s">
        <v>183</v>
      </c>
      <c r="U2015" s="18"/>
      <c r="V2015" s="19" t="s">
        <v>29</v>
      </c>
      <c r="W2015" s="19"/>
      <c r="X2015" s="19"/>
      <c r="Y2015" s="20"/>
      <c r="Z2015" s="19"/>
      <c r="AA2015" s="18" t="str">
        <f aca="false">IF(OR(V2015="Aprobada"),R2015,IF(AND(OR(V2015="Aprobada con ajuste",V2015="Rechazada"),W2015&lt;&gt;""),W2015,""))</f>
        <v/>
      </c>
    </row>
    <row r="2016" customFormat="false" ht="53.7" hidden="false" customHeight="false" outlineLevel="0" collapsed="false">
      <c r="A2016" s="18" t="s">
        <v>8629</v>
      </c>
      <c r="B2016" s="18" t="s">
        <v>66</v>
      </c>
      <c r="C2016" s="18" t="s">
        <v>67</v>
      </c>
      <c r="D2016" s="18" t="s">
        <v>8624</v>
      </c>
      <c r="E2016" s="18" t="n">
        <v>0</v>
      </c>
      <c r="F2016" s="18" t="s">
        <v>275</v>
      </c>
      <c r="G2016" s="18" t="s">
        <v>486</v>
      </c>
      <c r="H2016" s="18" t="s">
        <v>129</v>
      </c>
      <c r="I2016" s="18"/>
      <c r="J2016" s="18"/>
      <c r="K2016" s="18"/>
      <c r="L2016" s="18" t="s">
        <v>129</v>
      </c>
      <c r="M2016" s="18" t="s">
        <v>129</v>
      </c>
      <c r="N2016" s="18"/>
      <c r="O2016" s="18"/>
      <c r="P2016" s="18" t="s">
        <v>8630</v>
      </c>
      <c r="Q2016" s="18" t="s">
        <v>131</v>
      </c>
      <c r="R2016" s="18" t="s">
        <v>8631</v>
      </c>
      <c r="S2016" s="18" t="s">
        <v>133</v>
      </c>
      <c r="T2016" s="18" t="s">
        <v>8632</v>
      </c>
      <c r="U2016" s="18"/>
      <c r="V2016" s="19" t="s">
        <v>29</v>
      </c>
      <c r="W2016" s="19"/>
      <c r="X2016" s="19"/>
      <c r="Y2016" s="20"/>
      <c r="Z2016" s="19"/>
      <c r="AA2016" s="18" t="str">
        <f aca="false">IF(OR(V2016="Aprobada"),R2016,IF(AND(OR(V2016="Aprobada con ajuste",V2016="Rechazada"),W2016&lt;&gt;""),W2016,""))</f>
        <v/>
      </c>
    </row>
    <row r="2017" customFormat="false" ht="43.25" hidden="false" customHeight="false" outlineLevel="0" collapsed="false">
      <c r="A2017" s="18" t="s">
        <v>8633</v>
      </c>
      <c r="B2017" s="18" t="s">
        <v>66</v>
      </c>
      <c r="C2017" s="18" t="s">
        <v>67</v>
      </c>
      <c r="D2017" s="18" t="s">
        <v>8624</v>
      </c>
      <c r="E2017" s="18" t="n">
        <v>0</v>
      </c>
      <c r="F2017" s="18" t="s">
        <v>8634</v>
      </c>
      <c r="G2017" s="18" t="s">
        <v>180</v>
      </c>
      <c r="H2017" s="18" t="s">
        <v>129</v>
      </c>
      <c r="I2017" s="18"/>
      <c r="J2017" s="18"/>
      <c r="K2017" s="18"/>
      <c r="L2017" s="18" t="s">
        <v>129</v>
      </c>
      <c r="M2017" s="18" t="s">
        <v>129</v>
      </c>
      <c r="N2017" s="18"/>
      <c r="O2017" s="18"/>
      <c r="P2017" s="18" t="s">
        <v>8635</v>
      </c>
      <c r="Q2017" s="18" t="s">
        <v>131</v>
      </c>
      <c r="R2017" s="18" t="s">
        <v>8636</v>
      </c>
      <c r="S2017" s="18" t="s">
        <v>133</v>
      </c>
      <c r="T2017" s="18" t="s">
        <v>8637</v>
      </c>
      <c r="U2017" s="18"/>
      <c r="V2017" s="19" t="s">
        <v>29</v>
      </c>
      <c r="W2017" s="19"/>
      <c r="X2017" s="19"/>
      <c r="Y2017" s="20"/>
      <c r="Z2017" s="19"/>
      <c r="AA2017" s="18" t="str">
        <f aca="false">IF(OR(V2017="Aprobada"),R2017,IF(AND(OR(V2017="Aprobada con ajuste",V2017="Rechazada"),W2017&lt;&gt;""),W2017,""))</f>
        <v/>
      </c>
    </row>
    <row r="2018" customFormat="false" ht="53.7" hidden="false" customHeight="false" outlineLevel="0" collapsed="false">
      <c r="A2018" s="18" t="s">
        <v>8638</v>
      </c>
      <c r="B2018" s="18" t="s">
        <v>66</v>
      </c>
      <c r="C2018" s="18" t="s">
        <v>67</v>
      </c>
      <c r="D2018" s="18" t="s">
        <v>8624</v>
      </c>
      <c r="E2018" s="18" t="n">
        <v>0</v>
      </c>
      <c r="F2018" s="18" t="s">
        <v>160</v>
      </c>
      <c r="G2018" s="18" t="s">
        <v>128</v>
      </c>
      <c r="H2018" s="18" t="s">
        <v>162</v>
      </c>
      <c r="I2018" s="18"/>
      <c r="J2018" s="18"/>
      <c r="K2018" s="18"/>
      <c r="L2018" s="18" t="s">
        <v>129</v>
      </c>
      <c r="M2018" s="18" t="s">
        <v>129</v>
      </c>
      <c r="N2018" s="18"/>
      <c r="O2018" s="18"/>
      <c r="P2018" s="18" t="s">
        <v>8639</v>
      </c>
      <c r="Q2018" s="18" t="s">
        <v>138</v>
      </c>
      <c r="R2018" s="18" t="s">
        <v>8640</v>
      </c>
      <c r="S2018" s="18" t="s">
        <v>140</v>
      </c>
      <c r="T2018" s="18" t="s">
        <v>141</v>
      </c>
      <c r="U2018" s="18"/>
      <c r="V2018" s="19" t="s">
        <v>29</v>
      </c>
      <c r="W2018" s="19"/>
      <c r="X2018" s="19"/>
      <c r="Y2018" s="20"/>
      <c r="Z2018" s="19"/>
      <c r="AA2018" s="18" t="str">
        <f aca="false">IF(OR(V2018="Aprobada"),R2018,IF(AND(OR(V2018="Aprobada con ajuste",V2018="Rechazada"),W2018&lt;&gt;""),W2018,""))</f>
        <v/>
      </c>
    </row>
    <row r="2019" customFormat="false" ht="53.7" hidden="false" customHeight="false" outlineLevel="0" collapsed="false">
      <c r="A2019" s="18" t="s">
        <v>8641</v>
      </c>
      <c r="B2019" s="18" t="s">
        <v>66</v>
      </c>
      <c r="C2019" s="18" t="s">
        <v>67</v>
      </c>
      <c r="D2019" s="18" t="s">
        <v>8624</v>
      </c>
      <c r="E2019" s="18" t="n">
        <v>0</v>
      </c>
      <c r="F2019" s="18" t="s">
        <v>5081</v>
      </c>
      <c r="G2019" s="18" t="s">
        <v>180</v>
      </c>
      <c r="H2019" s="18" t="s">
        <v>162</v>
      </c>
      <c r="I2019" s="18"/>
      <c r="J2019" s="18"/>
      <c r="K2019" s="18"/>
      <c r="L2019" s="18" t="s">
        <v>129</v>
      </c>
      <c r="M2019" s="18" t="s">
        <v>129</v>
      </c>
      <c r="N2019" s="18"/>
      <c r="O2019" s="18"/>
      <c r="P2019" s="18" t="s">
        <v>8642</v>
      </c>
      <c r="Q2019" s="18" t="s">
        <v>149</v>
      </c>
      <c r="R2019" s="18" t="s">
        <v>8643</v>
      </c>
      <c r="S2019" s="18" t="s">
        <v>140</v>
      </c>
      <c r="T2019" s="18" t="s">
        <v>183</v>
      </c>
      <c r="U2019" s="18" t="s">
        <v>8644</v>
      </c>
      <c r="V2019" s="19" t="s">
        <v>29</v>
      </c>
      <c r="W2019" s="19"/>
      <c r="X2019" s="19"/>
      <c r="Y2019" s="20"/>
      <c r="Z2019" s="19"/>
      <c r="AA2019" s="18" t="str">
        <f aca="false">IF(OR(V2019="Aprobada"),R2019,IF(AND(OR(V2019="Aprobada con ajuste",V2019="Rechazada"),W2019&lt;&gt;""),W2019,""))</f>
        <v/>
      </c>
    </row>
    <row r="2020" customFormat="false" ht="43.25" hidden="false" customHeight="false" outlineLevel="0" collapsed="false">
      <c r="A2020" s="18" t="s">
        <v>8645</v>
      </c>
      <c r="B2020" s="18" t="s">
        <v>66</v>
      </c>
      <c r="C2020" s="18" t="s">
        <v>67</v>
      </c>
      <c r="D2020" s="18" t="s">
        <v>8624</v>
      </c>
      <c r="E2020" s="18" t="n">
        <v>0</v>
      </c>
      <c r="F2020" s="18" t="s">
        <v>8646</v>
      </c>
      <c r="G2020" s="18" t="s">
        <v>180</v>
      </c>
      <c r="H2020" s="18" t="s">
        <v>162</v>
      </c>
      <c r="I2020" s="18"/>
      <c r="J2020" s="18"/>
      <c r="K2020" s="18"/>
      <c r="L2020" s="18" t="s">
        <v>129</v>
      </c>
      <c r="M2020" s="18" t="s">
        <v>129</v>
      </c>
      <c r="N2020" s="18"/>
      <c r="O2020" s="18"/>
      <c r="P2020" s="18" t="s">
        <v>8647</v>
      </c>
      <c r="Q2020" s="18" t="s">
        <v>149</v>
      </c>
      <c r="R2020" s="18" t="s">
        <v>8648</v>
      </c>
      <c r="S2020" s="18" t="s">
        <v>140</v>
      </c>
      <c r="T2020" s="18" t="s">
        <v>183</v>
      </c>
      <c r="U2020" s="18" t="s">
        <v>8649</v>
      </c>
      <c r="V2020" s="19" t="s">
        <v>29</v>
      </c>
      <c r="W2020" s="19"/>
      <c r="X2020" s="19"/>
      <c r="Y2020" s="20"/>
      <c r="Z2020" s="19"/>
      <c r="AA2020" s="18" t="str">
        <f aca="false">IF(OR(V2020="Aprobada"),R2020,IF(AND(OR(V2020="Aprobada con ajuste",V2020="Rechazada"),W2020&lt;&gt;""),W2020,""))</f>
        <v/>
      </c>
    </row>
    <row r="2021" customFormat="false" ht="74.6" hidden="false" customHeight="false" outlineLevel="0" collapsed="false">
      <c r="A2021" s="18" t="s">
        <v>8650</v>
      </c>
      <c r="B2021" s="18" t="s">
        <v>66</v>
      </c>
      <c r="C2021" s="18" t="s">
        <v>67</v>
      </c>
      <c r="D2021" s="18" t="s">
        <v>8624</v>
      </c>
      <c r="E2021" s="18" t="n">
        <v>0</v>
      </c>
      <c r="F2021" s="18" t="s">
        <v>185</v>
      </c>
      <c r="G2021" s="18" t="s">
        <v>145</v>
      </c>
      <c r="H2021" s="18" t="s">
        <v>162</v>
      </c>
      <c r="I2021" s="18" t="s">
        <v>298</v>
      </c>
      <c r="J2021" s="18" t="s">
        <v>8651</v>
      </c>
      <c r="K2021" s="18"/>
      <c r="L2021" s="18" t="s">
        <v>162</v>
      </c>
      <c r="M2021" s="18" t="s">
        <v>129</v>
      </c>
      <c r="N2021" s="18"/>
      <c r="O2021" s="18"/>
      <c r="P2021" s="18" t="s">
        <v>8652</v>
      </c>
      <c r="Q2021" s="18" t="s">
        <v>138</v>
      </c>
      <c r="R2021" s="18" t="s">
        <v>8653</v>
      </c>
      <c r="S2021" s="18" t="s">
        <v>140</v>
      </c>
      <c r="T2021" s="18" t="s">
        <v>141</v>
      </c>
      <c r="U2021" s="18"/>
      <c r="V2021" s="19" t="s">
        <v>29</v>
      </c>
      <c r="W2021" s="19"/>
      <c r="X2021" s="19"/>
      <c r="Y2021" s="20"/>
      <c r="Z2021" s="19"/>
      <c r="AA2021" s="18" t="str">
        <f aca="false">IF(OR(V2021="Aprobada"),R2021,IF(AND(OR(V2021="Aprobada con ajuste",V2021="Rechazada"),W2021&lt;&gt;""),W2021,""))</f>
        <v/>
      </c>
    </row>
    <row r="2022" customFormat="false" ht="53.7" hidden="false" customHeight="false" outlineLevel="0" collapsed="false">
      <c r="A2022" s="18" t="s">
        <v>8654</v>
      </c>
      <c r="B2022" s="18" t="s">
        <v>66</v>
      </c>
      <c r="C2022" s="18" t="s">
        <v>67</v>
      </c>
      <c r="D2022" s="18" t="s">
        <v>8624</v>
      </c>
      <c r="E2022" s="18" t="n">
        <v>0</v>
      </c>
      <c r="F2022" s="18" t="s">
        <v>2414</v>
      </c>
      <c r="G2022" s="18" t="s">
        <v>317</v>
      </c>
      <c r="H2022" s="18" t="s">
        <v>162</v>
      </c>
      <c r="I2022" s="18"/>
      <c r="J2022" s="18"/>
      <c r="K2022" s="18"/>
      <c r="L2022" s="18" t="s">
        <v>129</v>
      </c>
      <c r="M2022" s="18" t="s">
        <v>129</v>
      </c>
      <c r="N2022" s="18"/>
      <c r="O2022" s="18"/>
      <c r="P2022" s="18" t="s">
        <v>8655</v>
      </c>
      <c r="Q2022" s="18" t="s">
        <v>138</v>
      </c>
      <c r="R2022" s="18" t="s">
        <v>2416</v>
      </c>
      <c r="S2022" s="18" t="s">
        <v>140</v>
      </c>
      <c r="T2022" s="18" t="s">
        <v>141</v>
      </c>
      <c r="U2022" s="18"/>
      <c r="V2022" s="19" t="s">
        <v>29</v>
      </c>
      <c r="W2022" s="19"/>
      <c r="X2022" s="19"/>
      <c r="Y2022" s="20"/>
      <c r="Z2022" s="19"/>
      <c r="AA2022" s="18" t="str">
        <f aca="false">IF(OR(V2022="Aprobada"),R2022,IF(AND(OR(V2022="Aprobada con ajuste",V2022="Rechazada"),W2022&lt;&gt;""),W2022,""))</f>
        <v/>
      </c>
    </row>
    <row r="2023" customFormat="false" ht="53.7" hidden="false" customHeight="false" outlineLevel="0" collapsed="false">
      <c r="A2023" s="18" t="s">
        <v>8656</v>
      </c>
      <c r="B2023" s="18" t="s">
        <v>66</v>
      </c>
      <c r="C2023" s="18" t="s">
        <v>67</v>
      </c>
      <c r="D2023" s="18" t="s">
        <v>8624</v>
      </c>
      <c r="E2023" s="18" t="n">
        <v>0</v>
      </c>
      <c r="F2023" s="18" t="s">
        <v>2418</v>
      </c>
      <c r="G2023" s="18" t="s">
        <v>317</v>
      </c>
      <c r="H2023" s="18" t="s">
        <v>162</v>
      </c>
      <c r="I2023" s="18"/>
      <c r="J2023" s="18"/>
      <c r="K2023" s="18"/>
      <c r="L2023" s="18" t="s">
        <v>129</v>
      </c>
      <c r="M2023" s="18" t="s">
        <v>129</v>
      </c>
      <c r="N2023" s="18"/>
      <c r="O2023" s="18"/>
      <c r="P2023" s="18" t="s">
        <v>8657</v>
      </c>
      <c r="Q2023" s="18" t="s">
        <v>138</v>
      </c>
      <c r="R2023" s="18" t="s">
        <v>2420</v>
      </c>
      <c r="S2023" s="18" t="s">
        <v>140</v>
      </c>
      <c r="T2023" s="18" t="s">
        <v>141</v>
      </c>
      <c r="U2023" s="18"/>
      <c r="V2023" s="19" t="s">
        <v>29</v>
      </c>
      <c r="W2023" s="19"/>
      <c r="X2023" s="19"/>
      <c r="Y2023" s="20"/>
      <c r="Z2023" s="19"/>
      <c r="AA2023" s="18" t="str">
        <f aca="false">IF(OR(V2023="Aprobada"),R2023,IF(AND(OR(V2023="Aprobada con ajuste",V2023="Rechazada"),W2023&lt;&gt;""),W2023,""))</f>
        <v/>
      </c>
    </row>
    <row r="2024" customFormat="false" ht="53.7" hidden="false" customHeight="false" outlineLevel="0" collapsed="false">
      <c r="A2024" s="18" t="s">
        <v>8658</v>
      </c>
      <c r="B2024" s="18" t="s">
        <v>66</v>
      </c>
      <c r="C2024" s="18" t="s">
        <v>67</v>
      </c>
      <c r="D2024" s="18" t="s">
        <v>8624</v>
      </c>
      <c r="E2024" s="18" t="n">
        <v>0</v>
      </c>
      <c r="F2024" s="18" t="s">
        <v>886</v>
      </c>
      <c r="G2024" s="18" t="s">
        <v>128</v>
      </c>
      <c r="H2024" s="18" t="s">
        <v>162</v>
      </c>
      <c r="I2024" s="18"/>
      <c r="J2024" s="18"/>
      <c r="K2024" s="18"/>
      <c r="L2024" s="18" t="s">
        <v>129</v>
      </c>
      <c r="M2024" s="18" t="s">
        <v>129</v>
      </c>
      <c r="N2024" s="18"/>
      <c r="O2024" s="18"/>
      <c r="P2024" s="18" t="s">
        <v>8659</v>
      </c>
      <c r="Q2024" s="18" t="s">
        <v>138</v>
      </c>
      <c r="R2024" s="18" t="s">
        <v>1693</v>
      </c>
      <c r="S2024" s="18" t="s">
        <v>140</v>
      </c>
      <c r="T2024" s="18" t="s">
        <v>141</v>
      </c>
      <c r="U2024" s="18"/>
      <c r="V2024" s="19" t="s">
        <v>29</v>
      </c>
      <c r="W2024" s="19"/>
      <c r="X2024" s="19"/>
      <c r="Y2024" s="20"/>
      <c r="Z2024" s="19"/>
      <c r="AA2024" s="18" t="str">
        <f aca="false">IF(OR(V2024="Aprobada"),R2024,IF(AND(OR(V2024="Aprobada con ajuste",V2024="Rechazada"),W2024&lt;&gt;""),W2024,""))</f>
        <v/>
      </c>
    </row>
    <row r="2025" customFormat="false" ht="32.8" hidden="false" customHeight="false" outlineLevel="0" collapsed="false">
      <c r="A2025" s="18" t="s">
        <v>8660</v>
      </c>
      <c r="B2025" s="18" t="s">
        <v>66</v>
      </c>
      <c r="C2025" s="18" t="s">
        <v>67</v>
      </c>
      <c r="D2025" s="18" t="s">
        <v>8624</v>
      </c>
      <c r="E2025" s="18" t="n">
        <v>0</v>
      </c>
      <c r="F2025" s="18" t="s">
        <v>1744</v>
      </c>
      <c r="G2025" s="18" t="s">
        <v>145</v>
      </c>
      <c r="H2025" s="18" t="s">
        <v>162</v>
      </c>
      <c r="I2025" s="18" t="s">
        <v>298</v>
      </c>
      <c r="J2025" s="18" t="s">
        <v>8661</v>
      </c>
      <c r="K2025" s="18"/>
      <c r="L2025" s="18" t="s">
        <v>162</v>
      </c>
      <c r="M2025" s="18" t="s">
        <v>129</v>
      </c>
      <c r="N2025" s="18"/>
      <c r="O2025" s="18"/>
      <c r="P2025" s="18" t="s">
        <v>8662</v>
      </c>
      <c r="Q2025" s="18" t="s">
        <v>149</v>
      </c>
      <c r="R2025" s="18" t="s">
        <v>8663</v>
      </c>
      <c r="S2025" s="18" t="s">
        <v>133</v>
      </c>
      <c r="T2025" s="18" t="s">
        <v>801</v>
      </c>
      <c r="U2025" s="18"/>
      <c r="V2025" s="19" t="s">
        <v>29</v>
      </c>
      <c r="W2025" s="19"/>
      <c r="X2025" s="19"/>
      <c r="Y2025" s="20"/>
      <c r="Z2025" s="19"/>
      <c r="AA2025" s="18" t="str">
        <f aca="false">IF(OR(V2025="Aprobada"),R2025,IF(AND(OR(V2025="Aprobada con ajuste",V2025="Rechazada"),W2025&lt;&gt;""),W2025,""))</f>
        <v/>
      </c>
    </row>
    <row r="2026" customFormat="false" ht="43.25" hidden="false" customHeight="false" outlineLevel="0" collapsed="false">
      <c r="A2026" s="18" t="s">
        <v>8664</v>
      </c>
      <c r="B2026" s="18" t="s">
        <v>66</v>
      </c>
      <c r="C2026" s="18" t="s">
        <v>67</v>
      </c>
      <c r="D2026" s="18" t="s">
        <v>8624</v>
      </c>
      <c r="E2026" s="18" t="n">
        <v>0</v>
      </c>
      <c r="F2026" s="18" t="s">
        <v>8665</v>
      </c>
      <c r="G2026" s="18" t="s">
        <v>173</v>
      </c>
      <c r="H2026" s="18" t="s">
        <v>162</v>
      </c>
      <c r="I2026" s="18"/>
      <c r="J2026" s="18"/>
      <c r="K2026" s="18"/>
      <c r="L2026" s="18" t="s">
        <v>129</v>
      </c>
      <c r="M2026" s="18" t="s">
        <v>129</v>
      </c>
      <c r="N2026" s="18"/>
      <c r="O2026" s="18"/>
      <c r="P2026" s="18" t="s">
        <v>8666</v>
      </c>
      <c r="Q2026" s="18" t="s">
        <v>138</v>
      </c>
      <c r="R2026" s="18" t="s">
        <v>909</v>
      </c>
      <c r="S2026" s="18" t="s">
        <v>140</v>
      </c>
      <c r="T2026" s="18" t="s">
        <v>141</v>
      </c>
      <c r="U2026" s="18"/>
      <c r="V2026" s="19" t="s">
        <v>29</v>
      </c>
      <c r="W2026" s="19"/>
      <c r="X2026" s="19"/>
      <c r="Y2026" s="20"/>
      <c r="Z2026" s="19"/>
      <c r="AA2026" s="18" t="str">
        <f aca="false">IF(OR(V2026="Aprobada"),R2026,IF(AND(OR(V2026="Aprobada con ajuste",V2026="Rechazada"),W2026&lt;&gt;""),W2026,""))</f>
        <v/>
      </c>
    </row>
    <row r="2027" customFormat="false" ht="43.25" hidden="false" customHeight="false" outlineLevel="0" collapsed="false">
      <c r="A2027" s="18" t="s">
        <v>8667</v>
      </c>
      <c r="B2027" s="18" t="s">
        <v>66</v>
      </c>
      <c r="C2027" s="18" t="s">
        <v>67</v>
      </c>
      <c r="D2027" s="18" t="s">
        <v>8624</v>
      </c>
      <c r="E2027" s="18" t="n">
        <v>0</v>
      </c>
      <c r="F2027" s="18" t="s">
        <v>937</v>
      </c>
      <c r="G2027" s="18" t="s">
        <v>503</v>
      </c>
      <c r="H2027" s="18" t="s">
        <v>129</v>
      </c>
      <c r="I2027" s="18"/>
      <c r="J2027" s="18"/>
      <c r="K2027" s="18"/>
      <c r="L2027" s="18" t="s">
        <v>129</v>
      </c>
      <c r="M2027" s="18" t="s">
        <v>129</v>
      </c>
      <c r="N2027" s="18"/>
      <c r="O2027" s="18"/>
      <c r="P2027" s="18" t="s">
        <v>8668</v>
      </c>
      <c r="Q2027" s="18" t="s">
        <v>138</v>
      </c>
      <c r="R2027" s="18" t="s">
        <v>939</v>
      </c>
      <c r="S2027" s="18" t="s">
        <v>140</v>
      </c>
      <c r="T2027" s="18" t="s">
        <v>141</v>
      </c>
      <c r="U2027" s="18"/>
      <c r="V2027" s="19" t="s">
        <v>29</v>
      </c>
      <c r="W2027" s="19"/>
      <c r="X2027" s="19"/>
      <c r="Y2027" s="20"/>
      <c r="Z2027" s="19"/>
      <c r="AA2027" s="18" t="str">
        <f aca="false">IF(OR(V2027="Aprobada"),R2027,IF(AND(OR(V2027="Aprobada con ajuste",V2027="Rechazada"),W2027&lt;&gt;""),W2027,""))</f>
        <v/>
      </c>
    </row>
    <row r="2028" customFormat="false" ht="43.25" hidden="false" customHeight="false" outlineLevel="0" collapsed="false">
      <c r="A2028" s="18" t="s">
        <v>8669</v>
      </c>
      <c r="B2028" s="18" t="s">
        <v>66</v>
      </c>
      <c r="C2028" s="18" t="s">
        <v>67</v>
      </c>
      <c r="D2028" s="18" t="s">
        <v>8670</v>
      </c>
      <c r="E2028" s="18" t="n">
        <v>0</v>
      </c>
      <c r="F2028" s="18" t="s">
        <v>8671</v>
      </c>
      <c r="G2028" s="18" t="s">
        <v>503</v>
      </c>
      <c r="H2028" s="18" t="s">
        <v>129</v>
      </c>
      <c r="I2028" s="18"/>
      <c r="J2028" s="18"/>
      <c r="K2028" s="18"/>
      <c r="L2028" s="18" t="s">
        <v>129</v>
      </c>
      <c r="M2028" s="18" t="s">
        <v>129</v>
      </c>
      <c r="N2028" s="18"/>
      <c r="O2028" s="18" t="s">
        <v>8672</v>
      </c>
      <c r="P2028" s="18" t="s">
        <v>8673</v>
      </c>
      <c r="Q2028" s="18" t="s">
        <v>149</v>
      </c>
      <c r="R2028" s="18" t="s">
        <v>8674</v>
      </c>
      <c r="S2028" s="18" t="s">
        <v>133</v>
      </c>
      <c r="T2028" s="18" t="s">
        <v>8675</v>
      </c>
      <c r="U2028" s="18"/>
      <c r="V2028" s="19" t="s">
        <v>29</v>
      </c>
      <c r="W2028" s="19"/>
      <c r="X2028" s="19"/>
      <c r="Y2028" s="20"/>
      <c r="Z2028" s="19"/>
      <c r="AA2028" s="18" t="str">
        <f aca="false">IF(OR(V2028="Aprobada"),R2028,IF(AND(OR(V2028="Aprobada con ajuste",V2028="Rechazada"),W2028&lt;&gt;""),W2028,""))</f>
        <v/>
      </c>
    </row>
    <row r="2029" customFormat="false" ht="64.15" hidden="false" customHeight="false" outlineLevel="0" collapsed="false">
      <c r="A2029" s="18" t="s">
        <v>8676</v>
      </c>
      <c r="B2029" s="18" t="s">
        <v>66</v>
      </c>
      <c r="C2029" s="18" t="s">
        <v>67</v>
      </c>
      <c r="D2029" s="18" t="s">
        <v>8670</v>
      </c>
      <c r="E2029" s="18" t="n">
        <v>0</v>
      </c>
      <c r="F2029" s="18" t="s">
        <v>275</v>
      </c>
      <c r="G2029" s="18" t="s">
        <v>180</v>
      </c>
      <c r="H2029" s="18" t="s">
        <v>129</v>
      </c>
      <c r="I2029" s="18"/>
      <c r="J2029" s="18"/>
      <c r="K2029" s="18"/>
      <c r="L2029" s="18" t="s">
        <v>129</v>
      </c>
      <c r="M2029" s="18" t="s">
        <v>129</v>
      </c>
      <c r="N2029" s="18"/>
      <c r="O2029" s="18"/>
      <c r="P2029" s="18" t="s">
        <v>8677</v>
      </c>
      <c r="Q2029" s="18" t="s">
        <v>138</v>
      </c>
      <c r="R2029" s="18" t="s">
        <v>8678</v>
      </c>
      <c r="S2029" s="18" t="s">
        <v>140</v>
      </c>
      <c r="T2029" s="18" t="s">
        <v>141</v>
      </c>
      <c r="U2029" s="18"/>
      <c r="V2029" s="19" t="s">
        <v>29</v>
      </c>
      <c r="W2029" s="19"/>
      <c r="X2029" s="19"/>
      <c r="Y2029" s="20"/>
      <c r="Z2029" s="19"/>
      <c r="AA2029" s="18" t="str">
        <f aca="false">IF(OR(V2029="Aprobada"),R2029,IF(AND(OR(V2029="Aprobada con ajuste",V2029="Rechazada"),W2029&lt;&gt;""),W2029,""))</f>
        <v/>
      </c>
    </row>
    <row r="2030" customFormat="false" ht="74.6" hidden="false" customHeight="false" outlineLevel="0" collapsed="false">
      <c r="A2030" s="18" t="s">
        <v>8679</v>
      </c>
      <c r="B2030" s="18" t="s">
        <v>66</v>
      </c>
      <c r="C2030" s="18" t="s">
        <v>67</v>
      </c>
      <c r="D2030" s="18" t="s">
        <v>8670</v>
      </c>
      <c r="E2030" s="18" t="n">
        <v>0</v>
      </c>
      <c r="F2030" s="18" t="s">
        <v>185</v>
      </c>
      <c r="G2030" s="18" t="s">
        <v>145</v>
      </c>
      <c r="H2030" s="18" t="s">
        <v>162</v>
      </c>
      <c r="I2030" s="18" t="s">
        <v>298</v>
      </c>
      <c r="J2030" s="18" t="s">
        <v>8680</v>
      </c>
      <c r="K2030" s="18"/>
      <c r="L2030" s="18" t="s">
        <v>162</v>
      </c>
      <c r="M2030" s="18" t="s">
        <v>129</v>
      </c>
      <c r="N2030" s="18"/>
      <c r="O2030" s="18" t="s">
        <v>8681</v>
      </c>
      <c r="P2030" s="18" t="s">
        <v>8682</v>
      </c>
      <c r="Q2030" s="18" t="s">
        <v>138</v>
      </c>
      <c r="R2030" s="18" t="s">
        <v>8683</v>
      </c>
      <c r="S2030" s="18" t="s">
        <v>140</v>
      </c>
      <c r="T2030" s="18" t="s">
        <v>141</v>
      </c>
      <c r="U2030" s="18"/>
      <c r="V2030" s="19" t="s">
        <v>29</v>
      </c>
      <c r="W2030" s="19"/>
      <c r="X2030" s="19"/>
      <c r="Y2030" s="20"/>
      <c r="Z2030" s="19"/>
      <c r="AA2030" s="18" t="str">
        <f aca="false">IF(OR(V2030="Aprobada"),R2030,IF(AND(OR(V2030="Aprobada con ajuste",V2030="Rechazada"),W2030&lt;&gt;""),W2030,""))</f>
        <v/>
      </c>
    </row>
    <row r="2031" customFormat="false" ht="43.25" hidden="false" customHeight="false" outlineLevel="0" collapsed="false">
      <c r="A2031" s="18" t="s">
        <v>8684</v>
      </c>
      <c r="B2031" s="18" t="s">
        <v>66</v>
      </c>
      <c r="C2031" s="18" t="s">
        <v>67</v>
      </c>
      <c r="D2031" s="18" t="s">
        <v>8670</v>
      </c>
      <c r="E2031" s="18" t="n">
        <v>0</v>
      </c>
      <c r="F2031" s="18" t="s">
        <v>2681</v>
      </c>
      <c r="G2031" s="18" t="s">
        <v>137</v>
      </c>
      <c r="H2031" s="18" t="s">
        <v>162</v>
      </c>
      <c r="I2031" s="18"/>
      <c r="J2031" s="18"/>
      <c r="K2031" s="18"/>
      <c r="L2031" s="18" t="s">
        <v>129</v>
      </c>
      <c r="M2031" s="18" t="s">
        <v>129</v>
      </c>
      <c r="N2031" s="18"/>
      <c r="O2031" s="18"/>
      <c r="P2031" s="18" t="s">
        <v>8685</v>
      </c>
      <c r="Q2031" s="18" t="s">
        <v>138</v>
      </c>
      <c r="R2031" s="18" t="s">
        <v>2683</v>
      </c>
      <c r="S2031" s="18" t="s">
        <v>140</v>
      </c>
      <c r="T2031" s="18" t="s">
        <v>141</v>
      </c>
      <c r="U2031" s="18"/>
      <c r="V2031" s="19" t="s">
        <v>29</v>
      </c>
      <c r="W2031" s="19"/>
      <c r="X2031" s="19"/>
      <c r="Y2031" s="20"/>
      <c r="Z2031" s="19"/>
      <c r="AA2031" s="18" t="str">
        <f aca="false">IF(OR(V2031="Aprobada"),R2031,IF(AND(OR(V2031="Aprobada con ajuste",V2031="Rechazada"),W2031&lt;&gt;""),W2031,""))</f>
        <v/>
      </c>
    </row>
    <row r="2032" customFormat="false" ht="43.25" hidden="false" customHeight="false" outlineLevel="0" collapsed="false">
      <c r="A2032" s="18" t="s">
        <v>8686</v>
      </c>
      <c r="B2032" s="18" t="s">
        <v>66</v>
      </c>
      <c r="C2032" s="18" t="s">
        <v>67</v>
      </c>
      <c r="D2032" s="18" t="s">
        <v>8670</v>
      </c>
      <c r="E2032" s="18" t="n">
        <v>0</v>
      </c>
      <c r="F2032" s="18" t="s">
        <v>1018</v>
      </c>
      <c r="G2032" s="18" t="s">
        <v>145</v>
      </c>
      <c r="H2032" s="18" t="s">
        <v>162</v>
      </c>
      <c r="I2032" s="18"/>
      <c r="J2032" s="18"/>
      <c r="K2032" s="18"/>
      <c r="L2032" s="18" t="s">
        <v>129</v>
      </c>
      <c r="M2032" s="18" t="s">
        <v>129</v>
      </c>
      <c r="N2032" s="18"/>
      <c r="O2032" s="18"/>
      <c r="P2032" s="18" t="s">
        <v>8687</v>
      </c>
      <c r="Q2032" s="18" t="s">
        <v>138</v>
      </c>
      <c r="R2032" s="18" t="s">
        <v>2302</v>
      </c>
      <c r="S2032" s="18" t="s">
        <v>140</v>
      </c>
      <c r="T2032" s="18" t="s">
        <v>141</v>
      </c>
      <c r="U2032" s="18"/>
      <c r="V2032" s="19" t="s">
        <v>29</v>
      </c>
      <c r="W2032" s="19"/>
      <c r="X2032" s="19"/>
      <c r="Y2032" s="20"/>
      <c r="Z2032" s="19"/>
      <c r="AA2032" s="18" t="str">
        <f aca="false">IF(OR(V2032="Aprobada"),R2032,IF(AND(OR(V2032="Aprobada con ajuste",V2032="Rechazada"),W2032&lt;&gt;""),W2032,""))</f>
        <v/>
      </c>
    </row>
    <row r="2033" customFormat="false" ht="32.8" hidden="false" customHeight="false" outlineLevel="0" collapsed="false">
      <c r="A2033" s="18" t="s">
        <v>8688</v>
      </c>
      <c r="B2033" s="18" t="s">
        <v>66</v>
      </c>
      <c r="C2033" s="18" t="s">
        <v>67</v>
      </c>
      <c r="D2033" s="18" t="s">
        <v>8670</v>
      </c>
      <c r="E2033" s="18" t="n">
        <v>0</v>
      </c>
      <c r="F2033" s="18" t="s">
        <v>8689</v>
      </c>
      <c r="G2033" s="18" t="s">
        <v>503</v>
      </c>
      <c r="H2033" s="18" t="s">
        <v>162</v>
      </c>
      <c r="I2033" s="18"/>
      <c r="J2033" s="18"/>
      <c r="K2033" s="18"/>
      <c r="L2033" s="18" t="s">
        <v>129</v>
      </c>
      <c r="M2033" s="18" t="s">
        <v>129</v>
      </c>
      <c r="N2033" s="18"/>
      <c r="O2033" s="18"/>
      <c r="P2033" s="18" t="s">
        <v>8690</v>
      </c>
      <c r="Q2033" s="18" t="s">
        <v>149</v>
      </c>
      <c r="R2033" s="18" t="s">
        <v>8691</v>
      </c>
      <c r="S2033" s="18" t="s">
        <v>133</v>
      </c>
      <c r="T2033" s="18" t="s">
        <v>183</v>
      </c>
      <c r="U2033" s="18"/>
      <c r="V2033" s="19" t="s">
        <v>29</v>
      </c>
      <c r="W2033" s="19"/>
      <c r="X2033" s="19"/>
      <c r="Y2033" s="20"/>
      <c r="Z2033" s="19"/>
      <c r="AA2033" s="18" t="str">
        <f aca="false">IF(OR(V2033="Aprobada"),R2033,IF(AND(OR(V2033="Aprobada con ajuste",V2033="Rechazada"),W2033&lt;&gt;""),W2033,""))</f>
        <v/>
      </c>
    </row>
    <row r="2034" customFormat="false" ht="43.25" hidden="false" customHeight="false" outlineLevel="0" collapsed="false">
      <c r="A2034" s="18" t="s">
        <v>8692</v>
      </c>
      <c r="B2034" s="18" t="s">
        <v>66</v>
      </c>
      <c r="C2034" s="18" t="s">
        <v>67</v>
      </c>
      <c r="D2034" s="18" t="s">
        <v>8670</v>
      </c>
      <c r="E2034" s="18" t="n">
        <v>0</v>
      </c>
      <c r="F2034" s="18" t="s">
        <v>8693</v>
      </c>
      <c r="G2034" s="18" t="s">
        <v>503</v>
      </c>
      <c r="H2034" s="18" t="s">
        <v>162</v>
      </c>
      <c r="I2034" s="18"/>
      <c r="J2034" s="18"/>
      <c r="K2034" s="18"/>
      <c r="L2034" s="18" t="s">
        <v>129</v>
      </c>
      <c r="M2034" s="18" t="s">
        <v>129</v>
      </c>
      <c r="N2034" s="18"/>
      <c r="O2034" s="18"/>
      <c r="P2034" s="18" t="s">
        <v>8694</v>
      </c>
      <c r="Q2034" s="18" t="s">
        <v>149</v>
      </c>
      <c r="R2034" s="18" t="s">
        <v>8695</v>
      </c>
      <c r="S2034" s="18" t="s">
        <v>133</v>
      </c>
      <c r="T2034" s="18" t="s">
        <v>183</v>
      </c>
      <c r="U2034" s="18"/>
      <c r="V2034" s="19" t="s">
        <v>29</v>
      </c>
      <c r="W2034" s="19"/>
      <c r="X2034" s="19"/>
      <c r="Y2034" s="20"/>
      <c r="Z2034" s="19"/>
      <c r="AA2034" s="18" t="str">
        <f aca="false">IF(OR(V2034="Aprobada"),R2034,IF(AND(OR(V2034="Aprobada con ajuste",V2034="Rechazada"),W2034&lt;&gt;""),W2034,""))</f>
        <v/>
      </c>
    </row>
    <row r="2035" customFormat="false" ht="53.7" hidden="false" customHeight="false" outlineLevel="0" collapsed="false">
      <c r="A2035" s="18" t="s">
        <v>8696</v>
      </c>
      <c r="B2035" s="18" t="s">
        <v>66</v>
      </c>
      <c r="C2035" s="18" t="s">
        <v>67</v>
      </c>
      <c r="D2035" s="18" t="s">
        <v>8670</v>
      </c>
      <c r="E2035" s="18" t="n">
        <v>0</v>
      </c>
      <c r="F2035" s="18" t="s">
        <v>8697</v>
      </c>
      <c r="G2035" s="18" t="s">
        <v>503</v>
      </c>
      <c r="H2035" s="18" t="s">
        <v>162</v>
      </c>
      <c r="I2035" s="18"/>
      <c r="J2035" s="18"/>
      <c r="K2035" s="18"/>
      <c r="L2035" s="18" t="s">
        <v>129</v>
      </c>
      <c r="M2035" s="18" t="s">
        <v>129</v>
      </c>
      <c r="N2035" s="18"/>
      <c r="O2035" s="18"/>
      <c r="P2035" s="18" t="s">
        <v>8698</v>
      </c>
      <c r="Q2035" s="18" t="s">
        <v>149</v>
      </c>
      <c r="R2035" s="18" t="s">
        <v>8699</v>
      </c>
      <c r="S2035" s="18" t="s">
        <v>133</v>
      </c>
      <c r="T2035" s="18" t="s">
        <v>8700</v>
      </c>
      <c r="U2035" s="18"/>
      <c r="V2035" s="19" t="s">
        <v>29</v>
      </c>
      <c r="W2035" s="19"/>
      <c r="X2035" s="19"/>
      <c r="Y2035" s="20"/>
      <c r="Z2035" s="19"/>
      <c r="AA2035" s="18" t="str">
        <f aca="false">IF(OR(V2035="Aprobada"),R2035,IF(AND(OR(V2035="Aprobada con ajuste",V2035="Rechazada"),W2035&lt;&gt;""),W2035,""))</f>
        <v/>
      </c>
    </row>
    <row r="2036" customFormat="false" ht="32.8" hidden="false" customHeight="false" outlineLevel="0" collapsed="false">
      <c r="A2036" s="18" t="s">
        <v>8701</v>
      </c>
      <c r="B2036" s="18" t="s">
        <v>66</v>
      </c>
      <c r="C2036" s="18" t="s">
        <v>67</v>
      </c>
      <c r="D2036" s="18" t="s">
        <v>8670</v>
      </c>
      <c r="E2036" s="18" t="n">
        <v>0</v>
      </c>
      <c r="F2036" s="18" t="s">
        <v>8702</v>
      </c>
      <c r="G2036" s="18" t="s">
        <v>192</v>
      </c>
      <c r="H2036" s="18" t="s">
        <v>162</v>
      </c>
      <c r="I2036" s="18"/>
      <c r="J2036" s="18"/>
      <c r="K2036" s="18"/>
      <c r="L2036" s="18" t="s">
        <v>129</v>
      </c>
      <c r="M2036" s="18" t="s">
        <v>129</v>
      </c>
      <c r="N2036" s="18"/>
      <c r="O2036" s="18"/>
      <c r="P2036" s="18" t="s">
        <v>8703</v>
      </c>
      <c r="Q2036" s="18" t="s">
        <v>149</v>
      </c>
      <c r="R2036" s="18" t="s">
        <v>8704</v>
      </c>
      <c r="S2036" s="18" t="s">
        <v>242</v>
      </c>
      <c r="T2036" s="18" t="s">
        <v>183</v>
      </c>
      <c r="U2036" s="18" t="s">
        <v>8705</v>
      </c>
      <c r="V2036" s="19" t="s">
        <v>29</v>
      </c>
      <c r="W2036" s="19"/>
      <c r="X2036" s="19"/>
      <c r="Y2036" s="20"/>
      <c r="Z2036" s="19"/>
      <c r="AA2036" s="18" t="str">
        <f aca="false">IF(OR(V2036="Aprobada"),R2036,IF(AND(OR(V2036="Aprobada con ajuste",V2036="Rechazada"),W2036&lt;&gt;""),W2036,""))</f>
        <v/>
      </c>
    </row>
    <row r="2037" customFormat="false" ht="105.95" hidden="false" customHeight="false" outlineLevel="0" collapsed="false">
      <c r="A2037" s="18" t="s">
        <v>8706</v>
      </c>
      <c r="B2037" s="18" t="s">
        <v>66</v>
      </c>
      <c r="C2037" s="18" t="s">
        <v>67</v>
      </c>
      <c r="D2037" s="18" t="s">
        <v>8707</v>
      </c>
      <c r="E2037" s="18" t="n">
        <v>63</v>
      </c>
      <c r="F2037" s="18" t="s">
        <v>8708</v>
      </c>
      <c r="G2037" s="18" t="s">
        <v>503</v>
      </c>
      <c r="H2037" s="18" t="s">
        <v>129</v>
      </c>
      <c r="I2037" s="18" t="s">
        <v>146</v>
      </c>
      <c r="J2037" s="18"/>
      <c r="K2037" s="18"/>
      <c r="L2037" s="18" t="s">
        <v>129</v>
      </c>
      <c r="M2037" s="18" t="s">
        <v>162</v>
      </c>
      <c r="N2037" s="18" t="s">
        <v>8709</v>
      </c>
      <c r="O2037" s="18" t="s">
        <v>8710</v>
      </c>
      <c r="P2037" s="18" t="s">
        <v>8711</v>
      </c>
      <c r="Q2037" s="18" t="s">
        <v>149</v>
      </c>
      <c r="R2037" s="18" t="s">
        <v>8712</v>
      </c>
      <c r="S2037" s="18" t="s">
        <v>133</v>
      </c>
      <c r="T2037" s="18" t="s">
        <v>8713</v>
      </c>
      <c r="U2037" s="18"/>
      <c r="V2037" s="19" t="s">
        <v>29</v>
      </c>
      <c r="W2037" s="19"/>
      <c r="X2037" s="19"/>
      <c r="Y2037" s="20"/>
      <c r="Z2037" s="19"/>
      <c r="AA2037" s="18" t="str">
        <f aca="false">IF(OR(V2037="Aprobada"),R2037,IF(AND(OR(V2037="Aprobada con ajuste",V2037="Rechazada"),W2037&lt;&gt;""),W2037,""))</f>
        <v/>
      </c>
    </row>
    <row r="2038" customFormat="false" ht="43.25" hidden="false" customHeight="false" outlineLevel="0" collapsed="false">
      <c r="A2038" s="18" t="s">
        <v>8714</v>
      </c>
      <c r="B2038" s="18" t="s">
        <v>66</v>
      </c>
      <c r="C2038" s="18" t="s">
        <v>67</v>
      </c>
      <c r="D2038" s="18" t="s">
        <v>8707</v>
      </c>
      <c r="E2038" s="18" t="n">
        <v>63</v>
      </c>
      <c r="F2038" s="18" t="s">
        <v>5081</v>
      </c>
      <c r="G2038" s="18" t="s">
        <v>180</v>
      </c>
      <c r="H2038" s="18" t="s">
        <v>129</v>
      </c>
      <c r="I2038" s="18"/>
      <c r="J2038" s="18"/>
      <c r="K2038" s="18"/>
      <c r="L2038" s="18" t="s">
        <v>129</v>
      </c>
      <c r="M2038" s="18" t="s">
        <v>129</v>
      </c>
      <c r="N2038" s="18"/>
      <c r="O2038" s="18"/>
      <c r="P2038" s="18" t="s">
        <v>8715</v>
      </c>
      <c r="Q2038" s="18" t="s">
        <v>149</v>
      </c>
      <c r="R2038" s="18" t="s">
        <v>8716</v>
      </c>
      <c r="S2038" s="18" t="s">
        <v>140</v>
      </c>
      <c r="T2038" s="18" t="s">
        <v>183</v>
      </c>
      <c r="U2038" s="18" t="s">
        <v>8717</v>
      </c>
      <c r="V2038" s="19" t="s">
        <v>29</v>
      </c>
      <c r="W2038" s="19"/>
      <c r="X2038" s="19"/>
      <c r="Y2038" s="20"/>
      <c r="Z2038" s="19"/>
      <c r="AA2038" s="18" t="str">
        <f aca="false">IF(OR(V2038="Aprobada"),R2038,IF(AND(OR(V2038="Aprobada con ajuste",V2038="Rechazada"),W2038&lt;&gt;""),W2038,""))</f>
        <v/>
      </c>
    </row>
    <row r="2039" customFormat="false" ht="32.8" hidden="false" customHeight="false" outlineLevel="0" collapsed="false">
      <c r="A2039" s="18" t="s">
        <v>8718</v>
      </c>
      <c r="B2039" s="18" t="s">
        <v>66</v>
      </c>
      <c r="C2039" s="18" t="s">
        <v>67</v>
      </c>
      <c r="D2039" s="18" t="s">
        <v>8707</v>
      </c>
      <c r="E2039" s="18" t="n">
        <v>63</v>
      </c>
      <c r="F2039" s="18" t="s">
        <v>8719</v>
      </c>
      <c r="G2039" s="18" t="s">
        <v>503</v>
      </c>
      <c r="H2039" s="18" t="s">
        <v>162</v>
      </c>
      <c r="I2039" s="18"/>
      <c r="J2039" s="18"/>
      <c r="K2039" s="18"/>
      <c r="L2039" s="18" t="s">
        <v>129</v>
      </c>
      <c r="M2039" s="18" t="s">
        <v>129</v>
      </c>
      <c r="N2039" s="18"/>
      <c r="O2039" s="18"/>
      <c r="P2039" s="18" t="s">
        <v>8720</v>
      </c>
      <c r="Q2039" s="18" t="s">
        <v>149</v>
      </c>
      <c r="R2039" s="18" t="s">
        <v>8721</v>
      </c>
      <c r="S2039" s="18" t="s">
        <v>140</v>
      </c>
      <c r="T2039" s="18" t="s">
        <v>183</v>
      </c>
      <c r="U2039" s="18" t="s">
        <v>8722</v>
      </c>
      <c r="V2039" s="19" t="s">
        <v>29</v>
      </c>
      <c r="W2039" s="19"/>
      <c r="X2039" s="19"/>
      <c r="Y2039" s="20"/>
      <c r="Z2039" s="19"/>
      <c r="AA2039" s="18" t="str">
        <f aca="false">IF(OR(V2039="Aprobada"),R2039,IF(AND(OR(V2039="Aprobada con ajuste",V2039="Rechazada"),W2039&lt;&gt;""),W2039,""))</f>
        <v/>
      </c>
    </row>
    <row r="2040" customFormat="false" ht="32.8" hidden="false" customHeight="false" outlineLevel="0" collapsed="false">
      <c r="A2040" s="18" t="s">
        <v>8723</v>
      </c>
      <c r="B2040" s="18" t="s">
        <v>66</v>
      </c>
      <c r="C2040" s="18" t="s">
        <v>67</v>
      </c>
      <c r="D2040" s="18" t="s">
        <v>8707</v>
      </c>
      <c r="E2040" s="18" t="n">
        <v>63</v>
      </c>
      <c r="F2040" s="18" t="s">
        <v>8689</v>
      </c>
      <c r="G2040" s="18" t="s">
        <v>503</v>
      </c>
      <c r="H2040" s="18" t="s">
        <v>162</v>
      </c>
      <c r="I2040" s="18"/>
      <c r="J2040" s="18"/>
      <c r="K2040" s="18"/>
      <c r="L2040" s="18" t="s">
        <v>129</v>
      </c>
      <c r="M2040" s="18" t="s">
        <v>129</v>
      </c>
      <c r="N2040" s="18"/>
      <c r="O2040" s="18"/>
      <c r="P2040" s="18" t="s">
        <v>8724</v>
      </c>
      <c r="Q2040" s="18" t="s">
        <v>149</v>
      </c>
      <c r="R2040" s="18" t="s">
        <v>8691</v>
      </c>
      <c r="S2040" s="18" t="s">
        <v>133</v>
      </c>
      <c r="T2040" s="18" t="s">
        <v>183</v>
      </c>
      <c r="U2040" s="18"/>
      <c r="V2040" s="19" t="s">
        <v>29</v>
      </c>
      <c r="W2040" s="19"/>
      <c r="X2040" s="19"/>
      <c r="Y2040" s="20"/>
      <c r="Z2040" s="19"/>
      <c r="AA2040" s="18" t="str">
        <f aca="false">IF(OR(V2040="Aprobada"),R2040,IF(AND(OR(V2040="Aprobada con ajuste",V2040="Rechazada"),W2040&lt;&gt;""),W2040,""))</f>
        <v/>
      </c>
    </row>
    <row r="2041" customFormat="false" ht="32.8" hidden="false" customHeight="false" outlineLevel="0" collapsed="false">
      <c r="A2041" s="18" t="s">
        <v>8725</v>
      </c>
      <c r="B2041" s="18" t="s">
        <v>66</v>
      </c>
      <c r="C2041" s="18" t="s">
        <v>67</v>
      </c>
      <c r="D2041" s="18" t="s">
        <v>8707</v>
      </c>
      <c r="E2041" s="18" t="n">
        <v>63</v>
      </c>
      <c r="F2041" s="18" t="s">
        <v>8693</v>
      </c>
      <c r="G2041" s="18" t="s">
        <v>503</v>
      </c>
      <c r="H2041" s="18" t="s">
        <v>162</v>
      </c>
      <c r="I2041" s="18"/>
      <c r="J2041" s="18"/>
      <c r="K2041" s="18"/>
      <c r="L2041" s="18" t="s">
        <v>129</v>
      </c>
      <c r="M2041" s="18" t="s">
        <v>129</v>
      </c>
      <c r="N2041" s="18"/>
      <c r="O2041" s="18"/>
      <c r="P2041" s="18" t="s">
        <v>8726</v>
      </c>
      <c r="Q2041" s="18" t="s">
        <v>149</v>
      </c>
      <c r="R2041" s="18" t="s">
        <v>8695</v>
      </c>
      <c r="S2041" s="18" t="s">
        <v>133</v>
      </c>
      <c r="T2041" s="18" t="s">
        <v>183</v>
      </c>
      <c r="U2041" s="18"/>
      <c r="V2041" s="19" t="s">
        <v>29</v>
      </c>
      <c r="W2041" s="19"/>
      <c r="X2041" s="19"/>
      <c r="Y2041" s="20"/>
      <c r="Z2041" s="19"/>
      <c r="AA2041" s="18" t="str">
        <f aca="false">IF(OR(V2041="Aprobada"),R2041,IF(AND(OR(V2041="Aprobada con ajuste",V2041="Rechazada"),W2041&lt;&gt;""),W2041,""))</f>
        <v/>
      </c>
    </row>
    <row r="2042" customFormat="false" ht="32.8" hidden="false" customHeight="false" outlineLevel="0" collapsed="false">
      <c r="A2042" s="18" t="s">
        <v>8727</v>
      </c>
      <c r="B2042" s="18" t="s">
        <v>66</v>
      </c>
      <c r="C2042" s="18" t="s">
        <v>67</v>
      </c>
      <c r="D2042" s="18" t="s">
        <v>8707</v>
      </c>
      <c r="E2042" s="18" t="n">
        <v>63</v>
      </c>
      <c r="F2042" s="18" t="s">
        <v>8728</v>
      </c>
      <c r="G2042" s="18" t="s">
        <v>503</v>
      </c>
      <c r="H2042" s="18" t="s">
        <v>162</v>
      </c>
      <c r="I2042" s="18"/>
      <c r="J2042" s="18"/>
      <c r="K2042" s="18"/>
      <c r="L2042" s="18" t="s">
        <v>129</v>
      </c>
      <c r="M2042" s="18" t="s">
        <v>129</v>
      </c>
      <c r="N2042" s="18"/>
      <c r="O2042" s="18"/>
      <c r="P2042" s="18" t="s">
        <v>8729</v>
      </c>
      <c r="Q2042" s="18" t="s">
        <v>149</v>
      </c>
      <c r="R2042" s="18" t="s">
        <v>8730</v>
      </c>
      <c r="S2042" s="18" t="s">
        <v>133</v>
      </c>
      <c r="T2042" s="18" t="s">
        <v>183</v>
      </c>
      <c r="U2042" s="18"/>
      <c r="V2042" s="19" t="s">
        <v>29</v>
      </c>
      <c r="W2042" s="19"/>
      <c r="X2042" s="19"/>
      <c r="Y2042" s="20"/>
      <c r="Z2042" s="19"/>
      <c r="AA2042" s="18" t="str">
        <f aca="false">IF(OR(V2042="Aprobada"),R2042,IF(AND(OR(V2042="Aprobada con ajuste",V2042="Rechazada"),W2042&lt;&gt;""),W2042,""))</f>
        <v/>
      </c>
    </row>
    <row r="2043" customFormat="false" ht="43.25" hidden="false" customHeight="false" outlineLevel="0" collapsed="false">
      <c r="A2043" s="18" t="s">
        <v>8731</v>
      </c>
      <c r="B2043" s="18" t="s">
        <v>66</v>
      </c>
      <c r="C2043" s="18" t="s">
        <v>67</v>
      </c>
      <c r="D2043" s="18" t="s">
        <v>8707</v>
      </c>
      <c r="E2043" s="18" t="n">
        <v>63</v>
      </c>
      <c r="F2043" s="18" t="s">
        <v>8732</v>
      </c>
      <c r="G2043" s="18" t="s">
        <v>192</v>
      </c>
      <c r="H2043" s="18" t="s">
        <v>162</v>
      </c>
      <c r="I2043" s="18"/>
      <c r="J2043" s="18"/>
      <c r="K2043" s="18"/>
      <c r="L2043" s="18" t="s">
        <v>129</v>
      </c>
      <c r="M2043" s="18" t="s">
        <v>129</v>
      </c>
      <c r="N2043" s="18"/>
      <c r="O2043" s="18"/>
      <c r="P2043" s="18" t="s">
        <v>8733</v>
      </c>
      <c r="Q2043" s="18" t="s">
        <v>149</v>
      </c>
      <c r="R2043" s="18" t="s">
        <v>8734</v>
      </c>
      <c r="S2043" s="18" t="s">
        <v>140</v>
      </c>
      <c r="T2043" s="18" t="s">
        <v>8735</v>
      </c>
      <c r="U2043" s="18" t="s">
        <v>8736</v>
      </c>
      <c r="V2043" s="19" t="s">
        <v>29</v>
      </c>
      <c r="W2043" s="19"/>
      <c r="X2043" s="19"/>
      <c r="Y2043" s="20"/>
      <c r="Z2043" s="19"/>
      <c r="AA2043" s="18" t="str">
        <f aca="false">IF(OR(V2043="Aprobada"),R2043,IF(AND(OR(V2043="Aprobada con ajuste",V2043="Rechazada"),W2043&lt;&gt;""),W2043,""))</f>
        <v/>
      </c>
    </row>
    <row r="2044" customFormat="false" ht="43.25" hidden="false" customHeight="false" outlineLevel="0" collapsed="false">
      <c r="A2044" s="18" t="s">
        <v>8737</v>
      </c>
      <c r="B2044" s="18" t="s">
        <v>66</v>
      </c>
      <c r="C2044" s="18" t="s">
        <v>67</v>
      </c>
      <c r="D2044" s="18" t="s">
        <v>8707</v>
      </c>
      <c r="E2044" s="18" t="n">
        <v>63</v>
      </c>
      <c r="F2044" s="18" t="s">
        <v>8738</v>
      </c>
      <c r="G2044" s="18" t="s">
        <v>205</v>
      </c>
      <c r="H2044" s="18" t="s">
        <v>162</v>
      </c>
      <c r="I2044" s="18"/>
      <c r="J2044" s="18"/>
      <c r="K2044" s="18"/>
      <c r="L2044" s="18" t="s">
        <v>129</v>
      </c>
      <c r="M2044" s="18" t="s">
        <v>129</v>
      </c>
      <c r="N2044" s="18"/>
      <c r="O2044" s="18"/>
      <c r="P2044" s="18" t="s">
        <v>8739</v>
      </c>
      <c r="Q2044" s="18" t="s">
        <v>149</v>
      </c>
      <c r="R2044" s="18" t="s">
        <v>8740</v>
      </c>
      <c r="S2044" s="18" t="s">
        <v>140</v>
      </c>
      <c r="T2044" s="18" t="s">
        <v>2276</v>
      </c>
      <c r="U2044" s="18" t="s">
        <v>8741</v>
      </c>
      <c r="V2044" s="19" t="s">
        <v>29</v>
      </c>
      <c r="W2044" s="19"/>
      <c r="X2044" s="19"/>
      <c r="Y2044" s="20"/>
      <c r="Z2044" s="19"/>
      <c r="AA2044" s="18" t="str">
        <f aca="false">IF(OR(V2044="Aprobada"),R2044,IF(AND(OR(V2044="Aprobada con ajuste",V2044="Rechazada"),W2044&lt;&gt;""),W2044,""))</f>
        <v/>
      </c>
    </row>
    <row r="2045" customFormat="false" ht="32.8" hidden="false" customHeight="false" outlineLevel="0" collapsed="false">
      <c r="A2045" s="18" t="s">
        <v>8742</v>
      </c>
      <c r="B2045" s="18" t="s">
        <v>66</v>
      </c>
      <c r="C2045" s="18" t="s">
        <v>67</v>
      </c>
      <c r="D2045" s="18" t="s">
        <v>8707</v>
      </c>
      <c r="E2045" s="18" t="n">
        <v>63</v>
      </c>
      <c r="F2045" s="18" t="s">
        <v>8743</v>
      </c>
      <c r="G2045" s="18" t="s">
        <v>192</v>
      </c>
      <c r="H2045" s="18" t="s">
        <v>162</v>
      </c>
      <c r="I2045" s="18"/>
      <c r="J2045" s="18"/>
      <c r="K2045" s="18"/>
      <c r="L2045" s="18" t="s">
        <v>129</v>
      </c>
      <c r="M2045" s="18" t="s">
        <v>129</v>
      </c>
      <c r="N2045" s="18"/>
      <c r="O2045" s="18"/>
      <c r="P2045" s="18" t="s">
        <v>8744</v>
      </c>
      <c r="Q2045" s="18" t="s">
        <v>149</v>
      </c>
      <c r="R2045" s="18" t="s">
        <v>8745</v>
      </c>
      <c r="S2045" s="18" t="s">
        <v>242</v>
      </c>
      <c r="T2045" s="18" t="s">
        <v>183</v>
      </c>
      <c r="U2045" s="18" t="s">
        <v>8746</v>
      </c>
      <c r="V2045" s="19" t="s">
        <v>29</v>
      </c>
      <c r="W2045" s="19"/>
      <c r="X2045" s="19"/>
      <c r="Y2045" s="20"/>
      <c r="Z2045" s="19"/>
      <c r="AA2045" s="18" t="str">
        <f aca="false">IF(OR(V2045="Aprobada"),R2045,IF(AND(OR(V2045="Aprobada con ajuste",V2045="Rechazada"),W2045&lt;&gt;""),W2045,""))</f>
        <v/>
      </c>
    </row>
    <row r="2046" customFormat="false" ht="43.25" hidden="false" customHeight="false" outlineLevel="0" collapsed="false">
      <c r="A2046" s="18" t="s">
        <v>8747</v>
      </c>
      <c r="B2046" s="18" t="s">
        <v>66</v>
      </c>
      <c r="C2046" s="18" t="s">
        <v>67</v>
      </c>
      <c r="D2046" s="18" t="s">
        <v>8748</v>
      </c>
      <c r="E2046" s="18" t="n">
        <v>2</v>
      </c>
      <c r="F2046" s="18" t="s">
        <v>1734</v>
      </c>
      <c r="G2046" s="18" t="s">
        <v>180</v>
      </c>
      <c r="H2046" s="18" t="s">
        <v>129</v>
      </c>
      <c r="I2046" s="18" t="s">
        <v>146</v>
      </c>
      <c r="J2046" s="18"/>
      <c r="K2046" s="18"/>
      <c r="L2046" s="18" t="s">
        <v>162</v>
      </c>
      <c r="M2046" s="18" t="s">
        <v>129</v>
      </c>
      <c r="N2046" s="18"/>
      <c r="O2046" s="18" t="s">
        <v>8749</v>
      </c>
      <c r="P2046" s="18" t="s">
        <v>8750</v>
      </c>
      <c r="Q2046" s="18" t="s">
        <v>149</v>
      </c>
      <c r="R2046" s="18" t="s">
        <v>8751</v>
      </c>
      <c r="S2046" s="18" t="s">
        <v>133</v>
      </c>
      <c r="T2046" s="18" t="s">
        <v>3029</v>
      </c>
      <c r="U2046" s="18"/>
      <c r="V2046" s="19" t="s">
        <v>29</v>
      </c>
      <c r="W2046" s="19"/>
      <c r="X2046" s="19"/>
      <c r="Y2046" s="20"/>
      <c r="Z2046" s="19"/>
      <c r="AA2046" s="18" t="str">
        <f aca="false">IF(OR(V2046="Aprobada"),R2046,IF(AND(OR(V2046="Aprobada con ajuste",V2046="Rechazada"),W2046&lt;&gt;""),W2046,""))</f>
        <v/>
      </c>
    </row>
    <row r="2047" customFormat="false" ht="32.8" hidden="false" customHeight="false" outlineLevel="0" collapsed="false">
      <c r="A2047" s="18" t="s">
        <v>8752</v>
      </c>
      <c r="B2047" s="18" t="s">
        <v>66</v>
      </c>
      <c r="C2047" s="18" t="s">
        <v>67</v>
      </c>
      <c r="D2047" s="18" t="s">
        <v>8748</v>
      </c>
      <c r="E2047" s="18" t="n">
        <v>2</v>
      </c>
      <c r="F2047" s="18" t="s">
        <v>8753</v>
      </c>
      <c r="G2047" s="18" t="s">
        <v>192</v>
      </c>
      <c r="H2047" s="18" t="s">
        <v>129</v>
      </c>
      <c r="I2047" s="18"/>
      <c r="J2047" s="18"/>
      <c r="K2047" s="18"/>
      <c r="L2047" s="18" t="s">
        <v>162</v>
      </c>
      <c r="M2047" s="18" t="s">
        <v>129</v>
      </c>
      <c r="N2047" s="18"/>
      <c r="O2047" s="18"/>
      <c r="P2047" s="18" t="s">
        <v>8754</v>
      </c>
      <c r="Q2047" s="18" t="s">
        <v>149</v>
      </c>
      <c r="R2047" s="18" t="s">
        <v>8755</v>
      </c>
      <c r="S2047" s="18" t="s">
        <v>140</v>
      </c>
      <c r="T2047" s="18" t="s">
        <v>8756</v>
      </c>
      <c r="U2047" s="18" t="s">
        <v>8757</v>
      </c>
      <c r="V2047" s="19" t="s">
        <v>29</v>
      </c>
      <c r="W2047" s="19"/>
      <c r="X2047" s="19"/>
      <c r="Y2047" s="20"/>
      <c r="Z2047" s="19"/>
      <c r="AA2047" s="18" t="str">
        <f aca="false">IF(OR(V2047="Aprobada"),R2047,IF(AND(OR(V2047="Aprobada con ajuste",V2047="Rechazada"),W2047&lt;&gt;""),W2047,""))</f>
        <v/>
      </c>
    </row>
    <row r="2048" customFormat="false" ht="43.25" hidden="false" customHeight="false" outlineLevel="0" collapsed="false">
      <c r="A2048" s="18" t="s">
        <v>8758</v>
      </c>
      <c r="B2048" s="18" t="s">
        <v>66</v>
      </c>
      <c r="C2048" s="18" t="s">
        <v>67</v>
      </c>
      <c r="D2048" s="18" t="s">
        <v>8759</v>
      </c>
      <c r="E2048" s="18" t="n">
        <v>0</v>
      </c>
      <c r="F2048" s="18" t="s">
        <v>611</v>
      </c>
      <c r="G2048" s="18" t="s">
        <v>180</v>
      </c>
      <c r="H2048" s="18" t="s">
        <v>129</v>
      </c>
      <c r="I2048" s="18" t="s">
        <v>146</v>
      </c>
      <c r="J2048" s="18"/>
      <c r="K2048" s="18"/>
      <c r="L2048" s="18" t="s">
        <v>129</v>
      </c>
      <c r="M2048" s="18" t="s">
        <v>129</v>
      </c>
      <c r="N2048" s="18"/>
      <c r="O2048" s="18" t="s">
        <v>8760</v>
      </c>
      <c r="P2048" s="18" t="s">
        <v>8761</v>
      </c>
      <c r="Q2048" s="18" t="s">
        <v>138</v>
      </c>
      <c r="R2048" s="18" t="s">
        <v>8762</v>
      </c>
      <c r="S2048" s="18" t="s">
        <v>140</v>
      </c>
      <c r="T2048" s="18" t="s">
        <v>141</v>
      </c>
      <c r="U2048" s="18"/>
      <c r="V2048" s="19" t="s">
        <v>29</v>
      </c>
      <c r="W2048" s="19"/>
      <c r="X2048" s="19"/>
      <c r="Y2048" s="20"/>
      <c r="Z2048" s="19"/>
      <c r="AA2048" s="18" t="str">
        <f aca="false">IF(OR(V2048="Aprobada"),R2048,IF(AND(OR(V2048="Aprobada con ajuste",V2048="Rechazada"),W2048&lt;&gt;""),W2048,""))</f>
        <v/>
      </c>
    </row>
    <row r="2049" customFormat="false" ht="32.8" hidden="false" customHeight="false" outlineLevel="0" collapsed="false">
      <c r="A2049" s="18" t="s">
        <v>8763</v>
      </c>
      <c r="B2049" s="18" t="s">
        <v>66</v>
      </c>
      <c r="C2049" s="18" t="s">
        <v>67</v>
      </c>
      <c r="D2049" s="18" t="s">
        <v>8759</v>
      </c>
      <c r="E2049" s="18" t="n">
        <v>0</v>
      </c>
      <c r="F2049" s="18" t="s">
        <v>8764</v>
      </c>
      <c r="G2049" s="18" t="s">
        <v>180</v>
      </c>
      <c r="H2049" s="18" t="s">
        <v>129</v>
      </c>
      <c r="I2049" s="18"/>
      <c r="J2049" s="18"/>
      <c r="K2049" s="18"/>
      <c r="L2049" s="18" t="s">
        <v>129</v>
      </c>
      <c r="M2049" s="18" t="s">
        <v>129</v>
      </c>
      <c r="N2049" s="18"/>
      <c r="O2049" s="18"/>
      <c r="P2049" s="18" t="s">
        <v>8765</v>
      </c>
      <c r="Q2049" s="18" t="s">
        <v>149</v>
      </c>
      <c r="R2049" s="18" t="s">
        <v>8766</v>
      </c>
      <c r="S2049" s="18" t="s">
        <v>140</v>
      </c>
      <c r="T2049" s="18" t="s">
        <v>183</v>
      </c>
      <c r="U2049" s="18" t="s">
        <v>8767</v>
      </c>
      <c r="V2049" s="19" t="s">
        <v>29</v>
      </c>
      <c r="W2049" s="19"/>
      <c r="X2049" s="19"/>
      <c r="Y2049" s="20"/>
      <c r="Z2049" s="19"/>
      <c r="AA2049" s="18" t="str">
        <f aca="false">IF(OR(V2049="Aprobada"),R2049,IF(AND(OR(V2049="Aprobada con ajuste",V2049="Rechazada"),W2049&lt;&gt;""),W2049,""))</f>
        <v/>
      </c>
    </row>
    <row r="2050" customFormat="false" ht="53.7" hidden="false" customHeight="false" outlineLevel="0" collapsed="false">
      <c r="A2050" s="18" t="s">
        <v>8768</v>
      </c>
      <c r="B2050" s="18" t="s">
        <v>66</v>
      </c>
      <c r="C2050" s="18" t="s">
        <v>67</v>
      </c>
      <c r="D2050" s="18" t="s">
        <v>8759</v>
      </c>
      <c r="E2050" s="18" t="n">
        <v>0</v>
      </c>
      <c r="F2050" s="18" t="s">
        <v>275</v>
      </c>
      <c r="G2050" s="18" t="s">
        <v>180</v>
      </c>
      <c r="H2050" s="18" t="s">
        <v>129</v>
      </c>
      <c r="I2050" s="18"/>
      <c r="J2050" s="18"/>
      <c r="K2050" s="18"/>
      <c r="L2050" s="18" t="s">
        <v>129</v>
      </c>
      <c r="M2050" s="18" t="s">
        <v>129</v>
      </c>
      <c r="N2050" s="18"/>
      <c r="O2050" s="18"/>
      <c r="P2050" s="18" t="s">
        <v>8769</v>
      </c>
      <c r="Q2050" s="18" t="s">
        <v>138</v>
      </c>
      <c r="R2050" s="18" t="s">
        <v>8770</v>
      </c>
      <c r="S2050" s="18" t="s">
        <v>140</v>
      </c>
      <c r="T2050" s="18" t="s">
        <v>141</v>
      </c>
      <c r="U2050" s="18"/>
      <c r="V2050" s="19" t="s">
        <v>29</v>
      </c>
      <c r="W2050" s="19"/>
      <c r="X2050" s="19"/>
      <c r="Y2050" s="20"/>
      <c r="Z2050" s="19"/>
      <c r="AA2050" s="18" t="str">
        <f aca="false">IF(OR(V2050="Aprobada"),R2050,IF(AND(OR(V2050="Aprobada con ajuste",V2050="Rechazada"),W2050&lt;&gt;""),W2050,""))</f>
        <v/>
      </c>
    </row>
    <row r="2051" customFormat="false" ht="43.25" hidden="false" customHeight="false" outlineLevel="0" collapsed="false">
      <c r="A2051" s="18" t="s">
        <v>8771</v>
      </c>
      <c r="B2051" s="18" t="s">
        <v>66</v>
      </c>
      <c r="C2051" s="18" t="s">
        <v>67</v>
      </c>
      <c r="D2051" s="18" t="s">
        <v>8759</v>
      </c>
      <c r="E2051" s="18" t="n">
        <v>0</v>
      </c>
      <c r="F2051" s="18" t="s">
        <v>727</v>
      </c>
      <c r="G2051" s="18" t="s">
        <v>128</v>
      </c>
      <c r="H2051" s="18" t="s">
        <v>129</v>
      </c>
      <c r="I2051" s="18"/>
      <c r="J2051" s="18"/>
      <c r="K2051" s="18"/>
      <c r="L2051" s="18" t="s">
        <v>129</v>
      </c>
      <c r="M2051" s="18" t="s">
        <v>129</v>
      </c>
      <c r="N2051" s="18"/>
      <c r="O2051" s="18"/>
      <c r="P2051" s="18" t="s">
        <v>8772</v>
      </c>
      <c r="Q2051" s="18" t="s">
        <v>149</v>
      </c>
      <c r="R2051" s="18" t="s">
        <v>8773</v>
      </c>
      <c r="S2051" s="18" t="s">
        <v>133</v>
      </c>
      <c r="T2051" s="18" t="s">
        <v>183</v>
      </c>
      <c r="U2051" s="18"/>
      <c r="V2051" s="19" t="s">
        <v>29</v>
      </c>
      <c r="W2051" s="19"/>
      <c r="X2051" s="19"/>
      <c r="Y2051" s="20"/>
      <c r="Z2051" s="19"/>
      <c r="AA2051" s="18" t="str">
        <f aca="false">IF(OR(V2051="Aprobada"),R2051,IF(AND(OR(V2051="Aprobada con ajuste",V2051="Rechazada"),W2051&lt;&gt;""),W2051,""))</f>
        <v/>
      </c>
    </row>
    <row r="2052" customFormat="false" ht="43.25" hidden="false" customHeight="false" outlineLevel="0" collapsed="false">
      <c r="A2052" s="18" t="s">
        <v>8774</v>
      </c>
      <c r="B2052" s="18" t="s">
        <v>66</v>
      </c>
      <c r="C2052" s="18" t="s">
        <v>67</v>
      </c>
      <c r="D2052" s="18" t="s">
        <v>8759</v>
      </c>
      <c r="E2052" s="18" t="n">
        <v>0</v>
      </c>
      <c r="F2052" s="18" t="s">
        <v>8447</v>
      </c>
      <c r="G2052" s="18" t="s">
        <v>128</v>
      </c>
      <c r="H2052" s="18" t="s">
        <v>129</v>
      </c>
      <c r="I2052" s="18"/>
      <c r="J2052" s="18"/>
      <c r="K2052" s="18"/>
      <c r="L2052" s="18" t="s">
        <v>129</v>
      </c>
      <c r="M2052" s="18" t="s">
        <v>129</v>
      </c>
      <c r="N2052" s="18"/>
      <c r="O2052" s="18"/>
      <c r="P2052" s="18" t="s">
        <v>8775</v>
      </c>
      <c r="Q2052" s="18" t="s">
        <v>149</v>
      </c>
      <c r="R2052" s="18" t="s">
        <v>8776</v>
      </c>
      <c r="S2052" s="18" t="s">
        <v>133</v>
      </c>
      <c r="T2052" s="18" t="s">
        <v>183</v>
      </c>
      <c r="U2052" s="18"/>
      <c r="V2052" s="19" t="s">
        <v>29</v>
      </c>
      <c r="W2052" s="19"/>
      <c r="X2052" s="19"/>
      <c r="Y2052" s="20"/>
      <c r="Z2052" s="19"/>
      <c r="AA2052" s="18" t="str">
        <f aca="false">IF(OR(V2052="Aprobada"),R2052,IF(AND(OR(V2052="Aprobada con ajuste",V2052="Rechazada"),W2052&lt;&gt;""),W2052,""))</f>
        <v/>
      </c>
    </row>
    <row r="2053" customFormat="false" ht="43.25" hidden="false" customHeight="false" outlineLevel="0" collapsed="false">
      <c r="A2053" s="18" t="s">
        <v>8777</v>
      </c>
      <c r="B2053" s="18" t="s">
        <v>66</v>
      </c>
      <c r="C2053" s="18" t="s">
        <v>67</v>
      </c>
      <c r="D2053" s="18" t="s">
        <v>8759</v>
      </c>
      <c r="E2053" s="18" t="n">
        <v>0</v>
      </c>
      <c r="F2053" s="18" t="s">
        <v>7181</v>
      </c>
      <c r="G2053" s="18" t="s">
        <v>180</v>
      </c>
      <c r="H2053" s="18" t="s">
        <v>129</v>
      </c>
      <c r="I2053" s="18"/>
      <c r="J2053" s="18"/>
      <c r="K2053" s="18"/>
      <c r="L2053" s="18" t="s">
        <v>129</v>
      </c>
      <c r="M2053" s="18" t="s">
        <v>129</v>
      </c>
      <c r="N2053" s="18"/>
      <c r="O2053" s="18"/>
      <c r="P2053" s="18" t="s">
        <v>8778</v>
      </c>
      <c r="Q2053" s="18" t="s">
        <v>149</v>
      </c>
      <c r="R2053" s="18" t="s">
        <v>8779</v>
      </c>
      <c r="S2053" s="18" t="s">
        <v>140</v>
      </c>
      <c r="T2053" s="18" t="s">
        <v>183</v>
      </c>
      <c r="U2053" s="18" t="s">
        <v>8780</v>
      </c>
      <c r="V2053" s="19" t="s">
        <v>29</v>
      </c>
      <c r="W2053" s="19"/>
      <c r="X2053" s="19"/>
      <c r="Y2053" s="20"/>
      <c r="Z2053" s="19"/>
      <c r="AA2053" s="18" t="str">
        <f aca="false">IF(OR(V2053="Aprobada"),R2053,IF(AND(OR(V2053="Aprobada con ajuste",V2053="Rechazada"),W2053&lt;&gt;""),W2053,""))</f>
        <v/>
      </c>
    </row>
    <row r="2054" customFormat="false" ht="32.8" hidden="false" customHeight="false" outlineLevel="0" collapsed="false">
      <c r="A2054" s="18" t="s">
        <v>8781</v>
      </c>
      <c r="B2054" s="18" t="s">
        <v>66</v>
      </c>
      <c r="C2054" s="18" t="s">
        <v>67</v>
      </c>
      <c r="D2054" s="18" t="s">
        <v>8759</v>
      </c>
      <c r="E2054" s="18" t="n">
        <v>0</v>
      </c>
      <c r="F2054" s="18" t="s">
        <v>6154</v>
      </c>
      <c r="G2054" s="18" t="s">
        <v>192</v>
      </c>
      <c r="H2054" s="18" t="s">
        <v>129</v>
      </c>
      <c r="I2054" s="18"/>
      <c r="J2054" s="18"/>
      <c r="K2054" s="18"/>
      <c r="L2054" s="18" t="s">
        <v>129</v>
      </c>
      <c r="M2054" s="18" t="s">
        <v>129</v>
      </c>
      <c r="N2054" s="18"/>
      <c r="O2054" s="18"/>
      <c r="P2054" s="18" t="s">
        <v>8782</v>
      </c>
      <c r="Q2054" s="18" t="s">
        <v>149</v>
      </c>
      <c r="R2054" s="18" t="s">
        <v>8783</v>
      </c>
      <c r="S2054" s="18" t="s">
        <v>140</v>
      </c>
      <c r="T2054" s="18" t="s">
        <v>8546</v>
      </c>
      <c r="U2054" s="18" t="s">
        <v>8784</v>
      </c>
      <c r="V2054" s="19" t="s">
        <v>29</v>
      </c>
      <c r="W2054" s="19"/>
      <c r="X2054" s="19"/>
      <c r="Y2054" s="20"/>
      <c r="Z2054" s="19"/>
      <c r="AA2054" s="18" t="str">
        <f aca="false">IF(OR(V2054="Aprobada"),R2054,IF(AND(OR(V2054="Aprobada con ajuste",V2054="Rechazada"),W2054&lt;&gt;""),W2054,""))</f>
        <v/>
      </c>
    </row>
    <row r="2055" customFormat="false" ht="43.25" hidden="false" customHeight="false" outlineLevel="0" collapsed="false">
      <c r="A2055" s="18" t="s">
        <v>8785</v>
      </c>
      <c r="B2055" s="18" t="s">
        <v>66</v>
      </c>
      <c r="C2055" s="18" t="s">
        <v>67</v>
      </c>
      <c r="D2055" s="18" t="s">
        <v>8759</v>
      </c>
      <c r="E2055" s="18" t="n">
        <v>0</v>
      </c>
      <c r="F2055" s="18" t="s">
        <v>8786</v>
      </c>
      <c r="G2055" s="18" t="s">
        <v>192</v>
      </c>
      <c r="H2055" s="18" t="s">
        <v>129</v>
      </c>
      <c r="I2055" s="18"/>
      <c r="J2055" s="18"/>
      <c r="K2055" s="18"/>
      <c r="L2055" s="18" t="s">
        <v>129</v>
      </c>
      <c r="M2055" s="18" t="s">
        <v>129</v>
      </c>
      <c r="N2055" s="18"/>
      <c r="O2055" s="18"/>
      <c r="P2055" s="18" t="s">
        <v>8787</v>
      </c>
      <c r="Q2055" s="18" t="s">
        <v>149</v>
      </c>
      <c r="R2055" s="18" t="s">
        <v>8788</v>
      </c>
      <c r="S2055" s="18" t="s">
        <v>133</v>
      </c>
      <c r="T2055" s="18" t="s">
        <v>8546</v>
      </c>
      <c r="U2055" s="18"/>
      <c r="V2055" s="19" t="s">
        <v>29</v>
      </c>
      <c r="W2055" s="19"/>
      <c r="X2055" s="19"/>
      <c r="Y2055" s="20"/>
      <c r="Z2055" s="19"/>
      <c r="AA2055" s="18" t="str">
        <f aca="false">IF(OR(V2055="Aprobada"),R2055,IF(AND(OR(V2055="Aprobada con ajuste",V2055="Rechazada"),W2055&lt;&gt;""),W2055,""))</f>
        <v/>
      </c>
    </row>
    <row r="2056" customFormat="false" ht="43.25" hidden="false" customHeight="false" outlineLevel="0" collapsed="false">
      <c r="A2056" s="18" t="s">
        <v>8789</v>
      </c>
      <c r="B2056" s="18" t="s">
        <v>66</v>
      </c>
      <c r="C2056" s="18" t="s">
        <v>67</v>
      </c>
      <c r="D2056" s="18" t="s">
        <v>8759</v>
      </c>
      <c r="E2056" s="18" t="n">
        <v>0</v>
      </c>
      <c r="F2056" s="18" t="s">
        <v>8441</v>
      </c>
      <c r="G2056" s="18" t="s">
        <v>192</v>
      </c>
      <c r="H2056" s="18" t="s">
        <v>129</v>
      </c>
      <c r="I2056" s="18"/>
      <c r="J2056" s="18"/>
      <c r="K2056" s="18"/>
      <c r="L2056" s="18" t="s">
        <v>129</v>
      </c>
      <c r="M2056" s="18" t="s">
        <v>129</v>
      </c>
      <c r="N2056" s="18"/>
      <c r="O2056" s="18"/>
      <c r="P2056" s="18" t="s">
        <v>8790</v>
      </c>
      <c r="Q2056" s="18" t="s">
        <v>149</v>
      </c>
      <c r="R2056" s="18" t="s">
        <v>8791</v>
      </c>
      <c r="S2056" s="18" t="s">
        <v>140</v>
      </c>
      <c r="T2056" s="18" t="s">
        <v>8546</v>
      </c>
      <c r="U2056" s="18" t="s">
        <v>8792</v>
      </c>
      <c r="V2056" s="19" t="s">
        <v>29</v>
      </c>
      <c r="W2056" s="19"/>
      <c r="X2056" s="19"/>
      <c r="Y2056" s="20"/>
      <c r="Z2056" s="19"/>
      <c r="AA2056" s="18" t="str">
        <f aca="false">IF(OR(V2056="Aprobada"),R2056,IF(AND(OR(V2056="Aprobada con ajuste",V2056="Rechazada"),W2056&lt;&gt;""),W2056,""))</f>
        <v/>
      </c>
    </row>
    <row r="2057" customFormat="false" ht="32.8" hidden="false" customHeight="false" outlineLevel="0" collapsed="false">
      <c r="A2057" s="18" t="s">
        <v>8793</v>
      </c>
      <c r="B2057" s="18" t="s">
        <v>66</v>
      </c>
      <c r="C2057" s="18" t="s">
        <v>67</v>
      </c>
      <c r="D2057" s="18" t="s">
        <v>8759</v>
      </c>
      <c r="E2057" s="18" t="n">
        <v>0</v>
      </c>
      <c r="F2057" s="18" t="s">
        <v>7192</v>
      </c>
      <c r="G2057" s="18" t="s">
        <v>192</v>
      </c>
      <c r="H2057" s="18" t="s">
        <v>129</v>
      </c>
      <c r="I2057" s="18"/>
      <c r="J2057" s="18"/>
      <c r="K2057" s="18"/>
      <c r="L2057" s="18" t="s">
        <v>129</v>
      </c>
      <c r="M2057" s="18" t="s">
        <v>129</v>
      </c>
      <c r="N2057" s="18"/>
      <c r="O2057" s="18"/>
      <c r="P2057" s="18" t="s">
        <v>8794</v>
      </c>
      <c r="Q2057" s="18" t="s">
        <v>149</v>
      </c>
      <c r="R2057" s="18" t="s">
        <v>8795</v>
      </c>
      <c r="S2057" s="18" t="s">
        <v>140</v>
      </c>
      <c r="T2057" s="18" t="s">
        <v>8546</v>
      </c>
      <c r="U2057" s="18" t="s">
        <v>8796</v>
      </c>
      <c r="V2057" s="19" t="s">
        <v>29</v>
      </c>
      <c r="W2057" s="19"/>
      <c r="X2057" s="19"/>
      <c r="Y2057" s="20"/>
      <c r="Z2057" s="19"/>
      <c r="AA2057" s="18" t="str">
        <f aca="false">IF(OR(V2057="Aprobada"),R2057,IF(AND(OR(V2057="Aprobada con ajuste",V2057="Rechazada"),W2057&lt;&gt;""),W2057,""))</f>
        <v/>
      </c>
    </row>
    <row r="2058" customFormat="false" ht="32.8" hidden="false" customHeight="false" outlineLevel="0" collapsed="false">
      <c r="A2058" s="18" t="s">
        <v>8797</v>
      </c>
      <c r="B2058" s="18" t="s">
        <v>66</v>
      </c>
      <c r="C2058" s="18" t="s">
        <v>67</v>
      </c>
      <c r="D2058" s="18" t="s">
        <v>8759</v>
      </c>
      <c r="E2058" s="18" t="n">
        <v>0</v>
      </c>
      <c r="F2058" s="18" t="s">
        <v>5096</v>
      </c>
      <c r="G2058" s="18" t="s">
        <v>192</v>
      </c>
      <c r="H2058" s="18" t="s">
        <v>129</v>
      </c>
      <c r="I2058" s="18"/>
      <c r="J2058" s="18"/>
      <c r="K2058" s="18"/>
      <c r="L2058" s="18" t="s">
        <v>129</v>
      </c>
      <c r="M2058" s="18" t="s">
        <v>129</v>
      </c>
      <c r="N2058" s="18"/>
      <c r="O2058" s="18"/>
      <c r="P2058" s="18" t="s">
        <v>8798</v>
      </c>
      <c r="Q2058" s="18" t="s">
        <v>149</v>
      </c>
      <c r="R2058" s="18" t="s">
        <v>8799</v>
      </c>
      <c r="S2058" s="18" t="s">
        <v>140</v>
      </c>
      <c r="T2058" s="18" t="s">
        <v>8546</v>
      </c>
      <c r="U2058" s="18" t="s">
        <v>8800</v>
      </c>
      <c r="V2058" s="19" t="s">
        <v>29</v>
      </c>
      <c r="W2058" s="19"/>
      <c r="X2058" s="19"/>
      <c r="Y2058" s="20"/>
      <c r="Z2058" s="19"/>
      <c r="AA2058" s="18" t="str">
        <f aca="false">IF(OR(V2058="Aprobada"),R2058,IF(AND(OR(V2058="Aprobada con ajuste",V2058="Rechazada"),W2058&lt;&gt;""),W2058,""))</f>
        <v/>
      </c>
    </row>
    <row r="2059" customFormat="false" ht="64.15" hidden="false" customHeight="false" outlineLevel="0" collapsed="false">
      <c r="A2059" s="18" t="s">
        <v>8801</v>
      </c>
      <c r="B2059" s="18" t="s">
        <v>66</v>
      </c>
      <c r="C2059" s="18" t="s">
        <v>67</v>
      </c>
      <c r="D2059" s="18" t="s">
        <v>8759</v>
      </c>
      <c r="E2059" s="18" t="n">
        <v>0</v>
      </c>
      <c r="F2059" s="18" t="s">
        <v>185</v>
      </c>
      <c r="G2059" s="18" t="s">
        <v>145</v>
      </c>
      <c r="H2059" s="18" t="s">
        <v>129</v>
      </c>
      <c r="I2059" s="18" t="s">
        <v>298</v>
      </c>
      <c r="J2059" s="18" t="s">
        <v>8802</v>
      </c>
      <c r="K2059" s="18"/>
      <c r="L2059" s="18" t="s">
        <v>162</v>
      </c>
      <c r="M2059" s="18" t="s">
        <v>129</v>
      </c>
      <c r="N2059" s="18"/>
      <c r="O2059" s="18" t="s">
        <v>8803</v>
      </c>
      <c r="P2059" s="18" t="s">
        <v>8804</v>
      </c>
      <c r="Q2059" s="18" t="s">
        <v>138</v>
      </c>
      <c r="R2059" s="18" t="s">
        <v>8805</v>
      </c>
      <c r="S2059" s="18" t="s">
        <v>140</v>
      </c>
      <c r="T2059" s="18" t="s">
        <v>141</v>
      </c>
      <c r="U2059" s="18"/>
      <c r="V2059" s="19" t="s">
        <v>29</v>
      </c>
      <c r="W2059" s="19"/>
      <c r="X2059" s="19"/>
      <c r="Y2059" s="20"/>
      <c r="Z2059" s="19"/>
      <c r="AA2059" s="18" t="str">
        <f aca="false">IF(OR(V2059="Aprobada"),R2059,IF(AND(OR(V2059="Aprobada con ajuste",V2059="Rechazada"),W2059&lt;&gt;""),W2059,""))</f>
        <v/>
      </c>
    </row>
    <row r="2060" customFormat="false" ht="32.8" hidden="false" customHeight="false" outlineLevel="0" collapsed="false">
      <c r="A2060" s="18" t="s">
        <v>8806</v>
      </c>
      <c r="B2060" s="18" t="s">
        <v>66</v>
      </c>
      <c r="C2060" s="18" t="s">
        <v>67</v>
      </c>
      <c r="D2060" s="18" t="s">
        <v>8759</v>
      </c>
      <c r="E2060" s="18" t="n">
        <v>0</v>
      </c>
      <c r="F2060" s="18" t="s">
        <v>3424</v>
      </c>
      <c r="G2060" s="18" t="s">
        <v>137</v>
      </c>
      <c r="H2060" s="18" t="s">
        <v>162</v>
      </c>
      <c r="I2060" s="18"/>
      <c r="J2060" s="18"/>
      <c r="K2060" s="18"/>
      <c r="L2060" s="18" t="s">
        <v>129</v>
      </c>
      <c r="M2060" s="18" t="s">
        <v>129</v>
      </c>
      <c r="N2060" s="18"/>
      <c r="O2060" s="18"/>
      <c r="P2060" s="18" t="s">
        <v>8807</v>
      </c>
      <c r="Q2060" s="18" t="s">
        <v>138</v>
      </c>
      <c r="R2060" s="18" t="s">
        <v>3425</v>
      </c>
      <c r="S2060" s="18" t="s">
        <v>140</v>
      </c>
      <c r="T2060" s="18" t="s">
        <v>141</v>
      </c>
      <c r="U2060" s="18"/>
      <c r="V2060" s="19" t="s">
        <v>29</v>
      </c>
      <c r="W2060" s="19"/>
      <c r="X2060" s="19"/>
      <c r="Y2060" s="20"/>
      <c r="Z2060" s="19"/>
      <c r="AA2060" s="18" t="str">
        <f aca="false">IF(OR(V2060="Aprobada"),R2060,IF(AND(OR(V2060="Aprobada con ajuste",V2060="Rechazada"),W2060&lt;&gt;""),W2060,""))</f>
        <v/>
      </c>
    </row>
    <row r="2061" customFormat="false" ht="43.25" hidden="false" customHeight="false" outlineLevel="0" collapsed="false">
      <c r="A2061" s="18" t="s">
        <v>8808</v>
      </c>
      <c r="B2061" s="18" t="s">
        <v>66</v>
      </c>
      <c r="C2061" s="18" t="s">
        <v>67</v>
      </c>
      <c r="D2061" s="18" t="s">
        <v>8759</v>
      </c>
      <c r="E2061" s="18" t="n">
        <v>0</v>
      </c>
      <c r="F2061" s="18" t="s">
        <v>7647</v>
      </c>
      <c r="G2061" s="18" t="s">
        <v>180</v>
      </c>
      <c r="H2061" s="18" t="s">
        <v>162</v>
      </c>
      <c r="I2061" s="18"/>
      <c r="J2061" s="18"/>
      <c r="K2061" s="18"/>
      <c r="L2061" s="18" t="s">
        <v>129</v>
      </c>
      <c r="M2061" s="18" t="s">
        <v>129</v>
      </c>
      <c r="N2061" s="18"/>
      <c r="O2061" s="18"/>
      <c r="P2061" s="18" t="s">
        <v>8809</v>
      </c>
      <c r="Q2061" s="18" t="s">
        <v>138</v>
      </c>
      <c r="R2061" s="18" t="s">
        <v>7649</v>
      </c>
      <c r="S2061" s="18" t="s">
        <v>140</v>
      </c>
      <c r="T2061" s="18" t="s">
        <v>141</v>
      </c>
      <c r="U2061" s="18"/>
      <c r="V2061" s="19" t="s">
        <v>29</v>
      </c>
      <c r="W2061" s="19"/>
      <c r="X2061" s="19"/>
      <c r="Y2061" s="20"/>
      <c r="Z2061" s="19"/>
      <c r="AA2061" s="18" t="str">
        <f aca="false">IF(OR(V2061="Aprobada"),R2061,IF(AND(OR(V2061="Aprobada con ajuste",V2061="Rechazada"),W2061&lt;&gt;""),W2061,""))</f>
        <v/>
      </c>
    </row>
    <row r="2062" customFormat="false" ht="43.25" hidden="false" customHeight="false" outlineLevel="0" collapsed="false">
      <c r="A2062" s="18" t="s">
        <v>8810</v>
      </c>
      <c r="B2062" s="18" t="s">
        <v>66</v>
      </c>
      <c r="C2062" s="18" t="s">
        <v>67</v>
      </c>
      <c r="D2062" s="18" t="s">
        <v>8811</v>
      </c>
      <c r="E2062" s="18" t="n">
        <v>14</v>
      </c>
      <c r="F2062" s="18" t="s">
        <v>611</v>
      </c>
      <c r="G2062" s="18" t="s">
        <v>180</v>
      </c>
      <c r="H2062" s="18" t="s">
        <v>129</v>
      </c>
      <c r="I2062" s="18" t="s">
        <v>146</v>
      </c>
      <c r="J2062" s="18"/>
      <c r="K2062" s="18"/>
      <c r="L2062" s="18" t="s">
        <v>129</v>
      </c>
      <c r="M2062" s="18" t="s">
        <v>129</v>
      </c>
      <c r="N2062" s="18"/>
      <c r="O2062" s="18" t="s">
        <v>8812</v>
      </c>
      <c r="P2062" s="18" t="s">
        <v>8813</v>
      </c>
      <c r="Q2062" s="18" t="s">
        <v>138</v>
      </c>
      <c r="R2062" s="18" t="s">
        <v>8814</v>
      </c>
      <c r="S2062" s="18" t="s">
        <v>140</v>
      </c>
      <c r="T2062" s="18" t="s">
        <v>141</v>
      </c>
      <c r="U2062" s="18"/>
      <c r="V2062" s="19" t="s">
        <v>29</v>
      </c>
      <c r="W2062" s="19"/>
      <c r="X2062" s="19"/>
      <c r="Y2062" s="20"/>
      <c r="Z2062" s="19"/>
      <c r="AA2062" s="18" t="str">
        <f aca="false">IF(OR(V2062="Aprobada"),R2062,IF(AND(OR(V2062="Aprobada con ajuste",V2062="Rechazada"),W2062&lt;&gt;""),W2062,""))</f>
        <v/>
      </c>
    </row>
    <row r="2063" customFormat="false" ht="22.35" hidden="false" customHeight="false" outlineLevel="0" collapsed="false">
      <c r="A2063" s="18" t="s">
        <v>8815</v>
      </c>
      <c r="B2063" s="18" t="s">
        <v>66</v>
      </c>
      <c r="C2063" s="18" t="s">
        <v>67</v>
      </c>
      <c r="D2063" s="18" t="s">
        <v>8811</v>
      </c>
      <c r="E2063" s="18" t="n">
        <v>14</v>
      </c>
      <c r="F2063" s="18" t="s">
        <v>8816</v>
      </c>
      <c r="G2063" s="18" t="s">
        <v>180</v>
      </c>
      <c r="H2063" s="18" t="s">
        <v>162</v>
      </c>
      <c r="I2063" s="18"/>
      <c r="J2063" s="18"/>
      <c r="K2063" s="18"/>
      <c r="L2063" s="18" t="s">
        <v>129</v>
      </c>
      <c r="M2063" s="18" t="s">
        <v>129</v>
      </c>
      <c r="N2063" s="18"/>
      <c r="O2063" s="18"/>
      <c r="P2063" s="18"/>
      <c r="Q2063" s="18" t="s">
        <v>149</v>
      </c>
      <c r="R2063" s="18" t="s">
        <v>8817</v>
      </c>
      <c r="S2063" s="18" t="s">
        <v>140</v>
      </c>
      <c r="T2063" s="18" t="s">
        <v>183</v>
      </c>
      <c r="U2063" s="18" t="s">
        <v>8818</v>
      </c>
      <c r="V2063" s="19" t="s">
        <v>29</v>
      </c>
      <c r="W2063" s="19"/>
      <c r="X2063" s="19"/>
      <c r="Y2063" s="20"/>
      <c r="Z2063" s="19"/>
      <c r="AA2063" s="18" t="str">
        <f aca="false">IF(OR(V2063="Aprobada"),R2063,IF(AND(OR(V2063="Aprobada con ajuste",V2063="Rechazada"),W2063&lt;&gt;""),W2063,""))</f>
        <v/>
      </c>
    </row>
    <row r="2064" customFormat="false" ht="43.25" hidden="false" customHeight="false" outlineLevel="0" collapsed="false">
      <c r="A2064" s="18" t="s">
        <v>8819</v>
      </c>
      <c r="B2064" s="18" t="s">
        <v>66</v>
      </c>
      <c r="C2064" s="18" t="s">
        <v>67</v>
      </c>
      <c r="D2064" s="18" t="s">
        <v>8811</v>
      </c>
      <c r="E2064" s="18" t="n">
        <v>14</v>
      </c>
      <c r="F2064" s="18" t="s">
        <v>4369</v>
      </c>
      <c r="G2064" s="18" t="s">
        <v>180</v>
      </c>
      <c r="H2064" s="18" t="s">
        <v>129</v>
      </c>
      <c r="I2064" s="18"/>
      <c r="J2064" s="18"/>
      <c r="K2064" s="18"/>
      <c r="L2064" s="18" t="s">
        <v>129</v>
      </c>
      <c r="M2064" s="18" t="s">
        <v>129</v>
      </c>
      <c r="N2064" s="18"/>
      <c r="O2064" s="18"/>
      <c r="P2064" s="18" t="s">
        <v>8820</v>
      </c>
      <c r="Q2064" s="18" t="s">
        <v>149</v>
      </c>
      <c r="R2064" s="18" t="s">
        <v>5806</v>
      </c>
      <c r="S2064" s="18" t="s">
        <v>133</v>
      </c>
      <c r="T2064" s="18" t="s">
        <v>183</v>
      </c>
      <c r="U2064" s="18"/>
      <c r="V2064" s="19" t="s">
        <v>29</v>
      </c>
      <c r="W2064" s="19"/>
      <c r="X2064" s="19"/>
      <c r="Y2064" s="20"/>
      <c r="Z2064" s="19"/>
      <c r="AA2064" s="18" t="str">
        <f aca="false">IF(OR(V2064="Aprobada"),R2064,IF(AND(OR(V2064="Aprobada con ajuste",V2064="Rechazada"),W2064&lt;&gt;""),W2064,""))</f>
        <v/>
      </c>
    </row>
    <row r="2065" customFormat="false" ht="43.25" hidden="false" customHeight="false" outlineLevel="0" collapsed="false">
      <c r="A2065" s="18" t="s">
        <v>8821</v>
      </c>
      <c r="B2065" s="18" t="s">
        <v>66</v>
      </c>
      <c r="C2065" s="18" t="s">
        <v>67</v>
      </c>
      <c r="D2065" s="18" t="s">
        <v>8811</v>
      </c>
      <c r="E2065" s="18" t="n">
        <v>14</v>
      </c>
      <c r="F2065" s="18" t="s">
        <v>160</v>
      </c>
      <c r="G2065" s="18" t="s">
        <v>128</v>
      </c>
      <c r="H2065" s="18" t="s">
        <v>162</v>
      </c>
      <c r="I2065" s="18"/>
      <c r="J2065" s="18"/>
      <c r="K2065" s="18"/>
      <c r="L2065" s="18" t="s">
        <v>129</v>
      </c>
      <c r="M2065" s="18" t="s">
        <v>129</v>
      </c>
      <c r="N2065" s="18"/>
      <c r="O2065" s="18"/>
      <c r="P2065" s="18" t="s">
        <v>8822</v>
      </c>
      <c r="Q2065" s="18" t="s">
        <v>138</v>
      </c>
      <c r="R2065" s="18" t="s">
        <v>8823</v>
      </c>
      <c r="S2065" s="18" t="s">
        <v>140</v>
      </c>
      <c r="T2065" s="18" t="s">
        <v>141</v>
      </c>
      <c r="U2065" s="18"/>
      <c r="V2065" s="19" t="s">
        <v>29</v>
      </c>
      <c r="W2065" s="19"/>
      <c r="X2065" s="19"/>
      <c r="Y2065" s="20"/>
      <c r="Z2065" s="19"/>
      <c r="AA2065" s="18" t="str">
        <f aca="false">IF(OR(V2065="Aprobada"),R2065,IF(AND(OR(V2065="Aprobada con ajuste",V2065="Rechazada"),W2065&lt;&gt;""),W2065,""))</f>
        <v/>
      </c>
    </row>
    <row r="2066" customFormat="false" ht="43.25" hidden="false" customHeight="false" outlineLevel="0" collapsed="false">
      <c r="A2066" s="18" t="s">
        <v>8824</v>
      </c>
      <c r="B2066" s="18" t="s">
        <v>66</v>
      </c>
      <c r="C2066" s="18" t="s">
        <v>67</v>
      </c>
      <c r="D2066" s="18" t="s">
        <v>8811</v>
      </c>
      <c r="E2066" s="18" t="n">
        <v>14</v>
      </c>
      <c r="F2066" s="18" t="s">
        <v>8825</v>
      </c>
      <c r="G2066" s="18" t="s">
        <v>192</v>
      </c>
      <c r="H2066" s="18" t="s">
        <v>129</v>
      </c>
      <c r="I2066" s="18"/>
      <c r="J2066" s="18"/>
      <c r="K2066" s="18"/>
      <c r="L2066" s="18" t="s">
        <v>129</v>
      </c>
      <c r="M2066" s="18" t="s">
        <v>129</v>
      </c>
      <c r="N2066" s="18"/>
      <c r="O2066" s="18"/>
      <c r="P2066" s="18" t="s">
        <v>8826</v>
      </c>
      <c r="Q2066" s="18" t="s">
        <v>149</v>
      </c>
      <c r="R2066" s="18" t="s">
        <v>8827</v>
      </c>
      <c r="S2066" s="18" t="s">
        <v>133</v>
      </c>
      <c r="T2066" s="18" t="s">
        <v>8546</v>
      </c>
      <c r="U2066" s="18"/>
      <c r="V2066" s="19" t="s">
        <v>29</v>
      </c>
      <c r="W2066" s="19"/>
      <c r="X2066" s="19"/>
      <c r="Y2066" s="20"/>
      <c r="Z2066" s="19"/>
      <c r="AA2066" s="18" t="str">
        <f aca="false">IF(OR(V2066="Aprobada"),R2066,IF(AND(OR(V2066="Aprobada con ajuste",V2066="Rechazada"),W2066&lt;&gt;""),W2066,""))</f>
        <v/>
      </c>
    </row>
    <row r="2067" customFormat="false" ht="43.25" hidden="false" customHeight="false" outlineLevel="0" collapsed="false">
      <c r="A2067" s="18" t="s">
        <v>8828</v>
      </c>
      <c r="B2067" s="18" t="s">
        <v>66</v>
      </c>
      <c r="C2067" s="18" t="s">
        <v>67</v>
      </c>
      <c r="D2067" s="18" t="s">
        <v>8811</v>
      </c>
      <c r="E2067" s="18" t="n">
        <v>14</v>
      </c>
      <c r="F2067" s="18" t="s">
        <v>5465</v>
      </c>
      <c r="G2067" s="18" t="s">
        <v>180</v>
      </c>
      <c r="H2067" s="18" t="s">
        <v>129</v>
      </c>
      <c r="I2067" s="18"/>
      <c r="J2067" s="18"/>
      <c r="K2067" s="18"/>
      <c r="L2067" s="18" t="s">
        <v>129</v>
      </c>
      <c r="M2067" s="18" t="s">
        <v>162</v>
      </c>
      <c r="N2067" s="18" t="s">
        <v>8829</v>
      </c>
      <c r="O2067" s="18"/>
      <c r="P2067" s="18" t="s">
        <v>8830</v>
      </c>
      <c r="Q2067" s="18" t="s">
        <v>149</v>
      </c>
      <c r="R2067" s="18" t="s">
        <v>8831</v>
      </c>
      <c r="S2067" s="18" t="s">
        <v>133</v>
      </c>
      <c r="T2067" s="18" t="s">
        <v>8832</v>
      </c>
      <c r="U2067" s="18"/>
      <c r="V2067" s="19" t="s">
        <v>29</v>
      </c>
      <c r="W2067" s="19"/>
      <c r="X2067" s="19"/>
      <c r="Y2067" s="20"/>
      <c r="Z2067" s="19"/>
      <c r="AA2067" s="18" t="str">
        <f aca="false">IF(OR(V2067="Aprobada"),R2067,IF(AND(OR(V2067="Aprobada con ajuste",V2067="Rechazada"),W2067&lt;&gt;""),W2067,""))</f>
        <v/>
      </c>
    </row>
    <row r="2068" customFormat="false" ht="126.85" hidden="false" customHeight="false" outlineLevel="0" collapsed="false">
      <c r="A2068" s="18" t="s">
        <v>8833</v>
      </c>
      <c r="B2068" s="18" t="s">
        <v>66</v>
      </c>
      <c r="C2068" s="18" t="s">
        <v>67</v>
      </c>
      <c r="D2068" s="18" t="s">
        <v>8811</v>
      </c>
      <c r="E2068" s="18" t="n">
        <v>14</v>
      </c>
      <c r="F2068" s="18" t="s">
        <v>8834</v>
      </c>
      <c r="G2068" s="18" t="s">
        <v>180</v>
      </c>
      <c r="H2068" s="18" t="s">
        <v>129</v>
      </c>
      <c r="I2068" s="18"/>
      <c r="J2068" s="18"/>
      <c r="K2068" s="18"/>
      <c r="L2068" s="18" t="s">
        <v>129</v>
      </c>
      <c r="M2068" s="18" t="s">
        <v>162</v>
      </c>
      <c r="N2068" s="18" t="s">
        <v>8835</v>
      </c>
      <c r="O2068" s="18"/>
      <c r="P2068" s="18" t="s">
        <v>8836</v>
      </c>
      <c r="Q2068" s="18" t="s">
        <v>149</v>
      </c>
      <c r="R2068" s="18" t="s">
        <v>8837</v>
      </c>
      <c r="S2068" s="18" t="s">
        <v>140</v>
      </c>
      <c r="T2068" s="18" t="s">
        <v>8838</v>
      </c>
      <c r="U2068" s="18" t="s">
        <v>8644</v>
      </c>
      <c r="V2068" s="19" t="s">
        <v>29</v>
      </c>
      <c r="W2068" s="19"/>
      <c r="X2068" s="19"/>
      <c r="Y2068" s="20"/>
      <c r="Z2068" s="19"/>
      <c r="AA2068" s="18" t="str">
        <f aca="false">IF(OR(V2068="Aprobada"),R2068,IF(AND(OR(V2068="Aprobada con ajuste",V2068="Rechazada"),W2068&lt;&gt;""),W2068,""))</f>
        <v/>
      </c>
    </row>
    <row r="2069" customFormat="false" ht="85.05" hidden="false" customHeight="false" outlineLevel="0" collapsed="false">
      <c r="A2069" s="18" t="s">
        <v>8839</v>
      </c>
      <c r="B2069" s="18" t="s">
        <v>66</v>
      </c>
      <c r="C2069" s="18" t="s">
        <v>67</v>
      </c>
      <c r="D2069" s="18" t="s">
        <v>8811</v>
      </c>
      <c r="E2069" s="18" t="n">
        <v>14</v>
      </c>
      <c r="F2069" s="18" t="s">
        <v>185</v>
      </c>
      <c r="G2069" s="18" t="s">
        <v>145</v>
      </c>
      <c r="H2069" s="18" t="s">
        <v>129</v>
      </c>
      <c r="I2069" s="18" t="s">
        <v>298</v>
      </c>
      <c r="J2069" s="18" t="s">
        <v>8840</v>
      </c>
      <c r="K2069" s="18"/>
      <c r="L2069" s="18" t="s">
        <v>162</v>
      </c>
      <c r="M2069" s="18" t="s">
        <v>162</v>
      </c>
      <c r="N2069" s="18" t="s">
        <v>8841</v>
      </c>
      <c r="O2069" s="18" t="s">
        <v>8842</v>
      </c>
      <c r="P2069" s="18" t="s">
        <v>8843</v>
      </c>
      <c r="Q2069" s="18" t="s">
        <v>138</v>
      </c>
      <c r="R2069" s="18" t="s">
        <v>8844</v>
      </c>
      <c r="S2069" s="18" t="s">
        <v>140</v>
      </c>
      <c r="T2069" s="18" t="s">
        <v>141</v>
      </c>
      <c r="U2069" s="18"/>
      <c r="V2069" s="19" t="s">
        <v>29</v>
      </c>
      <c r="W2069" s="19"/>
      <c r="X2069" s="19"/>
      <c r="Y2069" s="20"/>
      <c r="Z2069" s="19"/>
      <c r="AA2069" s="18" t="str">
        <f aca="false">IF(OR(V2069="Aprobada"),R2069,IF(AND(OR(V2069="Aprobada con ajuste",V2069="Rechazada"),W2069&lt;&gt;""),W2069,""))</f>
        <v/>
      </c>
    </row>
    <row r="2070" customFormat="false" ht="43.25" hidden="false" customHeight="false" outlineLevel="0" collapsed="false">
      <c r="A2070" s="18" t="s">
        <v>8845</v>
      </c>
      <c r="B2070" s="18" t="s">
        <v>66</v>
      </c>
      <c r="C2070" s="18" t="s">
        <v>67</v>
      </c>
      <c r="D2070" s="18" t="s">
        <v>8811</v>
      </c>
      <c r="E2070" s="18" t="n">
        <v>14</v>
      </c>
      <c r="F2070" s="18" t="s">
        <v>2681</v>
      </c>
      <c r="G2070" s="18" t="s">
        <v>137</v>
      </c>
      <c r="H2070" s="18" t="s">
        <v>162</v>
      </c>
      <c r="I2070" s="18"/>
      <c r="J2070" s="18"/>
      <c r="K2070" s="18"/>
      <c r="L2070" s="18" t="s">
        <v>129</v>
      </c>
      <c r="M2070" s="18" t="s">
        <v>129</v>
      </c>
      <c r="N2070" s="18"/>
      <c r="O2070" s="18"/>
      <c r="P2070" s="18" t="s">
        <v>8846</v>
      </c>
      <c r="Q2070" s="18" t="s">
        <v>138</v>
      </c>
      <c r="R2070" s="18" t="s">
        <v>2683</v>
      </c>
      <c r="S2070" s="18" t="s">
        <v>140</v>
      </c>
      <c r="T2070" s="18" t="s">
        <v>141</v>
      </c>
      <c r="U2070" s="18"/>
      <c r="V2070" s="19" t="s">
        <v>29</v>
      </c>
      <c r="W2070" s="19"/>
      <c r="X2070" s="19"/>
      <c r="Y2070" s="20"/>
      <c r="Z2070" s="19"/>
      <c r="AA2070" s="18" t="str">
        <f aca="false">IF(OR(V2070="Aprobada"),R2070,IF(AND(OR(V2070="Aprobada con ajuste",V2070="Rechazada"),W2070&lt;&gt;""),W2070,""))</f>
        <v/>
      </c>
    </row>
    <row r="2071" customFormat="false" ht="22.35" hidden="false" customHeight="false" outlineLevel="0" collapsed="false">
      <c r="A2071" s="18" t="s">
        <v>8847</v>
      </c>
      <c r="B2071" s="18" t="s">
        <v>66</v>
      </c>
      <c r="C2071" s="18" t="s">
        <v>67</v>
      </c>
      <c r="D2071" s="18" t="s">
        <v>8811</v>
      </c>
      <c r="E2071" s="18" t="n">
        <v>14</v>
      </c>
      <c r="F2071" s="18" t="s">
        <v>8848</v>
      </c>
      <c r="G2071" s="18" t="s">
        <v>137</v>
      </c>
      <c r="H2071" s="18" t="s">
        <v>162</v>
      </c>
      <c r="I2071" s="18"/>
      <c r="J2071" s="18"/>
      <c r="K2071" s="18"/>
      <c r="L2071" s="18" t="s">
        <v>129</v>
      </c>
      <c r="M2071" s="18" t="s">
        <v>129</v>
      </c>
      <c r="N2071" s="18"/>
      <c r="O2071" s="18"/>
      <c r="P2071" s="18"/>
      <c r="Q2071" s="18" t="s">
        <v>138</v>
      </c>
      <c r="R2071" s="18" t="s">
        <v>8849</v>
      </c>
      <c r="S2071" s="18" t="s">
        <v>140</v>
      </c>
      <c r="T2071" s="18" t="s">
        <v>141</v>
      </c>
      <c r="U2071" s="18"/>
      <c r="V2071" s="19" t="s">
        <v>29</v>
      </c>
      <c r="W2071" s="19"/>
      <c r="X2071" s="19"/>
      <c r="Y2071" s="20"/>
      <c r="Z2071" s="19"/>
      <c r="AA2071" s="18" t="str">
        <f aca="false">IF(OR(V2071="Aprobada"),R2071,IF(AND(OR(V2071="Aprobada con ajuste",V2071="Rechazada"),W2071&lt;&gt;""),W2071,""))</f>
        <v/>
      </c>
    </row>
    <row r="2072" customFormat="false" ht="43.25" hidden="false" customHeight="false" outlineLevel="0" collapsed="false">
      <c r="A2072" s="18" t="s">
        <v>8850</v>
      </c>
      <c r="B2072" s="18" t="s">
        <v>66</v>
      </c>
      <c r="C2072" s="18" t="s">
        <v>67</v>
      </c>
      <c r="D2072" s="18" t="s">
        <v>8811</v>
      </c>
      <c r="E2072" s="18" t="n">
        <v>14</v>
      </c>
      <c r="F2072" s="18" t="s">
        <v>6639</v>
      </c>
      <c r="G2072" s="18" t="s">
        <v>137</v>
      </c>
      <c r="H2072" s="18" t="s">
        <v>129</v>
      </c>
      <c r="I2072" s="18"/>
      <c r="J2072" s="18"/>
      <c r="K2072" s="18"/>
      <c r="L2072" s="18" t="s">
        <v>129</v>
      </c>
      <c r="M2072" s="18" t="s">
        <v>162</v>
      </c>
      <c r="N2072" s="18" t="s">
        <v>8851</v>
      </c>
      <c r="O2072" s="18"/>
      <c r="P2072" s="18" t="s">
        <v>8852</v>
      </c>
      <c r="Q2072" s="18" t="s">
        <v>138</v>
      </c>
      <c r="R2072" s="18" t="s">
        <v>6640</v>
      </c>
      <c r="S2072" s="18" t="s">
        <v>140</v>
      </c>
      <c r="T2072" s="18" t="s">
        <v>141</v>
      </c>
      <c r="U2072" s="18"/>
      <c r="V2072" s="19" t="s">
        <v>29</v>
      </c>
      <c r="W2072" s="19"/>
      <c r="X2072" s="19"/>
      <c r="Y2072" s="20"/>
      <c r="Z2072" s="19"/>
      <c r="AA2072" s="18" t="str">
        <f aca="false">IF(OR(V2072="Aprobada"),R2072,IF(AND(OR(V2072="Aprobada con ajuste",V2072="Rechazada"),W2072&lt;&gt;""),W2072,""))</f>
        <v/>
      </c>
    </row>
    <row r="2073" customFormat="false" ht="22.35" hidden="false" customHeight="false" outlineLevel="0" collapsed="false">
      <c r="A2073" s="18" t="s">
        <v>8853</v>
      </c>
      <c r="B2073" s="18" t="s">
        <v>66</v>
      </c>
      <c r="C2073" s="18" t="s">
        <v>67</v>
      </c>
      <c r="D2073" s="18" t="s">
        <v>8811</v>
      </c>
      <c r="E2073" s="18" t="n">
        <v>14</v>
      </c>
      <c r="F2073" s="18" t="s">
        <v>7310</v>
      </c>
      <c r="G2073" s="18" t="s">
        <v>137</v>
      </c>
      <c r="H2073" s="18" t="s">
        <v>162</v>
      </c>
      <c r="I2073" s="18"/>
      <c r="J2073" s="18"/>
      <c r="K2073" s="18"/>
      <c r="L2073" s="18" t="s">
        <v>129</v>
      </c>
      <c r="M2073" s="18" t="s">
        <v>129</v>
      </c>
      <c r="N2073" s="18"/>
      <c r="O2073" s="18"/>
      <c r="P2073" s="18"/>
      <c r="Q2073" s="18" t="s">
        <v>138</v>
      </c>
      <c r="R2073" s="18" t="s">
        <v>8854</v>
      </c>
      <c r="S2073" s="18" t="s">
        <v>140</v>
      </c>
      <c r="T2073" s="18" t="s">
        <v>141</v>
      </c>
      <c r="U2073" s="18"/>
      <c r="V2073" s="19" t="s">
        <v>29</v>
      </c>
      <c r="W2073" s="19"/>
      <c r="X2073" s="19"/>
      <c r="Y2073" s="20"/>
      <c r="Z2073" s="19"/>
      <c r="AA2073" s="18" t="str">
        <f aca="false">IF(OR(V2073="Aprobada"),R2073,IF(AND(OR(V2073="Aprobada con ajuste",V2073="Rechazada"),W2073&lt;&gt;""),W2073,""))</f>
        <v/>
      </c>
    </row>
    <row r="2074" customFormat="false" ht="22.35" hidden="false" customHeight="false" outlineLevel="0" collapsed="false">
      <c r="A2074" s="18" t="s">
        <v>8855</v>
      </c>
      <c r="B2074" s="18" t="s">
        <v>66</v>
      </c>
      <c r="C2074" s="18" t="s">
        <v>67</v>
      </c>
      <c r="D2074" s="18" t="s">
        <v>8811</v>
      </c>
      <c r="E2074" s="18" t="n">
        <v>14</v>
      </c>
      <c r="F2074" s="18" t="s">
        <v>6518</v>
      </c>
      <c r="G2074" s="18" t="s">
        <v>192</v>
      </c>
      <c r="H2074" s="18" t="s">
        <v>162</v>
      </c>
      <c r="I2074" s="18"/>
      <c r="J2074" s="18"/>
      <c r="K2074" s="18"/>
      <c r="L2074" s="18" t="s">
        <v>129</v>
      </c>
      <c r="M2074" s="18" t="s">
        <v>129</v>
      </c>
      <c r="N2074" s="18"/>
      <c r="O2074" s="18"/>
      <c r="P2074" s="18"/>
      <c r="Q2074" s="18" t="s">
        <v>149</v>
      </c>
      <c r="R2074" s="18" t="s">
        <v>8856</v>
      </c>
      <c r="S2074" s="18" t="s">
        <v>140</v>
      </c>
      <c r="T2074" s="18" t="s">
        <v>183</v>
      </c>
      <c r="U2074" s="18" t="s">
        <v>8857</v>
      </c>
      <c r="V2074" s="19" t="s">
        <v>29</v>
      </c>
      <c r="W2074" s="19"/>
      <c r="X2074" s="19"/>
      <c r="Y2074" s="20"/>
      <c r="Z2074" s="19"/>
      <c r="AA2074" s="18" t="str">
        <f aca="false">IF(OR(V2074="Aprobada"),R2074,IF(AND(OR(V2074="Aprobada con ajuste",V2074="Rechazada"),W2074&lt;&gt;""),W2074,""))</f>
        <v/>
      </c>
    </row>
    <row r="2075" customFormat="false" ht="22.35" hidden="false" customHeight="false" outlineLevel="0" collapsed="false">
      <c r="A2075" s="18" t="s">
        <v>8858</v>
      </c>
      <c r="B2075" s="18" t="s">
        <v>66</v>
      </c>
      <c r="C2075" s="18" t="s">
        <v>67</v>
      </c>
      <c r="D2075" s="18" t="s">
        <v>8811</v>
      </c>
      <c r="E2075" s="18" t="n">
        <v>14</v>
      </c>
      <c r="F2075" s="18" t="s">
        <v>8859</v>
      </c>
      <c r="G2075" s="18" t="s">
        <v>192</v>
      </c>
      <c r="H2075" s="18" t="s">
        <v>162</v>
      </c>
      <c r="I2075" s="18"/>
      <c r="J2075" s="18"/>
      <c r="K2075" s="18"/>
      <c r="L2075" s="18" t="s">
        <v>129</v>
      </c>
      <c r="M2075" s="18" t="s">
        <v>129</v>
      </c>
      <c r="N2075" s="18"/>
      <c r="O2075" s="18"/>
      <c r="P2075" s="18"/>
      <c r="Q2075" s="18" t="s">
        <v>149</v>
      </c>
      <c r="R2075" s="18" t="s">
        <v>8860</v>
      </c>
      <c r="S2075" s="18" t="s">
        <v>140</v>
      </c>
      <c r="T2075" s="18" t="s">
        <v>183</v>
      </c>
      <c r="U2075" s="18" t="s">
        <v>8861</v>
      </c>
      <c r="V2075" s="19" t="s">
        <v>29</v>
      </c>
      <c r="W2075" s="19"/>
      <c r="X2075" s="19"/>
      <c r="Y2075" s="20"/>
      <c r="Z2075" s="19"/>
      <c r="AA2075" s="18" t="str">
        <f aca="false">IF(OR(V2075="Aprobada"),R2075,IF(AND(OR(V2075="Aprobada con ajuste",V2075="Rechazada"),W2075&lt;&gt;""),W2075,""))</f>
        <v/>
      </c>
    </row>
    <row r="2076" customFormat="false" ht="22.35" hidden="false" customHeight="false" outlineLevel="0" collapsed="false">
      <c r="A2076" s="18" t="s">
        <v>8862</v>
      </c>
      <c r="B2076" s="18" t="s">
        <v>66</v>
      </c>
      <c r="C2076" s="18" t="s">
        <v>67</v>
      </c>
      <c r="D2076" s="18" t="s">
        <v>8811</v>
      </c>
      <c r="E2076" s="18" t="n">
        <v>14</v>
      </c>
      <c r="F2076" s="18" t="s">
        <v>8863</v>
      </c>
      <c r="G2076" s="18" t="s">
        <v>503</v>
      </c>
      <c r="H2076" s="18" t="s">
        <v>162</v>
      </c>
      <c r="I2076" s="18"/>
      <c r="J2076" s="18"/>
      <c r="K2076" s="18"/>
      <c r="L2076" s="18" t="s">
        <v>129</v>
      </c>
      <c r="M2076" s="18" t="s">
        <v>129</v>
      </c>
      <c r="N2076" s="18"/>
      <c r="O2076" s="18"/>
      <c r="P2076" s="18"/>
      <c r="Q2076" s="18" t="s">
        <v>149</v>
      </c>
      <c r="R2076" s="18" t="s">
        <v>8864</v>
      </c>
      <c r="S2076" s="18" t="s">
        <v>140</v>
      </c>
      <c r="T2076" s="18" t="s">
        <v>183</v>
      </c>
      <c r="U2076" s="18" t="s">
        <v>8865</v>
      </c>
      <c r="V2076" s="19" t="s">
        <v>29</v>
      </c>
      <c r="W2076" s="19"/>
      <c r="X2076" s="19"/>
      <c r="Y2076" s="20"/>
      <c r="Z2076" s="19"/>
      <c r="AA2076" s="18" t="str">
        <f aca="false">IF(OR(V2076="Aprobada"),R2076,IF(AND(OR(V2076="Aprobada con ajuste",V2076="Rechazada"),W2076&lt;&gt;""),W2076,""))</f>
        <v/>
      </c>
    </row>
    <row r="2077" customFormat="false" ht="74.6" hidden="false" customHeight="false" outlineLevel="0" collapsed="false">
      <c r="A2077" s="18" t="s">
        <v>8866</v>
      </c>
      <c r="B2077" s="18" t="s">
        <v>66</v>
      </c>
      <c r="C2077" s="18" t="s">
        <v>67</v>
      </c>
      <c r="D2077" s="18" t="s">
        <v>8811</v>
      </c>
      <c r="E2077" s="18" t="n">
        <v>14</v>
      </c>
      <c r="F2077" s="18" t="s">
        <v>4639</v>
      </c>
      <c r="G2077" s="18" t="s">
        <v>180</v>
      </c>
      <c r="H2077" s="18" t="s">
        <v>162</v>
      </c>
      <c r="I2077" s="18"/>
      <c r="J2077" s="18"/>
      <c r="K2077" s="18"/>
      <c r="L2077" s="18" t="s">
        <v>129</v>
      </c>
      <c r="M2077" s="18" t="s">
        <v>162</v>
      </c>
      <c r="N2077" s="18" t="s">
        <v>6868</v>
      </c>
      <c r="O2077" s="18"/>
      <c r="P2077" s="18" t="s">
        <v>8867</v>
      </c>
      <c r="Q2077" s="18" t="s">
        <v>138</v>
      </c>
      <c r="R2077" s="18" t="s">
        <v>4640</v>
      </c>
      <c r="S2077" s="18" t="s">
        <v>140</v>
      </c>
      <c r="T2077" s="18" t="s">
        <v>141</v>
      </c>
      <c r="U2077" s="18"/>
      <c r="V2077" s="19" t="s">
        <v>29</v>
      </c>
      <c r="W2077" s="19"/>
      <c r="X2077" s="19"/>
      <c r="Y2077" s="20"/>
      <c r="Z2077" s="19"/>
      <c r="AA2077" s="18" t="str">
        <f aca="false">IF(OR(V2077="Aprobada"),R2077,IF(AND(OR(V2077="Aprobada con ajuste",V2077="Rechazada"),W2077&lt;&gt;""),W2077,""))</f>
        <v/>
      </c>
    </row>
    <row r="2078" customFormat="false" ht="22.35" hidden="false" customHeight="false" outlineLevel="0" collapsed="false">
      <c r="A2078" s="18" t="s">
        <v>8868</v>
      </c>
      <c r="B2078" s="18" t="s">
        <v>66</v>
      </c>
      <c r="C2078" s="18" t="s">
        <v>67</v>
      </c>
      <c r="D2078" s="18" t="s">
        <v>8811</v>
      </c>
      <c r="E2078" s="18" t="n">
        <v>14</v>
      </c>
      <c r="F2078" s="18" t="s">
        <v>886</v>
      </c>
      <c r="G2078" s="18" t="s">
        <v>128</v>
      </c>
      <c r="H2078" s="18" t="s">
        <v>162</v>
      </c>
      <c r="I2078" s="18"/>
      <c r="J2078" s="18"/>
      <c r="K2078" s="18"/>
      <c r="L2078" s="18" t="s">
        <v>129</v>
      </c>
      <c r="M2078" s="18" t="s">
        <v>129</v>
      </c>
      <c r="N2078" s="18"/>
      <c r="O2078" s="18"/>
      <c r="P2078" s="18"/>
      <c r="Q2078" s="18" t="s">
        <v>138</v>
      </c>
      <c r="R2078" s="18" t="s">
        <v>1693</v>
      </c>
      <c r="S2078" s="18" t="s">
        <v>140</v>
      </c>
      <c r="T2078" s="18" t="s">
        <v>141</v>
      </c>
      <c r="U2078" s="18"/>
      <c r="V2078" s="19" t="s">
        <v>29</v>
      </c>
      <c r="W2078" s="19"/>
      <c r="X2078" s="19"/>
      <c r="Y2078" s="20"/>
      <c r="Z2078" s="19"/>
      <c r="AA2078" s="18" t="str">
        <f aca="false">IF(OR(V2078="Aprobada"),R2078,IF(AND(OR(V2078="Aprobada con ajuste",V2078="Rechazada"),W2078&lt;&gt;""),W2078,""))</f>
        <v/>
      </c>
    </row>
    <row r="2079" customFormat="false" ht="43.25" hidden="false" customHeight="false" outlineLevel="0" collapsed="false">
      <c r="A2079" s="18" t="s">
        <v>8869</v>
      </c>
      <c r="B2079" s="18" t="s">
        <v>66</v>
      </c>
      <c r="C2079" s="18" t="s">
        <v>67</v>
      </c>
      <c r="D2079" s="18" t="s">
        <v>8811</v>
      </c>
      <c r="E2079" s="18" t="n">
        <v>14</v>
      </c>
      <c r="F2079" s="18" t="s">
        <v>8870</v>
      </c>
      <c r="G2079" s="18" t="s">
        <v>128</v>
      </c>
      <c r="H2079" s="18" t="s">
        <v>162</v>
      </c>
      <c r="I2079" s="18"/>
      <c r="J2079" s="18"/>
      <c r="K2079" s="18"/>
      <c r="L2079" s="18" t="s">
        <v>129</v>
      </c>
      <c r="M2079" s="18" t="s">
        <v>129</v>
      </c>
      <c r="N2079" s="18"/>
      <c r="O2079" s="18"/>
      <c r="P2079" s="18" t="s">
        <v>8871</v>
      </c>
      <c r="Q2079" s="18" t="s">
        <v>149</v>
      </c>
      <c r="R2079" s="18" t="s">
        <v>8872</v>
      </c>
      <c r="S2079" s="18" t="s">
        <v>133</v>
      </c>
      <c r="T2079" s="18" t="s">
        <v>183</v>
      </c>
      <c r="U2079" s="18"/>
      <c r="V2079" s="19" t="s">
        <v>29</v>
      </c>
      <c r="W2079" s="19"/>
      <c r="X2079" s="19"/>
      <c r="Y2079" s="20"/>
      <c r="Z2079" s="19"/>
      <c r="AA2079" s="18" t="str">
        <f aca="false">IF(OR(V2079="Aprobada"),R2079,IF(AND(OR(V2079="Aprobada con ajuste",V2079="Rechazada"),W2079&lt;&gt;""),W2079,""))</f>
        <v/>
      </c>
    </row>
    <row r="2080" customFormat="false" ht="43.25" hidden="false" customHeight="false" outlineLevel="0" collapsed="false">
      <c r="A2080" s="18" t="s">
        <v>8873</v>
      </c>
      <c r="B2080" s="18" t="s">
        <v>66</v>
      </c>
      <c r="C2080" s="18" t="s">
        <v>67</v>
      </c>
      <c r="D2080" s="18" t="s">
        <v>8811</v>
      </c>
      <c r="E2080" s="18" t="n">
        <v>14</v>
      </c>
      <c r="F2080" s="18" t="s">
        <v>6800</v>
      </c>
      <c r="G2080" s="18" t="s">
        <v>128</v>
      </c>
      <c r="H2080" s="18" t="s">
        <v>162</v>
      </c>
      <c r="I2080" s="18"/>
      <c r="J2080" s="18"/>
      <c r="K2080" s="18"/>
      <c r="L2080" s="18" t="s">
        <v>129</v>
      </c>
      <c r="M2080" s="18" t="s">
        <v>129</v>
      </c>
      <c r="N2080" s="18"/>
      <c r="O2080" s="18"/>
      <c r="P2080" s="18" t="s">
        <v>8874</v>
      </c>
      <c r="Q2080" s="18" t="s">
        <v>138</v>
      </c>
      <c r="R2080" s="18" t="s">
        <v>6801</v>
      </c>
      <c r="S2080" s="18" t="s">
        <v>140</v>
      </c>
      <c r="T2080" s="18" t="s">
        <v>141</v>
      </c>
      <c r="U2080" s="18"/>
      <c r="V2080" s="19" t="s">
        <v>29</v>
      </c>
      <c r="W2080" s="19"/>
      <c r="X2080" s="19"/>
      <c r="Y2080" s="20"/>
      <c r="Z2080" s="19"/>
      <c r="AA2080" s="18" t="str">
        <f aca="false">IF(OR(V2080="Aprobada"),R2080,IF(AND(OR(V2080="Aprobada con ajuste",V2080="Rechazada"),W2080&lt;&gt;""),W2080,""))</f>
        <v/>
      </c>
    </row>
    <row r="2081" customFormat="false" ht="32.8" hidden="false" customHeight="false" outlineLevel="0" collapsed="false">
      <c r="A2081" s="18" t="s">
        <v>8875</v>
      </c>
      <c r="B2081" s="18" t="s">
        <v>66</v>
      </c>
      <c r="C2081" s="18" t="s">
        <v>67</v>
      </c>
      <c r="D2081" s="18" t="s">
        <v>8811</v>
      </c>
      <c r="E2081" s="18" t="n">
        <v>14</v>
      </c>
      <c r="F2081" s="18" t="s">
        <v>8876</v>
      </c>
      <c r="G2081" s="18" t="s">
        <v>192</v>
      </c>
      <c r="H2081" s="18" t="s">
        <v>162</v>
      </c>
      <c r="I2081" s="18"/>
      <c r="J2081" s="18"/>
      <c r="K2081" s="18"/>
      <c r="L2081" s="18" t="s">
        <v>129</v>
      </c>
      <c r="M2081" s="18" t="s">
        <v>129</v>
      </c>
      <c r="N2081" s="18"/>
      <c r="O2081" s="18"/>
      <c r="P2081" s="18"/>
      <c r="Q2081" s="18" t="s">
        <v>149</v>
      </c>
      <c r="R2081" s="18" t="s">
        <v>8877</v>
      </c>
      <c r="S2081" s="18" t="s">
        <v>140</v>
      </c>
      <c r="T2081" s="18" t="s">
        <v>183</v>
      </c>
      <c r="U2081" s="18" t="s">
        <v>8878</v>
      </c>
      <c r="V2081" s="19" t="s">
        <v>29</v>
      </c>
      <c r="W2081" s="19"/>
      <c r="X2081" s="19"/>
      <c r="Y2081" s="20"/>
      <c r="Z2081" s="19"/>
      <c r="AA2081" s="18" t="str">
        <f aca="false">IF(OR(V2081="Aprobada"),R2081,IF(AND(OR(V2081="Aprobada con ajuste",V2081="Rechazada"),W2081&lt;&gt;""),W2081,""))</f>
        <v/>
      </c>
    </row>
    <row r="2082" customFormat="false" ht="22.35" hidden="false" customHeight="false" outlineLevel="0" collapsed="false">
      <c r="A2082" s="18" t="s">
        <v>8879</v>
      </c>
      <c r="B2082" s="18" t="s">
        <v>66</v>
      </c>
      <c r="C2082" s="18" t="s">
        <v>67</v>
      </c>
      <c r="D2082" s="18" t="s">
        <v>8811</v>
      </c>
      <c r="E2082" s="18" t="n">
        <v>14</v>
      </c>
      <c r="F2082" s="18" t="s">
        <v>8880</v>
      </c>
      <c r="G2082" s="18" t="s">
        <v>180</v>
      </c>
      <c r="H2082" s="18" t="s">
        <v>162</v>
      </c>
      <c r="I2082" s="18"/>
      <c r="J2082" s="18"/>
      <c r="K2082" s="18"/>
      <c r="L2082" s="18" t="s">
        <v>129</v>
      </c>
      <c r="M2082" s="18" t="s">
        <v>129</v>
      </c>
      <c r="N2082" s="18"/>
      <c r="O2082" s="18"/>
      <c r="P2082" s="18"/>
      <c r="Q2082" s="18" t="s">
        <v>149</v>
      </c>
      <c r="R2082" s="18" t="s">
        <v>8881</v>
      </c>
      <c r="S2082" s="18" t="s">
        <v>140</v>
      </c>
      <c r="T2082" s="18" t="s">
        <v>183</v>
      </c>
      <c r="U2082" s="18" t="s">
        <v>8767</v>
      </c>
      <c r="V2082" s="19" t="s">
        <v>29</v>
      </c>
      <c r="W2082" s="19"/>
      <c r="X2082" s="19"/>
      <c r="Y2082" s="20"/>
      <c r="Z2082" s="19"/>
      <c r="AA2082" s="18" t="str">
        <f aca="false">IF(OR(V2082="Aprobada"),R2082,IF(AND(OR(V2082="Aprobada con ajuste",V2082="Rechazada"),W2082&lt;&gt;""),W2082,""))</f>
        <v/>
      </c>
    </row>
    <row r="2083" customFormat="false" ht="22.35" hidden="false" customHeight="false" outlineLevel="0" collapsed="false">
      <c r="A2083" s="18" t="s">
        <v>8882</v>
      </c>
      <c r="B2083" s="18" t="s">
        <v>66</v>
      </c>
      <c r="C2083" s="18" t="s">
        <v>67</v>
      </c>
      <c r="D2083" s="18" t="s">
        <v>8811</v>
      </c>
      <c r="E2083" s="18" t="n">
        <v>14</v>
      </c>
      <c r="F2083" s="18" t="s">
        <v>8883</v>
      </c>
      <c r="G2083" s="18" t="s">
        <v>503</v>
      </c>
      <c r="H2083" s="18" t="s">
        <v>162</v>
      </c>
      <c r="I2083" s="18" t="s">
        <v>298</v>
      </c>
      <c r="J2083" s="18"/>
      <c r="K2083" s="18"/>
      <c r="L2083" s="18" t="s">
        <v>129</v>
      </c>
      <c r="M2083" s="18" t="s">
        <v>129</v>
      </c>
      <c r="N2083" s="18"/>
      <c r="O2083" s="18"/>
      <c r="P2083" s="18"/>
      <c r="Q2083" s="18" t="s">
        <v>149</v>
      </c>
      <c r="R2083" s="18" t="s">
        <v>8884</v>
      </c>
      <c r="S2083" s="18" t="s">
        <v>140</v>
      </c>
      <c r="T2083" s="18" t="s">
        <v>183</v>
      </c>
      <c r="U2083" s="18" t="s">
        <v>8885</v>
      </c>
      <c r="V2083" s="19" t="s">
        <v>29</v>
      </c>
      <c r="W2083" s="19"/>
      <c r="X2083" s="19"/>
      <c r="Y2083" s="20"/>
      <c r="Z2083" s="19"/>
      <c r="AA2083" s="18" t="str">
        <f aca="false">IF(OR(V2083="Aprobada"),R2083,IF(AND(OR(V2083="Aprobada con ajuste",V2083="Rechazada"),W2083&lt;&gt;""),W2083,""))</f>
        <v/>
      </c>
    </row>
    <row r="2084" customFormat="false" ht="22.35" hidden="false" customHeight="false" outlineLevel="0" collapsed="false">
      <c r="A2084" s="18" t="s">
        <v>8886</v>
      </c>
      <c r="B2084" s="18" t="s">
        <v>66</v>
      </c>
      <c r="C2084" s="18" t="s">
        <v>67</v>
      </c>
      <c r="D2084" s="18" t="s">
        <v>8811</v>
      </c>
      <c r="E2084" s="18" t="n">
        <v>14</v>
      </c>
      <c r="F2084" s="18" t="s">
        <v>8887</v>
      </c>
      <c r="G2084" s="18" t="s">
        <v>503</v>
      </c>
      <c r="H2084" s="18" t="s">
        <v>162</v>
      </c>
      <c r="I2084" s="18"/>
      <c r="J2084" s="18"/>
      <c r="K2084" s="18"/>
      <c r="L2084" s="18" t="s">
        <v>129</v>
      </c>
      <c r="M2084" s="18" t="s">
        <v>129</v>
      </c>
      <c r="N2084" s="18"/>
      <c r="O2084" s="18"/>
      <c r="P2084" s="18"/>
      <c r="Q2084" s="18" t="s">
        <v>149</v>
      </c>
      <c r="R2084" s="18" t="s">
        <v>8888</v>
      </c>
      <c r="S2084" s="18" t="s">
        <v>133</v>
      </c>
      <c r="T2084" s="18" t="s">
        <v>183</v>
      </c>
      <c r="U2084" s="18"/>
      <c r="V2084" s="19" t="s">
        <v>29</v>
      </c>
      <c r="W2084" s="19"/>
      <c r="X2084" s="19"/>
      <c r="Y2084" s="20"/>
      <c r="Z2084" s="19"/>
      <c r="AA2084" s="18" t="str">
        <f aca="false">IF(OR(V2084="Aprobada"),R2084,IF(AND(OR(V2084="Aprobada con ajuste",V2084="Rechazada"),W2084&lt;&gt;""),W2084,""))</f>
        <v/>
      </c>
    </row>
    <row r="2085" customFormat="false" ht="22.35" hidden="false" customHeight="false" outlineLevel="0" collapsed="false">
      <c r="A2085" s="18" t="s">
        <v>8889</v>
      </c>
      <c r="B2085" s="18" t="s">
        <v>66</v>
      </c>
      <c r="C2085" s="18" t="s">
        <v>67</v>
      </c>
      <c r="D2085" s="18" t="s">
        <v>8811</v>
      </c>
      <c r="E2085" s="18" t="n">
        <v>14</v>
      </c>
      <c r="F2085" s="18" t="s">
        <v>8890</v>
      </c>
      <c r="G2085" s="18" t="s">
        <v>503</v>
      </c>
      <c r="H2085" s="18" t="s">
        <v>162</v>
      </c>
      <c r="I2085" s="18"/>
      <c r="J2085" s="18"/>
      <c r="K2085" s="18"/>
      <c r="L2085" s="18" t="s">
        <v>129</v>
      </c>
      <c r="M2085" s="18" t="s">
        <v>129</v>
      </c>
      <c r="N2085" s="18"/>
      <c r="O2085" s="18"/>
      <c r="P2085" s="18"/>
      <c r="Q2085" s="18" t="s">
        <v>149</v>
      </c>
      <c r="R2085" s="18" t="s">
        <v>8891</v>
      </c>
      <c r="S2085" s="18" t="s">
        <v>133</v>
      </c>
      <c r="T2085" s="18" t="s">
        <v>8892</v>
      </c>
      <c r="U2085" s="18"/>
      <c r="V2085" s="19" t="s">
        <v>29</v>
      </c>
      <c r="W2085" s="19"/>
      <c r="X2085" s="19"/>
      <c r="Y2085" s="20"/>
      <c r="Z2085" s="19"/>
      <c r="AA2085" s="18" t="str">
        <f aca="false">IF(OR(V2085="Aprobada"),R2085,IF(AND(OR(V2085="Aprobada con ajuste",V2085="Rechazada"),W2085&lt;&gt;""),W2085,""))</f>
        <v/>
      </c>
    </row>
    <row r="2086" customFormat="false" ht="22.35" hidden="false" customHeight="false" outlineLevel="0" collapsed="false">
      <c r="A2086" s="18" t="s">
        <v>8893</v>
      </c>
      <c r="B2086" s="18" t="s">
        <v>66</v>
      </c>
      <c r="C2086" s="18" t="s">
        <v>67</v>
      </c>
      <c r="D2086" s="18" t="s">
        <v>8811</v>
      </c>
      <c r="E2086" s="18" t="n">
        <v>14</v>
      </c>
      <c r="F2086" s="18" t="s">
        <v>8894</v>
      </c>
      <c r="G2086" s="18" t="s">
        <v>137</v>
      </c>
      <c r="H2086" s="18" t="s">
        <v>162</v>
      </c>
      <c r="I2086" s="18"/>
      <c r="J2086" s="18"/>
      <c r="K2086" s="18"/>
      <c r="L2086" s="18" t="s">
        <v>129</v>
      </c>
      <c r="M2086" s="18" t="s">
        <v>129</v>
      </c>
      <c r="N2086" s="18"/>
      <c r="O2086" s="18"/>
      <c r="P2086" s="18"/>
      <c r="Q2086" s="18" t="s">
        <v>149</v>
      </c>
      <c r="R2086" s="18" t="s">
        <v>8895</v>
      </c>
      <c r="S2086" s="18" t="s">
        <v>133</v>
      </c>
      <c r="T2086" s="18" t="s">
        <v>183</v>
      </c>
      <c r="U2086" s="18"/>
      <c r="V2086" s="19" t="s">
        <v>29</v>
      </c>
      <c r="W2086" s="19"/>
      <c r="X2086" s="19"/>
      <c r="Y2086" s="20"/>
      <c r="Z2086" s="19"/>
      <c r="AA2086" s="18" t="str">
        <f aca="false">IF(OR(V2086="Aprobada"),R2086,IF(AND(OR(V2086="Aprobada con ajuste",V2086="Rechazada"),W2086&lt;&gt;""),W2086,""))</f>
        <v/>
      </c>
    </row>
    <row r="2087" customFormat="false" ht="32.8" hidden="false" customHeight="false" outlineLevel="0" collapsed="false">
      <c r="A2087" s="18" t="s">
        <v>8896</v>
      </c>
      <c r="B2087" s="18" t="s">
        <v>66</v>
      </c>
      <c r="C2087" s="18" t="s">
        <v>67</v>
      </c>
      <c r="D2087" s="18" t="s">
        <v>8897</v>
      </c>
      <c r="E2087" s="18" t="n">
        <v>0</v>
      </c>
      <c r="F2087" s="18" t="s">
        <v>611</v>
      </c>
      <c r="G2087" s="18" t="s">
        <v>180</v>
      </c>
      <c r="H2087" s="18" t="s">
        <v>129</v>
      </c>
      <c r="I2087" s="18" t="s">
        <v>146</v>
      </c>
      <c r="J2087" s="18"/>
      <c r="K2087" s="18"/>
      <c r="L2087" s="18" t="s">
        <v>129</v>
      </c>
      <c r="M2087" s="18" t="s">
        <v>129</v>
      </c>
      <c r="N2087" s="18"/>
      <c r="O2087" s="18" t="s">
        <v>8898</v>
      </c>
      <c r="P2087" s="18"/>
      <c r="Q2087" s="18" t="s">
        <v>138</v>
      </c>
      <c r="R2087" s="18" t="s">
        <v>8899</v>
      </c>
      <c r="S2087" s="18" t="s">
        <v>140</v>
      </c>
      <c r="T2087" s="18" t="s">
        <v>141</v>
      </c>
      <c r="U2087" s="18"/>
      <c r="V2087" s="19" t="s">
        <v>29</v>
      </c>
      <c r="W2087" s="19"/>
      <c r="X2087" s="19"/>
      <c r="Y2087" s="20"/>
      <c r="Z2087" s="19"/>
      <c r="AA2087" s="18" t="str">
        <f aca="false">IF(OR(V2087="Aprobada"),R2087,IF(AND(OR(V2087="Aprobada con ajuste",V2087="Rechazada"),W2087&lt;&gt;""),W2087,""))</f>
        <v/>
      </c>
    </row>
    <row r="2088" customFormat="false" ht="22.35" hidden="false" customHeight="false" outlineLevel="0" collapsed="false">
      <c r="A2088" s="18" t="s">
        <v>8900</v>
      </c>
      <c r="B2088" s="18" t="s">
        <v>66</v>
      </c>
      <c r="C2088" s="18" t="s">
        <v>67</v>
      </c>
      <c r="D2088" s="18" t="s">
        <v>8897</v>
      </c>
      <c r="E2088" s="18" t="n">
        <v>0</v>
      </c>
      <c r="F2088" s="18" t="s">
        <v>275</v>
      </c>
      <c r="G2088" s="18" t="s">
        <v>180</v>
      </c>
      <c r="H2088" s="18" t="s">
        <v>129</v>
      </c>
      <c r="I2088" s="18"/>
      <c r="J2088" s="18"/>
      <c r="K2088" s="18"/>
      <c r="L2088" s="18" t="s">
        <v>129</v>
      </c>
      <c r="M2088" s="18" t="s">
        <v>129</v>
      </c>
      <c r="N2088" s="18"/>
      <c r="O2088" s="18"/>
      <c r="P2088" s="18"/>
      <c r="Q2088" s="18" t="s">
        <v>138</v>
      </c>
      <c r="R2088" s="18" t="s">
        <v>8901</v>
      </c>
      <c r="S2088" s="18" t="s">
        <v>140</v>
      </c>
      <c r="T2088" s="18" t="s">
        <v>141</v>
      </c>
      <c r="U2088" s="18"/>
      <c r="V2088" s="19" t="s">
        <v>29</v>
      </c>
      <c r="W2088" s="19"/>
      <c r="X2088" s="19"/>
      <c r="Y2088" s="20"/>
      <c r="Z2088" s="19"/>
      <c r="AA2088" s="18" t="str">
        <f aca="false">IF(OR(V2088="Aprobada"),R2088,IF(AND(OR(V2088="Aprobada con ajuste",V2088="Rechazada"),W2088&lt;&gt;""),W2088,""))</f>
        <v/>
      </c>
    </row>
    <row r="2089" customFormat="false" ht="22.35" hidden="false" customHeight="false" outlineLevel="0" collapsed="false">
      <c r="A2089" s="18" t="s">
        <v>8902</v>
      </c>
      <c r="B2089" s="18" t="s">
        <v>66</v>
      </c>
      <c r="C2089" s="18" t="s">
        <v>67</v>
      </c>
      <c r="D2089" s="18" t="s">
        <v>8897</v>
      </c>
      <c r="E2089" s="18" t="n">
        <v>0</v>
      </c>
      <c r="F2089" s="18" t="s">
        <v>4478</v>
      </c>
      <c r="G2089" s="18" t="s">
        <v>161</v>
      </c>
      <c r="H2089" s="18" t="s">
        <v>129</v>
      </c>
      <c r="I2089" s="18"/>
      <c r="J2089" s="18"/>
      <c r="K2089" s="18"/>
      <c r="L2089" s="18" t="s">
        <v>129</v>
      </c>
      <c r="M2089" s="18" t="s">
        <v>129</v>
      </c>
      <c r="N2089" s="18"/>
      <c r="O2089" s="18"/>
      <c r="P2089" s="18"/>
      <c r="Q2089" s="18" t="s">
        <v>149</v>
      </c>
      <c r="R2089" s="18" t="s">
        <v>8903</v>
      </c>
      <c r="S2089" s="18" t="s">
        <v>133</v>
      </c>
      <c r="T2089" s="18" t="s">
        <v>183</v>
      </c>
      <c r="U2089" s="18"/>
      <c r="V2089" s="19" t="s">
        <v>29</v>
      </c>
      <c r="W2089" s="19"/>
      <c r="X2089" s="19"/>
      <c r="Y2089" s="20"/>
      <c r="Z2089" s="19"/>
      <c r="AA2089" s="18" t="str">
        <f aca="false">IF(OR(V2089="Aprobada"),R2089,IF(AND(OR(V2089="Aprobada con ajuste",V2089="Rechazada"),W2089&lt;&gt;""),W2089,""))</f>
        <v/>
      </c>
    </row>
    <row r="2090" customFormat="false" ht="22.35" hidden="false" customHeight="false" outlineLevel="0" collapsed="false">
      <c r="A2090" s="18" t="s">
        <v>8904</v>
      </c>
      <c r="B2090" s="18" t="s">
        <v>66</v>
      </c>
      <c r="C2090" s="18" t="s">
        <v>67</v>
      </c>
      <c r="D2090" s="18" t="s">
        <v>8897</v>
      </c>
      <c r="E2090" s="18" t="n">
        <v>0</v>
      </c>
      <c r="F2090" s="18" t="s">
        <v>4483</v>
      </c>
      <c r="G2090" s="18" t="s">
        <v>128</v>
      </c>
      <c r="H2090" s="18" t="s">
        <v>129</v>
      </c>
      <c r="I2090" s="18"/>
      <c r="J2090" s="18"/>
      <c r="K2090" s="18"/>
      <c r="L2090" s="18" t="s">
        <v>129</v>
      </c>
      <c r="M2090" s="18" t="s">
        <v>129</v>
      </c>
      <c r="N2090" s="18"/>
      <c r="O2090" s="18"/>
      <c r="P2090" s="18"/>
      <c r="Q2090" s="18" t="s">
        <v>149</v>
      </c>
      <c r="R2090" s="18" t="s">
        <v>8905</v>
      </c>
      <c r="S2090" s="18" t="s">
        <v>140</v>
      </c>
      <c r="T2090" s="18" t="s">
        <v>183</v>
      </c>
      <c r="U2090" s="18" t="s">
        <v>8906</v>
      </c>
      <c r="V2090" s="19" t="s">
        <v>29</v>
      </c>
      <c r="W2090" s="19"/>
      <c r="X2090" s="19"/>
      <c r="Y2090" s="20"/>
      <c r="Z2090" s="19"/>
      <c r="AA2090" s="18" t="str">
        <f aca="false">IF(OR(V2090="Aprobada"),R2090,IF(AND(OR(V2090="Aprobada con ajuste",V2090="Rechazada"),W2090&lt;&gt;""),W2090,""))</f>
        <v/>
      </c>
    </row>
    <row r="2091" customFormat="false" ht="22.35" hidden="false" customHeight="false" outlineLevel="0" collapsed="false">
      <c r="A2091" s="18" t="s">
        <v>8907</v>
      </c>
      <c r="B2091" s="18" t="s">
        <v>66</v>
      </c>
      <c r="C2091" s="18" t="s">
        <v>67</v>
      </c>
      <c r="D2091" s="18" t="s">
        <v>8897</v>
      </c>
      <c r="E2091" s="18" t="n">
        <v>0</v>
      </c>
      <c r="F2091" s="18" t="s">
        <v>8908</v>
      </c>
      <c r="G2091" s="18" t="s">
        <v>192</v>
      </c>
      <c r="H2091" s="18" t="s">
        <v>162</v>
      </c>
      <c r="I2091" s="18"/>
      <c r="J2091" s="18"/>
      <c r="K2091" s="18"/>
      <c r="L2091" s="18" t="s">
        <v>129</v>
      </c>
      <c r="M2091" s="18" t="s">
        <v>129</v>
      </c>
      <c r="N2091" s="18"/>
      <c r="O2091" s="18"/>
      <c r="P2091" s="18"/>
      <c r="Q2091" s="18" t="s">
        <v>149</v>
      </c>
      <c r="R2091" s="18" t="s">
        <v>8909</v>
      </c>
      <c r="S2091" s="18" t="s">
        <v>140</v>
      </c>
      <c r="T2091" s="18" t="s">
        <v>183</v>
      </c>
      <c r="U2091" s="18" t="s">
        <v>8910</v>
      </c>
      <c r="V2091" s="19" t="s">
        <v>29</v>
      </c>
      <c r="W2091" s="19"/>
      <c r="X2091" s="19"/>
      <c r="Y2091" s="20"/>
      <c r="Z2091" s="19"/>
      <c r="AA2091" s="18" t="str">
        <f aca="false">IF(OR(V2091="Aprobada"),R2091,IF(AND(OR(V2091="Aprobada con ajuste",V2091="Rechazada"),W2091&lt;&gt;""),W2091,""))</f>
        <v/>
      </c>
    </row>
    <row r="2092" customFormat="false" ht="22.35" hidden="false" customHeight="false" outlineLevel="0" collapsed="false">
      <c r="A2092" s="18" t="s">
        <v>8911</v>
      </c>
      <c r="B2092" s="18" t="s">
        <v>66</v>
      </c>
      <c r="C2092" s="18" t="s">
        <v>67</v>
      </c>
      <c r="D2092" s="18" t="s">
        <v>8897</v>
      </c>
      <c r="E2092" s="18" t="n">
        <v>0</v>
      </c>
      <c r="F2092" s="18" t="s">
        <v>1688</v>
      </c>
      <c r="G2092" s="18" t="s">
        <v>173</v>
      </c>
      <c r="H2092" s="18" t="s">
        <v>162</v>
      </c>
      <c r="I2092" s="18"/>
      <c r="J2092" s="18"/>
      <c r="K2092" s="18"/>
      <c r="L2092" s="18" t="s">
        <v>129</v>
      </c>
      <c r="M2092" s="18" t="s">
        <v>129</v>
      </c>
      <c r="N2092" s="18"/>
      <c r="O2092" s="18" t="s">
        <v>8912</v>
      </c>
      <c r="P2092" s="18"/>
      <c r="Q2092" s="18" t="s">
        <v>138</v>
      </c>
      <c r="R2092" s="18" t="s">
        <v>176</v>
      </c>
      <c r="S2092" s="18" t="s">
        <v>140</v>
      </c>
      <c r="T2092" s="18" t="s">
        <v>141</v>
      </c>
      <c r="U2092" s="18"/>
      <c r="V2092" s="19" t="s">
        <v>29</v>
      </c>
      <c r="W2092" s="19"/>
      <c r="X2092" s="19"/>
      <c r="Y2092" s="20"/>
      <c r="Z2092" s="19"/>
      <c r="AA2092" s="18" t="str">
        <f aca="false">IF(OR(V2092="Aprobada"),R2092,IF(AND(OR(V2092="Aprobada con ajuste",V2092="Rechazada"),W2092&lt;&gt;""),W2092,""))</f>
        <v/>
      </c>
    </row>
    <row r="2093" customFormat="false" ht="53.7" hidden="false" customHeight="false" outlineLevel="0" collapsed="false">
      <c r="A2093" s="18" t="s">
        <v>8913</v>
      </c>
      <c r="B2093" s="18" t="s">
        <v>66</v>
      </c>
      <c r="C2093" s="18" t="s">
        <v>67</v>
      </c>
      <c r="D2093" s="18" t="s">
        <v>8914</v>
      </c>
      <c r="E2093" s="18" t="n">
        <v>16</v>
      </c>
      <c r="F2093" s="18" t="s">
        <v>611</v>
      </c>
      <c r="G2093" s="18" t="s">
        <v>180</v>
      </c>
      <c r="H2093" s="18" t="s">
        <v>129</v>
      </c>
      <c r="I2093" s="18" t="s">
        <v>146</v>
      </c>
      <c r="J2093" s="18"/>
      <c r="K2093" s="18"/>
      <c r="L2093" s="18" t="s">
        <v>129</v>
      </c>
      <c r="M2093" s="18" t="s">
        <v>129</v>
      </c>
      <c r="N2093" s="18"/>
      <c r="O2093" s="18" t="s">
        <v>8915</v>
      </c>
      <c r="P2093" s="18" t="s">
        <v>8916</v>
      </c>
      <c r="Q2093" s="18" t="s">
        <v>138</v>
      </c>
      <c r="R2093" s="18" t="s">
        <v>8917</v>
      </c>
      <c r="S2093" s="18" t="s">
        <v>140</v>
      </c>
      <c r="T2093" s="18" t="s">
        <v>141</v>
      </c>
      <c r="U2093" s="18"/>
      <c r="V2093" s="19" t="s">
        <v>29</v>
      </c>
      <c r="W2093" s="19"/>
      <c r="X2093" s="19"/>
      <c r="Y2093" s="20"/>
      <c r="Z2093" s="19"/>
      <c r="AA2093" s="18" t="str">
        <f aca="false">IF(OR(V2093="Aprobada"),R2093,IF(AND(OR(V2093="Aprobada con ajuste",V2093="Rechazada"),W2093&lt;&gt;""),W2093,""))</f>
        <v/>
      </c>
    </row>
    <row r="2094" customFormat="false" ht="64.15" hidden="false" customHeight="false" outlineLevel="0" collapsed="false">
      <c r="A2094" s="18" t="s">
        <v>8918</v>
      </c>
      <c r="B2094" s="18" t="s">
        <v>66</v>
      </c>
      <c r="C2094" s="18" t="s">
        <v>67</v>
      </c>
      <c r="D2094" s="18" t="s">
        <v>8914</v>
      </c>
      <c r="E2094" s="18" t="n">
        <v>16</v>
      </c>
      <c r="F2094" s="18" t="s">
        <v>275</v>
      </c>
      <c r="G2094" s="18" t="s">
        <v>180</v>
      </c>
      <c r="H2094" s="18" t="s">
        <v>129</v>
      </c>
      <c r="I2094" s="18"/>
      <c r="J2094" s="18"/>
      <c r="K2094" s="18"/>
      <c r="L2094" s="18" t="s">
        <v>129</v>
      </c>
      <c r="M2094" s="18" t="s">
        <v>129</v>
      </c>
      <c r="N2094" s="18"/>
      <c r="O2094" s="18"/>
      <c r="P2094" s="18" t="s">
        <v>8919</v>
      </c>
      <c r="Q2094" s="18" t="s">
        <v>138</v>
      </c>
      <c r="R2094" s="18" t="s">
        <v>8920</v>
      </c>
      <c r="S2094" s="18" t="s">
        <v>140</v>
      </c>
      <c r="T2094" s="18" t="s">
        <v>141</v>
      </c>
      <c r="U2094" s="18"/>
      <c r="V2094" s="19" t="s">
        <v>29</v>
      </c>
      <c r="W2094" s="19"/>
      <c r="X2094" s="19"/>
      <c r="Y2094" s="20"/>
      <c r="Z2094" s="19"/>
      <c r="AA2094" s="18" t="str">
        <f aca="false">IF(OR(V2094="Aprobada"),R2094,IF(AND(OR(V2094="Aprobada con ajuste",V2094="Rechazada"),W2094&lt;&gt;""),W2094,""))</f>
        <v/>
      </c>
    </row>
    <row r="2095" customFormat="false" ht="43.25" hidden="false" customHeight="false" outlineLevel="0" collapsed="false">
      <c r="A2095" s="18" t="s">
        <v>8921</v>
      </c>
      <c r="B2095" s="18" t="s">
        <v>66</v>
      </c>
      <c r="C2095" s="18" t="s">
        <v>67</v>
      </c>
      <c r="D2095" s="18" t="s">
        <v>8914</v>
      </c>
      <c r="E2095" s="18" t="n">
        <v>16</v>
      </c>
      <c r="F2095" s="18" t="s">
        <v>160</v>
      </c>
      <c r="G2095" s="18" t="s">
        <v>128</v>
      </c>
      <c r="H2095" s="18" t="s">
        <v>162</v>
      </c>
      <c r="I2095" s="18"/>
      <c r="J2095" s="18"/>
      <c r="K2095" s="18"/>
      <c r="L2095" s="18" t="s">
        <v>129</v>
      </c>
      <c r="M2095" s="18" t="s">
        <v>129</v>
      </c>
      <c r="N2095" s="18"/>
      <c r="O2095" s="18"/>
      <c r="P2095" s="18" t="s">
        <v>8922</v>
      </c>
      <c r="Q2095" s="18" t="s">
        <v>138</v>
      </c>
      <c r="R2095" s="18" t="s">
        <v>8923</v>
      </c>
      <c r="S2095" s="18" t="s">
        <v>140</v>
      </c>
      <c r="T2095" s="18" t="s">
        <v>141</v>
      </c>
      <c r="U2095" s="18"/>
      <c r="V2095" s="19" t="s">
        <v>29</v>
      </c>
      <c r="W2095" s="19"/>
      <c r="X2095" s="19"/>
      <c r="Y2095" s="20"/>
      <c r="Z2095" s="19"/>
      <c r="AA2095" s="18" t="str">
        <f aca="false">IF(OR(V2095="Aprobada"),R2095,IF(AND(OR(V2095="Aprobada con ajuste",V2095="Rechazada"),W2095&lt;&gt;""),W2095,""))</f>
        <v/>
      </c>
    </row>
    <row r="2096" customFormat="false" ht="32.8" hidden="false" customHeight="false" outlineLevel="0" collapsed="false">
      <c r="A2096" s="18" t="s">
        <v>8924</v>
      </c>
      <c r="B2096" s="18" t="s">
        <v>66</v>
      </c>
      <c r="C2096" s="18" t="s">
        <v>67</v>
      </c>
      <c r="D2096" s="18" t="s">
        <v>8914</v>
      </c>
      <c r="E2096" s="18" t="n">
        <v>16</v>
      </c>
      <c r="F2096" s="18" t="s">
        <v>8925</v>
      </c>
      <c r="G2096" s="18" t="s">
        <v>145</v>
      </c>
      <c r="H2096" s="18" t="s">
        <v>129</v>
      </c>
      <c r="I2096" s="18" t="s">
        <v>298</v>
      </c>
      <c r="J2096" s="18" t="s">
        <v>8926</v>
      </c>
      <c r="K2096" s="18"/>
      <c r="L2096" s="18" t="s">
        <v>162</v>
      </c>
      <c r="M2096" s="18" t="s">
        <v>129</v>
      </c>
      <c r="N2096" s="18"/>
      <c r="O2096" s="18"/>
      <c r="P2096" s="18" t="s">
        <v>8927</v>
      </c>
      <c r="Q2096" s="18" t="s">
        <v>149</v>
      </c>
      <c r="R2096" s="18" t="s">
        <v>8928</v>
      </c>
      <c r="S2096" s="18" t="s">
        <v>133</v>
      </c>
      <c r="T2096" s="18" t="s">
        <v>801</v>
      </c>
      <c r="U2096" s="18"/>
      <c r="V2096" s="19" t="s">
        <v>29</v>
      </c>
      <c r="W2096" s="19"/>
      <c r="X2096" s="19"/>
      <c r="Y2096" s="20"/>
      <c r="Z2096" s="19"/>
      <c r="AA2096" s="18" t="str">
        <f aca="false">IF(OR(V2096="Aprobada"),R2096,IF(AND(OR(V2096="Aprobada con ajuste",V2096="Rechazada"),W2096&lt;&gt;""),W2096,""))</f>
        <v/>
      </c>
    </row>
    <row r="2097" customFormat="false" ht="32.8" hidden="false" customHeight="false" outlineLevel="0" collapsed="false">
      <c r="A2097" s="18" t="s">
        <v>8929</v>
      </c>
      <c r="B2097" s="18" t="s">
        <v>66</v>
      </c>
      <c r="C2097" s="18" t="s">
        <v>67</v>
      </c>
      <c r="D2097" s="18" t="s">
        <v>8914</v>
      </c>
      <c r="E2097" s="18" t="n">
        <v>16</v>
      </c>
      <c r="F2097" s="18" t="s">
        <v>8930</v>
      </c>
      <c r="G2097" s="18" t="s">
        <v>161</v>
      </c>
      <c r="H2097" s="18" t="s">
        <v>129</v>
      </c>
      <c r="I2097" s="18"/>
      <c r="J2097" s="18"/>
      <c r="K2097" s="18"/>
      <c r="L2097" s="18" t="s">
        <v>129</v>
      </c>
      <c r="M2097" s="18" t="s">
        <v>129</v>
      </c>
      <c r="N2097" s="18"/>
      <c r="O2097" s="18"/>
      <c r="P2097" s="18" t="s">
        <v>8931</v>
      </c>
      <c r="Q2097" s="18" t="s">
        <v>149</v>
      </c>
      <c r="R2097" s="18" t="s">
        <v>8932</v>
      </c>
      <c r="S2097" s="18" t="s">
        <v>140</v>
      </c>
      <c r="T2097" s="18" t="s">
        <v>183</v>
      </c>
      <c r="U2097" s="18" t="s">
        <v>8933</v>
      </c>
      <c r="V2097" s="19" t="s">
        <v>29</v>
      </c>
      <c r="W2097" s="19"/>
      <c r="X2097" s="19"/>
      <c r="Y2097" s="20"/>
      <c r="Z2097" s="19"/>
      <c r="AA2097" s="18" t="str">
        <f aca="false">IF(OR(V2097="Aprobada"),R2097,IF(AND(OR(V2097="Aprobada con ajuste",V2097="Rechazada"),W2097&lt;&gt;""),W2097,""))</f>
        <v/>
      </c>
    </row>
    <row r="2098" customFormat="false" ht="43.25" hidden="false" customHeight="false" outlineLevel="0" collapsed="false">
      <c r="A2098" s="18" t="s">
        <v>8934</v>
      </c>
      <c r="B2098" s="18" t="s">
        <v>66</v>
      </c>
      <c r="C2098" s="18" t="s">
        <v>67</v>
      </c>
      <c r="D2098" s="18" t="s">
        <v>8914</v>
      </c>
      <c r="E2098" s="18" t="n">
        <v>16</v>
      </c>
      <c r="F2098" s="18" t="s">
        <v>1688</v>
      </c>
      <c r="G2098" s="18" t="s">
        <v>173</v>
      </c>
      <c r="H2098" s="18" t="s">
        <v>162</v>
      </c>
      <c r="I2098" s="18"/>
      <c r="J2098" s="18"/>
      <c r="K2098" s="18"/>
      <c r="L2098" s="18" t="s">
        <v>129</v>
      </c>
      <c r="M2098" s="18" t="s">
        <v>129</v>
      </c>
      <c r="N2098" s="18"/>
      <c r="O2098" s="18"/>
      <c r="P2098" s="18" t="s">
        <v>8935</v>
      </c>
      <c r="Q2098" s="18" t="s">
        <v>138</v>
      </c>
      <c r="R2098" s="18" t="s">
        <v>176</v>
      </c>
      <c r="S2098" s="18" t="s">
        <v>140</v>
      </c>
      <c r="T2098" s="18" t="s">
        <v>141</v>
      </c>
      <c r="U2098" s="18"/>
      <c r="V2098" s="19" t="s">
        <v>29</v>
      </c>
      <c r="W2098" s="19"/>
      <c r="X2098" s="19"/>
      <c r="Y2098" s="20"/>
      <c r="Z2098" s="19"/>
      <c r="AA2098" s="18" t="str">
        <f aca="false">IF(OR(V2098="Aprobada"),R2098,IF(AND(OR(V2098="Aprobada con ajuste",V2098="Rechazada"),W2098&lt;&gt;""),W2098,""))</f>
        <v/>
      </c>
    </row>
    <row r="2099" customFormat="false" ht="43.25" hidden="false" customHeight="false" outlineLevel="0" collapsed="false">
      <c r="A2099" s="18" t="s">
        <v>8936</v>
      </c>
      <c r="B2099" s="18" t="s">
        <v>66</v>
      </c>
      <c r="C2099" s="18" t="s">
        <v>67</v>
      </c>
      <c r="D2099" s="18" t="s">
        <v>8914</v>
      </c>
      <c r="E2099" s="18" t="n">
        <v>16</v>
      </c>
      <c r="F2099" s="18" t="s">
        <v>1018</v>
      </c>
      <c r="G2099" s="18" t="s">
        <v>145</v>
      </c>
      <c r="H2099" s="18" t="s">
        <v>162</v>
      </c>
      <c r="I2099" s="18"/>
      <c r="J2099" s="18"/>
      <c r="K2099" s="18"/>
      <c r="L2099" s="18" t="s">
        <v>129</v>
      </c>
      <c r="M2099" s="18" t="s">
        <v>129</v>
      </c>
      <c r="N2099" s="18"/>
      <c r="O2099" s="18"/>
      <c r="P2099" s="18" t="s">
        <v>8937</v>
      </c>
      <c r="Q2099" s="18" t="s">
        <v>138</v>
      </c>
      <c r="R2099" s="18" t="s">
        <v>2302</v>
      </c>
      <c r="S2099" s="18" t="s">
        <v>140</v>
      </c>
      <c r="T2099" s="18" t="s">
        <v>141</v>
      </c>
      <c r="U2099" s="18"/>
      <c r="V2099" s="19" t="s">
        <v>29</v>
      </c>
      <c r="W2099" s="19"/>
      <c r="X2099" s="19"/>
      <c r="Y2099" s="20"/>
      <c r="Z2099" s="19"/>
      <c r="AA2099" s="18" t="str">
        <f aca="false">IF(OR(V2099="Aprobada"),R2099,IF(AND(OR(V2099="Aprobada con ajuste",V2099="Rechazada"),W2099&lt;&gt;""),W2099,""))</f>
        <v/>
      </c>
    </row>
    <row r="2100" customFormat="false" ht="22.35" hidden="false" customHeight="false" outlineLevel="0" collapsed="false">
      <c r="A2100" s="18" t="s">
        <v>8938</v>
      </c>
      <c r="B2100" s="18" t="s">
        <v>66</v>
      </c>
      <c r="C2100" s="18" t="s">
        <v>67</v>
      </c>
      <c r="D2100" s="18" t="s">
        <v>8939</v>
      </c>
      <c r="E2100" s="18" t="n">
        <v>0</v>
      </c>
      <c r="F2100" s="18" t="s">
        <v>611</v>
      </c>
      <c r="G2100" s="18" t="s">
        <v>180</v>
      </c>
      <c r="H2100" s="18" t="s">
        <v>129</v>
      </c>
      <c r="I2100" s="18" t="s">
        <v>146</v>
      </c>
      <c r="J2100" s="18"/>
      <c r="K2100" s="18"/>
      <c r="L2100" s="18" t="s">
        <v>129</v>
      </c>
      <c r="M2100" s="18" t="s">
        <v>129</v>
      </c>
      <c r="N2100" s="18"/>
      <c r="O2100" s="18" t="s">
        <v>8940</v>
      </c>
      <c r="P2100" s="18"/>
      <c r="Q2100" s="18" t="s">
        <v>138</v>
      </c>
      <c r="R2100" s="18" t="s">
        <v>8941</v>
      </c>
      <c r="S2100" s="18" t="s">
        <v>140</v>
      </c>
      <c r="T2100" s="18" t="s">
        <v>141</v>
      </c>
      <c r="U2100" s="18"/>
      <c r="V2100" s="19" t="s">
        <v>29</v>
      </c>
      <c r="W2100" s="19"/>
      <c r="X2100" s="19"/>
      <c r="Y2100" s="20"/>
      <c r="Z2100" s="19"/>
      <c r="AA2100" s="18" t="str">
        <f aca="false">IF(OR(V2100="Aprobada"),R2100,IF(AND(OR(V2100="Aprobada con ajuste",V2100="Rechazada"),W2100&lt;&gt;""),W2100,""))</f>
        <v/>
      </c>
    </row>
    <row r="2101" customFormat="false" ht="22.35" hidden="false" customHeight="false" outlineLevel="0" collapsed="false">
      <c r="A2101" s="18" t="s">
        <v>8942</v>
      </c>
      <c r="B2101" s="18" t="s">
        <v>66</v>
      </c>
      <c r="C2101" s="18" t="s">
        <v>67</v>
      </c>
      <c r="D2101" s="18" t="s">
        <v>8939</v>
      </c>
      <c r="E2101" s="18" t="n">
        <v>0</v>
      </c>
      <c r="F2101" s="18" t="s">
        <v>275</v>
      </c>
      <c r="G2101" s="18" t="s">
        <v>180</v>
      </c>
      <c r="H2101" s="18" t="s">
        <v>129</v>
      </c>
      <c r="I2101" s="18"/>
      <c r="J2101" s="18"/>
      <c r="K2101" s="18"/>
      <c r="L2101" s="18" t="s">
        <v>129</v>
      </c>
      <c r="M2101" s="18" t="s">
        <v>129</v>
      </c>
      <c r="N2101" s="18"/>
      <c r="O2101" s="18"/>
      <c r="P2101" s="18"/>
      <c r="Q2101" s="18" t="s">
        <v>138</v>
      </c>
      <c r="R2101" s="18" t="s">
        <v>8943</v>
      </c>
      <c r="S2101" s="18" t="s">
        <v>140</v>
      </c>
      <c r="T2101" s="18" t="s">
        <v>141</v>
      </c>
      <c r="U2101" s="18"/>
      <c r="V2101" s="19" t="s">
        <v>29</v>
      </c>
      <c r="W2101" s="19"/>
      <c r="X2101" s="19"/>
      <c r="Y2101" s="20"/>
      <c r="Z2101" s="19"/>
      <c r="AA2101" s="18" t="str">
        <f aca="false">IF(OR(V2101="Aprobada"),R2101,IF(AND(OR(V2101="Aprobada con ajuste",V2101="Rechazada"),W2101&lt;&gt;""),W2101,""))</f>
        <v/>
      </c>
    </row>
    <row r="2102" customFormat="false" ht="22.35" hidden="false" customHeight="false" outlineLevel="0" collapsed="false">
      <c r="A2102" s="18" t="s">
        <v>8944</v>
      </c>
      <c r="B2102" s="18" t="s">
        <v>66</v>
      </c>
      <c r="C2102" s="18" t="s">
        <v>67</v>
      </c>
      <c r="D2102" s="18" t="s">
        <v>8939</v>
      </c>
      <c r="E2102" s="18" t="n">
        <v>0</v>
      </c>
      <c r="F2102" s="18" t="s">
        <v>127</v>
      </c>
      <c r="G2102" s="18" t="s">
        <v>486</v>
      </c>
      <c r="H2102" s="18" t="s">
        <v>129</v>
      </c>
      <c r="I2102" s="18"/>
      <c r="J2102" s="18"/>
      <c r="K2102" s="18"/>
      <c r="L2102" s="18" t="s">
        <v>129</v>
      </c>
      <c r="M2102" s="18" t="s">
        <v>129</v>
      </c>
      <c r="N2102" s="18"/>
      <c r="O2102" s="18" t="s">
        <v>8945</v>
      </c>
      <c r="P2102" s="18"/>
      <c r="Q2102" s="18" t="s">
        <v>138</v>
      </c>
      <c r="R2102" s="18" t="s">
        <v>8946</v>
      </c>
      <c r="S2102" s="18" t="s">
        <v>140</v>
      </c>
      <c r="T2102" s="18" t="s">
        <v>141</v>
      </c>
      <c r="U2102" s="18"/>
      <c r="V2102" s="19" t="s">
        <v>29</v>
      </c>
      <c r="W2102" s="19"/>
      <c r="X2102" s="19"/>
      <c r="Y2102" s="20"/>
      <c r="Z2102" s="19"/>
      <c r="AA2102" s="18" t="str">
        <f aca="false">IF(OR(V2102="Aprobada"),R2102,IF(AND(OR(V2102="Aprobada con ajuste",V2102="Rechazada"),W2102&lt;&gt;""),W2102,""))</f>
        <v/>
      </c>
    </row>
    <row r="2103" customFormat="false" ht="22.35" hidden="false" customHeight="false" outlineLevel="0" collapsed="false">
      <c r="A2103" s="18" t="s">
        <v>8947</v>
      </c>
      <c r="B2103" s="18" t="s">
        <v>66</v>
      </c>
      <c r="C2103" s="18" t="s">
        <v>67</v>
      </c>
      <c r="D2103" s="18" t="s">
        <v>8939</v>
      </c>
      <c r="E2103" s="18" t="n">
        <v>0</v>
      </c>
      <c r="F2103" s="18" t="s">
        <v>160</v>
      </c>
      <c r="G2103" s="18" t="s">
        <v>128</v>
      </c>
      <c r="H2103" s="18" t="s">
        <v>162</v>
      </c>
      <c r="I2103" s="18"/>
      <c r="J2103" s="18"/>
      <c r="K2103" s="18"/>
      <c r="L2103" s="18" t="s">
        <v>129</v>
      </c>
      <c r="M2103" s="18" t="s">
        <v>129</v>
      </c>
      <c r="N2103" s="18"/>
      <c r="O2103" s="18"/>
      <c r="P2103" s="18"/>
      <c r="Q2103" s="18" t="s">
        <v>138</v>
      </c>
      <c r="R2103" s="18" t="s">
        <v>8948</v>
      </c>
      <c r="S2103" s="18" t="s">
        <v>140</v>
      </c>
      <c r="T2103" s="18" t="s">
        <v>141</v>
      </c>
      <c r="U2103" s="18"/>
      <c r="V2103" s="19" t="s">
        <v>29</v>
      </c>
      <c r="W2103" s="19"/>
      <c r="X2103" s="19"/>
      <c r="Y2103" s="20"/>
      <c r="Z2103" s="19"/>
      <c r="AA2103" s="18" t="str">
        <f aca="false">IF(OR(V2103="Aprobada"),R2103,IF(AND(OR(V2103="Aprobada con ajuste",V2103="Rechazada"),W2103&lt;&gt;""),W2103,""))</f>
        <v/>
      </c>
    </row>
    <row r="2104" customFormat="false" ht="22.35" hidden="false" customHeight="false" outlineLevel="0" collapsed="false">
      <c r="A2104" s="18" t="s">
        <v>8949</v>
      </c>
      <c r="B2104" s="18" t="s">
        <v>66</v>
      </c>
      <c r="C2104" s="18" t="s">
        <v>67</v>
      </c>
      <c r="D2104" s="18" t="s">
        <v>8939</v>
      </c>
      <c r="E2104" s="18" t="n">
        <v>0</v>
      </c>
      <c r="F2104" s="18" t="s">
        <v>8950</v>
      </c>
      <c r="G2104" s="18" t="s">
        <v>145</v>
      </c>
      <c r="H2104" s="18" t="s">
        <v>129</v>
      </c>
      <c r="I2104" s="18" t="s">
        <v>298</v>
      </c>
      <c r="J2104" s="18" t="s">
        <v>8951</v>
      </c>
      <c r="K2104" s="18"/>
      <c r="L2104" s="18" t="s">
        <v>162</v>
      </c>
      <c r="M2104" s="18" t="s">
        <v>129</v>
      </c>
      <c r="N2104" s="18"/>
      <c r="O2104" s="18"/>
      <c r="P2104" s="18"/>
      <c r="Q2104" s="18" t="s">
        <v>149</v>
      </c>
      <c r="R2104" s="18" t="s">
        <v>8952</v>
      </c>
      <c r="S2104" s="18" t="s">
        <v>133</v>
      </c>
      <c r="T2104" s="18" t="s">
        <v>801</v>
      </c>
      <c r="U2104" s="18"/>
      <c r="V2104" s="19" t="s">
        <v>29</v>
      </c>
      <c r="W2104" s="19"/>
      <c r="X2104" s="19"/>
      <c r="Y2104" s="20"/>
      <c r="Z2104" s="19"/>
      <c r="AA2104" s="18" t="str">
        <f aca="false">IF(OR(V2104="Aprobada"),R2104,IF(AND(OR(V2104="Aprobada con ajuste",V2104="Rechazada"),W2104&lt;&gt;""),W2104,""))</f>
        <v/>
      </c>
    </row>
    <row r="2105" customFormat="false" ht="22.35" hidden="false" customHeight="false" outlineLevel="0" collapsed="false">
      <c r="A2105" s="18" t="s">
        <v>8953</v>
      </c>
      <c r="B2105" s="18" t="s">
        <v>66</v>
      </c>
      <c r="C2105" s="18" t="s">
        <v>67</v>
      </c>
      <c r="D2105" s="18" t="s">
        <v>8939</v>
      </c>
      <c r="E2105" s="18" t="n">
        <v>0</v>
      </c>
      <c r="F2105" s="18" t="s">
        <v>8954</v>
      </c>
      <c r="G2105" s="18" t="s">
        <v>161</v>
      </c>
      <c r="H2105" s="18" t="s">
        <v>162</v>
      </c>
      <c r="I2105" s="18"/>
      <c r="J2105" s="18"/>
      <c r="K2105" s="18"/>
      <c r="L2105" s="18" t="s">
        <v>129</v>
      </c>
      <c r="M2105" s="18" t="s">
        <v>129</v>
      </c>
      <c r="N2105" s="18"/>
      <c r="O2105" s="18"/>
      <c r="P2105" s="18"/>
      <c r="Q2105" s="18" t="s">
        <v>149</v>
      </c>
      <c r="R2105" s="18" t="s">
        <v>8955</v>
      </c>
      <c r="S2105" s="18" t="s">
        <v>140</v>
      </c>
      <c r="T2105" s="18" t="s">
        <v>183</v>
      </c>
      <c r="U2105" s="18" t="s">
        <v>8933</v>
      </c>
      <c r="V2105" s="19" t="s">
        <v>29</v>
      </c>
      <c r="W2105" s="19"/>
      <c r="X2105" s="19"/>
      <c r="Y2105" s="20"/>
      <c r="Z2105" s="19"/>
      <c r="AA2105" s="18" t="str">
        <f aca="false">IF(OR(V2105="Aprobada"),R2105,IF(AND(OR(V2105="Aprobada con ajuste",V2105="Rechazada"),W2105&lt;&gt;""),W2105,""))</f>
        <v/>
      </c>
    </row>
    <row r="2106" customFormat="false" ht="22.35" hidden="false" customHeight="false" outlineLevel="0" collapsed="false">
      <c r="A2106" s="18" t="s">
        <v>8956</v>
      </c>
      <c r="B2106" s="18" t="s">
        <v>66</v>
      </c>
      <c r="C2106" s="18" t="s">
        <v>67</v>
      </c>
      <c r="D2106" s="18" t="s">
        <v>8939</v>
      </c>
      <c r="E2106" s="18" t="n">
        <v>0</v>
      </c>
      <c r="F2106" s="18" t="s">
        <v>8908</v>
      </c>
      <c r="G2106" s="18" t="s">
        <v>192</v>
      </c>
      <c r="H2106" s="18" t="s">
        <v>162</v>
      </c>
      <c r="I2106" s="18"/>
      <c r="J2106" s="18"/>
      <c r="K2106" s="18"/>
      <c r="L2106" s="18" t="s">
        <v>129</v>
      </c>
      <c r="M2106" s="18" t="s">
        <v>129</v>
      </c>
      <c r="N2106" s="18"/>
      <c r="O2106" s="18"/>
      <c r="P2106" s="18"/>
      <c r="Q2106" s="18" t="s">
        <v>149</v>
      </c>
      <c r="R2106" s="18" t="s">
        <v>8957</v>
      </c>
      <c r="S2106" s="18" t="s">
        <v>140</v>
      </c>
      <c r="T2106" s="18" t="s">
        <v>183</v>
      </c>
      <c r="U2106" s="18" t="s">
        <v>8958</v>
      </c>
      <c r="V2106" s="19" t="s">
        <v>29</v>
      </c>
      <c r="W2106" s="19"/>
      <c r="X2106" s="19"/>
      <c r="Y2106" s="20"/>
      <c r="Z2106" s="19"/>
      <c r="AA2106" s="18" t="str">
        <f aca="false">IF(OR(V2106="Aprobada"),R2106,IF(AND(OR(V2106="Aprobada con ajuste",V2106="Rechazada"),W2106&lt;&gt;""),W2106,""))</f>
        <v/>
      </c>
    </row>
    <row r="2107" customFormat="false" ht="22.35" hidden="false" customHeight="false" outlineLevel="0" collapsed="false">
      <c r="A2107" s="18" t="s">
        <v>8959</v>
      </c>
      <c r="B2107" s="18" t="s">
        <v>66</v>
      </c>
      <c r="C2107" s="18" t="s">
        <v>67</v>
      </c>
      <c r="D2107" s="18" t="s">
        <v>8939</v>
      </c>
      <c r="E2107" s="18" t="n">
        <v>0</v>
      </c>
      <c r="F2107" s="18" t="s">
        <v>1688</v>
      </c>
      <c r="G2107" s="18" t="s">
        <v>173</v>
      </c>
      <c r="H2107" s="18" t="s">
        <v>162</v>
      </c>
      <c r="I2107" s="18"/>
      <c r="J2107" s="18"/>
      <c r="K2107" s="18"/>
      <c r="L2107" s="18" t="s">
        <v>129</v>
      </c>
      <c r="M2107" s="18" t="s">
        <v>129</v>
      </c>
      <c r="N2107" s="18"/>
      <c r="O2107" s="18"/>
      <c r="P2107" s="18"/>
      <c r="Q2107" s="18" t="s">
        <v>138</v>
      </c>
      <c r="R2107" s="18" t="s">
        <v>176</v>
      </c>
      <c r="S2107" s="18" t="s">
        <v>140</v>
      </c>
      <c r="T2107" s="18" t="s">
        <v>141</v>
      </c>
      <c r="U2107" s="18"/>
      <c r="V2107" s="19" t="s">
        <v>29</v>
      </c>
      <c r="W2107" s="19"/>
      <c r="X2107" s="19"/>
      <c r="Y2107" s="20"/>
      <c r="Z2107" s="19"/>
      <c r="AA2107" s="18" t="str">
        <f aca="false">IF(OR(V2107="Aprobada"),R2107,IF(AND(OR(V2107="Aprobada con ajuste",V2107="Rechazada"),W2107&lt;&gt;""),W2107,""))</f>
        <v/>
      </c>
    </row>
    <row r="2108" customFormat="false" ht="32.8" hidden="false" customHeight="false" outlineLevel="0" collapsed="false">
      <c r="A2108" s="18" t="s">
        <v>8960</v>
      </c>
      <c r="B2108" s="18" t="s">
        <v>66</v>
      </c>
      <c r="C2108" s="18" t="s">
        <v>67</v>
      </c>
      <c r="D2108" s="18" t="s">
        <v>8961</v>
      </c>
      <c r="E2108" s="18" t="n">
        <v>0</v>
      </c>
      <c r="F2108" s="18" t="s">
        <v>611</v>
      </c>
      <c r="G2108" s="18" t="s">
        <v>180</v>
      </c>
      <c r="H2108" s="18" t="s">
        <v>129</v>
      </c>
      <c r="I2108" s="18" t="s">
        <v>146</v>
      </c>
      <c r="J2108" s="18"/>
      <c r="K2108" s="18"/>
      <c r="L2108" s="18" t="s">
        <v>129</v>
      </c>
      <c r="M2108" s="18" t="s">
        <v>129</v>
      </c>
      <c r="N2108" s="18"/>
      <c r="O2108" s="18" t="s">
        <v>8962</v>
      </c>
      <c r="P2108" s="18"/>
      <c r="Q2108" s="18" t="s">
        <v>138</v>
      </c>
      <c r="R2108" s="18" t="s">
        <v>8963</v>
      </c>
      <c r="S2108" s="18" t="s">
        <v>140</v>
      </c>
      <c r="T2108" s="18" t="s">
        <v>141</v>
      </c>
      <c r="U2108" s="18"/>
      <c r="V2108" s="19" t="s">
        <v>29</v>
      </c>
      <c r="W2108" s="19"/>
      <c r="X2108" s="19"/>
      <c r="Y2108" s="20"/>
      <c r="Z2108" s="19"/>
      <c r="AA2108" s="18" t="str">
        <f aca="false">IF(OR(V2108="Aprobada"),R2108,IF(AND(OR(V2108="Aprobada con ajuste",V2108="Rechazada"),W2108&lt;&gt;""),W2108,""))</f>
        <v/>
      </c>
    </row>
    <row r="2109" customFormat="false" ht="22.35" hidden="false" customHeight="false" outlineLevel="0" collapsed="false">
      <c r="A2109" s="18" t="s">
        <v>8964</v>
      </c>
      <c r="B2109" s="18" t="s">
        <v>66</v>
      </c>
      <c r="C2109" s="18" t="s">
        <v>67</v>
      </c>
      <c r="D2109" s="18" t="s">
        <v>8961</v>
      </c>
      <c r="E2109" s="18" t="n">
        <v>0</v>
      </c>
      <c r="F2109" s="18" t="s">
        <v>275</v>
      </c>
      <c r="G2109" s="18" t="s">
        <v>180</v>
      </c>
      <c r="H2109" s="18" t="s">
        <v>129</v>
      </c>
      <c r="I2109" s="18"/>
      <c r="J2109" s="18"/>
      <c r="K2109" s="18"/>
      <c r="L2109" s="18" t="s">
        <v>129</v>
      </c>
      <c r="M2109" s="18" t="s">
        <v>129</v>
      </c>
      <c r="N2109" s="18"/>
      <c r="O2109" s="18"/>
      <c r="P2109" s="18"/>
      <c r="Q2109" s="18" t="s">
        <v>138</v>
      </c>
      <c r="R2109" s="18" t="s">
        <v>8965</v>
      </c>
      <c r="S2109" s="18" t="s">
        <v>140</v>
      </c>
      <c r="T2109" s="18" t="s">
        <v>141</v>
      </c>
      <c r="U2109" s="18"/>
      <c r="V2109" s="19" t="s">
        <v>29</v>
      </c>
      <c r="W2109" s="19"/>
      <c r="X2109" s="19"/>
      <c r="Y2109" s="20"/>
      <c r="Z2109" s="19"/>
      <c r="AA2109" s="18" t="str">
        <f aca="false">IF(OR(V2109="Aprobada"),R2109,IF(AND(OR(V2109="Aprobada con ajuste",V2109="Rechazada"),W2109&lt;&gt;""),W2109,""))</f>
        <v/>
      </c>
    </row>
    <row r="2110" customFormat="false" ht="22.35" hidden="false" customHeight="false" outlineLevel="0" collapsed="false">
      <c r="A2110" s="18" t="s">
        <v>8966</v>
      </c>
      <c r="B2110" s="18" t="s">
        <v>66</v>
      </c>
      <c r="C2110" s="18" t="s">
        <v>67</v>
      </c>
      <c r="D2110" s="18" t="s">
        <v>8961</v>
      </c>
      <c r="E2110" s="18" t="n">
        <v>0</v>
      </c>
      <c r="F2110" s="18" t="s">
        <v>160</v>
      </c>
      <c r="G2110" s="18" t="s">
        <v>128</v>
      </c>
      <c r="H2110" s="18" t="s">
        <v>162</v>
      </c>
      <c r="I2110" s="18"/>
      <c r="J2110" s="18"/>
      <c r="K2110" s="18"/>
      <c r="L2110" s="18" t="s">
        <v>129</v>
      </c>
      <c r="M2110" s="18" t="s">
        <v>129</v>
      </c>
      <c r="N2110" s="18"/>
      <c r="O2110" s="18"/>
      <c r="P2110" s="18"/>
      <c r="Q2110" s="18" t="s">
        <v>138</v>
      </c>
      <c r="R2110" s="18" t="s">
        <v>8967</v>
      </c>
      <c r="S2110" s="18" t="s">
        <v>140</v>
      </c>
      <c r="T2110" s="18" t="s">
        <v>141</v>
      </c>
      <c r="U2110" s="18"/>
      <c r="V2110" s="19" t="s">
        <v>29</v>
      </c>
      <c r="W2110" s="19"/>
      <c r="X2110" s="19"/>
      <c r="Y2110" s="20"/>
      <c r="Z2110" s="19"/>
      <c r="AA2110" s="18" t="str">
        <f aca="false">IF(OR(V2110="Aprobada"),R2110,IF(AND(OR(V2110="Aprobada con ajuste",V2110="Rechazada"),W2110&lt;&gt;""),W2110,""))</f>
        <v/>
      </c>
    </row>
    <row r="2111" customFormat="false" ht="22.35" hidden="false" customHeight="false" outlineLevel="0" collapsed="false">
      <c r="A2111" s="18" t="s">
        <v>8968</v>
      </c>
      <c r="B2111" s="18" t="s">
        <v>66</v>
      </c>
      <c r="C2111" s="18" t="s">
        <v>67</v>
      </c>
      <c r="D2111" s="18" t="s">
        <v>8961</v>
      </c>
      <c r="E2111" s="18" t="n">
        <v>0</v>
      </c>
      <c r="F2111" s="18" t="s">
        <v>896</v>
      </c>
      <c r="G2111" s="18" t="s">
        <v>486</v>
      </c>
      <c r="H2111" s="18" t="s">
        <v>129</v>
      </c>
      <c r="I2111" s="18"/>
      <c r="J2111" s="18"/>
      <c r="K2111" s="18"/>
      <c r="L2111" s="18" t="s">
        <v>129</v>
      </c>
      <c r="M2111" s="18" t="s">
        <v>129</v>
      </c>
      <c r="N2111" s="18"/>
      <c r="O2111" s="18" t="s">
        <v>8969</v>
      </c>
      <c r="P2111" s="18"/>
      <c r="Q2111" s="18" t="s">
        <v>149</v>
      </c>
      <c r="R2111" s="18" t="s">
        <v>8970</v>
      </c>
      <c r="S2111" s="18" t="s">
        <v>140</v>
      </c>
      <c r="T2111" s="18" t="s">
        <v>183</v>
      </c>
      <c r="U2111" s="18" t="s">
        <v>8971</v>
      </c>
      <c r="V2111" s="19" t="s">
        <v>29</v>
      </c>
      <c r="W2111" s="19"/>
      <c r="X2111" s="19"/>
      <c r="Y2111" s="20"/>
      <c r="Z2111" s="19"/>
      <c r="AA2111" s="18" t="str">
        <f aca="false">IF(OR(V2111="Aprobada"),R2111,IF(AND(OR(V2111="Aprobada con ajuste",V2111="Rechazada"),W2111&lt;&gt;""),W2111,""))</f>
        <v/>
      </c>
    </row>
    <row r="2112" customFormat="false" ht="22.35" hidden="false" customHeight="false" outlineLevel="0" collapsed="false">
      <c r="A2112" s="18" t="s">
        <v>8972</v>
      </c>
      <c r="B2112" s="18" t="s">
        <v>66</v>
      </c>
      <c r="C2112" s="18" t="s">
        <v>67</v>
      </c>
      <c r="D2112" s="18" t="s">
        <v>8961</v>
      </c>
      <c r="E2112" s="18" t="n">
        <v>0</v>
      </c>
      <c r="F2112" s="18" t="s">
        <v>3176</v>
      </c>
      <c r="G2112" s="18" t="s">
        <v>128</v>
      </c>
      <c r="H2112" s="18" t="s">
        <v>129</v>
      </c>
      <c r="I2112" s="18"/>
      <c r="J2112" s="18"/>
      <c r="K2112" s="18"/>
      <c r="L2112" s="18" t="s">
        <v>129</v>
      </c>
      <c r="M2112" s="18" t="s">
        <v>129</v>
      </c>
      <c r="N2112" s="18"/>
      <c r="O2112" s="18"/>
      <c r="P2112" s="18"/>
      <c r="Q2112" s="18" t="s">
        <v>149</v>
      </c>
      <c r="R2112" s="18" t="s">
        <v>8973</v>
      </c>
      <c r="S2112" s="18" t="s">
        <v>140</v>
      </c>
      <c r="T2112" s="18" t="s">
        <v>183</v>
      </c>
      <c r="U2112" s="18" t="s">
        <v>8974</v>
      </c>
      <c r="V2112" s="19" t="s">
        <v>29</v>
      </c>
      <c r="W2112" s="19"/>
      <c r="X2112" s="19"/>
      <c r="Y2112" s="20"/>
      <c r="Z2112" s="19"/>
      <c r="AA2112" s="18" t="str">
        <f aca="false">IF(OR(V2112="Aprobada"),R2112,IF(AND(OR(V2112="Aprobada con ajuste",V2112="Rechazada"),W2112&lt;&gt;""),W2112,""))</f>
        <v/>
      </c>
    </row>
    <row r="2113" customFormat="false" ht="22.35" hidden="false" customHeight="false" outlineLevel="0" collapsed="false">
      <c r="A2113" s="18" t="s">
        <v>8975</v>
      </c>
      <c r="B2113" s="18" t="s">
        <v>66</v>
      </c>
      <c r="C2113" s="18" t="s">
        <v>67</v>
      </c>
      <c r="D2113" s="18" t="s">
        <v>8961</v>
      </c>
      <c r="E2113" s="18" t="n">
        <v>0</v>
      </c>
      <c r="F2113" s="18" t="s">
        <v>8908</v>
      </c>
      <c r="G2113" s="18" t="s">
        <v>192</v>
      </c>
      <c r="H2113" s="18" t="s">
        <v>162</v>
      </c>
      <c r="I2113" s="18"/>
      <c r="J2113" s="18"/>
      <c r="K2113" s="18"/>
      <c r="L2113" s="18" t="s">
        <v>129</v>
      </c>
      <c r="M2113" s="18" t="s">
        <v>129</v>
      </c>
      <c r="N2113" s="18"/>
      <c r="O2113" s="18"/>
      <c r="P2113" s="18"/>
      <c r="Q2113" s="18" t="s">
        <v>149</v>
      </c>
      <c r="R2113" s="18" t="s">
        <v>8976</v>
      </c>
      <c r="S2113" s="18" t="s">
        <v>140</v>
      </c>
      <c r="T2113" s="18" t="s">
        <v>183</v>
      </c>
      <c r="U2113" s="18" t="s">
        <v>8958</v>
      </c>
      <c r="V2113" s="19" t="s">
        <v>29</v>
      </c>
      <c r="W2113" s="19"/>
      <c r="X2113" s="19"/>
      <c r="Y2113" s="20"/>
      <c r="Z2113" s="19"/>
      <c r="AA2113" s="18" t="str">
        <f aca="false">IF(OR(V2113="Aprobada"),R2113,IF(AND(OR(V2113="Aprobada con ajuste",V2113="Rechazada"),W2113&lt;&gt;""),W2113,""))</f>
        <v/>
      </c>
    </row>
    <row r="2114" customFormat="false" ht="22.35" hidden="false" customHeight="false" outlineLevel="0" collapsed="false">
      <c r="A2114" s="18" t="s">
        <v>8977</v>
      </c>
      <c r="B2114" s="18" t="s">
        <v>66</v>
      </c>
      <c r="C2114" s="18" t="s">
        <v>67</v>
      </c>
      <c r="D2114" s="18" t="s">
        <v>8961</v>
      </c>
      <c r="E2114" s="18" t="n">
        <v>0</v>
      </c>
      <c r="F2114" s="18" t="s">
        <v>1688</v>
      </c>
      <c r="G2114" s="18" t="s">
        <v>173</v>
      </c>
      <c r="H2114" s="18" t="s">
        <v>162</v>
      </c>
      <c r="I2114" s="18"/>
      <c r="J2114" s="18"/>
      <c r="K2114" s="18"/>
      <c r="L2114" s="18" t="s">
        <v>129</v>
      </c>
      <c r="M2114" s="18" t="s">
        <v>129</v>
      </c>
      <c r="N2114" s="18"/>
      <c r="O2114" s="18" t="s">
        <v>8978</v>
      </c>
      <c r="P2114" s="18"/>
      <c r="Q2114" s="18" t="s">
        <v>138</v>
      </c>
      <c r="R2114" s="18" t="s">
        <v>176</v>
      </c>
      <c r="S2114" s="18" t="s">
        <v>140</v>
      </c>
      <c r="T2114" s="18" t="s">
        <v>141</v>
      </c>
      <c r="U2114" s="18"/>
      <c r="V2114" s="19" t="s">
        <v>29</v>
      </c>
      <c r="W2114" s="19"/>
      <c r="X2114" s="19"/>
      <c r="Y2114" s="20"/>
      <c r="Z2114" s="19"/>
      <c r="AA2114" s="18" t="str">
        <f aca="false">IF(OR(V2114="Aprobada"),R2114,IF(AND(OR(V2114="Aprobada con ajuste",V2114="Rechazada"),W2114&lt;&gt;""),W2114,""))</f>
        <v/>
      </c>
    </row>
    <row r="2115" customFormat="false" ht="22.35" hidden="false" customHeight="false" outlineLevel="0" collapsed="false">
      <c r="A2115" s="18" t="s">
        <v>8979</v>
      </c>
      <c r="B2115" s="18" t="s">
        <v>66</v>
      </c>
      <c r="C2115" s="18" t="s">
        <v>67</v>
      </c>
      <c r="D2115" s="18" t="s">
        <v>8961</v>
      </c>
      <c r="E2115" s="18" t="n">
        <v>0</v>
      </c>
      <c r="F2115" s="18" t="s">
        <v>1018</v>
      </c>
      <c r="G2115" s="18" t="s">
        <v>503</v>
      </c>
      <c r="H2115" s="18" t="s">
        <v>162</v>
      </c>
      <c r="I2115" s="18"/>
      <c r="J2115" s="18"/>
      <c r="K2115" s="18"/>
      <c r="L2115" s="18" t="s">
        <v>129</v>
      </c>
      <c r="M2115" s="18" t="s">
        <v>129</v>
      </c>
      <c r="N2115" s="18"/>
      <c r="O2115" s="18"/>
      <c r="P2115" s="18"/>
      <c r="Q2115" s="18" t="s">
        <v>138</v>
      </c>
      <c r="R2115" s="18" t="s">
        <v>2302</v>
      </c>
      <c r="S2115" s="18" t="s">
        <v>140</v>
      </c>
      <c r="T2115" s="18" t="s">
        <v>141</v>
      </c>
      <c r="U2115" s="18"/>
      <c r="V2115" s="19" t="s">
        <v>29</v>
      </c>
      <c r="W2115" s="19"/>
      <c r="X2115" s="19"/>
      <c r="Y2115" s="20"/>
      <c r="Z2115" s="19"/>
      <c r="AA2115" s="18" t="str">
        <f aca="false">IF(OR(V2115="Aprobada"),R2115,IF(AND(OR(V2115="Aprobada con ajuste",V2115="Rechazada"),W2115&lt;&gt;""),W2115,""))</f>
        <v/>
      </c>
    </row>
    <row r="2116" customFormat="false" ht="53.7" hidden="false" customHeight="false" outlineLevel="0" collapsed="false">
      <c r="A2116" s="18" t="s">
        <v>8980</v>
      </c>
      <c r="B2116" s="18" t="s">
        <v>66</v>
      </c>
      <c r="C2116" s="18" t="s">
        <v>67</v>
      </c>
      <c r="D2116" s="18" t="s">
        <v>8981</v>
      </c>
      <c r="E2116" s="18" t="n">
        <v>1</v>
      </c>
      <c r="F2116" s="18" t="s">
        <v>1734</v>
      </c>
      <c r="G2116" s="18" t="s">
        <v>180</v>
      </c>
      <c r="H2116" s="18" t="s">
        <v>129</v>
      </c>
      <c r="I2116" s="18" t="s">
        <v>146</v>
      </c>
      <c r="J2116" s="18"/>
      <c r="K2116" s="18"/>
      <c r="L2116" s="18" t="s">
        <v>129</v>
      </c>
      <c r="M2116" s="18" t="s">
        <v>129</v>
      </c>
      <c r="N2116" s="18"/>
      <c r="O2116" s="18" t="s">
        <v>8982</v>
      </c>
      <c r="P2116" s="18" t="s">
        <v>8983</v>
      </c>
      <c r="Q2116" s="18" t="s">
        <v>149</v>
      </c>
      <c r="R2116" s="18" t="s">
        <v>8984</v>
      </c>
      <c r="S2116" s="18" t="s">
        <v>133</v>
      </c>
      <c r="T2116" s="18" t="s">
        <v>3029</v>
      </c>
      <c r="U2116" s="18"/>
      <c r="V2116" s="19" t="s">
        <v>29</v>
      </c>
      <c r="W2116" s="19"/>
      <c r="X2116" s="19"/>
      <c r="Y2116" s="20"/>
      <c r="Z2116" s="19"/>
      <c r="AA2116" s="18" t="str">
        <f aca="false">IF(OR(V2116="Aprobada"),R2116,IF(AND(OR(V2116="Aprobada con ajuste",V2116="Rechazada"),W2116&lt;&gt;""),W2116,""))</f>
        <v/>
      </c>
    </row>
    <row r="2117" customFormat="false" ht="43.25" hidden="false" customHeight="false" outlineLevel="0" collapsed="false">
      <c r="A2117" s="18" t="s">
        <v>8985</v>
      </c>
      <c r="B2117" s="18" t="s">
        <v>66</v>
      </c>
      <c r="C2117" s="18" t="s">
        <v>67</v>
      </c>
      <c r="D2117" s="18" t="s">
        <v>8981</v>
      </c>
      <c r="E2117" s="18" t="n">
        <v>1</v>
      </c>
      <c r="F2117" s="18" t="s">
        <v>8986</v>
      </c>
      <c r="G2117" s="18" t="s">
        <v>173</v>
      </c>
      <c r="H2117" s="18" t="s">
        <v>162</v>
      </c>
      <c r="I2117" s="18"/>
      <c r="J2117" s="18"/>
      <c r="K2117" s="18"/>
      <c r="L2117" s="18" t="s">
        <v>129</v>
      </c>
      <c r="M2117" s="18" t="s">
        <v>129</v>
      </c>
      <c r="N2117" s="18"/>
      <c r="O2117" s="18"/>
      <c r="P2117" s="18" t="s">
        <v>8987</v>
      </c>
      <c r="Q2117" s="18" t="s">
        <v>138</v>
      </c>
      <c r="R2117" s="18" t="s">
        <v>8988</v>
      </c>
      <c r="S2117" s="18" t="s">
        <v>140</v>
      </c>
      <c r="T2117" s="18" t="s">
        <v>141</v>
      </c>
      <c r="U2117" s="18"/>
      <c r="V2117" s="19" t="s">
        <v>29</v>
      </c>
      <c r="W2117" s="19"/>
      <c r="X2117" s="19"/>
      <c r="Y2117" s="20"/>
      <c r="Z2117" s="19"/>
      <c r="AA2117" s="18" t="str">
        <f aca="false">IF(OR(V2117="Aprobada"),R2117,IF(AND(OR(V2117="Aprobada con ajuste",V2117="Rechazada"),W2117&lt;&gt;""),W2117,""))</f>
        <v/>
      </c>
    </row>
    <row r="2118" customFormat="false" ht="43.25" hidden="false" customHeight="false" outlineLevel="0" collapsed="false">
      <c r="A2118" s="18" t="s">
        <v>8989</v>
      </c>
      <c r="B2118" s="18" t="s">
        <v>66</v>
      </c>
      <c r="C2118" s="18" t="s">
        <v>67</v>
      </c>
      <c r="D2118" s="18" t="s">
        <v>8981</v>
      </c>
      <c r="E2118" s="18" t="n">
        <v>1</v>
      </c>
      <c r="F2118" s="18" t="s">
        <v>8990</v>
      </c>
      <c r="G2118" s="18" t="s">
        <v>173</v>
      </c>
      <c r="H2118" s="18" t="s">
        <v>162</v>
      </c>
      <c r="I2118" s="18"/>
      <c r="J2118" s="18"/>
      <c r="K2118" s="18"/>
      <c r="L2118" s="18" t="s">
        <v>129</v>
      </c>
      <c r="M2118" s="18" t="s">
        <v>129</v>
      </c>
      <c r="N2118" s="18"/>
      <c r="O2118" s="18"/>
      <c r="P2118" s="18" t="s">
        <v>8991</v>
      </c>
      <c r="Q2118" s="18" t="s">
        <v>138</v>
      </c>
      <c r="R2118" s="18" t="s">
        <v>8992</v>
      </c>
      <c r="S2118" s="18" t="s">
        <v>140</v>
      </c>
      <c r="T2118" s="18" t="s">
        <v>141</v>
      </c>
      <c r="U2118" s="18"/>
      <c r="V2118" s="19" t="s">
        <v>29</v>
      </c>
      <c r="W2118" s="19"/>
      <c r="X2118" s="19"/>
      <c r="Y2118" s="20"/>
      <c r="Z2118" s="19"/>
      <c r="AA2118" s="18" t="str">
        <f aca="false">IF(OR(V2118="Aprobada"),R2118,IF(AND(OR(V2118="Aprobada con ajuste",V2118="Rechazada"),W2118&lt;&gt;""),W2118,""))</f>
        <v/>
      </c>
    </row>
    <row r="2119" customFormat="false" ht="43.25" hidden="false" customHeight="false" outlineLevel="0" collapsed="false">
      <c r="A2119" s="18" t="s">
        <v>8993</v>
      </c>
      <c r="B2119" s="18" t="s">
        <v>66</v>
      </c>
      <c r="C2119" s="18" t="s">
        <v>67</v>
      </c>
      <c r="D2119" s="18" t="s">
        <v>8981</v>
      </c>
      <c r="E2119" s="18" t="n">
        <v>1</v>
      </c>
      <c r="F2119" s="18" t="s">
        <v>8994</v>
      </c>
      <c r="G2119" s="18" t="s">
        <v>192</v>
      </c>
      <c r="H2119" s="18" t="s">
        <v>162</v>
      </c>
      <c r="I2119" s="18"/>
      <c r="J2119" s="18"/>
      <c r="K2119" s="18"/>
      <c r="L2119" s="18" t="s">
        <v>129</v>
      </c>
      <c r="M2119" s="18" t="s">
        <v>129</v>
      </c>
      <c r="N2119" s="18"/>
      <c r="O2119" s="18"/>
      <c r="P2119" s="18" t="s">
        <v>8995</v>
      </c>
      <c r="Q2119" s="18" t="s">
        <v>149</v>
      </c>
      <c r="R2119" s="18" t="s">
        <v>8996</v>
      </c>
      <c r="S2119" s="18" t="s">
        <v>140</v>
      </c>
      <c r="T2119" s="18" t="s">
        <v>183</v>
      </c>
      <c r="U2119" s="18" t="s">
        <v>8997</v>
      </c>
      <c r="V2119" s="19" t="s">
        <v>29</v>
      </c>
      <c r="W2119" s="19"/>
      <c r="X2119" s="19"/>
      <c r="Y2119" s="20"/>
      <c r="Z2119" s="19"/>
      <c r="AA2119" s="18" t="str">
        <f aca="false">IF(OR(V2119="Aprobada"),R2119,IF(AND(OR(V2119="Aprobada con ajuste",V2119="Rechazada"),W2119&lt;&gt;""),W2119,""))</f>
        <v/>
      </c>
    </row>
    <row r="2120" customFormat="false" ht="43.25" hidden="false" customHeight="false" outlineLevel="0" collapsed="false">
      <c r="A2120" s="18" t="s">
        <v>8998</v>
      </c>
      <c r="B2120" s="18" t="s">
        <v>66</v>
      </c>
      <c r="C2120" s="18" t="s">
        <v>67</v>
      </c>
      <c r="D2120" s="18" t="s">
        <v>8981</v>
      </c>
      <c r="E2120" s="18" t="n">
        <v>1</v>
      </c>
      <c r="F2120" s="18" t="s">
        <v>8999</v>
      </c>
      <c r="G2120" s="18" t="s">
        <v>145</v>
      </c>
      <c r="H2120" s="18" t="s">
        <v>162</v>
      </c>
      <c r="I2120" s="18"/>
      <c r="J2120" s="18"/>
      <c r="K2120" s="18"/>
      <c r="L2120" s="18" t="s">
        <v>129</v>
      </c>
      <c r="M2120" s="18" t="s">
        <v>129</v>
      </c>
      <c r="N2120" s="18"/>
      <c r="O2120" s="18"/>
      <c r="P2120" s="18" t="s">
        <v>9000</v>
      </c>
      <c r="Q2120" s="18" t="s">
        <v>149</v>
      </c>
      <c r="R2120" s="18" t="s">
        <v>9001</v>
      </c>
      <c r="S2120" s="18" t="s">
        <v>242</v>
      </c>
      <c r="T2120" s="18" t="s">
        <v>2276</v>
      </c>
      <c r="U2120" s="18" t="s">
        <v>9002</v>
      </c>
      <c r="V2120" s="19" t="s">
        <v>29</v>
      </c>
      <c r="W2120" s="19"/>
      <c r="X2120" s="19"/>
      <c r="Y2120" s="20"/>
      <c r="Z2120" s="19"/>
      <c r="AA2120" s="18" t="str">
        <f aca="false">IF(OR(V2120="Aprobada"),R2120,IF(AND(OR(V2120="Aprobada con ajuste",V2120="Rechazada"),W2120&lt;&gt;""),W2120,""))</f>
        <v/>
      </c>
    </row>
    <row r="2121" customFormat="false" ht="53.7" hidden="false" customHeight="false" outlineLevel="0" collapsed="false">
      <c r="A2121" s="18" t="s">
        <v>9003</v>
      </c>
      <c r="B2121" s="18" t="s">
        <v>66</v>
      </c>
      <c r="C2121" s="18" t="s">
        <v>67</v>
      </c>
      <c r="D2121" s="18" t="s">
        <v>9004</v>
      </c>
      <c r="E2121" s="18" t="n">
        <v>36</v>
      </c>
      <c r="F2121" s="18" t="s">
        <v>611</v>
      </c>
      <c r="G2121" s="18" t="s">
        <v>180</v>
      </c>
      <c r="H2121" s="18" t="s">
        <v>129</v>
      </c>
      <c r="I2121" s="18" t="s">
        <v>146</v>
      </c>
      <c r="J2121" s="18"/>
      <c r="K2121" s="18"/>
      <c r="L2121" s="18" t="s">
        <v>129</v>
      </c>
      <c r="M2121" s="18" t="s">
        <v>129</v>
      </c>
      <c r="N2121" s="18"/>
      <c r="O2121" s="18" t="s">
        <v>9005</v>
      </c>
      <c r="P2121" s="18" t="s">
        <v>9006</v>
      </c>
      <c r="Q2121" s="18" t="s">
        <v>138</v>
      </c>
      <c r="R2121" s="18" t="s">
        <v>9007</v>
      </c>
      <c r="S2121" s="18" t="s">
        <v>140</v>
      </c>
      <c r="T2121" s="18" t="s">
        <v>141</v>
      </c>
      <c r="U2121" s="18"/>
      <c r="V2121" s="19" t="s">
        <v>29</v>
      </c>
      <c r="W2121" s="19"/>
      <c r="X2121" s="19"/>
      <c r="Y2121" s="20"/>
      <c r="Z2121" s="19"/>
      <c r="AA2121" s="18" t="str">
        <f aca="false">IF(OR(V2121="Aprobada"),R2121,IF(AND(OR(V2121="Aprobada con ajuste",V2121="Rechazada"),W2121&lt;&gt;""),W2121,""))</f>
        <v/>
      </c>
    </row>
    <row r="2122" customFormat="false" ht="64.15" hidden="false" customHeight="false" outlineLevel="0" collapsed="false">
      <c r="A2122" s="18" t="s">
        <v>9008</v>
      </c>
      <c r="B2122" s="18" t="s">
        <v>66</v>
      </c>
      <c r="C2122" s="18" t="s">
        <v>67</v>
      </c>
      <c r="D2122" s="18" t="s">
        <v>9004</v>
      </c>
      <c r="E2122" s="18" t="n">
        <v>36</v>
      </c>
      <c r="F2122" s="18" t="s">
        <v>275</v>
      </c>
      <c r="G2122" s="18" t="s">
        <v>180</v>
      </c>
      <c r="H2122" s="18" t="s">
        <v>129</v>
      </c>
      <c r="I2122" s="18"/>
      <c r="J2122" s="18"/>
      <c r="K2122" s="18"/>
      <c r="L2122" s="18" t="s">
        <v>129</v>
      </c>
      <c r="M2122" s="18" t="s">
        <v>129</v>
      </c>
      <c r="N2122" s="18"/>
      <c r="O2122" s="18"/>
      <c r="P2122" s="18" t="s">
        <v>9009</v>
      </c>
      <c r="Q2122" s="18" t="s">
        <v>138</v>
      </c>
      <c r="R2122" s="18" t="s">
        <v>9010</v>
      </c>
      <c r="S2122" s="18" t="s">
        <v>140</v>
      </c>
      <c r="T2122" s="18" t="s">
        <v>141</v>
      </c>
      <c r="U2122" s="18"/>
      <c r="V2122" s="19" t="s">
        <v>29</v>
      </c>
      <c r="W2122" s="19"/>
      <c r="X2122" s="19"/>
      <c r="Y2122" s="20"/>
      <c r="Z2122" s="19"/>
      <c r="AA2122" s="18" t="str">
        <f aca="false">IF(OR(V2122="Aprobada"),R2122,IF(AND(OR(V2122="Aprobada con ajuste",V2122="Rechazada"),W2122&lt;&gt;""),W2122,""))</f>
        <v/>
      </c>
    </row>
    <row r="2123" customFormat="false" ht="53.7" hidden="false" customHeight="false" outlineLevel="0" collapsed="false">
      <c r="A2123" s="18" t="s">
        <v>9011</v>
      </c>
      <c r="B2123" s="18" t="s">
        <v>66</v>
      </c>
      <c r="C2123" s="18" t="s">
        <v>67</v>
      </c>
      <c r="D2123" s="18" t="s">
        <v>9004</v>
      </c>
      <c r="E2123" s="18" t="n">
        <v>36</v>
      </c>
      <c r="F2123" s="18" t="s">
        <v>160</v>
      </c>
      <c r="G2123" s="18" t="s">
        <v>128</v>
      </c>
      <c r="H2123" s="18" t="s">
        <v>129</v>
      </c>
      <c r="I2123" s="18"/>
      <c r="J2123" s="18"/>
      <c r="K2123" s="18"/>
      <c r="L2123" s="18" t="s">
        <v>129</v>
      </c>
      <c r="M2123" s="18" t="s">
        <v>129</v>
      </c>
      <c r="N2123" s="18"/>
      <c r="O2123" s="18"/>
      <c r="P2123" s="18" t="s">
        <v>9012</v>
      </c>
      <c r="Q2123" s="18" t="s">
        <v>138</v>
      </c>
      <c r="R2123" s="18" t="s">
        <v>9013</v>
      </c>
      <c r="S2123" s="18" t="s">
        <v>140</v>
      </c>
      <c r="T2123" s="18" t="s">
        <v>141</v>
      </c>
      <c r="U2123" s="18"/>
      <c r="V2123" s="19" t="s">
        <v>29</v>
      </c>
      <c r="W2123" s="19"/>
      <c r="X2123" s="19"/>
      <c r="Y2123" s="20"/>
      <c r="Z2123" s="19"/>
      <c r="AA2123" s="18" t="str">
        <f aca="false">IF(OR(V2123="Aprobada"),R2123,IF(AND(OR(V2123="Aprobada con ajuste",V2123="Rechazada"),W2123&lt;&gt;""),W2123,""))</f>
        <v/>
      </c>
    </row>
    <row r="2124" customFormat="false" ht="85.05" hidden="false" customHeight="false" outlineLevel="0" collapsed="false">
      <c r="A2124" s="18" t="s">
        <v>9014</v>
      </c>
      <c r="B2124" s="18" t="s">
        <v>66</v>
      </c>
      <c r="C2124" s="18" t="s">
        <v>67</v>
      </c>
      <c r="D2124" s="18" t="s">
        <v>9004</v>
      </c>
      <c r="E2124" s="18" t="n">
        <v>36</v>
      </c>
      <c r="F2124" s="18" t="s">
        <v>127</v>
      </c>
      <c r="G2124" s="18" t="s">
        <v>145</v>
      </c>
      <c r="H2124" s="18" t="s">
        <v>129</v>
      </c>
      <c r="I2124" s="18"/>
      <c r="J2124" s="18"/>
      <c r="K2124" s="18"/>
      <c r="L2124" s="18" t="s">
        <v>129</v>
      </c>
      <c r="M2124" s="18" t="s">
        <v>129</v>
      </c>
      <c r="N2124" s="18"/>
      <c r="O2124" s="18" t="s">
        <v>9015</v>
      </c>
      <c r="P2124" s="18" t="s">
        <v>9016</v>
      </c>
      <c r="Q2124" s="18" t="s">
        <v>138</v>
      </c>
      <c r="R2124" s="18" t="s">
        <v>9017</v>
      </c>
      <c r="S2124" s="18" t="s">
        <v>140</v>
      </c>
      <c r="T2124" s="18" t="s">
        <v>141</v>
      </c>
      <c r="U2124" s="18"/>
      <c r="V2124" s="19" t="s">
        <v>29</v>
      </c>
      <c r="W2124" s="19"/>
      <c r="X2124" s="19"/>
      <c r="Y2124" s="20"/>
      <c r="Z2124" s="19"/>
      <c r="AA2124" s="18" t="str">
        <f aca="false">IF(OR(V2124="Aprobada"),R2124,IF(AND(OR(V2124="Aprobada con ajuste",V2124="Rechazada"),W2124&lt;&gt;""),W2124,""))</f>
        <v/>
      </c>
    </row>
    <row r="2125" customFormat="false" ht="53.7" hidden="false" customHeight="false" outlineLevel="0" collapsed="false">
      <c r="A2125" s="18" t="s">
        <v>9018</v>
      </c>
      <c r="B2125" s="18" t="s">
        <v>66</v>
      </c>
      <c r="C2125" s="18" t="s">
        <v>67</v>
      </c>
      <c r="D2125" s="18" t="s">
        <v>9004</v>
      </c>
      <c r="E2125" s="18" t="n">
        <v>36</v>
      </c>
      <c r="F2125" s="18" t="s">
        <v>9019</v>
      </c>
      <c r="G2125" s="18" t="s">
        <v>180</v>
      </c>
      <c r="H2125" s="18" t="s">
        <v>162</v>
      </c>
      <c r="I2125" s="18"/>
      <c r="J2125" s="18"/>
      <c r="K2125" s="18"/>
      <c r="L2125" s="18" t="s">
        <v>129</v>
      </c>
      <c r="M2125" s="18" t="s">
        <v>129</v>
      </c>
      <c r="N2125" s="18"/>
      <c r="O2125" s="18" t="s">
        <v>9020</v>
      </c>
      <c r="P2125" s="18" t="s">
        <v>9021</v>
      </c>
      <c r="Q2125" s="18" t="s">
        <v>149</v>
      </c>
      <c r="R2125" s="18" t="s">
        <v>9022</v>
      </c>
      <c r="S2125" s="18" t="s">
        <v>133</v>
      </c>
      <c r="T2125" s="18" t="s">
        <v>183</v>
      </c>
      <c r="U2125" s="18"/>
      <c r="V2125" s="19" t="s">
        <v>29</v>
      </c>
      <c r="W2125" s="19"/>
      <c r="X2125" s="19"/>
      <c r="Y2125" s="20"/>
      <c r="Z2125" s="19"/>
      <c r="AA2125" s="18" t="str">
        <f aca="false">IF(OR(V2125="Aprobada"),R2125,IF(AND(OR(V2125="Aprobada con ajuste",V2125="Rechazada"),W2125&lt;&gt;""),W2125,""))</f>
        <v/>
      </c>
    </row>
    <row r="2126" customFormat="false" ht="53.7" hidden="false" customHeight="false" outlineLevel="0" collapsed="false">
      <c r="A2126" s="18" t="s">
        <v>9023</v>
      </c>
      <c r="B2126" s="18" t="s">
        <v>66</v>
      </c>
      <c r="C2126" s="18" t="s">
        <v>67</v>
      </c>
      <c r="D2126" s="18" t="s">
        <v>9004</v>
      </c>
      <c r="E2126" s="18" t="n">
        <v>36</v>
      </c>
      <c r="F2126" s="18" t="s">
        <v>5081</v>
      </c>
      <c r="G2126" s="18" t="s">
        <v>180</v>
      </c>
      <c r="H2126" s="18" t="s">
        <v>129</v>
      </c>
      <c r="I2126" s="18"/>
      <c r="J2126" s="18"/>
      <c r="K2126" s="18"/>
      <c r="L2126" s="18" t="s">
        <v>129</v>
      </c>
      <c r="M2126" s="18" t="s">
        <v>129</v>
      </c>
      <c r="N2126" s="18"/>
      <c r="O2126" s="18"/>
      <c r="P2126" s="18" t="s">
        <v>9024</v>
      </c>
      <c r="Q2126" s="18" t="s">
        <v>149</v>
      </c>
      <c r="R2126" s="18" t="s">
        <v>9025</v>
      </c>
      <c r="S2126" s="18" t="s">
        <v>140</v>
      </c>
      <c r="T2126" s="18" t="s">
        <v>183</v>
      </c>
      <c r="U2126" s="18" t="s">
        <v>9026</v>
      </c>
      <c r="V2126" s="19" t="s">
        <v>29</v>
      </c>
      <c r="W2126" s="19"/>
      <c r="X2126" s="19"/>
      <c r="Y2126" s="20"/>
      <c r="Z2126" s="19"/>
      <c r="AA2126" s="18" t="str">
        <f aca="false">IF(OR(V2126="Aprobada"),R2126,IF(AND(OR(V2126="Aprobada con ajuste",V2126="Rechazada"),W2126&lt;&gt;""),W2126,""))</f>
        <v/>
      </c>
    </row>
    <row r="2127" customFormat="false" ht="53.7" hidden="false" customHeight="false" outlineLevel="0" collapsed="false">
      <c r="A2127" s="18" t="s">
        <v>9027</v>
      </c>
      <c r="B2127" s="18" t="s">
        <v>66</v>
      </c>
      <c r="C2127" s="18" t="s">
        <v>67</v>
      </c>
      <c r="D2127" s="18" t="s">
        <v>9004</v>
      </c>
      <c r="E2127" s="18" t="n">
        <v>36</v>
      </c>
      <c r="F2127" s="18" t="s">
        <v>4285</v>
      </c>
      <c r="G2127" s="18" t="s">
        <v>180</v>
      </c>
      <c r="H2127" s="18" t="s">
        <v>129</v>
      </c>
      <c r="I2127" s="18"/>
      <c r="J2127" s="18"/>
      <c r="K2127" s="18"/>
      <c r="L2127" s="18" t="s">
        <v>129</v>
      </c>
      <c r="M2127" s="18" t="s">
        <v>129</v>
      </c>
      <c r="N2127" s="18"/>
      <c r="O2127" s="18"/>
      <c r="P2127" s="18" t="s">
        <v>9028</v>
      </c>
      <c r="Q2127" s="18" t="s">
        <v>149</v>
      </c>
      <c r="R2127" s="18" t="s">
        <v>9029</v>
      </c>
      <c r="S2127" s="18" t="s">
        <v>133</v>
      </c>
      <c r="T2127" s="18" t="s">
        <v>183</v>
      </c>
      <c r="U2127" s="18"/>
      <c r="V2127" s="19" t="s">
        <v>29</v>
      </c>
      <c r="W2127" s="19"/>
      <c r="X2127" s="19"/>
      <c r="Y2127" s="20"/>
      <c r="Z2127" s="19"/>
      <c r="AA2127" s="18" t="str">
        <f aca="false">IF(OR(V2127="Aprobada"),R2127,IF(AND(OR(V2127="Aprobada con ajuste",V2127="Rechazada"),W2127&lt;&gt;""),W2127,""))</f>
        <v/>
      </c>
    </row>
    <row r="2128" customFormat="false" ht="43.25" hidden="false" customHeight="false" outlineLevel="0" collapsed="false">
      <c r="A2128" s="18" t="s">
        <v>9030</v>
      </c>
      <c r="B2128" s="18" t="s">
        <v>66</v>
      </c>
      <c r="C2128" s="18" t="s">
        <v>67</v>
      </c>
      <c r="D2128" s="18" t="s">
        <v>9004</v>
      </c>
      <c r="E2128" s="18" t="n">
        <v>36</v>
      </c>
      <c r="F2128" s="18" t="s">
        <v>5413</v>
      </c>
      <c r="G2128" s="18" t="s">
        <v>180</v>
      </c>
      <c r="H2128" s="18" t="s">
        <v>162</v>
      </c>
      <c r="I2128" s="18"/>
      <c r="J2128" s="18"/>
      <c r="K2128" s="18"/>
      <c r="L2128" s="18" t="s">
        <v>129</v>
      </c>
      <c r="M2128" s="18" t="s">
        <v>129</v>
      </c>
      <c r="N2128" s="18"/>
      <c r="O2128" s="18"/>
      <c r="P2128" s="18" t="s">
        <v>9031</v>
      </c>
      <c r="Q2128" s="18" t="s">
        <v>149</v>
      </c>
      <c r="R2128" s="18" t="s">
        <v>9032</v>
      </c>
      <c r="S2128" s="18" t="s">
        <v>140</v>
      </c>
      <c r="T2128" s="18" t="s">
        <v>183</v>
      </c>
      <c r="U2128" s="18" t="s">
        <v>9033</v>
      </c>
      <c r="V2128" s="19" t="s">
        <v>29</v>
      </c>
      <c r="W2128" s="19"/>
      <c r="X2128" s="19"/>
      <c r="Y2128" s="20"/>
      <c r="Z2128" s="19"/>
      <c r="AA2128" s="18" t="str">
        <f aca="false">IF(OR(V2128="Aprobada"),R2128,IF(AND(OR(V2128="Aprobada con ajuste",V2128="Rechazada"),W2128&lt;&gt;""),W2128,""))</f>
        <v/>
      </c>
    </row>
    <row r="2129" customFormat="false" ht="43.25" hidden="false" customHeight="false" outlineLevel="0" collapsed="false">
      <c r="A2129" s="18" t="s">
        <v>9034</v>
      </c>
      <c r="B2129" s="18" t="s">
        <v>66</v>
      </c>
      <c r="C2129" s="18" t="s">
        <v>67</v>
      </c>
      <c r="D2129" s="18" t="s">
        <v>9004</v>
      </c>
      <c r="E2129" s="18" t="n">
        <v>36</v>
      </c>
      <c r="F2129" s="18" t="s">
        <v>9035</v>
      </c>
      <c r="G2129" s="18" t="s">
        <v>192</v>
      </c>
      <c r="H2129" s="18" t="s">
        <v>129</v>
      </c>
      <c r="I2129" s="18"/>
      <c r="J2129" s="18"/>
      <c r="K2129" s="18"/>
      <c r="L2129" s="18" t="s">
        <v>129</v>
      </c>
      <c r="M2129" s="18" t="s">
        <v>129</v>
      </c>
      <c r="N2129" s="18"/>
      <c r="O2129" s="18"/>
      <c r="P2129" s="18" t="s">
        <v>9036</v>
      </c>
      <c r="Q2129" s="18" t="s">
        <v>149</v>
      </c>
      <c r="R2129" s="18" t="s">
        <v>9037</v>
      </c>
      <c r="S2129" s="18" t="s">
        <v>140</v>
      </c>
      <c r="T2129" s="18" t="s">
        <v>8546</v>
      </c>
      <c r="U2129" s="18" t="s">
        <v>9038</v>
      </c>
      <c r="V2129" s="19" t="s">
        <v>29</v>
      </c>
      <c r="W2129" s="19"/>
      <c r="X2129" s="19"/>
      <c r="Y2129" s="20"/>
      <c r="Z2129" s="19"/>
      <c r="AA2129" s="18" t="str">
        <f aca="false">IF(OR(V2129="Aprobada"),R2129,IF(AND(OR(V2129="Aprobada con ajuste",V2129="Rechazada"),W2129&lt;&gt;""),W2129,""))</f>
        <v/>
      </c>
    </row>
    <row r="2130" customFormat="false" ht="53.7" hidden="false" customHeight="false" outlineLevel="0" collapsed="false">
      <c r="A2130" s="18" t="s">
        <v>9039</v>
      </c>
      <c r="B2130" s="18" t="s">
        <v>66</v>
      </c>
      <c r="C2130" s="18" t="s">
        <v>67</v>
      </c>
      <c r="D2130" s="18" t="s">
        <v>9004</v>
      </c>
      <c r="E2130" s="18" t="n">
        <v>36</v>
      </c>
      <c r="F2130" s="18" t="s">
        <v>9040</v>
      </c>
      <c r="G2130" s="18" t="s">
        <v>180</v>
      </c>
      <c r="H2130" s="18" t="s">
        <v>129</v>
      </c>
      <c r="I2130" s="18"/>
      <c r="J2130" s="18"/>
      <c r="K2130" s="18"/>
      <c r="L2130" s="18" t="s">
        <v>129</v>
      </c>
      <c r="M2130" s="18" t="s">
        <v>129</v>
      </c>
      <c r="N2130" s="18"/>
      <c r="O2130" s="18"/>
      <c r="P2130" s="18" t="s">
        <v>9041</v>
      </c>
      <c r="Q2130" s="18" t="s">
        <v>149</v>
      </c>
      <c r="R2130" s="18" t="s">
        <v>9042</v>
      </c>
      <c r="S2130" s="18" t="s">
        <v>140</v>
      </c>
      <c r="T2130" s="18" t="s">
        <v>183</v>
      </c>
      <c r="U2130" s="18" t="s">
        <v>9043</v>
      </c>
      <c r="V2130" s="19" t="s">
        <v>29</v>
      </c>
      <c r="W2130" s="19"/>
      <c r="X2130" s="19"/>
      <c r="Y2130" s="20"/>
      <c r="Z2130" s="19"/>
      <c r="AA2130" s="18" t="str">
        <f aca="false">IF(OR(V2130="Aprobada"),R2130,IF(AND(OR(V2130="Aprobada con ajuste",V2130="Rechazada"),W2130&lt;&gt;""),W2130,""))</f>
        <v/>
      </c>
    </row>
    <row r="2131" customFormat="false" ht="43.25" hidden="false" customHeight="false" outlineLevel="0" collapsed="false">
      <c r="A2131" s="18" t="s">
        <v>9044</v>
      </c>
      <c r="B2131" s="18" t="s">
        <v>66</v>
      </c>
      <c r="C2131" s="18" t="s">
        <v>67</v>
      </c>
      <c r="D2131" s="18" t="s">
        <v>9004</v>
      </c>
      <c r="E2131" s="18" t="n">
        <v>36</v>
      </c>
      <c r="F2131" s="18" t="s">
        <v>9045</v>
      </c>
      <c r="G2131" s="18" t="s">
        <v>137</v>
      </c>
      <c r="H2131" s="18" t="s">
        <v>162</v>
      </c>
      <c r="I2131" s="18"/>
      <c r="J2131" s="18"/>
      <c r="K2131" s="18"/>
      <c r="L2131" s="18" t="s">
        <v>129</v>
      </c>
      <c r="M2131" s="18" t="s">
        <v>129</v>
      </c>
      <c r="N2131" s="18"/>
      <c r="O2131" s="18"/>
      <c r="P2131" s="18" t="s">
        <v>9046</v>
      </c>
      <c r="Q2131" s="18" t="s">
        <v>149</v>
      </c>
      <c r="R2131" s="18" t="s">
        <v>9047</v>
      </c>
      <c r="S2131" s="18" t="s">
        <v>133</v>
      </c>
      <c r="T2131" s="18" t="s">
        <v>183</v>
      </c>
      <c r="U2131" s="18"/>
      <c r="V2131" s="19" t="s">
        <v>29</v>
      </c>
      <c r="W2131" s="19"/>
      <c r="X2131" s="19"/>
      <c r="Y2131" s="20"/>
      <c r="Z2131" s="19"/>
      <c r="AA2131" s="18" t="str">
        <f aca="false">IF(OR(V2131="Aprobada"),R2131,IF(AND(OR(V2131="Aprobada con ajuste",V2131="Rechazada"),W2131&lt;&gt;""),W2131,""))</f>
        <v/>
      </c>
    </row>
    <row r="2132" customFormat="false" ht="43.25" hidden="false" customHeight="false" outlineLevel="0" collapsed="false">
      <c r="A2132" s="18" t="s">
        <v>9048</v>
      </c>
      <c r="B2132" s="18" t="s">
        <v>66</v>
      </c>
      <c r="C2132" s="18" t="s">
        <v>67</v>
      </c>
      <c r="D2132" s="18" t="s">
        <v>9004</v>
      </c>
      <c r="E2132" s="18" t="n">
        <v>36</v>
      </c>
      <c r="F2132" s="18" t="s">
        <v>9049</v>
      </c>
      <c r="G2132" s="18" t="s">
        <v>137</v>
      </c>
      <c r="H2132" s="18" t="s">
        <v>162</v>
      </c>
      <c r="I2132" s="18"/>
      <c r="J2132" s="18"/>
      <c r="K2132" s="18"/>
      <c r="L2132" s="18" t="s">
        <v>129</v>
      </c>
      <c r="M2132" s="18" t="s">
        <v>129</v>
      </c>
      <c r="N2132" s="18"/>
      <c r="O2132" s="18"/>
      <c r="P2132" s="18" t="s">
        <v>9050</v>
      </c>
      <c r="Q2132" s="18" t="s">
        <v>149</v>
      </c>
      <c r="R2132" s="18" t="s">
        <v>9051</v>
      </c>
      <c r="S2132" s="18" t="s">
        <v>133</v>
      </c>
      <c r="T2132" s="18" t="s">
        <v>183</v>
      </c>
      <c r="U2132" s="18"/>
      <c r="V2132" s="19" t="s">
        <v>29</v>
      </c>
      <c r="W2132" s="19"/>
      <c r="X2132" s="19"/>
      <c r="Y2132" s="20"/>
      <c r="Z2132" s="19"/>
      <c r="AA2132" s="18" t="str">
        <f aca="false">IF(OR(V2132="Aprobada"),R2132,IF(AND(OR(V2132="Aprobada con ajuste",V2132="Rechazada"),W2132&lt;&gt;""),W2132,""))</f>
        <v/>
      </c>
    </row>
    <row r="2133" customFormat="false" ht="85.05" hidden="false" customHeight="false" outlineLevel="0" collapsed="false">
      <c r="A2133" s="18" t="s">
        <v>9052</v>
      </c>
      <c r="B2133" s="18" t="s">
        <v>66</v>
      </c>
      <c r="C2133" s="18" t="s">
        <v>67</v>
      </c>
      <c r="D2133" s="18" t="s">
        <v>9004</v>
      </c>
      <c r="E2133" s="18" t="n">
        <v>36</v>
      </c>
      <c r="F2133" s="18" t="s">
        <v>4777</v>
      </c>
      <c r="G2133" s="18" t="s">
        <v>503</v>
      </c>
      <c r="H2133" s="18" t="s">
        <v>129</v>
      </c>
      <c r="I2133" s="18"/>
      <c r="J2133" s="18"/>
      <c r="K2133" s="18"/>
      <c r="L2133" s="18" t="s">
        <v>129</v>
      </c>
      <c r="M2133" s="18" t="s">
        <v>129</v>
      </c>
      <c r="N2133" s="18"/>
      <c r="O2133" s="18" t="s">
        <v>9053</v>
      </c>
      <c r="P2133" s="18" t="s">
        <v>9054</v>
      </c>
      <c r="Q2133" s="18" t="s">
        <v>149</v>
      </c>
      <c r="R2133" s="18" t="s">
        <v>9055</v>
      </c>
      <c r="S2133" s="18" t="s">
        <v>242</v>
      </c>
      <c r="T2133" s="18" t="s">
        <v>6893</v>
      </c>
      <c r="U2133" s="18" t="s">
        <v>9056</v>
      </c>
      <c r="V2133" s="19" t="s">
        <v>29</v>
      </c>
      <c r="W2133" s="19"/>
      <c r="X2133" s="19"/>
      <c r="Y2133" s="20"/>
      <c r="Z2133" s="19"/>
      <c r="AA2133" s="18" t="str">
        <f aca="false">IF(OR(V2133="Aprobada"),R2133,IF(AND(OR(V2133="Aprobada con ajuste",V2133="Rechazada"),W2133&lt;&gt;""),W2133,""))</f>
        <v/>
      </c>
    </row>
    <row r="2134" customFormat="false" ht="43.25" hidden="false" customHeight="false" outlineLevel="0" collapsed="false">
      <c r="A2134" s="18" t="s">
        <v>9057</v>
      </c>
      <c r="B2134" s="18" t="s">
        <v>66</v>
      </c>
      <c r="C2134" s="18" t="s">
        <v>67</v>
      </c>
      <c r="D2134" s="18" t="s">
        <v>9004</v>
      </c>
      <c r="E2134" s="18" t="n">
        <v>36</v>
      </c>
      <c r="F2134" s="18" t="s">
        <v>9058</v>
      </c>
      <c r="G2134" s="18" t="s">
        <v>503</v>
      </c>
      <c r="H2134" s="18" t="s">
        <v>129</v>
      </c>
      <c r="I2134" s="18"/>
      <c r="J2134" s="18"/>
      <c r="K2134" s="18"/>
      <c r="L2134" s="18" t="s">
        <v>129</v>
      </c>
      <c r="M2134" s="18" t="s">
        <v>129</v>
      </c>
      <c r="N2134" s="18"/>
      <c r="O2134" s="18"/>
      <c r="P2134" s="18" t="s">
        <v>9059</v>
      </c>
      <c r="Q2134" s="18" t="s">
        <v>131</v>
      </c>
      <c r="R2134" s="18" t="s">
        <v>9060</v>
      </c>
      <c r="S2134" s="18" t="s">
        <v>133</v>
      </c>
      <c r="T2134" s="18" t="s">
        <v>9061</v>
      </c>
      <c r="U2134" s="18"/>
      <c r="V2134" s="19" t="s">
        <v>29</v>
      </c>
      <c r="W2134" s="19"/>
      <c r="X2134" s="19"/>
      <c r="Y2134" s="20"/>
      <c r="Z2134" s="19"/>
      <c r="AA2134" s="18" t="str">
        <f aca="false">IF(OR(V2134="Aprobada"),R2134,IF(AND(OR(V2134="Aprobada con ajuste",V2134="Rechazada"),W2134&lt;&gt;""),W2134,""))</f>
        <v/>
      </c>
    </row>
    <row r="2135" customFormat="false" ht="43.25" hidden="false" customHeight="false" outlineLevel="0" collapsed="false">
      <c r="A2135" s="18" t="s">
        <v>9062</v>
      </c>
      <c r="B2135" s="18" t="s">
        <v>66</v>
      </c>
      <c r="C2135" s="18" t="s">
        <v>67</v>
      </c>
      <c r="D2135" s="18" t="s">
        <v>9004</v>
      </c>
      <c r="E2135" s="18" t="n">
        <v>36</v>
      </c>
      <c r="F2135" s="18" t="s">
        <v>172</v>
      </c>
      <c r="G2135" s="18" t="s">
        <v>173</v>
      </c>
      <c r="H2135" s="18" t="s">
        <v>162</v>
      </c>
      <c r="I2135" s="18"/>
      <c r="J2135" s="18"/>
      <c r="K2135" s="18"/>
      <c r="L2135" s="18" t="s">
        <v>129</v>
      </c>
      <c r="M2135" s="18" t="s">
        <v>129</v>
      </c>
      <c r="N2135" s="18"/>
      <c r="O2135" s="18"/>
      <c r="P2135" s="18" t="s">
        <v>9063</v>
      </c>
      <c r="Q2135" s="18" t="s">
        <v>138</v>
      </c>
      <c r="R2135" s="18" t="s">
        <v>176</v>
      </c>
      <c r="S2135" s="18" t="s">
        <v>140</v>
      </c>
      <c r="T2135" s="18" t="s">
        <v>141</v>
      </c>
      <c r="U2135" s="18"/>
      <c r="V2135" s="19" t="s">
        <v>29</v>
      </c>
      <c r="W2135" s="19"/>
      <c r="X2135" s="19"/>
      <c r="Y2135" s="20"/>
      <c r="Z2135" s="19"/>
      <c r="AA2135" s="18" t="str">
        <f aca="false">IF(OR(V2135="Aprobada"),R2135,IF(AND(OR(V2135="Aprobada con ajuste",V2135="Rechazada"),W2135&lt;&gt;""),W2135,""))</f>
        <v/>
      </c>
    </row>
    <row r="2136" customFormat="false" ht="53.7" hidden="false" customHeight="false" outlineLevel="0" collapsed="false">
      <c r="A2136" s="18" t="s">
        <v>9064</v>
      </c>
      <c r="B2136" s="18" t="s">
        <v>66</v>
      </c>
      <c r="C2136" s="18" t="s">
        <v>67</v>
      </c>
      <c r="D2136" s="18" t="s">
        <v>9004</v>
      </c>
      <c r="E2136" s="18" t="n">
        <v>36</v>
      </c>
      <c r="F2136" s="18" t="s">
        <v>9065</v>
      </c>
      <c r="G2136" s="18" t="s">
        <v>192</v>
      </c>
      <c r="H2136" s="18" t="s">
        <v>162</v>
      </c>
      <c r="I2136" s="18"/>
      <c r="J2136" s="18"/>
      <c r="K2136" s="18"/>
      <c r="L2136" s="18" t="s">
        <v>129</v>
      </c>
      <c r="M2136" s="18" t="s">
        <v>129</v>
      </c>
      <c r="N2136" s="18"/>
      <c r="O2136" s="18"/>
      <c r="P2136" s="18" t="s">
        <v>9066</v>
      </c>
      <c r="Q2136" s="18" t="s">
        <v>149</v>
      </c>
      <c r="R2136" s="18" t="s">
        <v>9067</v>
      </c>
      <c r="S2136" s="18" t="s">
        <v>133</v>
      </c>
      <c r="T2136" s="18" t="s">
        <v>8546</v>
      </c>
      <c r="U2136" s="18"/>
      <c r="V2136" s="19" t="s">
        <v>29</v>
      </c>
      <c r="W2136" s="19"/>
      <c r="X2136" s="19"/>
      <c r="Y2136" s="20"/>
      <c r="Z2136" s="19"/>
      <c r="AA2136" s="18" t="str">
        <f aca="false">IF(OR(V2136="Aprobada"),R2136,IF(AND(OR(V2136="Aprobada con ajuste",V2136="Rechazada"),W2136&lt;&gt;""),W2136,""))</f>
        <v/>
      </c>
    </row>
    <row r="2137" customFormat="false" ht="22.35" hidden="false" customHeight="false" outlineLevel="0" collapsed="false">
      <c r="A2137" s="18" t="s">
        <v>9068</v>
      </c>
      <c r="B2137" s="18" t="s">
        <v>66</v>
      </c>
      <c r="C2137" s="18" t="s">
        <v>67</v>
      </c>
      <c r="D2137" s="18" t="s">
        <v>9069</v>
      </c>
      <c r="E2137" s="18" t="n">
        <v>3</v>
      </c>
      <c r="F2137" s="18" t="s">
        <v>136</v>
      </c>
      <c r="G2137" s="18" t="s">
        <v>503</v>
      </c>
      <c r="H2137" s="18" t="s">
        <v>129</v>
      </c>
      <c r="I2137" s="18"/>
      <c r="J2137" s="18"/>
      <c r="K2137" s="18"/>
      <c r="L2137" s="18" t="s">
        <v>129</v>
      </c>
      <c r="M2137" s="18" t="s">
        <v>129</v>
      </c>
      <c r="N2137" s="18"/>
      <c r="O2137" s="18" t="s">
        <v>9070</v>
      </c>
      <c r="P2137" s="18"/>
      <c r="Q2137" s="18" t="s">
        <v>138</v>
      </c>
      <c r="R2137" s="18" t="s">
        <v>139</v>
      </c>
      <c r="S2137" s="18" t="s">
        <v>140</v>
      </c>
      <c r="T2137" s="18" t="s">
        <v>141</v>
      </c>
      <c r="U2137" s="18"/>
      <c r="V2137" s="19" t="s">
        <v>29</v>
      </c>
      <c r="W2137" s="19"/>
      <c r="X2137" s="19"/>
      <c r="Y2137" s="20"/>
      <c r="Z2137" s="19"/>
      <c r="AA2137" s="18" t="str">
        <f aca="false">IF(OR(V2137="Aprobada"),R2137,IF(AND(OR(V2137="Aprobada con ajuste",V2137="Rechazada"),W2137&lt;&gt;""),W2137,""))</f>
        <v/>
      </c>
    </row>
    <row r="2138" customFormat="false" ht="22.35" hidden="false" customHeight="false" outlineLevel="0" collapsed="false">
      <c r="A2138" s="18" t="s">
        <v>9071</v>
      </c>
      <c r="B2138" s="18" t="s">
        <v>66</v>
      </c>
      <c r="C2138" s="18" t="s">
        <v>67</v>
      </c>
      <c r="D2138" s="18" t="s">
        <v>9069</v>
      </c>
      <c r="E2138" s="18" t="n">
        <v>3</v>
      </c>
      <c r="F2138" s="18" t="s">
        <v>9072</v>
      </c>
      <c r="G2138" s="18" t="s">
        <v>180</v>
      </c>
      <c r="H2138" s="18" t="s">
        <v>129</v>
      </c>
      <c r="I2138" s="18"/>
      <c r="J2138" s="18"/>
      <c r="K2138" s="18"/>
      <c r="L2138" s="18" t="s">
        <v>129</v>
      </c>
      <c r="M2138" s="18" t="s">
        <v>129</v>
      </c>
      <c r="N2138" s="18"/>
      <c r="O2138" s="18"/>
      <c r="P2138" s="18"/>
      <c r="Q2138" s="18" t="s">
        <v>138</v>
      </c>
      <c r="R2138" s="18" t="s">
        <v>9073</v>
      </c>
      <c r="S2138" s="18" t="s">
        <v>140</v>
      </c>
      <c r="T2138" s="18" t="s">
        <v>141</v>
      </c>
      <c r="U2138" s="18"/>
      <c r="V2138" s="19" t="s">
        <v>29</v>
      </c>
      <c r="W2138" s="19"/>
      <c r="X2138" s="19"/>
      <c r="Y2138" s="20"/>
      <c r="Z2138" s="19"/>
      <c r="AA2138" s="18" t="str">
        <f aca="false">IF(OR(V2138="Aprobada"),R2138,IF(AND(OR(V2138="Aprobada con ajuste",V2138="Rechazada"),W2138&lt;&gt;""),W2138,""))</f>
        <v/>
      </c>
    </row>
    <row r="2139" customFormat="false" ht="22.35" hidden="false" customHeight="false" outlineLevel="0" collapsed="false">
      <c r="A2139" s="18" t="s">
        <v>9074</v>
      </c>
      <c r="B2139" s="18" t="s">
        <v>66</v>
      </c>
      <c r="C2139" s="18" t="s">
        <v>67</v>
      </c>
      <c r="D2139" s="18" t="s">
        <v>9069</v>
      </c>
      <c r="E2139" s="18" t="n">
        <v>3</v>
      </c>
      <c r="F2139" s="18" t="s">
        <v>9075</v>
      </c>
      <c r="G2139" s="18" t="s">
        <v>3172</v>
      </c>
      <c r="H2139" s="18" t="s">
        <v>162</v>
      </c>
      <c r="I2139" s="18"/>
      <c r="J2139" s="18"/>
      <c r="K2139" s="18"/>
      <c r="L2139" s="18" t="s">
        <v>129</v>
      </c>
      <c r="M2139" s="18" t="s">
        <v>129</v>
      </c>
      <c r="N2139" s="18"/>
      <c r="O2139" s="18"/>
      <c r="P2139" s="18"/>
      <c r="Q2139" s="18" t="s">
        <v>149</v>
      </c>
      <c r="R2139" s="18" t="s">
        <v>9076</v>
      </c>
      <c r="S2139" s="18" t="s">
        <v>140</v>
      </c>
      <c r="T2139" s="18" t="s">
        <v>3165</v>
      </c>
      <c r="U2139" s="18" t="s">
        <v>9077</v>
      </c>
      <c r="V2139" s="19" t="s">
        <v>29</v>
      </c>
      <c r="W2139" s="19"/>
      <c r="X2139" s="19"/>
      <c r="Y2139" s="20"/>
      <c r="Z2139" s="19"/>
      <c r="AA2139" s="18" t="str">
        <f aca="false">IF(OR(V2139="Aprobada"),R2139,IF(AND(OR(V2139="Aprobada con ajuste",V2139="Rechazada"),W2139&lt;&gt;""),W2139,""))</f>
        <v/>
      </c>
    </row>
    <row r="2140" customFormat="false" ht="22.35" hidden="false" customHeight="false" outlineLevel="0" collapsed="false">
      <c r="A2140" s="18" t="s">
        <v>9078</v>
      </c>
      <c r="B2140" s="18" t="s">
        <v>66</v>
      </c>
      <c r="C2140" s="18" t="s">
        <v>67</v>
      </c>
      <c r="D2140" s="18" t="s">
        <v>9069</v>
      </c>
      <c r="E2140" s="18" t="n">
        <v>3</v>
      </c>
      <c r="F2140" s="18" t="s">
        <v>9079</v>
      </c>
      <c r="G2140" s="18" t="s">
        <v>584</v>
      </c>
      <c r="H2140" s="18" t="s">
        <v>129</v>
      </c>
      <c r="I2140" s="18"/>
      <c r="J2140" s="18"/>
      <c r="K2140" s="18"/>
      <c r="L2140" s="18" t="s">
        <v>129</v>
      </c>
      <c r="M2140" s="18" t="s">
        <v>129</v>
      </c>
      <c r="N2140" s="18"/>
      <c r="O2140" s="18"/>
      <c r="P2140" s="18"/>
      <c r="Q2140" s="18" t="s">
        <v>138</v>
      </c>
      <c r="R2140" s="18" t="s">
        <v>3371</v>
      </c>
      <c r="S2140" s="18" t="s">
        <v>140</v>
      </c>
      <c r="T2140" s="18" t="s">
        <v>141</v>
      </c>
      <c r="U2140" s="18"/>
      <c r="V2140" s="19" t="s">
        <v>29</v>
      </c>
      <c r="W2140" s="19"/>
      <c r="X2140" s="19"/>
      <c r="Y2140" s="20"/>
      <c r="Z2140" s="19"/>
      <c r="AA2140" s="18" t="str">
        <f aca="false">IF(OR(V2140="Aprobada"),R2140,IF(AND(OR(V2140="Aprobada con ajuste",V2140="Rechazada"),W2140&lt;&gt;""),W2140,""))</f>
        <v/>
      </c>
    </row>
    <row r="2141" customFormat="false" ht="22.35" hidden="false" customHeight="false" outlineLevel="0" collapsed="false">
      <c r="A2141" s="18" t="s">
        <v>9080</v>
      </c>
      <c r="B2141" s="18" t="s">
        <v>66</v>
      </c>
      <c r="C2141" s="18" t="s">
        <v>67</v>
      </c>
      <c r="D2141" s="18" t="s">
        <v>9069</v>
      </c>
      <c r="E2141" s="18" t="n">
        <v>3</v>
      </c>
      <c r="F2141" s="18" t="s">
        <v>9081</v>
      </c>
      <c r="G2141" s="18" t="s">
        <v>584</v>
      </c>
      <c r="H2141" s="18" t="s">
        <v>162</v>
      </c>
      <c r="I2141" s="18"/>
      <c r="J2141" s="18"/>
      <c r="K2141" s="18"/>
      <c r="L2141" s="18" t="s">
        <v>129</v>
      </c>
      <c r="M2141" s="18" t="s">
        <v>129</v>
      </c>
      <c r="N2141" s="18"/>
      <c r="O2141" s="18"/>
      <c r="P2141" s="18"/>
      <c r="Q2141" s="18" t="s">
        <v>138</v>
      </c>
      <c r="R2141" s="18" t="s">
        <v>6439</v>
      </c>
      <c r="S2141" s="18" t="s">
        <v>140</v>
      </c>
      <c r="T2141" s="18" t="s">
        <v>141</v>
      </c>
      <c r="U2141" s="18"/>
      <c r="V2141" s="19" t="s">
        <v>29</v>
      </c>
      <c r="W2141" s="19"/>
      <c r="X2141" s="19"/>
      <c r="Y2141" s="20"/>
      <c r="Z2141" s="19"/>
      <c r="AA2141" s="18" t="str">
        <f aca="false">IF(OR(V2141="Aprobada"),R2141,IF(AND(OR(V2141="Aprobada con ajuste",V2141="Rechazada"),W2141&lt;&gt;""),W2141,""))</f>
        <v/>
      </c>
    </row>
    <row r="2142" customFormat="false" ht="32.8" hidden="false" customHeight="false" outlineLevel="0" collapsed="false">
      <c r="A2142" s="18" t="s">
        <v>9082</v>
      </c>
      <c r="B2142" s="18" t="s">
        <v>66</v>
      </c>
      <c r="C2142" s="18" t="s">
        <v>67</v>
      </c>
      <c r="D2142" s="18" t="s">
        <v>9069</v>
      </c>
      <c r="E2142" s="18" t="n">
        <v>3</v>
      </c>
      <c r="F2142" s="18" t="s">
        <v>9083</v>
      </c>
      <c r="G2142" s="18" t="s">
        <v>503</v>
      </c>
      <c r="H2142" s="18" t="s">
        <v>162</v>
      </c>
      <c r="I2142" s="18"/>
      <c r="J2142" s="18"/>
      <c r="K2142" s="18"/>
      <c r="L2142" s="18" t="s">
        <v>129</v>
      </c>
      <c r="M2142" s="18" t="s">
        <v>129</v>
      </c>
      <c r="N2142" s="18"/>
      <c r="O2142" s="18"/>
      <c r="P2142" s="18" t="s">
        <v>9084</v>
      </c>
      <c r="Q2142" s="18" t="s">
        <v>131</v>
      </c>
      <c r="R2142" s="18" t="s">
        <v>9085</v>
      </c>
      <c r="S2142" s="18" t="s">
        <v>133</v>
      </c>
      <c r="T2142" s="18" t="s">
        <v>9086</v>
      </c>
      <c r="U2142" s="18"/>
      <c r="V2142" s="19" t="s">
        <v>29</v>
      </c>
      <c r="W2142" s="19"/>
      <c r="X2142" s="19"/>
      <c r="Y2142" s="20"/>
      <c r="Z2142" s="19"/>
      <c r="AA2142" s="18" t="str">
        <f aca="false">IF(OR(V2142="Aprobada"),R2142,IF(AND(OR(V2142="Aprobada con ajuste",V2142="Rechazada"),W2142&lt;&gt;""),W2142,""))</f>
        <v/>
      </c>
    </row>
    <row r="2143" customFormat="false" ht="43.25" hidden="false" customHeight="false" outlineLevel="0" collapsed="false">
      <c r="A2143" s="18" t="s">
        <v>9087</v>
      </c>
      <c r="B2143" s="18" t="s">
        <v>66</v>
      </c>
      <c r="C2143" s="18" t="s">
        <v>67</v>
      </c>
      <c r="D2143" s="18" t="s">
        <v>9088</v>
      </c>
      <c r="E2143" s="18" t="n">
        <v>0</v>
      </c>
      <c r="F2143" s="18" t="s">
        <v>9089</v>
      </c>
      <c r="G2143" s="18" t="s">
        <v>128</v>
      </c>
      <c r="H2143" s="18" t="s">
        <v>129</v>
      </c>
      <c r="I2143" s="18"/>
      <c r="J2143" s="18"/>
      <c r="K2143" s="18"/>
      <c r="L2143" s="18" t="s">
        <v>129</v>
      </c>
      <c r="M2143" s="18" t="s">
        <v>129</v>
      </c>
      <c r="N2143" s="18"/>
      <c r="O2143" s="18"/>
      <c r="P2143" s="18" t="s">
        <v>9090</v>
      </c>
      <c r="Q2143" s="18" t="s">
        <v>149</v>
      </c>
      <c r="R2143" s="18" t="s">
        <v>9091</v>
      </c>
      <c r="S2143" s="18" t="s">
        <v>133</v>
      </c>
      <c r="T2143" s="18" t="s">
        <v>183</v>
      </c>
      <c r="U2143" s="18"/>
      <c r="V2143" s="19" t="s">
        <v>29</v>
      </c>
      <c r="W2143" s="19"/>
      <c r="X2143" s="19"/>
      <c r="Y2143" s="20"/>
      <c r="Z2143" s="19"/>
      <c r="AA2143" s="18" t="str">
        <f aca="false">IF(OR(V2143="Aprobada"),R2143,IF(AND(OR(V2143="Aprobada con ajuste",V2143="Rechazada"),W2143&lt;&gt;""),W2143,""))</f>
        <v/>
      </c>
    </row>
    <row r="2144" customFormat="false" ht="43.25" hidden="false" customHeight="false" outlineLevel="0" collapsed="false">
      <c r="A2144" s="18" t="s">
        <v>9092</v>
      </c>
      <c r="B2144" s="18" t="s">
        <v>66</v>
      </c>
      <c r="C2144" s="18" t="s">
        <v>67</v>
      </c>
      <c r="D2144" s="18" t="s">
        <v>9088</v>
      </c>
      <c r="E2144" s="18" t="n">
        <v>0</v>
      </c>
      <c r="F2144" s="18" t="s">
        <v>9093</v>
      </c>
      <c r="G2144" s="18" t="s">
        <v>503</v>
      </c>
      <c r="H2144" s="18" t="s">
        <v>162</v>
      </c>
      <c r="I2144" s="18"/>
      <c r="J2144" s="18"/>
      <c r="K2144" s="18"/>
      <c r="L2144" s="18" t="s">
        <v>129</v>
      </c>
      <c r="M2144" s="18" t="s">
        <v>129</v>
      </c>
      <c r="N2144" s="18"/>
      <c r="O2144" s="18"/>
      <c r="P2144" s="18" t="s">
        <v>9094</v>
      </c>
      <c r="Q2144" s="18" t="s">
        <v>149</v>
      </c>
      <c r="R2144" s="18" t="s">
        <v>9095</v>
      </c>
      <c r="S2144" s="18" t="s">
        <v>133</v>
      </c>
      <c r="T2144" s="18" t="s">
        <v>7209</v>
      </c>
      <c r="U2144" s="18"/>
      <c r="V2144" s="19" t="s">
        <v>29</v>
      </c>
      <c r="W2144" s="19"/>
      <c r="X2144" s="19"/>
      <c r="Y2144" s="20"/>
      <c r="Z2144" s="19"/>
      <c r="AA2144" s="18" t="str">
        <f aca="false">IF(OR(V2144="Aprobada"),R2144,IF(AND(OR(V2144="Aprobada con ajuste",V2144="Rechazada"),W2144&lt;&gt;""),W2144,""))</f>
        <v/>
      </c>
    </row>
    <row r="2145" customFormat="false" ht="43.25" hidden="false" customHeight="false" outlineLevel="0" collapsed="false">
      <c r="A2145" s="18" t="s">
        <v>9096</v>
      </c>
      <c r="B2145" s="18" t="s">
        <v>66</v>
      </c>
      <c r="C2145" s="18" t="s">
        <v>67</v>
      </c>
      <c r="D2145" s="18" t="s">
        <v>9088</v>
      </c>
      <c r="E2145" s="18" t="n">
        <v>0</v>
      </c>
      <c r="F2145" s="18" t="s">
        <v>9097</v>
      </c>
      <c r="G2145" s="18" t="s">
        <v>503</v>
      </c>
      <c r="H2145" s="18" t="s">
        <v>162</v>
      </c>
      <c r="I2145" s="18"/>
      <c r="J2145" s="18"/>
      <c r="K2145" s="18"/>
      <c r="L2145" s="18" t="s">
        <v>129</v>
      </c>
      <c r="M2145" s="18" t="s">
        <v>129</v>
      </c>
      <c r="N2145" s="18"/>
      <c r="O2145" s="18"/>
      <c r="P2145" s="18" t="s">
        <v>9098</v>
      </c>
      <c r="Q2145" s="18" t="s">
        <v>149</v>
      </c>
      <c r="R2145" s="18" t="s">
        <v>9099</v>
      </c>
      <c r="S2145" s="18" t="s">
        <v>133</v>
      </c>
      <c r="T2145" s="18" t="s">
        <v>9100</v>
      </c>
      <c r="U2145" s="18"/>
      <c r="V2145" s="19" t="s">
        <v>29</v>
      </c>
      <c r="W2145" s="19"/>
      <c r="X2145" s="19"/>
      <c r="Y2145" s="20"/>
      <c r="Z2145" s="19"/>
      <c r="AA2145" s="18" t="str">
        <f aca="false">IF(OR(V2145="Aprobada"),R2145,IF(AND(OR(V2145="Aprobada con ajuste",V2145="Rechazada"),W2145&lt;&gt;""),W2145,""))</f>
        <v/>
      </c>
    </row>
    <row r="2146" customFormat="false" ht="32.8" hidden="false" customHeight="false" outlineLevel="0" collapsed="false">
      <c r="A2146" s="18" t="s">
        <v>9101</v>
      </c>
      <c r="B2146" s="18" t="s">
        <v>66</v>
      </c>
      <c r="C2146" s="18" t="s">
        <v>67</v>
      </c>
      <c r="D2146" s="18" t="s">
        <v>9088</v>
      </c>
      <c r="E2146" s="18" t="n">
        <v>0</v>
      </c>
      <c r="F2146" s="18" t="s">
        <v>9102</v>
      </c>
      <c r="G2146" s="18" t="s">
        <v>503</v>
      </c>
      <c r="H2146" s="18" t="s">
        <v>162</v>
      </c>
      <c r="I2146" s="18" t="s">
        <v>298</v>
      </c>
      <c r="J2146" s="18"/>
      <c r="K2146" s="18"/>
      <c r="L2146" s="18" t="s">
        <v>129</v>
      </c>
      <c r="M2146" s="18" t="s">
        <v>129</v>
      </c>
      <c r="N2146" s="18"/>
      <c r="O2146" s="18"/>
      <c r="P2146" s="18" t="s">
        <v>9103</v>
      </c>
      <c r="Q2146" s="18" t="s">
        <v>149</v>
      </c>
      <c r="R2146" s="18" t="s">
        <v>9104</v>
      </c>
      <c r="S2146" s="18" t="s">
        <v>140</v>
      </c>
      <c r="T2146" s="18" t="s">
        <v>183</v>
      </c>
      <c r="U2146" s="18" t="s">
        <v>9105</v>
      </c>
      <c r="V2146" s="19" t="s">
        <v>29</v>
      </c>
      <c r="W2146" s="19"/>
      <c r="X2146" s="19"/>
      <c r="Y2146" s="20"/>
      <c r="Z2146" s="19"/>
      <c r="AA2146" s="18" t="str">
        <f aca="false">IF(OR(V2146="Aprobada"),R2146,IF(AND(OR(V2146="Aprobada con ajuste",V2146="Rechazada"),W2146&lt;&gt;""),W2146,""))</f>
        <v/>
      </c>
    </row>
    <row r="2147" customFormat="false" ht="43.25" hidden="false" customHeight="false" outlineLevel="0" collapsed="false">
      <c r="A2147" s="18" t="s">
        <v>9106</v>
      </c>
      <c r="B2147" s="18" t="s">
        <v>66</v>
      </c>
      <c r="C2147" s="18" t="s">
        <v>67</v>
      </c>
      <c r="D2147" s="18" t="s">
        <v>9088</v>
      </c>
      <c r="E2147" s="18" t="n">
        <v>0</v>
      </c>
      <c r="F2147" s="18" t="s">
        <v>9107</v>
      </c>
      <c r="G2147" s="18" t="s">
        <v>205</v>
      </c>
      <c r="H2147" s="18" t="s">
        <v>129</v>
      </c>
      <c r="I2147" s="18" t="s">
        <v>298</v>
      </c>
      <c r="J2147" s="18" t="s">
        <v>9108</v>
      </c>
      <c r="K2147" s="18"/>
      <c r="L2147" s="18" t="s">
        <v>162</v>
      </c>
      <c r="M2147" s="18" t="s">
        <v>129</v>
      </c>
      <c r="N2147" s="18"/>
      <c r="O2147" s="18"/>
      <c r="P2147" s="18" t="s">
        <v>9109</v>
      </c>
      <c r="Q2147" s="18" t="s">
        <v>149</v>
      </c>
      <c r="R2147" s="18" t="s">
        <v>9110</v>
      </c>
      <c r="S2147" s="18" t="s">
        <v>133</v>
      </c>
      <c r="T2147" s="18" t="s">
        <v>801</v>
      </c>
      <c r="U2147" s="18"/>
      <c r="V2147" s="19" t="s">
        <v>29</v>
      </c>
      <c r="W2147" s="19"/>
      <c r="X2147" s="19"/>
      <c r="Y2147" s="20"/>
      <c r="Z2147" s="19"/>
      <c r="AA2147" s="18" t="str">
        <f aca="false">IF(OR(V2147="Aprobada"),R2147,IF(AND(OR(V2147="Aprobada con ajuste",V2147="Rechazada"),W2147&lt;&gt;""),W2147,""))</f>
        <v/>
      </c>
    </row>
    <row r="2148" customFormat="false" ht="43.25" hidden="false" customHeight="false" outlineLevel="0" collapsed="false">
      <c r="A2148" s="18" t="s">
        <v>9111</v>
      </c>
      <c r="B2148" s="18" t="s">
        <v>66</v>
      </c>
      <c r="C2148" s="18" t="s">
        <v>67</v>
      </c>
      <c r="D2148" s="18" t="s">
        <v>9088</v>
      </c>
      <c r="E2148" s="18" t="n">
        <v>0</v>
      </c>
      <c r="F2148" s="18" t="s">
        <v>9112</v>
      </c>
      <c r="G2148" s="18" t="s">
        <v>205</v>
      </c>
      <c r="H2148" s="18" t="s">
        <v>129</v>
      </c>
      <c r="I2148" s="18" t="s">
        <v>298</v>
      </c>
      <c r="J2148" s="18" t="s">
        <v>9113</v>
      </c>
      <c r="K2148" s="18"/>
      <c r="L2148" s="18" t="s">
        <v>162</v>
      </c>
      <c r="M2148" s="18" t="s">
        <v>129</v>
      </c>
      <c r="N2148" s="18"/>
      <c r="O2148" s="18"/>
      <c r="P2148" s="18" t="s">
        <v>9114</v>
      </c>
      <c r="Q2148" s="18" t="s">
        <v>149</v>
      </c>
      <c r="R2148" s="18" t="s">
        <v>9115</v>
      </c>
      <c r="S2148" s="18" t="s">
        <v>133</v>
      </c>
      <c r="T2148" s="18" t="s">
        <v>801</v>
      </c>
      <c r="U2148" s="18"/>
      <c r="V2148" s="19" t="s">
        <v>29</v>
      </c>
      <c r="W2148" s="19"/>
      <c r="X2148" s="19"/>
      <c r="Y2148" s="20"/>
      <c r="Z2148" s="19"/>
      <c r="AA2148" s="18" t="str">
        <f aca="false">IF(OR(V2148="Aprobada"),R2148,IF(AND(OR(V2148="Aprobada con ajuste",V2148="Rechazada"),W2148&lt;&gt;""),W2148,""))</f>
        <v/>
      </c>
    </row>
    <row r="2149" customFormat="false" ht="32.8" hidden="false" customHeight="false" outlineLevel="0" collapsed="false">
      <c r="A2149" s="18" t="s">
        <v>9116</v>
      </c>
      <c r="B2149" s="18" t="s">
        <v>66</v>
      </c>
      <c r="C2149" s="18" t="s">
        <v>67</v>
      </c>
      <c r="D2149" s="18" t="s">
        <v>9088</v>
      </c>
      <c r="E2149" s="18" t="n">
        <v>0</v>
      </c>
      <c r="F2149" s="18" t="s">
        <v>9117</v>
      </c>
      <c r="G2149" s="18" t="s">
        <v>503</v>
      </c>
      <c r="H2149" s="18" t="s">
        <v>162</v>
      </c>
      <c r="I2149" s="18" t="s">
        <v>298</v>
      </c>
      <c r="J2149" s="18"/>
      <c r="K2149" s="18"/>
      <c r="L2149" s="18" t="s">
        <v>129</v>
      </c>
      <c r="M2149" s="18" t="s">
        <v>129</v>
      </c>
      <c r="N2149" s="18"/>
      <c r="O2149" s="18"/>
      <c r="P2149" s="18" t="s">
        <v>9118</v>
      </c>
      <c r="Q2149" s="18" t="s">
        <v>149</v>
      </c>
      <c r="R2149" s="18" t="s">
        <v>9119</v>
      </c>
      <c r="S2149" s="18" t="s">
        <v>140</v>
      </c>
      <c r="T2149" s="18" t="s">
        <v>183</v>
      </c>
      <c r="U2149" s="18" t="s">
        <v>9105</v>
      </c>
      <c r="V2149" s="19" t="s">
        <v>29</v>
      </c>
      <c r="W2149" s="19"/>
      <c r="X2149" s="19"/>
      <c r="Y2149" s="20"/>
      <c r="Z2149" s="19"/>
      <c r="AA2149" s="18" t="str">
        <f aca="false">IF(OR(V2149="Aprobada"),R2149,IF(AND(OR(V2149="Aprobada con ajuste",V2149="Rechazada"),W2149&lt;&gt;""),W2149,""))</f>
        <v/>
      </c>
    </row>
    <row r="2150" customFormat="false" ht="43.25" hidden="false" customHeight="false" outlineLevel="0" collapsed="false">
      <c r="A2150" s="18" t="s">
        <v>9120</v>
      </c>
      <c r="B2150" s="18" t="s">
        <v>66</v>
      </c>
      <c r="C2150" s="18" t="s">
        <v>67</v>
      </c>
      <c r="D2150" s="18" t="s">
        <v>9088</v>
      </c>
      <c r="E2150" s="18" t="n">
        <v>0</v>
      </c>
      <c r="F2150" s="18" t="s">
        <v>886</v>
      </c>
      <c r="G2150" s="18" t="s">
        <v>128</v>
      </c>
      <c r="H2150" s="18" t="s">
        <v>162</v>
      </c>
      <c r="I2150" s="18"/>
      <c r="J2150" s="18"/>
      <c r="K2150" s="18"/>
      <c r="L2150" s="18" t="s">
        <v>129</v>
      </c>
      <c r="M2150" s="18" t="s">
        <v>129</v>
      </c>
      <c r="N2150" s="18"/>
      <c r="O2150" s="18"/>
      <c r="P2150" s="18" t="s">
        <v>9121</v>
      </c>
      <c r="Q2150" s="18" t="s">
        <v>138</v>
      </c>
      <c r="R2150" s="18" t="s">
        <v>1693</v>
      </c>
      <c r="S2150" s="18" t="s">
        <v>140</v>
      </c>
      <c r="T2150" s="18" t="s">
        <v>141</v>
      </c>
      <c r="U2150" s="18"/>
      <c r="V2150" s="19" t="s">
        <v>29</v>
      </c>
      <c r="W2150" s="19"/>
      <c r="X2150" s="19"/>
      <c r="Y2150" s="20"/>
      <c r="Z2150" s="19"/>
      <c r="AA2150" s="18" t="str">
        <f aca="false">IF(OR(V2150="Aprobada"),R2150,IF(AND(OR(V2150="Aprobada con ajuste",V2150="Rechazada"),W2150&lt;&gt;""),W2150,""))</f>
        <v/>
      </c>
    </row>
    <row r="2151" customFormat="false" ht="43.25" hidden="false" customHeight="false" outlineLevel="0" collapsed="false">
      <c r="A2151" s="18" t="s">
        <v>9122</v>
      </c>
      <c r="B2151" s="18" t="s">
        <v>66</v>
      </c>
      <c r="C2151" s="18" t="s">
        <v>67</v>
      </c>
      <c r="D2151" s="18" t="s">
        <v>9088</v>
      </c>
      <c r="E2151" s="18" t="n">
        <v>0</v>
      </c>
      <c r="F2151" s="18" t="s">
        <v>5179</v>
      </c>
      <c r="G2151" s="18" t="s">
        <v>192</v>
      </c>
      <c r="H2151" s="18" t="s">
        <v>162</v>
      </c>
      <c r="I2151" s="18"/>
      <c r="J2151" s="18"/>
      <c r="K2151" s="18"/>
      <c r="L2151" s="18" t="s">
        <v>129</v>
      </c>
      <c r="M2151" s="18" t="s">
        <v>129</v>
      </c>
      <c r="N2151" s="18"/>
      <c r="O2151" s="18"/>
      <c r="P2151" s="18" t="s">
        <v>9123</v>
      </c>
      <c r="Q2151" s="18" t="s">
        <v>149</v>
      </c>
      <c r="R2151" s="18" t="s">
        <v>9124</v>
      </c>
      <c r="S2151" s="18" t="s">
        <v>140</v>
      </c>
      <c r="T2151" s="18" t="s">
        <v>8546</v>
      </c>
      <c r="U2151" s="18" t="s">
        <v>9125</v>
      </c>
      <c r="V2151" s="19" t="s">
        <v>29</v>
      </c>
      <c r="W2151" s="19"/>
      <c r="X2151" s="19"/>
      <c r="Y2151" s="20"/>
      <c r="Z2151" s="19"/>
      <c r="AA2151" s="18" t="str">
        <f aca="false">IF(OR(V2151="Aprobada"),R2151,IF(AND(OR(V2151="Aprobada con ajuste",V2151="Rechazada"),W2151&lt;&gt;""),W2151,""))</f>
        <v/>
      </c>
    </row>
    <row r="2152" customFormat="false" ht="43.25" hidden="false" customHeight="false" outlineLevel="0" collapsed="false">
      <c r="A2152" s="18" t="s">
        <v>9126</v>
      </c>
      <c r="B2152" s="18" t="s">
        <v>66</v>
      </c>
      <c r="C2152" s="18" t="s">
        <v>67</v>
      </c>
      <c r="D2152" s="18" t="s">
        <v>9127</v>
      </c>
      <c r="E2152" s="18" t="n">
        <v>15</v>
      </c>
      <c r="F2152" s="18" t="s">
        <v>331</v>
      </c>
      <c r="G2152" s="18" t="s">
        <v>317</v>
      </c>
      <c r="H2152" s="18" t="s">
        <v>129</v>
      </c>
      <c r="I2152" s="18"/>
      <c r="J2152" s="18"/>
      <c r="K2152" s="18"/>
      <c r="L2152" s="18" t="s">
        <v>129</v>
      </c>
      <c r="M2152" s="18" t="s">
        <v>129</v>
      </c>
      <c r="N2152" s="18"/>
      <c r="O2152" s="18" t="s">
        <v>9128</v>
      </c>
      <c r="P2152" s="18" t="s">
        <v>9129</v>
      </c>
      <c r="Q2152" s="18" t="s">
        <v>149</v>
      </c>
      <c r="R2152" s="18" t="s">
        <v>7008</v>
      </c>
      <c r="S2152" s="18" t="s">
        <v>133</v>
      </c>
      <c r="T2152" s="18" t="s">
        <v>183</v>
      </c>
      <c r="U2152" s="18"/>
      <c r="V2152" s="19" t="s">
        <v>29</v>
      </c>
      <c r="W2152" s="19"/>
      <c r="X2152" s="19"/>
      <c r="Y2152" s="20"/>
      <c r="Z2152" s="19"/>
      <c r="AA2152" s="18" t="str">
        <f aca="false">IF(OR(V2152="Aprobada"),R2152,IF(AND(OR(V2152="Aprobada con ajuste",V2152="Rechazada"),W2152&lt;&gt;""),W2152,""))</f>
        <v/>
      </c>
    </row>
    <row r="2153" customFormat="false" ht="43.25" hidden="false" customHeight="false" outlineLevel="0" collapsed="false">
      <c r="A2153" s="18" t="s">
        <v>9130</v>
      </c>
      <c r="B2153" s="18" t="s">
        <v>66</v>
      </c>
      <c r="C2153" s="18" t="s">
        <v>67</v>
      </c>
      <c r="D2153" s="18" t="s">
        <v>9127</v>
      </c>
      <c r="E2153" s="18" t="n">
        <v>15</v>
      </c>
      <c r="F2153" s="18" t="s">
        <v>622</v>
      </c>
      <c r="G2153" s="18" t="s">
        <v>145</v>
      </c>
      <c r="H2153" s="18" t="s">
        <v>129</v>
      </c>
      <c r="I2153" s="18" t="s">
        <v>298</v>
      </c>
      <c r="J2153" s="18" t="s">
        <v>9131</v>
      </c>
      <c r="K2153" s="18"/>
      <c r="L2153" s="18" t="s">
        <v>162</v>
      </c>
      <c r="M2153" s="18" t="s">
        <v>162</v>
      </c>
      <c r="N2153" s="18" t="s">
        <v>3663</v>
      </c>
      <c r="O2153" s="18"/>
      <c r="P2153" s="18" t="s">
        <v>9132</v>
      </c>
      <c r="Q2153" s="18" t="s">
        <v>149</v>
      </c>
      <c r="R2153" s="18" t="s">
        <v>9133</v>
      </c>
      <c r="S2153" s="18" t="s">
        <v>133</v>
      </c>
      <c r="T2153" s="18" t="s">
        <v>801</v>
      </c>
      <c r="U2153" s="18"/>
      <c r="V2153" s="19" t="s">
        <v>29</v>
      </c>
      <c r="W2153" s="19"/>
      <c r="X2153" s="19"/>
      <c r="Y2153" s="20"/>
      <c r="Z2153" s="19"/>
      <c r="AA2153" s="18" t="str">
        <f aca="false">IF(OR(V2153="Aprobada"),R2153,IF(AND(OR(V2153="Aprobada con ajuste",V2153="Rechazada"),W2153&lt;&gt;""),W2153,""))</f>
        <v/>
      </c>
    </row>
    <row r="2154" customFormat="false" ht="32.8" hidden="false" customHeight="false" outlineLevel="0" collapsed="false">
      <c r="A2154" s="18" t="s">
        <v>9134</v>
      </c>
      <c r="B2154" s="18" t="s">
        <v>66</v>
      </c>
      <c r="C2154" s="18" t="s">
        <v>67</v>
      </c>
      <c r="D2154" s="18" t="s">
        <v>9127</v>
      </c>
      <c r="E2154" s="18" t="n">
        <v>15</v>
      </c>
      <c r="F2154" s="18" t="s">
        <v>4210</v>
      </c>
      <c r="G2154" s="18" t="s">
        <v>180</v>
      </c>
      <c r="H2154" s="18" t="s">
        <v>162</v>
      </c>
      <c r="I2154" s="18"/>
      <c r="J2154" s="18"/>
      <c r="K2154" s="18"/>
      <c r="L2154" s="18" t="s">
        <v>129</v>
      </c>
      <c r="M2154" s="18" t="s">
        <v>129</v>
      </c>
      <c r="N2154" s="18"/>
      <c r="O2154" s="18"/>
      <c r="P2154" s="18" t="s">
        <v>9135</v>
      </c>
      <c r="Q2154" s="18" t="s">
        <v>131</v>
      </c>
      <c r="R2154" s="18" t="s">
        <v>9136</v>
      </c>
      <c r="S2154" s="18" t="s">
        <v>133</v>
      </c>
      <c r="T2154" s="18" t="s">
        <v>9137</v>
      </c>
      <c r="U2154" s="18"/>
      <c r="V2154" s="19" t="s">
        <v>29</v>
      </c>
      <c r="W2154" s="19"/>
      <c r="X2154" s="19"/>
      <c r="Y2154" s="20"/>
      <c r="Z2154" s="19"/>
      <c r="AA2154" s="18" t="str">
        <f aca="false">IF(OR(V2154="Aprobada"),R2154,IF(AND(OR(V2154="Aprobada con ajuste",V2154="Rechazada"),W2154&lt;&gt;""),W2154,""))</f>
        <v/>
      </c>
    </row>
    <row r="2155" customFormat="false" ht="32.8" hidden="false" customHeight="false" outlineLevel="0" collapsed="false">
      <c r="A2155" s="18" t="s">
        <v>9138</v>
      </c>
      <c r="B2155" s="18" t="s">
        <v>66</v>
      </c>
      <c r="C2155" s="18" t="s">
        <v>67</v>
      </c>
      <c r="D2155" s="18" t="s">
        <v>9127</v>
      </c>
      <c r="E2155" s="18" t="n">
        <v>15</v>
      </c>
      <c r="F2155" s="18" t="s">
        <v>9139</v>
      </c>
      <c r="G2155" s="18" t="s">
        <v>161</v>
      </c>
      <c r="H2155" s="18" t="s">
        <v>162</v>
      </c>
      <c r="I2155" s="18"/>
      <c r="J2155" s="18"/>
      <c r="K2155" s="18"/>
      <c r="L2155" s="18" t="s">
        <v>129</v>
      </c>
      <c r="M2155" s="18" t="s">
        <v>129</v>
      </c>
      <c r="N2155" s="18"/>
      <c r="O2155" s="18"/>
      <c r="P2155" s="18" t="s">
        <v>9140</v>
      </c>
      <c r="Q2155" s="18" t="s">
        <v>131</v>
      </c>
      <c r="R2155" s="18" t="s">
        <v>9141</v>
      </c>
      <c r="S2155" s="18" t="s">
        <v>133</v>
      </c>
      <c r="T2155" s="18" t="s">
        <v>9142</v>
      </c>
      <c r="U2155" s="18"/>
      <c r="V2155" s="19" t="s">
        <v>29</v>
      </c>
      <c r="W2155" s="19"/>
      <c r="X2155" s="19"/>
      <c r="Y2155" s="20"/>
      <c r="Z2155" s="19"/>
      <c r="AA2155" s="18" t="str">
        <f aca="false">IF(OR(V2155="Aprobada"),R2155,IF(AND(OR(V2155="Aprobada con ajuste",V2155="Rechazada"),W2155&lt;&gt;""),W2155,""))</f>
        <v/>
      </c>
    </row>
    <row r="2156" customFormat="false" ht="32.8" hidden="false" customHeight="false" outlineLevel="0" collapsed="false">
      <c r="A2156" s="18" t="s">
        <v>9143</v>
      </c>
      <c r="B2156" s="18" t="s">
        <v>66</v>
      </c>
      <c r="C2156" s="18" t="s">
        <v>67</v>
      </c>
      <c r="D2156" s="18" t="s">
        <v>9127</v>
      </c>
      <c r="E2156" s="18" t="n">
        <v>15</v>
      </c>
      <c r="F2156" s="18" t="s">
        <v>9144</v>
      </c>
      <c r="G2156" s="18" t="s">
        <v>192</v>
      </c>
      <c r="H2156" s="18" t="s">
        <v>162</v>
      </c>
      <c r="I2156" s="18"/>
      <c r="J2156" s="18"/>
      <c r="K2156" s="18"/>
      <c r="L2156" s="18" t="s">
        <v>129</v>
      </c>
      <c r="M2156" s="18" t="s">
        <v>129</v>
      </c>
      <c r="N2156" s="18"/>
      <c r="O2156" s="18"/>
      <c r="P2156" s="18" t="s">
        <v>9145</v>
      </c>
      <c r="Q2156" s="18" t="s">
        <v>131</v>
      </c>
      <c r="R2156" s="18" t="s">
        <v>9146</v>
      </c>
      <c r="S2156" s="18" t="s">
        <v>133</v>
      </c>
      <c r="T2156" s="18" t="s">
        <v>9147</v>
      </c>
      <c r="U2156" s="18"/>
      <c r="V2156" s="19" t="s">
        <v>29</v>
      </c>
      <c r="W2156" s="19"/>
      <c r="X2156" s="19"/>
      <c r="Y2156" s="20"/>
      <c r="Z2156" s="19"/>
      <c r="AA2156" s="18" t="str">
        <f aca="false">IF(OR(V2156="Aprobada"),R2156,IF(AND(OR(V2156="Aprobada con ajuste",V2156="Rechazada"),W2156&lt;&gt;""),W2156,""))</f>
        <v/>
      </c>
    </row>
    <row r="2157" customFormat="false" ht="32.8" hidden="false" customHeight="false" outlineLevel="0" collapsed="false">
      <c r="A2157" s="18" t="s">
        <v>9148</v>
      </c>
      <c r="B2157" s="18" t="s">
        <v>66</v>
      </c>
      <c r="C2157" s="18" t="s">
        <v>67</v>
      </c>
      <c r="D2157" s="18" t="s">
        <v>9127</v>
      </c>
      <c r="E2157" s="18" t="n">
        <v>15</v>
      </c>
      <c r="F2157" s="18" t="s">
        <v>4218</v>
      </c>
      <c r="G2157" s="18" t="s">
        <v>192</v>
      </c>
      <c r="H2157" s="18" t="s">
        <v>162</v>
      </c>
      <c r="I2157" s="18"/>
      <c r="J2157" s="18"/>
      <c r="K2157" s="18"/>
      <c r="L2157" s="18" t="s">
        <v>129</v>
      </c>
      <c r="M2157" s="18" t="s">
        <v>129</v>
      </c>
      <c r="N2157" s="18"/>
      <c r="O2157" s="18"/>
      <c r="P2157" s="18" t="s">
        <v>9149</v>
      </c>
      <c r="Q2157" s="18" t="s">
        <v>131</v>
      </c>
      <c r="R2157" s="18" t="s">
        <v>9150</v>
      </c>
      <c r="S2157" s="18" t="s">
        <v>133</v>
      </c>
      <c r="T2157" s="18" t="s">
        <v>9151</v>
      </c>
      <c r="U2157" s="18"/>
      <c r="V2157" s="19" t="s">
        <v>29</v>
      </c>
      <c r="W2157" s="19"/>
      <c r="X2157" s="19"/>
      <c r="Y2157" s="20"/>
      <c r="Z2157" s="19"/>
      <c r="AA2157" s="18" t="str">
        <f aca="false">IF(OR(V2157="Aprobada"),R2157,IF(AND(OR(V2157="Aprobada con ajuste",V2157="Rechazada"),W2157&lt;&gt;""),W2157,""))</f>
        <v/>
      </c>
    </row>
    <row r="2158" customFormat="false" ht="32.8" hidden="false" customHeight="false" outlineLevel="0" collapsed="false">
      <c r="A2158" s="18" t="s">
        <v>9152</v>
      </c>
      <c r="B2158" s="18" t="s">
        <v>66</v>
      </c>
      <c r="C2158" s="18" t="s">
        <v>67</v>
      </c>
      <c r="D2158" s="18" t="s">
        <v>9127</v>
      </c>
      <c r="E2158" s="18" t="n">
        <v>15</v>
      </c>
      <c r="F2158" s="18" t="s">
        <v>9153</v>
      </c>
      <c r="G2158" s="18" t="s">
        <v>145</v>
      </c>
      <c r="H2158" s="18" t="s">
        <v>162</v>
      </c>
      <c r="I2158" s="18" t="s">
        <v>298</v>
      </c>
      <c r="J2158" s="18" t="s">
        <v>9154</v>
      </c>
      <c r="K2158" s="18"/>
      <c r="L2158" s="18" t="s">
        <v>162</v>
      </c>
      <c r="M2158" s="18" t="s">
        <v>162</v>
      </c>
      <c r="N2158" s="18" t="s">
        <v>3663</v>
      </c>
      <c r="O2158" s="18"/>
      <c r="P2158" s="18" t="s">
        <v>9155</v>
      </c>
      <c r="Q2158" s="18" t="s">
        <v>149</v>
      </c>
      <c r="R2158" s="18" t="s">
        <v>9156</v>
      </c>
      <c r="S2158" s="18" t="s">
        <v>133</v>
      </c>
      <c r="T2158" s="18" t="s">
        <v>801</v>
      </c>
      <c r="U2158" s="18"/>
      <c r="V2158" s="19" t="s">
        <v>29</v>
      </c>
      <c r="W2158" s="19"/>
      <c r="X2158" s="19"/>
      <c r="Y2158" s="20"/>
      <c r="Z2158" s="19"/>
      <c r="AA2158" s="18" t="str">
        <f aca="false">IF(OR(V2158="Aprobada"),R2158,IF(AND(OR(V2158="Aprobada con ajuste",V2158="Rechazada"),W2158&lt;&gt;""),W2158,""))</f>
        <v/>
      </c>
    </row>
    <row r="2159" customFormat="false" ht="32.8" hidden="false" customHeight="false" outlineLevel="0" collapsed="false">
      <c r="A2159" s="18" t="s">
        <v>9157</v>
      </c>
      <c r="B2159" s="18" t="s">
        <v>66</v>
      </c>
      <c r="C2159" s="18" t="s">
        <v>67</v>
      </c>
      <c r="D2159" s="18" t="s">
        <v>9127</v>
      </c>
      <c r="E2159" s="18" t="n">
        <v>15</v>
      </c>
      <c r="F2159" s="18" t="s">
        <v>9158</v>
      </c>
      <c r="G2159" s="18" t="s">
        <v>161</v>
      </c>
      <c r="H2159" s="18" t="s">
        <v>162</v>
      </c>
      <c r="I2159" s="18"/>
      <c r="J2159" s="18"/>
      <c r="K2159" s="18"/>
      <c r="L2159" s="18" t="s">
        <v>129</v>
      </c>
      <c r="M2159" s="18" t="s">
        <v>129</v>
      </c>
      <c r="N2159" s="18"/>
      <c r="O2159" s="18"/>
      <c r="P2159" s="18" t="s">
        <v>9159</v>
      </c>
      <c r="Q2159" s="18" t="s">
        <v>131</v>
      </c>
      <c r="R2159" s="18" t="s">
        <v>9160</v>
      </c>
      <c r="S2159" s="18" t="s">
        <v>133</v>
      </c>
      <c r="T2159" s="18" t="s">
        <v>9161</v>
      </c>
      <c r="U2159" s="18"/>
      <c r="V2159" s="19" t="s">
        <v>29</v>
      </c>
      <c r="W2159" s="19"/>
      <c r="X2159" s="19"/>
      <c r="Y2159" s="20"/>
      <c r="Z2159" s="19"/>
      <c r="AA2159" s="18" t="str">
        <f aca="false">IF(OR(V2159="Aprobada"),R2159,IF(AND(OR(V2159="Aprobada con ajuste",V2159="Rechazada"),W2159&lt;&gt;""),W2159,""))</f>
        <v/>
      </c>
    </row>
    <row r="2160" customFormat="false" ht="43.25" hidden="false" customHeight="false" outlineLevel="0" collapsed="false">
      <c r="A2160" s="18" t="s">
        <v>9162</v>
      </c>
      <c r="B2160" s="18" t="s">
        <v>66</v>
      </c>
      <c r="C2160" s="18" t="s">
        <v>67</v>
      </c>
      <c r="D2160" s="18" t="s">
        <v>9127</v>
      </c>
      <c r="E2160" s="18" t="n">
        <v>15</v>
      </c>
      <c r="F2160" s="18" t="s">
        <v>886</v>
      </c>
      <c r="G2160" s="18" t="s">
        <v>128</v>
      </c>
      <c r="H2160" s="18" t="s">
        <v>162</v>
      </c>
      <c r="I2160" s="18"/>
      <c r="J2160" s="18"/>
      <c r="K2160" s="18"/>
      <c r="L2160" s="18" t="s">
        <v>129</v>
      </c>
      <c r="M2160" s="18" t="s">
        <v>129</v>
      </c>
      <c r="N2160" s="18"/>
      <c r="O2160" s="18"/>
      <c r="P2160" s="18" t="s">
        <v>9163</v>
      </c>
      <c r="Q2160" s="18" t="s">
        <v>138</v>
      </c>
      <c r="R2160" s="18" t="s">
        <v>1693</v>
      </c>
      <c r="S2160" s="18" t="s">
        <v>140</v>
      </c>
      <c r="T2160" s="18" t="s">
        <v>141</v>
      </c>
      <c r="U2160" s="18"/>
      <c r="V2160" s="19" t="s">
        <v>29</v>
      </c>
      <c r="W2160" s="19"/>
      <c r="X2160" s="19"/>
      <c r="Y2160" s="20"/>
      <c r="Z2160" s="19"/>
      <c r="AA2160" s="18" t="str">
        <f aca="false">IF(OR(V2160="Aprobada"),R2160,IF(AND(OR(V2160="Aprobada con ajuste",V2160="Rechazada"),W2160&lt;&gt;""),W2160,""))</f>
        <v/>
      </c>
    </row>
    <row r="2161" customFormat="false" ht="43.25" hidden="false" customHeight="false" outlineLevel="0" collapsed="false">
      <c r="A2161" s="18" t="s">
        <v>9164</v>
      </c>
      <c r="B2161" s="18" t="s">
        <v>66</v>
      </c>
      <c r="C2161" s="18" t="s">
        <v>67</v>
      </c>
      <c r="D2161" s="18" t="s">
        <v>9127</v>
      </c>
      <c r="E2161" s="18" t="n">
        <v>15</v>
      </c>
      <c r="F2161" s="18" t="s">
        <v>7634</v>
      </c>
      <c r="G2161" s="18" t="s">
        <v>180</v>
      </c>
      <c r="H2161" s="18" t="s">
        <v>162</v>
      </c>
      <c r="I2161" s="18"/>
      <c r="J2161" s="18"/>
      <c r="K2161" s="18"/>
      <c r="L2161" s="18" t="s">
        <v>129</v>
      </c>
      <c r="M2161" s="18" t="s">
        <v>129</v>
      </c>
      <c r="N2161" s="18"/>
      <c r="O2161" s="18"/>
      <c r="P2161" s="18" t="s">
        <v>9165</v>
      </c>
      <c r="Q2161" s="18" t="s">
        <v>149</v>
      </c>
      <c r="R2161" s="18" t="s">
        <v>9166</v>
      </c>
      <c r="S2161" s="18" t="s">
        <v>140</v>
      </c>
      <c r="T2161" s="18" t="s">
        <v>183</v>
      </c>
      <c r="U2161" s="18" t="s">
        <v>9167</v>
      </c>
      <c r="V2161" s="19" t="s">
        <v>29</v>
      </c>
      <c r="W2161" s="19"/>
      <c r="X2161" s="19"/>
      <c r="Y2161" s="20"/>
      <c r="Z2161" s="19"/>
      <c r="AA2161" s="18" t="str">
        <f aca="false">IF(OR(V2161="Aprobada"),R2161,IF(AND(OR(V2161="Aprobada con ajuste",V2161="Rechazada"),W2161&lt;&gt;""),W2161,""))</f>
        <v/>
      </c>
    </row>
    <row r="2162" customFormat="false" ht="43.25" hidden="false" customHeight="false" outlineLevel="0" collapsed="false">
      <c r="A2162" s="18" t="s">
        <v>9168</v>
      </c>
      <c r="B2162" s="18" t="s">
        <v>66</v>
      </c>
      <c r="C2162" s="18" t="s">
        <v>67</v>
      </c>
      <c r="D2162" s="18" t="s">
        <v>9127</v>
      </c>
      <c r="E2162" s="18" t="n">
        <v>15</v>
      </c>
      <c r="F2162" s="18" t="s">
        <v>3136</v>
      </c>
      <c r="G2162" s="18" t="s">
        <v>180</v>
      </c>
      <c r="H2162" s="18" t="s">
        <v>162</v>
      </c>
      <c r="I2162" s="18"/>
      <c r="J2162" s="18"/>
      <c r="K2162" s="18"/>
      <c r="L2162" s="18" t="s">
        <v>129</v>
      </c>
      <c r="M2162" s="18" t="s">
        <v>129</v>
      </c>
      <c r="N2162" s="18"/>
      <c r="O2162" s="18"/>
      <c r="P2162" s="18" t="s">
        <v>9169</v>
      </c>
      <c r="Q2162" s="18" t="s">
        <v>138</v>
      </c>
      <c r="R2162" s="18" t="s">
        <v>3309</v>
      </c>
      <c r="S2162" s="18" t="s">
        <v>140</v>
      </c>
      <c r="T2162" s="18" t="s">
        <v>141</v>
      </c>
      <c r="U2162" s="18"/>
      <c r="V2162" s="19" t="s">
        <v>29</v>
      </c>
      <c r="W2162" s="19"/>
      <c r="X2162" s="19"/>
      <c r="Y2162" s="20"/>
      <c r="Z2162" s="19"/>
      <c r="AA2162" s="18" t="str">
        <f aca="false">IF(OR(V2162="Aprobada"),R2162,IF(AND(OR(V2162="Aprobada con ajuste",V2162="Rechazada"),W2162&lt;&gt;""),W2162,""))</f>
        <v/>
      </c>
    </row>
    <row r="2163" customFormat="false" ht="43.25" hidden="false" customHeight="false" outlineLevel="0" collapsed="false">
      <c r="A2163" s="18" t="s">
        <v>9170</v>
      </c>
      <c r="B2163" s="18" t="s">
        <v>66</v>
      </c>
      <c r="C2163" s="18" t="s">
        <v>67</v>
      </c>
      <c r="D2163" s="18" t="s">
        <v>9171</v>
      </c>
      <c r="E2163" s="18" t="n">
        <v>11</v>
      </c>
      <c r="F2163" s="18" t="s">
        <v>331</v>
      </c>
      <c r="G2163" s="18" t="s">
        <v>317</v>
      </c>
      <c r="H2163" s="18" t="s">
        <v>129</v>
      </c>
      <c r="I2163" s="18"/>
      <c r="J2163" s="18"/>
      <c r="K2163" s="18"/>
      <c r="L2163" s="18" t="s">
        <v>129</v>
      </c>
      <c r="M2163" s="18" t="s">
        <v>129</v>
      </c>
      <c r="N2163" s="18"/>
      <c r="O2163" s="18"/>
      <c r="P2163" s="18" t="s">
        <v>9172</v>
      </c>
      <c r="Q2163" s="18" t="s">
        <v>149</v>
      </c>
      <c r="R2163" s="18" t="s">
        <v>9173</v>
      </c>
      <c r="S2163" s="18" t="s">
        <v>133</v>
      </c>
      <c r="T2163" s="18" t="s">
        <v>183</v>
      </c>
      <c r="U2163" s="18"/>
      <c r="V2163" s="19" t="s">
        <v>29</v>
      </c>
      <c r="W2163" s="19"/>
      <c r="X2163" s="19"/>
      <c r="Y2163" s="20"/>
      <c r="Z2163" s="19"/>
      <c r="AA2163" s="18" t="str">
        <f aca="false">IF(OR(V2163="Aprobada"),R2163,IF(AND(OR(V2163="Aprobada con ajuste",V2163="Rechazada"),W2163&lt;&gt;""),W2163,""))</f>
        <v/>
      </c>
    </row>
    <row r="2164" customFormat="false" ht="43.25" hidden="false" customHeight="false" outlineLevel="0" collapsed="false">
      <c r="A2164" s="18" t="s">
        <v>9174</v>
      </c>
      <c r="B2164" s="18" t="s">
        <v>66</v>
      </c>
      <c r="C2164" s="18" t="s">
        <v>67</v>
      </c>
      <c r="D2164" s="18" t="s">
        <v>9171</v>
      </c>
      <c r="E2164" s="18" t="n">
        <v>11</v>
      </c>
      <c r="F2164" s="18" t="s">
        <v>622</v>
      </c>
      <c r="G2164" s="18" t="s">
        <v>145</v>
      </c>
      <c r="H2164" s="18" t="s">
        <v>129</v>
      </c>
      <c r="I2164" s="18" t="s">
        <v>298</v>
      </c>
      <c r="J2164" s="18" t="s">
        <v>9131</v>
      </c>
      <c r="K2164" s="18"/>
      <c r="L2164" s="18" t="s">
        <v>162</v>
      </c>
      <c r="M2164" s="18" t="s">
        <v>129</v>
      </c>
      <c r="N2164" s="18"/>
      <c r="O2164" s="18"/>
      <c r="P2164" s="18" t="s">
        <v>9175</v>
      </c>
      <c r="Q2164" s="18" t="s">
        <v>149</v>
      </c>
      <c r="R2164" s="18" t="s">
        <v>9176</v>
      </c>
      <c r="S2164" s="18" t="s">
        <v>133</v>
      </c>
      <c r="T2164" s="18" t="s">
        <v>801</v>
      </c>
      <c r="U2164" s="18"/>
      <c r="V2164" s="19" t="s">
        <v>29</v>
      </c>
      <c r="W2164" s="19"/>
      <c r="X2164" s="19"/>
      <c r="Y2164" s="20"/>
      <c r="Z2164" s="19"/>
      <c r="AA2164" s="18" t="str">
        <f aca="false">IF(OR(V2164="Aprobada"),R2164,IF(AND(OR(V2164="Aprobada con ajuste",V2164="Rechazada"),W2164&lt;&gt;""),W2164,""))</f>
        <v/>
      </c>
    </row>
    <row r="2165" customFormat="false" ht="43.25" hidden="false" customHeight="false" outlineLevel="0" collapsed="false">
      <c r="A2165" s="18" t="s">
        <v>9177</v>
      </c>
      <c r="B2165" s="18" t="s">
        <v>66</v>
      </c>
      <c r="C2165" s="18" t="s">
        <v>67</v>
      </c>
      <c r="D2165" s="18" t="s">
        <v>9171</v>
      </c>
      <c r="E2165" s="18" t="n">
        <v>11</v>
      </c>
      <c r="F2165" s="18" t="s">
        <v>4210</v>
      </c>
      <c r="G2165" s="18" t="s">
        <v>180</v>
      </c>
      <c r="H2165" s="18" t="s">
        <v>162</v>
      </c>
      <c r="I2165" s="18"/>
      <c r="J2165" s="18"/>
      <c r="K2165" s="18"/>
      <c r="L2165" s="18" t="s">
        <v>129</v>
      </c>
      <c r="M2165" s="18" t="s">
        <v>129</v>
      </c>
      <c r="N2165" s="18"/>
      <c r="O2165" s="18"/>
      <c r="P2165" s="18" t="s">
        <v>9178</v>
      </c>
      <c r="Q2165" s="18" t="s">
        <v>149</v>
      </c>
      <c r="R2165" s="18" t="s">
        <v>9179</v>
      </c>
      <c r="S2165" s="18" t="s">
        <v>133</v>
      </c>
      <c r="T2165" s="18" t="s">
        <v>183</v>
      </c>
      <c r="U2165" s="18"/>
      <c r="V2165" s="19" t="s">
        <v>29</v>
      </c>
      <c r="W2165" s="19"/>
      <c r="X2165" s="19"/>
      <c r="Y2165" s="20"/>
      <c r="Z2165" s="19"/>
      <c r="AA2165" s="18" t="str">
        <f aca="false">IF(OR(V2165="Aprobada"),R2165,IF(AND(OR(V2165="Aprobada con ajuste",V2165="Rechazada"),W2165&lt;&gt;""),W2165,""))</f>
        <v/>
      </c>
    </row>
    <row r="2166" customFormat="false" ht="32.8" hidden="false" customHeight="false" outlineLevel="0" collapsed="false">
      <c r="A2166" s="18" t="s">
        <v>9180</v>
      </c>
      <c r="B2166" s="18" t="s">
        <v>66</v>
      </c>
      <c r="C2166" s="18" t="s">
        <v>67</v>
      </c>
      <c r="D2166" s="18" t="s">
        <v>9171</v>
      </c>
      <c r="E2166" s="18" t="n">
        <v>11</v>
      </c>
      <c r="F2166" s="18" t="s">
        <v>9139</v>
      </c>
      <c r="G2166" s="18" t="s">
        <v>161</v>
      </c>
      <c r="H2166" s="18" t="s">
        <v>162</v>
      </c>
      <c r="I2166" s="18"/>
      <c r="J2166" s="18"/>
      <c r="K2166" s="18"/>
      <c r="L2166" s="18" t="s">
        <v>129</v>
      </c>
      <c r="M2166" s="18" t="s">
        <v>129</v>
      </c>
      <c r="N2166" s="18"/>
      <c r="O2166" s="18"/>
      <c r="P2166" s="18" t="s">
        <v>9181</v>
      </c>
      <c r="Q2166" s="18" t="s">
        <v>149</v>
      </c>
      <c r="R2166" s="18" t="s">
        <v>9182</v>
      </c>
      <c r="S2166" s="18" t="s">
        <v>133</v>
      </c>
      <c r="T2166" s="18" t="s">
        <v>183</v>
      </c>
      <c r="U2166" s="18"/>
      <c r="V2166" s="19" t="s">
        <v>29</v>
      </c>
      <c r="W2166" s="19"/>
      <c r="X2166" s="19"/>
      <c r="Y2166" s="20"/>
      <c r="Z2166" s="19"/>
      <c r="AA2166" s="18" t="str">
        <f aca="false">IF(OR(V2166="Aprobada"),R2166,IF(AND(OR(V2166="Aprobada con ajuste",V2166="Rechazada"),W2166&lt;&gt;""),W2166,""))</f>
        <v/>
      </c>
    </row>
    <row r="2167" customFormat="false" ht="32.8" hidden="false" customHeight="false" outlineLevel="0" collapsed="false">
      <c r="A2167" s="18" t="s">
        <v>9183</v>
      </c>
      <c r="B2167" s="18" t="s">
        <v>66</v>
      </c>
      <c r="C2167" s="18" t="s">
        <v>67</v>
      </c>
      <c r="D2167" s="18" t="s">
        <v>9171</v>
      </c>
      <c r="E2167" s="18" t="n">
        <v>11</v>
      </c>
      <c r="F2167" s="18" t="s">
        <v>9144</v>
      </c>
      <c r="G2167" s="18" t="s">
        <v>192</v>
      </c>
      <c r="H2167" s="18" t="s">
        <v>162</v>
      </c>
      <c r="I2167" s="18"/>
      <c r="J2167" s="18"/>
      <c r="K2167" s="18"/>
      <c r="L2167" s="18" t="s">
        <v>129</v>
      </c>
      <c r="M2167" s="18" t="s">
        <v>129</v>
      </c>
      <c r="N2167" s="18"/>
      <c r="O2167" s="18"/>
      <c r="P2167" s="18" t="s">
        <v>9184</v>
      </c>
      <c r="Q2167" s="18" t="s">
        <v>149</v>
      </c>
      <c r="R2167" s="18" t="s">
        <v>9185</v>
      </c>
      <c r="S2167" s="18" t="s">
        <v>140</v>
      </c>
      <c r="T2167" s="18" t="s">
        <v>183</v>
      </c>
      <c r="U2167" s="18" t="s">
        <v>9186</v>
      </c>
      <c r="V2167" s="19" t="s">
        <v>29</v>
      </c>
      <c r="W2167" s="19"/>
      <c r="X2167" s="19"/>
      <c r="Y2167" s="20"/>
      <c r="Z2167" s="19"/>
      <c r="AA2167" s="18" t="str">
        <f aca="false">IF(OR(V2167="Aprobada"),R2167,IF(AND(OR(V2167="Aprobada con ajuste",V2167="Rechazada"),W2167&lt;&gt;""),W2167,""))</f>
        <v/>
      </c>
    </row>
    <row r="2168" customFormat="false" ht="43.25" hidden="false" customHeight="false" outlineLevel="0" collapsed="false">
      <c r="A2168" s="18" t="s">
        <v>9187</v>
      </c>
      <c r="B2168" s="18" t="s">
        <v>66</v>
      </c>
      <c r="C2168" s="18" t="s">
        <v>67</v>
      </c>
      <c r="D2168" s="18" t="s">
        <v>9171</v>
      </c>
      <c r="E2168" s="18" t="n">
        <v>11</v>
      </c>
      <c r="F2168" s="18" t="s">
        <v>4218</v>
      </c>
      <c r="G2168" s="18" t="s">
        <v>192</v>
      </c>
      <c r="H2168" s="18" t="s">
        <v>162</v>
      </c>
      <c r="I2168" s="18"/>
      <c r="J2168" s="18"/>
      <c r="K2168" s="18"/>
      <c r="L2168" s="18" t="s">
        <v>129</v>
      </c>
      <c r="M2168" s="18" t="s">
        <v>129</v>
      </c>
      <c r="N2168" s="18"/>
      <c r="O2168" s="18"/>
      <c r="P2168" s="18" t="s">
        <v>9188</v>
      </c>
      <c r="Q2168" s="18" t="s">
        <v>149</v>
      </c>
      <c r="R2168" s="18" t="s">
        <v>9189</v>
      </c>
      <c r="S2168" s="18" t="s">
        <v>140</v>
      </c>
      <c r="T2168" s="18" t="s">
        <v>183</v>
      </c>
      <c r="U2168" s="18" t="s">
        <v>9190</v>
      </c>
      <c r="V2168" s="19" t="s">
        <v>29</v>
      </c>
      <c r="W2168" s="19"/>
      <c r="X2168" s="19"/>
      <c r="Y2168" s="20"/>
      <c r="Z2168" s="19"/>
      <c r="AA2168" s="18" t="str">
        <f aca="false">IF(OR(V2168="Aprobada"),R2168,IF(AND(OR(V2168="Aprobada con ajuste",V2168="Rechazada"),W2168&lt;&gt;""),W2168,""))</f>
        <v/>
      </c>
    </row>
    <row r="2169" customFormat="false" ht="32.8" hidden="false" customHeight="false" outlineLevel="0" collapsed="false">
      <c r="A2169" s="18" t="s">
        <v>9191</v>
      </c>
      <c r="B2169" s="18" t="s">
        <v>66</v>
      </c>
      <c r="C2169" s="18" t="s">
        <v>67</v>
      </c>
      <c r="D2169" s="18" t="s">
        <v>9171</v>
      </c>
      <c r="E2169" s="18" t="n">
        <v>11</v>
      </c>
      <c r="F2169" s="18" t="s">
        <v>9153</v>
      </c>
      <c r="G2169" s="18" t="s">
        <v>145</v>
      </c>
      <c r="H2169" s="18" t="s">
        <v>162</v>
      </c>
      <c r="I2169" s="18" t="s">
        <v>298</v>
      </c>
      <c r="J2169" s="18" t="s">
        <v>9154</v>
      </c>
      <c r="K2169" s="18"/>
      <c r="L2169" s="18" t="s">
        <v>162</v>
      </c>
      <c r="M2169" s="18" t="s">
        <v>129</v>
      </c>
      <c r="N2169" s="18"/>
      <c r="O2169" s="18"/>
      <c r="P2169" s="18" t="s">
        <v>9192</v>
      </c>
      <c r="Q2169" s="18" t="s">
        <v>149</v>
      </c>
      <c r="R2169" s="18" t="s">
        <v>9193</v>
      </c>
      <c r="S2169" s="18" t="s">
        <v>133</v>
      </c>
      <c r="T2169" s="18" t="s">
        <v>801</v>
      </c>
      <c r="U2169" s="18"/>
      <c r="V2169" s="19" t="s">
        <v>29</v>
      </c>
      <c r="W2169" s="19"/>
      <c r="X2169" s="19"/>
      <c r="Y2169" s="20"/>
      <c r="Z2169" s="19"/>
      <c r="AA2169" s="18" t="str">
        <f aca="false">IF(OR(V2169="Aprobada"),R2169,IF(AND(OR(V2169="Aprobada con ajuste",V2169="Rechazada"),W2169&lt;&gt;""),W2169,""))</f>
        <v/>
      </c>
    </row>
    <row r="2170" customFormat="false" ht="32.8" hidden="false" customHeight="false" outlineLevel="0" collapsed="false">
      <c r="A2170" s="18" t="s">
        <v>9194</v>
      </c>
      <c r="B2170" s="18" t="s">
        <v>66</v>
      </c>
      <c r="C2170" s="18" t="s">
        <v>67</v>
      </c>
      <c r="D2170" s="18" t="s">
        <v>9171</v>
      </c>
      <c r="E2170" s="18" t="n">
        <v>11</v>
      </c>
      <c r="F2170" s="18" t="s">
        <v>9158</v>
      </c>
      <c r="G2170" s="18" t="s">
        <v>161</v>
      </c>
      <c r="H2170" s="18" t="s">
        <v>162</v>
      </c>
      <c r="I2170" s="18"/>
      <c r="J2170" s="18"/>
      <c r="K2170" s="18"/>
      <c r="L2170" s="18" t="s">
        <v>129</v>
      </c>
      <c r="M2170" s="18" t="s">
        <v>129</v>
      </c>
      <c r="N2170" s="18"/>
      <c r="O2170" s="18"/>
      <c r="P2170" s="18" t="s">
        <v>9195</v>
      </c>
      <c r="Q2170" s="18" t="s">
        <v>149</v>
      </c>
      <c r="R2170" s="18" t="s">
        <v>9196</v>
      </c>
      <c r="S2170" s="18" t="s">
        <v>140</v>
      </c>
      <c r="T2170" s="18" t="s">
        <v>183</v>
      </c>
      <c r="U2170" s="18" t="s">
        <v>8933</v>
      </c>
      <c r="V2170" s="19" t="s">
        <v>29</v>
      </c>
      <c r="W2170" s="19"/>
      <c r="X2170" s="19"/>
      <c r="Y2170" s="20"/>
      <c r="Z2170" s="19"/>
      <c r="AA2170" s="18" t="str">
        <f aca="false">IF(OR(V2170="Aprobada"),R2170,IF(AND(OR(V2170="Aprobada con ajuste",V2170="Rechazada"),W2170&lt;&gt;""),W2170,""))</f>
        <v/>
      </c>
    </row>
    <row r="2171" customFormat="false" ht="43.25" hidden="false" customHeight="false" outlineLevel="0" collapsed="false">
      <c r="A2171" s="18" t="s">
        <v>9197</v>
      </c>
      <c r="B2171" s="18" t="s">
        <v>66</v>
      </c>
      <c r="C2171" s="18" t="s">
        <v>67</v>
      </c>
      <c r="D2171" s="18" t="s">
        <v>9171</v>
      </c>
      <c r="E2171" s="18" t="n">
        <v>11</v>
      </c>
      <c r="F2171" s="18" t="s">
        <v>886</v>
      </c>
      <c r="G2171" s="18" t="s">
        <v>128</v>
      </c>
      <c r="H2171" s="18" t="s">
        <v>162</v>
      </c>
      <c r="I2171" s="18"/>
      <c r="J2171" s="18"/>
      <c r="K2171" s="18"/>
      <c r="L2171" s="18" t="s">
        <v>129</v>
      </c>
      <c r="M2171" s="18" t="s">
        <v>129</v>
      </c>
      <c r="N2171" s="18"/>
      <c r="O2171" s="18"/>
      <c r="P2171" s="18" t="s">
        <v>9198</v>
      </c>
      <c r="Q2171" s="18" t="s">
        <v>138</v>
      </c>
      <c r="R2171" s="18" t="s">
        <v>1693</v>
      </c>
      <c r="S2171" s="18" t="s">
        <v>140</v>
      </c>
      <c r="T2171" s="18" t="s">
        <v>141</v>
      </c>
      <c r="U2171" s="18"/>
      <c r="V2171" s="19" t="s">
        <v>29</v>
      </c>
      <c r="W2171" s="19"/>
      <c r="X2171" s="19"/>
      <c r="Y2171" s="20"/>
      <c r="Z2171" s="19"/>
      <c r="AA2171" s="18" t="str">
        <f aca="false">IF(OR(V2171="Aprobada"),R2171,IF(AND(OR(V2171="Aprobada con ajuste",V2171="Rechazada"),W2171&lt;&gt;""),W2171,""))</f>
        <v/>
      </c>
    </row>
    <row r="2172" customFormat="false" ht="43.25" hidden="false" customHeight="false" outlineLevel="0" collapsed="false">
      <c r="A2172" s="18" t="s">
        <v>9199</v>
      </c>
      <c r="B2172" s="18" t="s">
        <v>66</v>
      </c>
      <c r="C2172" s="18" t="s">
        <v>67</v>
      </c>
      <c r="D2172" s="18" t="s">
        <v>9171</v>
      </c>
      <c r="E2172" s="18" t="n">
        <v>11</v>
      </c>
      <c r="F2172" s="18" t="s">
        <v>7634</v>
      </c>
      <c r="G2172" s="18" t="s">
        <v>180</v>
      </c>
      <c r="H2172" s="18" t="s">
        <v>162</v>
      </c>
      <c r="I2172" s="18"/>
      <c r="J2172" s="18"/>
      <c r="K2172" s="18"/>
      <c r="L2172" s="18" t="s">
        <v>129</v>
      </c>
      <c r="M2172" s="18" t="s">
        <v>129</v>
      </c>
      <c r="N2172" s="18"/>
      <c r="O2172" s="18"/>
      <c r="P2172" s="18" t="s">
        <v>9200</v>
      </c>
      <c r="Q2172" s="18" t="s">
        <v>149</v>
      </c>
      <c r="R2172" s="18" t="s">
        <v>9201</v>
      </c>
      <c r="S2172" s="18" t="s">
        <v>140</v>
      </c>
      <c r="T2172" s="18" t="s">
        <v>183</v>
      </c>
      <c r="U2172" s="18" t="s">
        <v>9167</v>
      </c>
      <c r="V2172" s="19" t="s">
        <v>29</v>
      </c>
      <c r="W2172" s="19"/>
      <c r="X2172" s="19"/>
      <c r="Y2172" s="20"/>
      <c r="Z2172" s="19"/>
      <c r="AA2172" s="18" t="str">
        <f aca="false">IF(OR(V2172="Aprobada"),R2172,IF(AND(OR(V2172="Aprobada con ajuste",V2172="Rechazada"),W2172&lt;&gt;""),W2172,""))</f>
        <v/>
      </c>
    </row>
    <row r="2173" customFormat="false" ht="43.25" hidden="false" customHeight="false" outlineLevel="0" collapsed="false">
      <c r="A2173" s="18" t="s">
        <v>9202</v>
      </c>
      <c r="B2173" s="18" t="s">
        <v>66</v>
      </c>
      <c r="C2173" s="18" t="s">
        <v>67</v>
      </c>
      <c r="D2173" s="18" t="s">
        <v>9171</v>
      </c>
      <c r="E2173" s="18" t="n">
        <v>11</v>
      </c>
      <c r="F2173" s="18" t="s">
        <v>3136</v>
      </c>
      <c r="G2173" s="18" t="s">
        <v>180</v>
      </c>
      <c r="H2173" s="18" t="s">
        <v>162</v>
      </c>
      <c r="I2173" s="18"/>
      <c r="J2173" s="18"/>
      <c r="K2173" s="18"/>
      <c r="L2173" s="18" t="s">
        <v>129</v>
      </c>
      <c r="M2173" s="18" t="s">
        <v>129</v>
      </c>
      <c r="N2173" s="18"/>
      <c r="O2173" s="18"/>
      <c r="P2173" s="18" t="s">
        <v>9203</v>
      </c>
      <c r="Q2173" s="18" t="s">
        <v>138</v>
      </c>
      <c r="R2173" s="18" t="s">
        <v>3309</v>
      </c>
      <c r="S2173" s="18" t="s">
        <v>140</v>
      </c>
      <c r="T2173" s="18" t="s">
        <v>141</v>
      </c>
      <c r="U2173" s="18"/>
      <c r="V2173" s="19" t="s">
        <v>29</v>
      </c>
      <c r="W2173" s="19"/>
      <c r="X2173" s="19"/>
      <c r="Y2173" s="20"/>
      <c r="Z2173" s="19"/>
      <c r="AA2173" s="18" t="str">
        <f aca="false">IF(OR(V2173="Aprobada"),R2173,IF(AND(OR(V2173="Aprobada con ajuste",V2173="Rechazada"),W2173&lt;&gt;""),W2173,""))</f>
        <v/>
      </c>
    </row>
    <row r="2174" customFormat="false" ht="32.8" hidden="false" customHeight="false" outlineLevel="0" collapsed="false">
      <c r="A2174" s="18" t="s">
        <v>9204</v>
      </c>
      <c r="B2174" s="18" t="s">
        <v>66</v>
      </c>
      <c r="C2174" s="18" t="s">
        <v>67</v>
      </c>
      <c r="D2174" s="18" t="s">
        <v>9205</v>
      </c>
      <c r="E2174" s="18" t="n">
        <v>0</v>
      </c>
      <c r="F2174" s="18" t="s">
        <v>611</v>
      </c>
      <c r="G2174" s="18" t="s">
        <v>180</v>
      </c>
      <c r="H2174" s="18" t="s">
        <v>129</v>
      </c>
      <c r="I2174" s="18" t="s">
        <v>146</v>
      </c>
      <c r="J2174" s="18"/>
      <c r="K2174" s="18"/>
      <c r="L2174" s="18" t="s">
        <v>129</v>
      </c>
      <c r="M2174" s="18" t="s">
        <v>129</v>
      </c>
      <c r="N2174" s="18"/>
      <c r="O2174" s="18" t="s">
        <v>9206</v>
      </c>
      <c r="P2174" s="18"/>
      <c r="Q2174" s="18" t="s">
        <v>138</v>
      </c>
      <c r="R2174" s="18" t="s">
        <v>9207</v>
      </c>
      <c r="S2174" s="18" t="s">
        <v>140</v>
      </c>
      <c r="T2174" s="18" t="s">
        <v>141</v>
      </c>
      <c r="U2174" s="18"/>
      <c r="V2174" s="19" t="s">
        <v>29</v>
      </c>
      <c r="W2174" s="19"/>
      <c r="X2174" s="19"/>
      <c r="Y2174" s="20"/>
      <c r="Z2174" s="19"/>
      <c r="AA2174" s="18" t="str">
        <f aca="false">IF(OR(V2174="Aprobada"),R2174,IF(AND(OR(V2174="Aprobada con ajuste",V2174="Rechazada"),W2174&lt;&gt;""),W2174,""))</f>
        <v/>
      </c>
    </row>
    <row r="2175" customFormat="false" ht="22.35" hidden="false" customHeight="false" outlineLevel="0" collapsed="false">
      <c r="A2175" s="18" t="s">
        <v>9208</v>
      </c>
      <c r="B2175" s="18" t="s">
        <v>66</v>
      </c>
      <c r="C2175" s="18" t="s">
        <v>67</v>
      </c>
      <c r="D2175" s="18" t="s">
        <v>9205</v>
      </c>
      <c r="E2175" s="18" t="n">
        <v>0</v>
      </c>
      <c r="F2175" s="18" t="s">
        <v>275</v>
      </c>
      <c r="G2175" s="18" t="s">
        <v>180</v>
      </c>
      <c r="H2175" s="18" t="s">
        <v>129</v>
      </c>
      <c r="I2175" s="18"/>
      <c r="J2175" s="18"/>
      <c r="K2175" s="18"/>
      <c r="L2175" s="18" t="s">
        <v>129</v>
      </c>
      <c r="M2175" s="18" t="s">
        <v>129</v>
      </c>
      <c r="N2175" s="18"/>
      <c r="O2175" s="18"/>
      <c r="P2175" s="18"/>
      <c r="Q2175" s="18" t="s">
        <v>138</v>
      </c>
      <c r="R2175" s="18" t="s">
        <v>9209</v>
      </c>
      <c r="S2175" s="18" t="s">
        <v>140</v>
      </c>
      <c r="T2175" s="18" t="s">
        <v>141</v>
      </c>
      <c r="U2175" s="18"/>
      <c r="V2175" s="19" t="s">
        <v>29</v>
      </c>
      <c r="W2175" s="19"/>
      <c r="X2175" s="19"/>
      <c r="Y2175" s="20"/>
      <c r="Z2175" s="19"/>
      <c r="AA2175" s="18" t="str">
        <f aca="false">IF(OR(V2175="Aprobada"),R2175,IF(AND(OR(V2175="Aprobada con ajuste",V2175="Rechazada"),W2175&lt;&gt;""),W2175,""))</f>
        <v/>
      </c>
    </row>
    <row r="2176" customFormat="false" ht="22.35" hidden="false" customHeight="false" outlineLevel="0" collapsed="false">
      <c r="A2176" s="18" t="s">
        <v>9210</v>
      </c>
      <c r="B2176" s="18" t="s">
        <v>66</v>
      </c>
      <c r="C2176" s="18" t="s">
        <v>67</v>
      </c>
      <c r="D2176" s="18" t="s">
        <v>9205</v>
      </c>
      <c r="E2176" s="18" t="n">
        <v>0</v>
      </c>
      <c r="F2176" s="18" t="s">
        <v>160</v>
      </c>
      <c r="G2176" s="18" t="s">
        <v>128</v>
      </c>
      <c r="H2176" s="18" t="s">
        <v>162</v>
      </c>
      <c r="I2176" s="18"/>
      <c r="J2176" s="18"/>
      <c r="K2176" s="18"/>
      <c r="L2176" s="18" t="s">
        <v>129</v>
      </c>
      <c r="M2176" s="18" t="s">
        <v>129</v>
      </c>
      <c r="N2176" s="18"/>
      <c r="O2176" s="18"/>
      <c r="P2176" s="18"/>
      <c r="Q2176" s="18" t="s">
        <v>138</v>
      </c>
      <c r="R2176" s="18" t="s">
        <v>9211</v>
      </c>
      <c r="S2176" s="18" t="s">
        <v>140</v>
      </c>
      <c r="T2176" s="18" t="s">
        <v>141</v>
      </c>
      <c r="U2176" s="18"/>
      <c r="V2176" s="19" t="s">
        <v>29</v>
      </c>
      <c r="W2176" s="19"/>
      <c r="X2176" s="19"/>
      <c r="Y2176" s="20"/>
      <c r="Z2176" s="19"/>
      <c r="AA2176" s="18" t="str">
        <f aca="false">IF(OR(V2176="Aprobada"),R2176,IF(AND(OR(V2176="Aprobada con ajuste",V2176="Rechazada"),W2176&lt;&gt;""),W2176,""))</f>
        <v/>
      </c>
    </row>
    <row r="2177" customFormat="false" ht="22.35" hidden="false" customHeight="false" outlineLevel="0" collapsed="false">
      <c r="A2177" s="18" t="s">
        <v>9212</v>
      </c>
      <c r="B2177" s="18" t="s">
        <v>66</v>
      </c>
      <c r="C2177" s="18" t="s">
        <v>67</v>
      </c>
      <c r="D2177" s="18" t="s">
        <v>9205</v>
      </c>
      <c r="E2177" s="18" t="n">
        <v>0</v>
      </c>
      <c r="F2177" s="18" t="s">
        <v>937</v>
      </c>
      <c r="G2177" s="18" t="s">
        <v>503</v>
      </c>
      <c r="H2177" s="18" t="s">
        <v>162</v>
      </c>
      <c r="I2177" s="18"/>
      <c r="J2177" s="18"/>
      <c r="K2177" s="18"/>
      <c r="L2177" s="18" t="s">
        <v>129</v>
      </c>
      <c r="M2177" s="18" t="s">
        <v>129</v>
      </c>
      <c r="N2177" s="18"/>
      <c r="O2177" s="18"/>
      <c r="P2177" s="18"/>
      <c r="Q2177" s="18" t="s">
        <v>138</v>
      </c>
      <c r="R2177" s="18" t="s">
        <v>939</v>
      </c>
      <c r="S2177" s="18" t="s">
        <v>140</v>
      </c>
      <c r="T2177" s="18" t="s">
        <v>141</v>
      </c>
      <c r="U2177" s="18"/>
      <c r="V2177" s="19" t="s">
        <v>29</v>
      </c>
      <c r="W2177" s="19"/>
      <c r="X2177" s="19"/>
      <c r="Y2177" s="20"/>
      <c r="Z2177" s="19"/>
      <c r="AA2177" s="18" t="str">
        <f aca="false">IF(OR(V2177="Aprobada"),R2177,IF(AND(OR(V2177="Aprobada con ajuste",V2177="Rechazada"),W2177&lt;&gt;""),W2177,""))</f>
        <v/>
      </c>
    </row>
    <row r="2178" customFormat="false" ht="22.35" hidden="false" customHeight="false" outlineLevel="0" collapsed="false">
      <c r="A2178" s="18" t="s">
        <v>9213</v>
      </c>
      <c r="B2178" s="18" t="s">
        <v>66</v>
      </c>
      <c r="C2178" s="18" t="s">
        <v>67</v>
      </c>
      <c r="D2178" s="18" t="s">
        <v>9205</v>
      </c>
      <c r="E2178" s="18" t="n">
        <v>0</v>
      </c>
      <c r="F2178" s="18" t="s">
        <v>172</v>
      </c>
      <c r="G2178" s="18" t="s">
        <v>173</v>
      </c>
      <c r="H2178" s="18" t="s">
        <v>162</v>
      </c>
      <c r="I2178" s="18"/>
      <c r="J2178" s="18"/>
      <c r="K2178" s="18"/>
      <c r="L2178" s="18" t="s">
        <v>129</v>
      </c>
      <c r="M2178" s="18" t="s">
        <v>129</v>
      </c>
      <c r="N2178" s="18"/>
      <c r="O2178" s="18"/>
      <c r="P2178" s="18"/>
      <c r="Q2178" s="18" t="s">
        <v>138</v>
      </c>
      <c r="R2178" s="18" t="s">
        <v>176</v>
      </c>
      <c r="S2178" s="18" t="s">
        <v>140</v>
      </c>
      <c r="T2178" s="18" t="s">
        <v>141</v>
      </c>
      <c r="U2178" s="18"/>
      <c r="V2178" s="19" t="s">
        <v>29</v>
      </c>
      <c r="W2178" s="19"/>
      <c r="X2178" s="19"/>
      <c r="Y2178" s="20"/>
      <c r="Z2178" s="19"/>
      <c r="AA2178" s="18" t="str">
        <f aca="false">IF(OR(V2178="Aprobada"),R2178,IF(AND(OR(V2178="Aprobada con ajuste",V2178="Rechazada"),W2178&lt;&gt;""),W2178,""))</f>
        <v/>
      </c>
    </row>
    <row r="2179" customFormat="false" ht="22.35" hidden="false" customHeight="false" outlineLevel="0" collapsed="false">
      <c r="A2179" s="18" t="s">
        <v>9214</v>
      </c>
      <c r="B2179" s="18" t="s">
        <v>66</v>
      </c>
      <c r="C2179" s="18" t="s">
        <v>67</v>
      </c>
      <c r="D2179" s="18" t="s">
        <v>9205</v>
      </c>
      <c r="E2179" s="18" t="n">
        <v>0</v>
      </c>
      <c r="F2179" s="18" t="s">
        <v>8621</v>
      </c>
      <c r="G2179" s="18" t="s">
        <v>173</v>
      </c>
      <c r="H2179" s="18" t="s">
        <v>162</v>
      </c>
      <c r="I2179" s="18"/>
      <c r="J2179" s="18"/>
      <c r="K2179" s="18"/>
      <c r="L2179" s="18" t="s">
        <v>129</v>
      </c>
      <c r="M2179" s="18" t="s">
        <v>129</v>
      </c>
      <c r="N2179" s="18"/>
      <c r="O2179" s="18"/>
      <c r="P2179" s="18"/>
      <c r="Q2179" s="18" t="s">
        <v>138</v>
      </c>
      <c r="R2179" s="18" t="s">
        <v>8622</v>
      </c>
      <c r="S2179" s="18" t="s">
        <v>140</v>
      </c>
      <c r="T2179" s="18" t="s">
        <v>141</v>
      </c>
      <c r="U2179" s="18"/>
      <c r="V2179" s="19" t="s">
        <v>29</v>
      </c>
      <c r="W2179" s="19"/>
      <c r="X2179" s="19"/>
      <c r="Y2179" s="20"/>
      <c r="Z2179" s="19"/>
      <c r="AA2179" s="18" t="str">
        <f aca="false">IF(OR(V2179="Aprobada"),R2179,IF(AND(OR(V2179="Aprobada con ajuste",V2179="Rechazada"),W2179&lt;&gt;""),W2179,""))</f>
        <v/>
      </c>
    </row>
    <row r="2180" customFormat="false" ht="43.25" hidden="false" customHeight="false" outlineLevel="0" collapsed="false">
      <c r="A2180" s="18" t="s">
        <v>9215</v>
      </c>
      <c r="B2180" s="18" t="s">
        <v>66</v>
      </c>
      <c r="C2180" s="18" t="s">
        <v>67</v>
      </c>
      <c r="D2180" s="18" t="s">
        <v>9216</v>
      </c>
      <c r="E2180" s="18" t="n">
        <v>5</v>
      </c>
      <c r="F2180" s="18" t="s">
        <v>9217</v>
      </c>
      <c r="G2180" s="18" t="s">
        <v>503</v>
      </c>
      <c r="H2180" s="18" t="s">
        <v>129</v>
      </c>
      <c r="I2180" s="18" t="s">
        <v>1101</v>
      </c>
      <c r="J2180" s="18"/>
      <c r="K2180" s="18"/>
      <c r="L2180" s="18" t="s">
        <v>129</v>
      </c>
      <c r="M2180" s="18" t="s">
        <v>129</v>
      </c>
      <c r="N2180" s="18"/>
      <c r="O2180" s="18" t="s">
        <v>9218</v>
      </c>
      <c r="P2180" s="18"/>
      <c r="Q2180" s="18" t="s">
        <v>149</v>
      </c>
      <c r="R2180" s="18" t="s">
        <v>9219</v>
      </c>
      <c r="S2180" s="18" t="s">
        <v>140</v>
      </c>
      <c r="T2180" s="18" t="s">
        <v>9220</v>
      </c>
      <c r="U2180" s="18" t="s">
        <v>9221</v>
      </c>
      <c r="V2180" s="19" t="s">
        <v>29</v>
      </c>
      <c r="W2180" s="19"/>
      <c r="X2180" s="19"/>
      <c r="Y2180" s="20"/>
      <c r="Z2180" s="19"/>
      <c r="AA2180" s="18" t="str">
        <f aca="false">IF(OR(V2180="Aprobada"),R2180,IF(AND(OR(V2180="Aprobada con ajuste",V2180="Rechazada"),W2180&lt;&gt;""),W2180,""))</f>
        <v/>
      </c>
    </row>
    <row r="2181" customFormat="false" ht="22.35" hidden="false" customHeight="false" outlineLevel="0" collapsed="false">
      <c r="A2181" s="18" t="s">
        <v>9222</v>
      </c>
      <c r="B2181" s="18" t="s">
        <v>66</v>
      </c>
      <c r="C2181" s="18" t="s">
        <v>67</v>
      </c>
      <c r="D2181" s="18" t="s">
        <v>9216</v>
      </c>
      <c r="E2181" s="18" t="n">
        <v>5</v>
      </c>
      <c r="F2181" s="18" t="s">
        <v>275</v>
      </c>
      <c r="G2181" s="18" t="s">
        <v>180</v>
      </c>
      <c r="H2181" s="18" t="s">
        <v>129</v>
      </c>
      <c r="I2181" s="18"/>
      <c r="J2181" s="18"/>
      <c r="K2181" s="18"/>
      <c r="L2181" s="18" t="s">
        <v>129</v>
      </c>
      <c r="M2181" s="18" t="s">
        <v>129</v>
      </c>
      <c r="N2181" s="18"/>
      <c r="O2181" s="18"/>
      <c r="P2181" s="18"/>
      <c r="Q2181" s="18" t="s">
        <v>138</v>
      </c>
      <c r="R2181" s="18" t="s">
        <v>9223</v>
      </c>
      <c r="S2181" s="18" t="s">
        <v>140</v>
      </c>
      <c r="T2181" s="18" t="s">
        <v>141</v>
      </c>
      <c r="U2181" s="18"/>
      <c r="V2181" s="19" t="s">
        <v>29</v>
      </c>
      <c r="W2181" s="19"/>
      <c r="X2181" s="19"/>
      <c r="Y2181" s="20"/>
      <c r="Z2181" s="19"/>
      <c r="AA2181" s="18" t="str">
        <f aca="false">IF(OR(V2181="Aprobada"),R2181,IF(AND(OR(V2181="Aprobada con ajuste",V2181="Rechazada"),W2181&lt;&gt;""),W2181,""))</f>
        <v/>
      </c>
    </row>
    <row r="2182" customFormat="false" ht="22.35" hidden="false" customHeight="false" outlineLevel="0" collapsed="false">
      <c r="A2182" s="18" t="s">
        <v>9224</v>
      </c>
      <c r="B2182" s="18" t="s">
        <v>66</v>
      </c>
      <c r="C2182" s="18" t="s">
        <v>67</v>
      </c>
      <c r="D2182" s="18" t="s">
        <v>9216</v>
      </c>
      <c r="E2182" s="18" t="n">
        <v>5</v>
      </c>
      <c r="F2182" s="18" t="s">
        <v>160</v>
      </c>
      <c r="G2182" s="18" t="s">
        <v>128</v>
      </c>
      <c r="H2182" s="18" t="s">
        <v>129</v>
      </c>
      <c r="I2182" s="18"/>
      <c r="J2182" s="18"/>
      <c r="K2182" s="18"/>
      <c r="L2182" s="18" t="s">
        <v>129</v>
      </c>
      <c r="M2182" s="18" t="s">
        <v>129</v>
      </c>
      <c r="N2182" s="18"/>
      <c r="O2182" s="18"/>
      <c r="P2182" s="18"/>
      <c r="Q2182" s="18" t="s">
        <v>138</v>
      </c>
      <c r="R2182" s="18" t="s">
        <v>9225</v>
      </c>
      <c r="S2182" s="18" t="s">
        <v>140</v>
      </c>
      <c r="T2182" s="18" t="s">
        <v>141</v>
      </c>
      <c r="U2182" s="18"/>
      <c r="V2182" s="19" t="s">
        <v>29</v>
      </c>
      <c r="W2182" s="19"/>
      <c r="X2182" s="19"/>
      <c r="Y2182" s="20"/>
      <c r="Z2182" s="19"/>
      <c r="AA2182" s="18" t="str">
        <f aca="false">IF(OR(V2182="Aprobada"),R2182,IF(AND(OR(V2182="Aprobada con ajuste",V2182="Rechazada"),W2182&lt;&gt;""),W2182,""))</f>
        <v/>
      </c>
    </row>
    <row r="2183" customFormat="false" ht="22.35" hidden="false" customHeight="false" outlineLevel="0" collapsed="false">
      <c r="A2183" s="18" t="s">
        <v>9226</v>
      </c>
      <c r="B2183" s="18" t="s">
        <v>66</v>
      </c>
      <c r="C2183" s="18" t="s">
        <v>67</v>
      </c>
      <c r="D2183" s="18" t="s">
        <v>9216</v>
      </c>
      <c r="E2183" s="18" t="n">
        <v>5</v>
      </c>
      <c r="F2183" s="18" t="s">
        <v>498</v>
      </c>
      <c r="G2183" s="18" t="s">
        <v>7733</v>
      </c>
      <c r="H2183" s="18" t="s">
        <v>129</v>
      </c>
      <c r="I2183" s="18"/>
      <c r="J2183" s="18"/>
      <c r="K2183" s="18"/>
      <c r="L2183" s="18" t="s">
        <v>129</v>
      </c>
      <c r="M2183" s="18" t="s">
        <v>129</v>
      </c>
      <c r="N2183" s="18"/>
      <c r="O2183" s="18"/>
      <c r="P2183" s="18"/>
      <c r="Q2183" s="18" t="s">
        <v>149</v>
      </c>
      <c r="R2183" s="18" t="s">
        <v>9227</v>
      </c>
      <c r="S2183" s="18" t="s">
        <v>133</v>
      </c>
      <c r="T2183" s="18" t="s">
        <v>9228</v>
      </c>
      <c r="U2183" s="18"/>
      <c r="V2183" s="19" t="s">
        <v>29</v>
      </c>
      <c r="W2183" s="19"/>
      <c r="X2183" s="19"/>
      <c r="Y2183" s="20"/>
      <c r="Z2183" s="19"/>
      <c r="AA2183" s="18" t="str">
        <f aca="false">IF(OR(V2183="Aprobada"),R2183,IF(AND(OR(V2183="Aprobada con ajuste",V2183="Rechazada"),W2183&lt;&gt;""),W2183,""))</f>
        <v/>
      </c>
    </row>
    <row r="2184" customFormat="false" ht="22.35" hidden="false" customHeight="false" outlineLevel="0" collapsed="false">
      <c r="A2184" s="18" t="s">
        <v>9229</v>
      </c>
      <c r="B2184" s="18" t="s">
        <v>66</v>
      </c>
      <c r="C2184" s="18" t="s">
        <v>67</v>
      </c>
      <c r="D2184" s="18" t="s">
        <v>9216</v>
      </c>
      <c r="E2184" s="18" t="n">
        <v>5</v>
      </c>
      <c r="F2184" s="18" t="s">
        <v>172</v>
      </c>
      <c r="G2184" s="18" t="s">
        <v>173</v>
      </c>
      <c r="H2184" s="18" t="s">
        <v>162</v>
      </c>
      <c r="I2184" s="18"/>
      <c r="J2184" s="18"/>
      <c r="K2184" s="18"/>
      <c r="L2184" s="18" t="s">
        <v>129</v>
      </c>
      <c r="M2184" s="18" t="s">
        <v>129</v>
      </c>
      <c r="N2184" s="18"/>
      <c r="O2184" s="18"/>
      <c r="P2184" s="18"/>
      <c r="Q2184" s="18" t="s">
        <v>138</v>
      </c>
      <c r="R2184" s="18" t="s">
        <v>176</v>
      </c>
      <c r="S2184" s="18" t="s">
        <v>140</v>
      </c>
      <c r="T2184" s="18" t="s">
        <v>141</v>
      </c>
      <c r="U2184" s="18"/>
      <c r="V2184" s="19" t="s">
        <v>29</v>
      </c>
      <c r="W2184" s="19"/>
      <c r="X2184" s="19"/>
      <c r="Y2184" s="20"/>
      <c r="Z2184" s="19"/>
      <c r="AA2184" s="18" t="str">
        <f aca="false">IF(OR(V2184="Aprobada"),R2184,IF(AND(OR(V2184="Aprobada con ajuste",V2184="Rechazada"),W2184&lt;&gt;""),W2184,""))</f>
        <v/>
      </c>
    </row>
    <row r="2185" customFormat="false" ht="32.8" hidden="false" customHeight="false" outlineLevel="0" collapsed="false">
      <c r="A2185" s="18" t="s">
        <v>9230</v>
      </c>
      <c r="B2185" s="18" t="s">
        <v>66</v>
      </c>
      <c r="C2185" s="18" t="s">
        <v>67</v>
      </c>
      <c r="D2185" s="18" t="s">
        <v>9231</v>
      </c>
      <c r="E2185" s="18" t="n">
        <v>0</v>
      </c>
      <c r="F2185" s="18" t="s">
        <v>127</v>
      </c>
      <c r="G2185" s="18" t="s">
        <v>486</v>
      </c>
      <c r="H2185" s="18" t="s">
        <v>129</v>
      </c>
      <c r="I2185" s="18" t="s">
        <v>298</v>
      </c>
      <c r="J2185" s="18" t="s">
        <v>9232</v>
      </c>
      <c r="K2185" s="18"/>
      <c r="L2185" s="18" t="s">
        <v>162</v>
      </c>
      <c r="M2185" s="18" t="s">
        <v>129</v>
      </c>
      <c r="N2185" s="18"/>
      <c r="O2185" s="18" t="s">
        <v>9233</v>
      </c>
      <c r="P2185" s="18"/>
      <c r="Q2185" s="18" t="s">
        <v>138</v>
      </c>
      <c r="R2185" s="18" t="s">
        <v>9234</v>
      </c>
      <c r="S2185" s="18" t="s">
        <v>140</v>
      </c>
      <c r="T2185" s="18" t="s">
        <v>141</v>
      </c>
      <c r="U2185" s="18"/>
      <c r="V2185" s="19" t="s">
        <v>29</v>
      </c>
      <c r="W2185" s="19"/>
      <c r="X2185" s="19"/>
      <c r="Y2185" s="20"/>
      <c r="Z2185" s="19"/>
      <c r="AA2185" s="18" t="str">
        <f aca="false">IF(OR(V2185="Aprobada"),R2185,IF(AND(OR(V2185="Aprobada con ajuste",V2185="Rechazada"),W2185&lt;&gt;""),W2185,""))</f>
        <v/>
      </c>
    </row>
    <row r="2186" customFormat="false" ht="22.35" hidden="false" customHeight="false" outlineLevel="0" collapsed="false">
      <c r="A2186" s="18" t="s">
        <v>9235</v>
      </c>
      <c r="B2186" s="18" t="s">
        <v>66</v>
      </c>
      <c r="C2186" s="18" t="s">
        <v>67</v>
      </c>
      <c r="D2186" s="18" t="s">
        <v>9231</v>
      </c>
      <c r="E2186" s="18" t="n">
        <v>0</v>
      </c>
      <c r="F2186" s="18" t="s">
        <v>275</v>
      </c>
      <c r="G2186" s="18" t="s">
        <v>180</v>
      </c>
      <c r="H2186" s="18" t="s">
        <v>162</v>
      </c>
      <c r="I2186" s="18"/>
      <c r="J2186" s="18"/>
      <c r="K2186" s="18"/>
      <c r="L2186" s="18" t="s">
        <v>129</v>
      </c>
      <c r="M2186" s="18" t="s">
        <v>129</v>
      </c>
      <c r="N2186" s="18"/>
      <c r="O2186" s="18"/>
      <c r="P2186" s="18"/>
      <c r="Q2186" s="18" t="s">
        <v>138</v>
      </c>
      <c r="R2186" s="18" t="s">
        <v>9236</v>
      </c>
      <c r="S2186" s="18" t="s">
        <v>140</v>
      </c>
      <c r="T2186" s="18" t="s">
        <v>141</v>
      </c>
      <c r="U2186" s="18"/>
      <c r="V2186" s="19" t="s">
        <v>29</v>
      </c>
      <c r="W2186" s="19"/>
      <c r="X2186" s="19"/>
      <c r="Y2186" s="20"/>
      <c r="Z2186" s="19"/>
      <c r="AA2186" s="18" t="str">
        <f aca="false">IF(OR(V2186="Aprobada"),R2186,IF(AND(OR(V2186="Aprobada con ajuste",V2186="Rechazada"),W2186&lt;&gt;""),W2186,""))</f>
        <v/>
      </c>
    </row>
    <row r="2187" customFormat="false" ht="22.35" hidden="false" customHeight="false" outlineLevel="0" collapsed="false">
      <c r="A2187" s="18" t="s">
        <v>9237</v>
      </c>
      <c r="B2187" s="18" t="s">
        <v>66</v>
      </c>
      <c r="C2187" s="18" t="s">
        <v>67</v>
      </c>
      <c r="D2187" s="18" t="s">
        <v>9231</v>
      </c>
      <c r="E2187" s="18" t="n">
        <v>0</v>
      </c>
      <c r="F2187" s="18" t="s">
        <v>1127</v>
      </c>
      <c r="G2187" s="18" t="s">
        <v>180</v>
      </c>
      <c r="H2187" s="18" t="s">
        <v>162</v>
      </c>
      <c r="I2187" s="18"/>
      <c r="J2187" s="18"/>
      <c r="K2187" s="18"/>
      <c r="L2187" s="18" t="s">
        <v>129</v>
      </c>
      <c r="M2187" s="18" t="s">
        <v>129</v>
      </c>
      <c r="N2187" s="18"/>
      <c r="O2187" s="18"/>
      <c r="P2187" s="18"/>
      <c r="Q2187" s="18" t="s">
        <v>138</v>
      </c>
      <c r="R2187" s="18" t="s">
        <v>1129</v>
      </c>
      <c r="S2187" s="18" t="s">
        <v>140</v>
      </c>
      <c r="T2187" s="18" t="s">
        <v>141</v>
      </c>
      <c r="U2187" s="18"/>
      <c r="V2187" s="19" t="s">
        <v>29</v>
      </c>
      <c r="W2187" s="19"/>
      <c r="X2187" s="19"/>
      <c r="Y2187" s="20"/>
      <c r="Z2187" s="19"/>
      <c r="AA2187" s="18" t="str">
        <f aca="false">IF(OR(V2187="Aprobada"),R2187,IF(AND(OR(V2187="Aprobada con ajuste",V2187="Rechazada"),W2187&lt;&gt;""),W2187,""))</f>
        <v/>
      </c>
    </row>
    <row r="2188" customFormat="false" ht="22.35" hidden="false" customHeight="false" outlineLevel="0" collapsed="false">
      <c r="A2188" s="18" t="s">
        <v>9238</v>
      </c>
      <c r="B2188" s="18" t="s">
        <v>66</v>
      </c>
      <c r="C2188" s="18" t="s">
        <v>67</v>
      </c>
      <c r="D2188" s="18" t="s">
        <v>9231</v>
      </c>
      <c r="E2188" s="18" t="n">
        <v>0</v>
      </c>
      <c r="F2188" s="18" t="s">
        <v>9239</v>
      </c>
      <c r="G2188" s="18" t="s">
        <v>145</v>
      </c>
      <c r="H2188" s="18" t="s">
        <v>162</v>
      </c>
      <c r="I2188" s="18" t="s">
        <v>298</v>
      </c>
      <c r="J2188" s="18" t="s">
        <v>9240</v>
      </c>
      <c r="K2188" s="18"/>
      <c r="L2188" s="18" t="s">
        <v>162</v>
      </c>
      <c r="M2188" s="18" t="s">
        <v>129</v>
      </c>
      <c r="N2188" s="18"/>
      <c r="O2188" s="18"/>
      <c r="P2188" s="18"/>
      <c r="Q2188" s="18" t="s">
        <v>149</v>
      </c>
      <c r="R2188" s="18" t="s">
        <v>9241</v>
      </c>
      <c r="S2188" s="18" t="s">
        <v>133</v>
      </c>
      <c r="T2188" s="18" t="s">
        <v>801</v>
      </c>
      <c r="U2188" s="18"/>
      <c r="V2188" s="19" t="s">
        <v>29</v>
      </c>
      <c r="W2188" s="19"/>
      <c r="X2188" s="19"/>
      <c r="Y2188" s="20"/>
      <c r="Z2188" s="19"/>
      <c r="AA2188" s="18" t="str">
        <f aca="false">IF(OR(V2188="Aprobada"),R2188,IF(AND(OR(V2188="Aprobada con ajuste",V2188="Rechazada"),W2188&lt;&gt;""),W2188,""))</f>
        <v/>
      </c>
    </row>
    <row r="2189" customFormat="false" ht="22.35" hidden="false" customHeight="false" outlineLevel="0" collapsed="false">
      <c r="A2189" s="18" t="s">
        <v>9242</v>
      </c>
      <c r="B2189" s="18" t="s">
        <v>66</v>
      </c>
      <c r="C2189" s="18" t="s">
        <v>67</v>
      </c>
      <c r="D2189" s="18" t="s">
        <v>9231</v>
      </c>
      <c r="E2189" s="18" t="n">
        <v>0</v>
      </c>
      <c r="F2189" s="18" t="s">
        <v>9243</v>
      </c>
      <c r="G2189" s="18" t="s">
        <v>503</v>
      </c>
      <c r="H2189" s="18" t="s">
        <v>162</v>
      </c>
      <c r="I2189" s="18"/>
      <c r="J2189" s="18"/>
      <c r="K2189" s="18"/>
      <c r="L2189" s="18" t="s">
        <v>129</v>
      </c>
      <c r="M2189" s="18" t="s">
        <v>129</v>
      </c>
      <c r="N2189" s="18"/>
      <c r="O2189" s="18"/>
      <c r="P2189" s="18"/>
      <c r="Q2189" s="18" t="s">
        <v>149</v>
      </c>
      <c r="R2189" s="18" t="s">
        <v>9244</v>
      </c>
      <c r="S2189" s="18" t="s">
        <v>140</v>
      </c>
      <c r="T2189" s="18" t="s">
        <v>2276</v>
      </c>
      <c r="U2189" s="18" t="s">
        <v>9245</v>
      </c>
      <c r="V2189" s="19" t="s">
        <v>29</v>
      </c>
      <c r="W2189" s="19"/>
      <c r="X2189" s="19"/>
      <c r="Y2189" s="20"/>
      <c r="Z2189" s="19"/>
      <c r="AA2189" s="18" t="str">
        <f aca="false">IF(OR(V2189="Aprobada"),R2189,IF(AND(OR(V2189="Aprobada con ajuste",V2189="Rechazada"),W2189&lt;&gt;""),W2189,""))</f>
        <v/>
      </c>
    </row>
    <row r="2190" customFormat="false" ht="22.35" hidden="false" customHeight="false" outlineLevel="0" collapsed="false">
      <c r="A2190" s="18" t="s">
        <v>9246</v>
      </c>
      <c r="B2190" s="18" t="s">
        <v>66</v>
      </c>
      <c r="C2190" s="18" t="s">
        <v>67</v>
      </c>
      <c r="D2190" s="18" t="s">
        <v>9231</v>
      </c>
      <c r="E2190" s="18" t="n">
        <v>0</v>
      </c>
      <c r="F2190" s="18" t="s">
        <v>9247</v>
      </c>
      <c r="G2190" s="18" t="s">
        <v>503</v>
      </c>
      <c r="H2190" s="18" t="s">
        <v>162</v>
      </c>
      <c r="I2190" s="18"/>
      <c r="J2190" s="18"/>
      <c r="K2190" s="18"/>
      <c r="L2190" s="18" t="s">
        <v>129</v>
      </c>
      <c r="M2190" s="18" t="s">
        <v>129</v>
      </c>
      <c r="N2190" s="18"/>
      <c r="O2190" s="18"/>
      <c r="P2190" s="18"/>
      <c r="Q2190" s="18" t="s">
        <v>149</v>
      </c>
      <c r="R2190" s="18" t="s">
        <v>9248</v>
      </c>
      <c r="S2190" s="18" t="s">
        <v>133</v>
      </c>
      <c r="T2190" s="18" t="s">
        <v>183</v>
      </c>
      <c r="U2190" s="18"/>
      <c r="V2190" s="19" t="s">
        <v>29</v>
      </c>
      <c r="W2190" s="19"/>
      <c r="X2190" s="19"/>
      <c r="Y2190" s="20"/>
      <c r="Z2190" s="19"/>
      <c r="AA2190" s="18" t="str">
        <f aca="false">IF(OR(V2190="Aprobada"),R2190,IF(AND(OR(V2190="Aprobada con ajuste",V2190="Rechazada"),W2190&lt;&gt;""),W2190,""))</f>
        <v/>
      </c>
    </row>
    <row r="2191" customFormat="false" ht="22.35" hidden="false" customHeight="false" outlineLevel="0" collapsed="false">
      <c r="A2191" s="18" t="s">
        <v>9249</v>
      </c>
      <c r="B2191" s="18" t="s">
        <v>66</v>
      </c>
      <c r="C2191" s="18" t="s">
        <v>67</v>
      </c>
      <c r="D2191" s="18" t="s">
        <v>9231</v>
      </c>
      <c r="E2191" s="18" t="n">
        <v>0</v>
      </c>
      <c r="F2191" s="18" t="s">
        <v>9250</v>
      </c>
      <c r="G2191" s="18" t="s">
        <v>503</v>
      </c>
      <c r="H2191" s="18" t="s">
        <v>162</v>
      </c>
      <c r="I2191" s="18"/>
      <c r="J2191" s="18"/>
      <c r="K2191" s="18"/>
      <c r="L2191" s="18" t="s">
        <v>129</v>
      </c>
      <c r="M2191" s="18" t="s">
        <v>129</v>
      </c>
      <c r="N2191" s="18"/>
      <c r="O2191" s="18"/>
      <c r="P2191" s="18"/>
      <c r="Q2191" s="18" t="s">
        <v>149</v>
      </c>
      <c r="R2191" s="18" t="s">
        <v>9251</v>
      </c>
      <c r="S2191" s="18" t="s">
        <v>133</v>
      </c>
      <c r="T2191" s="18" t="s">
        <v>183</v>
      </c>
      <c r="U2191" s="18"/>
      <c r="V2191" s="19" t="s">
        <v>29</v>
      </c>
      <c r="W2191" s="19"/>
      <c r="X2191" s="19"/>
      <c r="Y2191" s="20"/>
      <c r="Z2191" s="19"/>
      <c r="AA2191" s="18" t="str">
        <f aca="false">IF(OR(V2191="Aprobada"),R2191,IF(AND(OR(V2191="Aprobada con ajuste",V2191="Rechazada"),W2191&lt;&gt;""),W2191,""))</f>
        <v/>
      </c>
    </row>
    <row r="2192" customFormat="false" ht="126.85" hidden="false" customHeight="false" outlineLevel="0" collapsed="false">
      <c r="A2192" s="18" t="s">
        <v>9252</v>
      </c>
      <c r="B2192" s="18" t="s">
        <v>66</v>
      </c>
      <c r="C2192" s="18" t="s">
        <v>67</v>
      </c>
      <c r="D2192" s="18" t="s">
        <v>9253</v>
      </c>
      <c r="E2192" s="18" t="n">
        <v>405</v>
      </c>
      <c r="F2192" s="18" t="s">
        <v>6649</v>
      </c>
      <c r="G2192" s="18" t="s">
        <v>312</v>
      </c>
      <c r="H2192" s="18" t="s">
        <v>129</v>
      </c>
      <c r="I2192" s="18"/>
      <c r="J2192" s="18"/>
      <c r="K2192" s="18"/>
      <c r="L2192" s="18" t="s">
        <v>129</v>
      </c>
      <c r="M2192" s="18" t="s">
        <v>162</v>
      </c>
      <c r="N2192" s="18" t="s">
        <v>6650</v>
      </c>
      <c r="O2192" s="18" t="s">
        <v>9254</v>
      </c>
      <c r="P2192" s="18" t="s">
        <v>9255</v>
      </c>
      <c r="Q2192" s="18" t="s">
        <v>149</v>
      </c>
      <c r="R2192" s="18" t="s">
        <v>9256</v>
      </c>
      <c r="S2192" s="18" t="s">
        <v>133</v>
      </c>
      <c r="T2192" s="18" t="s">
        <v>9257</v>
      </c>
      <c r="U2192" s="18"/>
      <c r="V2192" s="19" t="s">
        <v>29</v>
      </c>
      <c r="W2192" s="19"/>
      <c r="X2192" s="19"/>
      <c r="Y2192" s="20"/>
      <c r="Z2192" s="19"/>
      <c r="AA2192" s="18" t="str">
        <f aca="false">IF(OR(V2192="Aprobada"),R2192,IF(AND(OR(V2192="Aprobada con ajuste",V2192="Rechazada"),W2192&lt;&gt;""),W2192,""))</f>
        <v/>
      </c>
    </row>
    <row r="2193" customFormat="false" ht="105.95" hidden="false" customHeight="false" outlineLevel="0" collapsed="false">
      <c r="A2193" s="18" t="s">
        <v>9258</v>
      </c>
      <c r="B2193" s="18" t="s">
        <v>66</v>
      </c>
      <c r="C2193" s="18" t="s">
        <v>67</v>
      </c>
      <c r="D2193" s="18" t="s">
        <v>9253</v>
      </c>
      <c r="E2193" s="18" t="n">
        <v>405</v>
      </c>
      <c r="F2193" s="18" t="s">
        <v>9217</v>
      </c>
      <c r="G2193" s="18" t="s">
        <v>503</v>
      </c>
      <c r="H2193" s="18" t="s">
        <v>129</v>
      </c>
      <c r="I2193" s="18" t="s">
        <v>298</v>
      </c>
      <c r="J2193" s="18"/>
      <c r="K2193" s="18"/>
      <c r="L2193" s="18" t="s">
        <v>129</v>
      </c>
      <c r="M2193" s="18" t="s">
        <v>162</v>
      </c>
      <c r="N2193" s="18" t="s">
        <v>9259</v>
      </c>
      <c r="O2193" s="18" t="s">
        <v>9260</v>
      </c>
      <c r="P2193" s="18" t="s">
        <v>9261</v>
      </c>
      <c r="Q2193" s="18" t="s">
        <v>131</v>
      </c>
      <c r="R2193" s="18" t="s">
        <v>9262</v>
      </c>
      <c r="S2193" s="18" t="s">
        <v>133</v>
      </c>
      <c r="T2193" s="18" t="s">
        <v>9263</v>
      </c>
      <c r="U2193" s="18"/>
      <c r="V2193" s="19" t="s">
        <v>29</v>
      </c>
      <c r="W2193" s="19"/>
      <c r="X2193" s="19"/>
      <c r="Y2193" s="20"/>
      <c r="Z2193" s="19"/>
      <c r="AA2193" s="18" t="str">
        <f aca="false">IF(OR(V2193="Aprobada"),R2193,IF(AND(OR(V2193="Aprobada con ajuste",V2193="Rechazada"),W2193&lt;&gt;""),W2193,""))</f>
        <v/>
      </c>
    </row>
    <row r="2194" customFormat="false" ht="64.15" hidden="false" customHeight="false" outlineLevel="0" collapsed="false">
      <c r="A2194" s="18" t="s">
        <v>9264</v>
      </c>
      <c r="B2194" s="18" t="s">
        <v>66</v>
      </c>
      <c r="C2194" s="18" t="s">
        <v>67</v>
      </c>
      <c r="D2194" s="18" t="s">
        <v>9253</v>
      </c>
      <c r="E2194" s="18" t="n">
        <v>405</v>
      </c>
      <c r="F2194" s="18" t="s">
        <v>275</v>
      </c>
      <c r="G2194" s="18" t="s">
        <v>180</v>
      </c>
      <c r="H2194" s="18" t="s">
        <v>129</v>
      </c>
      <c r="I2194" s="18"/>
      <c r="J2194" s="18"/>
      <c r="K2194" s="18"/>
      <c r="L2194" s="18" t="s">
        <v>129</v>
      </c>
      <c r="M2194" s="18" t="s">
        <v>162</v>
      </c>
      <c r="N2194" s="18" t="s">
        <v>6656</v>
      </c>
      <c r="O2194" s="18"/>
      <c r="P2194" s="18" t="s">
        <v>9265</v>
      </c>
      <c r="Q2194" s="18" t="s">
        <v>138</v>
      </c>
      <c r="R2194" s="18" t="s">
        <v>9266</v>
      </c>
      <c r="S2194" s="18" t="s">
        <v>140</v>
      </c>
      <c r="T2194" s="18" t="s">
        <v>141</v>
      </c>
      <c r="U2194" s="18"/>
      <c r="V2194" s="19" t="s">
        <v>29</v>
      </c>
      <c r="W2194" s="19"/>
      <c r="X2194" s="19"/>
      <c r="Y2194" s="20"/>
      <c r="Z2194" s="19"/>
      <c r="AA2194" s="18" t="str">
        <f aca="false">IF(OR(V2194="Aprobada"),R2194,IF(AND(OR(V2194="Aprobada con ajuste",V2194="Rechazada"),W2194&lt;&gt;""),W2194,""))</f>
        <v/>
      </c>
    </row>
    <row r="2195" customFormat="false" ht="43.25" hidden="false" customHeight="false" outlineLevel="0" collapsed="false">
      <c r="A2195" s="18" t="s">
        <v>9267</v>
      </c>
      <c r="B2195" s="18" t="s">
        <v>66</v>
      </c>
      <c r="C2195" s="18" t="s">
        <v>67</v>
      </c>
      <c r="D2195" s="18" t="s">
        <v>9253</v>
      </c>
      <c r="E2195" s="18" t="n">
        <v>405</v>
      </c>
      <c r="F2195" s="18" t="s">
        <v>160</v>
      </c>
      <c r="G2195" s="18" t="s">
        <v>128</v>
      </c>
      <c r="H2195" s="18" t="s">
        <v>129</v>
      </c>
      <c r="I2195" s="18"/>
      <c r="J2195" s="18"/>
      <c r="K2195" s="18"/>
      <c r="L2195" s="18" t="s">
        <v>129</v>
      </c>
      <c r="M2195" s="18" t="s">
        <v>129</v>
      </c>
      <c r="N2195" s="18"/>
      <c r="O2195" s="18"/>
      <c r="P2195" s="18" t="s">
        <v>9268</v>
      </c>
      <c r="Q2195" s="18" t="s">
        <v>138</v>
      </c>
      <c r="R2195" s="18" t="s">
        <v>9269</v>
      </c>
      <c r="S2195" s="18" t="s">
        <v>140</v>
      </c>
      <c r="T2195" s="18" t="s">
        <v>141</v>
      </c>
      <c r="U2195" s="18"/>
      <c r="V2195" s="19" t="s">
        <v>29</v>
      </c>
      <c r="W2195" s="19"/>
      <c r="X2195" s="19"/>
      <c r="Y2195" s="20"/>
      <c r="Z2195" s="19"/>
      <c r="AA2195" s="18" t="str">
        <f aca="false">IF(OR(V2195="Aprobada"),R2195,IF(AND(OR(V2195="Aprobada con ajuste",V2195="Rechazada"),W2195&lt;&gt;""),W2195,""))</f>
        <v/>
      </c>
    </row>
    <row r="2196" customFormat="false" ht="43.25" hidden="false" customHeight="false" outlineLevel="0" collapsed="false">
      <c r="A2196" s="18" t="s">
        <v>9270</v>
      </c>
      <c r="B2196" s="18" t="s">
        <v>66</v>
      </c>
      <c r="C2196" s="18" t="s">
        <v>67</v>
      </c>
      <c r="D2196" s="18" t="s">
        <v>9253</v>
      </c>
      <c r="E2196" s="18" t="n">
        <v>405</v>
      </c>
      <c r="F2196" s="18" t="s">
        <v>498</v>
      </c>
      <c r="G2196" s="18" t="s">
        <v>7733</v>
      </c>
      <c r="H2196" s="18" t="s">
        <v>129</v>
      </c>
      <c r="I2196" s="18"/>
      <c r="J2196" s="18"/>
      <c r="K2196" s="18"/>
      <c r="L2196" s="18" t="s">
        <v>129</v>
      </c>
      <c r="M2196" s="18" t="s">
        <v>129</v>
      </c>
      <c r="N2196" s="18"/>
      <c r="O2196" s="18"/>
      <c r="P2196" s="18" t="s">
        <v>9271</v>
      </c>
      <c r="Q2196" s="18" t="s">
        <v>149</v>
      </c>
      <c r="R2196" s="18" t="s">
        <v>9227</v>
      </c>
      <c r="S2196" s="18" t="s">
        <v>133</v>
      </c>
      <c r="T2196" s="18" t="s">
        <v>5503</v>
      </c>
      <c r="U2196" s="18"/>
      <c r="V2196" s="19" t="s">
        <v>29</v>
      </c>
      <c r="W2196" s="19"/>
      <c r="X2196" s="19"/>
      <c r="Y2196" s="20"/>
      <c r="Z2196" s="19"/>
      <c r="AA2196" s="18" t="str">
        <f aca="false">IF(OR(V2196="Aprobada"),R2196,IF(AND(OR(V2196="Aprobada con ajuste",V2196="Rechazada"),W2196&lt;&gt;""),W2196,""))</f>
        <v/>
      </c>
    </row>
    <row r="2197" customFormat="false" ht="64.15" hidden="false" customHeight="false" outlineLevel="0" collapsed="false">
      <c r="A2197" s="18" t="s">
        <v>9272</v>
      </c>
      <c r="B2197" s="18" t="s">
        <v>66</v>
      </c>
      <c r="C2197" s="18" t="s">
        <v>67</v>
      </c>
      <c r="D2197" s="18" t="s">
        <v>9253</v>
      </c>
      <c r="E2197" s="18" t="n">
        <v>405</v>
      </c>
      <c r="F2197" s="18" t="s">
        <v>8697</v>
      </c>
      <c r="G2197" s="18" t="s">
        <v>503</v>
      </c>
      <c r="H2197" s="18" t="s">
        <v>162</v>
      </c>
      <c r="I2197" s="18"/>
      <c r="J2197" s="18"/>
      <c r="K2197" s="18"/>
      <c r="L2197" s="18" t="s">
        <v>129</v>
      </c>
      <c r="M2197" s="18" t="s">
        <v>162</v>
      </c>
      <c r="N2197" s="18" t="s">
        <v>9273</v>
      </c>
      <c r="O2197" s="18"/>
      <c r="P2197" s="18" t="s">
        <v>9274</v>
      </c>
      <c r="Q2197" s="18" t="s">
        <v>149</v>
      </c>
      <c r="R2197" s="18" t="s">
        <v>9275</v>
      </c>
      <c r="S2197" s="18" t="s">
        <v>133</v>
      </c>
      <c r="T2197" s="18" t="s">
        <v>9276</v>
      </c>
      <c r="U2197" s="18"/>
      <c r="V2197" s="19" t="s">
        <v>29</v>
      </c>
      <c r="W2197" s="19"/>
      <c r="X2197" s="19"/>
      <c r="Y2197" s="20"/>
      <c r="Z2197" s="19"/>
      <c r="AA2197" s="18" t="str">
        <f aca="false">IF(OR(V2197="Aprobada"),R2197,IF(AND(OR(V2197="Aprobada con ajuste",V2197="Rechazada"),W2197&lt;&gt;""),W2197,""))</f>
        <v/>
      </c>
    </row>
    <row r="2198" customFormat="false" ht="32.8" hidden="false" customHeight="false" outlineLevel="0" collapsed="false">
      <c r="A2198" s="18" t="s">
        <v>9277</v>
      </c>
      <c r="B2198" s="18" t="s">
        <v>66</v>
      </c>
      <c r="C2198" s="18" t="s">
        <v>67</v>
      </c>
      <c r="D2198" s="18" t="s">
        <v>9253</v>
      </c>
      <c r="E2198" s="18" t="n">
        <v>405</v>
      </c>
      <c r="F2198" s="18" t="s">
        <v>8689</v>
      </c>
      <c r="G2198" s="18" t="s">
        <v>503</v>
      </c>
      <c r="H2198" s="18" t="s">
        <v>162</v>
      </c>
      <c r="I2198" s="18"/>
      <c r="J2198" s="18"/>
      <c r="K2198" s="18"/>
      <c r="L2198" s="18" t="s">
        <v>129</v>
      </c>
      <c r="M2198" s="18" t="s">
        <v>129</v>
      </c>
      <c r="N2198" s="18"/>
      <c r="O2198" s="18"/>
      <c r="P2198" s="18" t="s">
        <v>9278</v>
      </c>
      <c r="Q2198" s="18" t="s">
        <v>149</v>
      </c>
      <c r="R2198" s="18" t="s">
        <v>9279</v>
      </c>
      <c r="S2198" s="18" t="s">
        <v>133</v>
      </c>
      <c r="T2198" s="18" t="s">
        <v>183</v>
      </c>
      <c r="U2198" s="18"/>
      <c r="V2198" s="19" t="s">
        <v>29</v>
      </c>
      <c r="W2198" s="19"/>
      <c r="X2198" s="19"/>
      <c r="Y2198" s="20"/>
      <c r="Z2198" s="19"/>
      <c r="AA2198" s="18" t="str">
        <f aca="false">IF(OR(V2198="Aprobada"),R2198,IF(AND(OR(V2198="Aprobada con ajuste",V2198="Rechazada"),W2198&lt;&gt;""),W2198,""))</f>
        <v/>
      </c>
    </row>
    <row r="2199" customFormat="false" ht="22.35" hidden="false" customHeight="false" outlineLevel="0" collapsed="false">
      <c r="A2199" s="18" t="s">
        <v>9280</v>
      </c>
      <c r="B2199" s="18" t="s">
        <v>66</v>
      </c>
      <c r="C2199" s="18" t="s">
        <v>67</v>
      </c>
      <c r="D2199" s="18" t="s">
        <v>9281</v>
      </c>
      <c r="E2199" s="18" t="n">
        <v>0</v>
      </c>
      <c r="F2199" s="18" t="s">
        <v>9282</v>
      </c>
      <c r="G2199" s="18" t="s">
        <v>312</v>
      </c>
      <c r="H2199" s="18" t="s">
        <v>129</v>
      </c>
      <c r="I2199" s="18"/>
      <c r="J2199" s="18"/>
      <c r="K2199" s="18"/>
      <c r="L2199" s="18" t="s">
        <v>129</v>
      </c>
      <c r="M2199" s="18" t="s">
        <v>129</v>
      </c>
      <c r="N2199" s="18"/>
      <c r="O2199" s="18" t="s">
        <v>9283</v>
      </c>
      <c r="P2199" s="18"/>
      <c r="Q2199" s="18" t="s">
        <v>149</v>
      </c>
      <c r="R2199" s="18" t="s">
        <v>9284</v>
      </c>
      <c r="S2199" s="18" t="s">
        <v>140</v>
      </c>
      <c r="T2199" s="18" t="s">
        <v>183</v>
      </c>
      <c r="U2199" s="18" t="s">
        <v>8330</v>
      </c>
      <c r="V2199" s="19" t="s">
        <v>29</v>
      </c>
      <c r="W2199" s="19"/>
      <c r="X2199" s="19"/>
      <c r="Y2199" s="20"/>
      <c r="Z2199" s="19"/>
      <c r="AA2199" s="18" t="str">
        <f aca="false">IF(OR(V2199="Aprobada"),R2199,IF(AND(OR(V2199="Aprobada con ajuste",V2199="Rechazada"),W2199&lt;&gt;""),W2199,""))</f>
        <v/>
      </c>
    </row>
    <row r="2200" customFormat="false" ht="22.35" hidden="false" customHeight="false" outlineLevel="0" collapsed="false">
      <c r="A2200" s="18" t="s">
        <v>9285</v>
      </c>
      <c r="B2200" s="18" t="s">
        <v>66</v>
      </c>
      <c r="C2200" s="18" t="s">
        <v>67</v>
      </c>
      <c r="D2200" s="18" t="s">
        <v>9281</v>
      </c>
      <c r="E2200" s="18" t="n">
        <v>0</v>
      </c>
      <c r="F2200" s="18" t="s">
        <v>937</v>
      </c>
      <c r="G2200" s="18" t="s">
        <v>503</v>
      </c>
      <c r="H2200" s="18" t="s">
        <v>129</v>
      </c>
      <c r="I2200" s="18"/>
      <c r="J2200" s="18"/>
      <c r="K2200" s="18"/>
      <c r="L2200" s="18" t="s">
        <v>129</v>
      </c>
      <c r="M2200" s="18" t="s">
        <v>129</v>
      </c>
      <c r="N2200" s="18"/>
      <c r="O2200" s="18"/>
      <c r="P2200" s="18"/>
      <c r="Q2200" s="18" t="s">
        <v>138</v>
      </c>
      <c r="R2200" s="18" t="s">
        <v>939</v>
      </c>
      <c r="S2200" s="18" t="s">
        <v>140</v>
      </c>
      <c r="T2200" s="18" t="s">
        <v>141</v>
      </c>
      <c r="U2200" s="18"/>
      <c r="V2200" s="19" t="s">
        <v>29</v>
      </c>
      <c r="W2200" s="19"/>
      <c r="X2200" s="19"/>
      <c r="Y2200" s="20"/>
      <c r="Z2200" s="19"/>
      <c r="AA2200" s="18" t="str">
        <f aca="false">IF(OR(V2200="Aprobada"),R2200,IF(AND(OR(V2200="Aprobada con ajuste",V2200="Rechazada"),W2200&lt;&gt;""),W2200,""))</f>
        <v/>
      </c>
    </row>
    <row r="2201" customFormat="false" ht="22.35" hidden="false" customHeight="false" outlineLevel="0" collapsed="false">
      <c r="A2201" s="18" t="s">
        <v>9286</v>
      </c>
      <c r="B2201" s="18" t="s">
        <v>66</v>
      </c>
      <c r="C2201" s="18" t="s">
        <v>67</v>
      </c>
      <c r="D2201" s="18" t="s">
        <v>9281</v>
      </c>
      <c r="E2201" s="18" t="n">
        <v>0</v>
      </c>
      <c r="F2201" s="18" t="s">
        <v>275</v>
      </c>
      <c r="G2201" s="18" t="s">
        <v>180</v>
      </c>
      <c r="H2201" s="18" t="s">
        <v>129</v>
      </c>
      <c r="I2201" s="18"/>
      <c r="J2201" s="18"/>
      <c r="K2201" s="18"/>
      <c r="L2201" s="18" t="s">
        <v>129</v>
      </c>
      <c r="M2201" s="18" t="s">
        <v>129</v>
      </c>
      <c r="N2201" s="18"/>
      <c r="O2201" s="18"/>
      <c r="P2201" s="18"/>
      <c r="Q2201" s="18" t="s">
        <v>138</v>
      </c>
      <c r="R2201" s="18" t="s">
        <v>9287</v>
      </c>
      <c r="S2201" s="18" t="s">
        <v>140</v>
      </c>
      <c r="T2201" s="18" t="s">
        <v>141</v>
      </c>
      <c r="U2201" s="18"/>
      <c r="V2201" s="19" t="s">
        <v>29</v>
      </c>
      <c r="W2201" s="19"/>
      <c r="X2201" s="19"/>
      <c r="Y2201" s="20"/>
      <c r="Z2201" s="19"/>
      <c r="AA2201" s="18" t="str">
        <f aca="false">IF(OR(V2201="Aprobada"),R2201,IF(AND(OR(V2201="Aprobada con ajuste",V2201="Rechazada"),W2201&lt;&gt;""),W2201,""))</f>
        <v/>
      </c>
    </row>
    <row r="2202" customFormat="false" ht="22.35" hidden="false" customHeight="false" outlineLevel="0" collapsed="false">
      <c r="A2202" s="18" t="s">
        <v>9288</v>
      </c>
      <c r="B2202" s="18" t="s">
        <v>66</v>
      </c>
      <c r="C2202" s="18" t="s">
        <v>67</v>
      </c>
      <c r="D2202" s="18" t="s">
        <v>9281</v>
      </c>
      <c r="E2202" s="18" t="n">
        <v>0</v>
      </c>
      <c r="F2202" s="18" t="s">
        <v>160</v>
      </c>
      <c r="G2202" s="18" t="s">
        <v>128</v>
      </c>
      <c r="H2202" s="18" t="s">
        <v>162</v>
      </c>
      <c r="I2202" s="18"/>
      <c r="J2202" s="18"/>
      <c r="K2202" s="18"/>
      <c r="L2202" s="18" t="s">
        <v>129</v>
      </c>
      <c r="M2202" s="18" t="s">
        <v>129</v>
      </c>
      <c r="N2202" s="18"/>
      <c r="O2202" s="18"/>
      <c r="P2202" s="18"/>
      <c r="Q2202" s="18" t="s">
        <v>138</v>
      </c>
      <c r="R2202" s="18" t="s">
        <v>9289</v>
      </c>
      <c r="S2202" s="18" t="s">
        <v>140</v>
      </c>
      <c r="T2202" s="18" t="s">
        <v>141</v>
      </c>
      <c r="U2202" s="18"/>
      <c r="V2202" s="19" t="s">
        <v>29</v>
      </c>
      <c r="W2202" s="19"/>
      <c r="X2202" s="19"/>
      <c r="Y2202" s="20"/>
      <c r="Z2202" s="19"/>
      <c r="AA2202" s="18" t="str">
        <f aca="false">IF(OR(V2202="Aprobada"),R2202,IF(AND(OR(V2202="Aprobada con ajuste",V2202="Rechazada"),W2202&lt;&gt;""),W2202,""))</f>
        <v/>
      </c>
    </row>
    <row r="2203" customFormat="false" ht="74.6" hidden="false" customHeight="false" outlineLevel="0" collapsed="false">
      <c r="A2203" s="18" t="s">
        <v>9290</v>
      </c>
      <c r="B2203" s="18" t="s">
        <v>66</v>
      </c>
      <c r="C2203" s="18" t="s">
        <v>67</v>
      </c>
      <c r="D2203" s="18" t="s">
        <v>9291</v>
      </c>
      <c r="E2203" s="18" t="n">
        <v>7</v>
      </c>
      <c r="F2203" s="18" t="s">
        <v>7014</v>
      </c>
      <c r="G2203" s="18" t="s">
        <v>205</v>
      </c>
      <c r="H2203" s="18" t="s">
        <v>129</v>
      </c>
      <c r="I2203" s="18"/>
      <c r="J2203" s="18"/>
      <c r="K2203" s="18"/>
      <c r="L2203" s="18" t="s">
        <v>129</v>
      </c>
      <c r="M2203" s="18" t="s">
        <v>129</v>
      </c>
      <c r="N2203" s="18"/>
      <c r="O2203" s="18"/>
      <c r="P2203" s="18" t="s">
        <v>9292</v>
      </c>
      <c r="Q2203" s="18" t="s">
        <v>131</v>
      </c>
      <c r="R2203" s="18" t="s">
        <v>9293</v>
      </c>
      <c r="S2203" s="18" t="s">
        <v>140</v>
      </c>
      <c r="T2203" s="18" t="s">
        <v>9294</v>
      </c>
      <c r="U2203" s="18" t="s">
        <v>9295</v>
      </c>
      <c r="V2203" s="19" t="s">
        <v>29</v>
      </c>
      <c r="W2203" s="19"/>
      <c r="X2203" s="19"/>
      <c r="Y2203" s="20"/>
      <c r="Z2203" s="19"/>
      <c r="AA2203" s="18" t="str">
        <f aca="false">IF(OR(V2203="Aprobada"),R2203,IF(AND(OR(V2203="Aprobada con ajuste",V2203="Rechazada"),W2203&lt;&gt;""),W2203,""))</f>
        <v/>
      </c>
    </row>
    <row r="2204" customFormat="false" ht="53.7" hidden="false" customHeight="false" outlineLevel="0" collapsed="false">
      <c r="A2204" s="18" t="s">
        <v>9296</v>
      </c>
      <c r="B2204" s="18" t="s">
        <v>66</v>
      </c>
      <c r="C2204" s="18" t="s">
        <v>67</v>
      </c>
      <c r="D2204" s="18" t="s">
        <v>9291</v>
      </c>
      <c r="E2204" s="18" t="n">
        <v>7</v>
      </c>
      <c r="F2204" s="18" t="s">
        <v>9297</v>
      </c>
      <c r="G2204" s="18" t="s">
        <v>205</v>
      </c>
      <c r="H2204" s="18" t="s">
        <v>129</v>
      </c>
      <c r="I2204" s="18"/>
      <c r="J2204" s="18"/>
      <c r="K2204" s="18"/>
      <c r="L2204" s="18" t="s">
        <v>129</v>
      </c>
      <c r="M2204" s="18" t="s">
        <v>129</v>
      </c>
      <c r="N2204" s="18"/>
      <c r="O2204" s="18"/>
      <c r="P2204" s="18" t="s">
        <v>9298</v>
      </c>
      <c r="Q2204" s="18" t="s">
        <v>131</v>
      </c>
      <c r="R2204" s="18" t="s">
        <v>9299</v>
      </c>
      <c r="S2204" s="18" t="s">
        <v>133</v>
      </c>
      <c r="T2204" s="18" t="s">
        <v>9300</v>
      </c>
      <c r="U2204" s="18"/>
      <c r="V2204" s="19" t="s">
        <v>29</v>
      </c>
      <c r="W2204" s="19"/>
      <c r="X2204" s="19"/>
      <c r="Y2204" s="20"/>
      <c r="Z2204" s="19"/>
      <c r="AA2204" s="18" t="str">
        <f aca="false">IF(OR(V2204="Aprobada"),R2204,IF(AND(OR(V2204="Aprobada con ajuste",V2204="Rechazada"),W2204&lt;&gt;""),W2204,""))</f>
        <v/>
      </c>
    </row>
    <row r="2205" customFormat="false" ht="43.25" hidden="false" customHeight="false" outlineLevel="0" collapsed="false">
      <c r="A2205" s="18" t="s">
        <v>9301</v>
      </c>
      <c r="B2205" s="18" t="s">
        <v>66</v>
      </c>
      <c r="C2205" s="18" t="s">
        <v>67</v>
      </c>
      <c r="D2205" s="18" t="s">
        <v>9291</v>
      </c>
      <c r="E2205" s="18" t="n">
        <v>7</v>
      </c>
      <c r="F2205" s="18" t="s">
        <v>9302</v>
      </c>
      <c r="G2205" s="18" t="s">
        <v>317</v>
      </c>
      <c r="H2205" s="18" t="s">
        <v>129</v>
      </c>
      <c r="I2205" s="18"/>
      <c r="J2205" s="18"/>
      <c r="K2205" s="18"/>
      <c r="L2205" s="18" t="s">
        <v>129</v>
      </c>
      <c r="M2205" s="18" t="s">
        <v>129</v>
      </c>
      <c r="N2205" s="18"/>
      <c r="O2205" s="18" t="s">
        <v>9303</v>
      </c>
      <c r="P2205" s="18" t="s">
        <v>9304</v>
      </c>
      <c r="Q2205" s="18" t="s">
        <v>131</v>
      </c>
      <c r="R2205" s="18" t="s">
        <v>9305</v>
      </c>
      <c r="S2205" s="18" t="s">
        <v>133</v>
      </c>
      <c r="T2205" s="18" t="s">
        <v>9306</v>
      </c>
      <c r="U2205" s="18"/>
      <c r="V2205" s="19" t="s">
        <v>29</v>
      </c>
      <c r="W2205" s="19"/>
      <c r="X2205" s="19"/>
      <c r="Y2205" s="20"/>
      <c r="Z2205" s="19"/>
      <c r="AA2205" s="18" t="str">
        <f aca="false">IF(OR(V2205="Aprobada"),R2205,IF(AND(OR(V2205="Aprobada con ajuste",V2205="Rechazada"),W2205&lt;&gt;""),W2205,""))</f>
        <v/>
      </c>
    </row>
    <row r="2206" customFormat="false" ht="53.7" hidden="false" customHeight="false" outlineLevel="0" collapsed="false">
      <c r="A2206" s="18" t="s">
        <v>9307</v>
      </c>
      <c r="B2206" s="18" t="s">
        <v>66</v>
      </c>
      <c r="C2206" s="18" t="s">
        <v>67</v>
      </c>
      <c r="D2206" s="18" t="s">
        <v>9291</v>
      </c>
      <c r="E2206" s="18" t="n">
        <v>7</v>
      </c>
      <c r="F2206" s="18" t="s">
        <v>4337</v>
      </c>
      <c r="G2206" s="18" t="s">
        <v>180</v>
      </c>
      <c r="H2206" s="18" t="s">
        <v>129</v>
      </c>
      <c r="I2206" s="18"/>
      <c r="J2206" s="18"/>
      <c r="K2206" s="18"/>
      <c r="L2206" s="18" t="s">
        <v>129</v>
      </c>
      <c r="M2206" s="18" t="s">
        <v>129</v>
      </c>
      <c r="N2206" s="18"/>
      <c r="O2206" s="18"/>
      <c r="P2206" s="18" t="s">
        <v>9308</v>
      </c>
      <c r="Q2206" s="18" t="s">
        <v>131</v>
      </c>
      <c r="R2206" s="18" t="s">
        <v>9309</v>
      </c>
      <c r="S2206" s="18" t="s">
        <v>133</v>
      </c>
      <c r="T2206" s="18" t="s">
        <v>9310</v>
      </c>
      <c r="U2206" s="18"/>
      <c r="V2206" s="19" t="s">
        <v>29</v>
      </c>
      <c r="W2206" s="19"/>
      <c r="X2206" s="19"/>
      <c r="Y2206" s="20"/>
      <c r="Z2206" s="19"/>
      <c r="AA2206" s="18" t="str">
        <f aca="false">IF(OR(V2206="Aprobada"),R2206,IF(AND(OR(V2206="Aprobada con ajuste",V2206="Rechazada"),W2206&lt;&gt;""),W2206,""))</f>
        <v/>
      </c>
    </row>
    <row r="2207" customFormat="false" ht="43.25" hidden="false" customHeight="false" outlineLevel="0" collapsed="false">
      <c r="A2207" s="18" t="s">
        <v>9311</v>
      </c>
      <c r="B2207" s="18" t="s">
        <v>66</v>
      </c>
      <c r="C2207" s="18" t="s">
        <v>67</v>
      </c>
      <c r="D2207" s="18" t="s">
        <v>9291</v>
      </c>
      <c r="E2207" s="18" t="n">
        <v>7</v>
      </c>
      <c r="F2207" s="18" t="s">
        <v>5700</v>
      </c>
      <c r="G2207" s="18" t="s">
        <v>180</v>
      </c>
      <c r="H2207" s="18" t="s">
        <v>162</v>
      </c>
      <c r="I2207" s="18"/>
      <c r="J2207" s="18"/>
      <c r="K2207" s="18"/>
      <c r="L2207" s="18" t="s">
        <v>129</v>
      </c>
      <c r="M2207" s="18" t="s">
        <v>129</v>
      </c>
      <c r="N2207" s="18"/>
      <c r="O2207" s="18"/>
      <c r="P2207" s="18" t="s">
        <v>9312</v>
      </c>
      <c r="Q2207" s="18" t="s">
        <v>131</v>
      </c>
      <c r="R2207" s="18" t="s">
        <v>9313</v>
      </c>
      <c r="S2207" s="18" t="s">
        <v>133</v>
      </c>
      <c r="T2207" s="18" t="s">
        <v>9314</v>
      </c>
      <c r="U2207" s="18"/>
      <c r="V2207" s="19" t="s">
        <v>29</v>
      </c>
      <c r="W2207" s="19"/>
      <c r="X2207" s="19"/>
      <c r="Y2207" s="20"/>
      <c r="Z2207" s="19"/>
      <c r="AA2207" s="18" t="str">
        <f aca="false">IF(OR(V2207="Aprobada"),R2207,IF(AND(OR(V2207="Aprobada con ajuste",V2207="Rechazada"),W2207&lt;&gt;""),W2207,""))</f>
        <v/>
      </c>
    </row>
    <row r="2208" customFormat="false" ht="43.25" hidden="false" customHeight="false" outlineLevel="0" collapsed="false">
      <c r="A2208" s="18" t="s">
        <v>9315</v>
      </c>
      <c r="B2208" s="18" t="s">
        <v>66</v>
      </c>
      <c r="C2208" s="18" t="s">
        <v>67</v>
      </c>
      <c r="D2208" s="18" t="s">
        <v>9291</v>
      </c>
      <c r="E2208" s="18" t="n">
        <v>7</v>
      </c>
      <c r="F2208" s="18" t="s">
        <v>3191</v>
      </c>
      <c r="G2208" s="18" t="s">
        <v>128</v>
      </c>
      <c r="H2208" s="18" t="s">
        <v>162</v>
      </c>
      <c r="I2208" s="18"/>
      <c r="J2208" s="18"/>
      <c r="K2208" s="18"/>
      <c r="L2208" s="18" t="s">
        <v>129</v>
      </c>
      <c r="M2208" s="18" t="s">
        <v>129</v>
      </c>
      <c r="N2208" s="18"/>
      <c r="O2208" s="18"/>
      <c r="P2208" s="18" t="s">
        <v>9316</v>
      </c>
      <c r="Q2208" s="18" t="s">
        <v>131</v>
      </c>
      <c r="R2208" s="18" t="s">
        <v>9317</v>
      </c>
      <c r="S2208" s="18" t="s">
        <v>133</v>
      </c>
      <c r="T2208" s="18" t="s">
        <v>9318</v>
      </c>
      <c r="U2208" s="18"/>
      <c r="V2208" s="19" t="s">
        <v>29</v>
      </c>
      <c r="W2208" s="19"/>
      <c r="X2208" s="19"/>
      <c r="Y2208" s="20"/>
      <c r="Z2208" s="19"/>
      <c r="AA2208" s="18" t="str">
        <f aca="false">IF(OR(V2208="Aprobada"),R2208,IF(AND(OR(V2208="Aprobada con ajuste",V2208="Rechazada"),W2208&lt;&gt;""),W2208,""))</f>
        <v/>
      </c>
    </row>
    <row r="2209" customFormat="false" ht="53.7" hidden="false" customHeight="false" outlineLevel="0" collapsed="false">
      <c r="A2209" s="18" t="s">
        <v>9319</v>
      </c>
      <c r="B2209" s="18" t="s">
        <v>66</v>
      </c>
      <c r="C2209" s="18" t="s">
        <v>67</v>
      </c>
      <c r="D2209" s="18" t="s">
        <v>9291</v>
      </c>
      <c r="E2209" s="18" t="n">
        <v>7</v>
      </c>
      <c r="F2209" s="18" t="s">
        <v>9320</v>
      </c>
      <c r="G2209" s="18" t="s">
        <v>161</v>
      </c>
      <c r="H2209" s="18" t="s">
        <v>162</v>
      </c>
      <c r="I2209" s="18"/>
      <c r="J2209" s="18"/>
      <c r="K2209" s="18"/>
      <c r="L2209" s="18" t="s">
        <v>129</v>
      </c>
      <c r="M2209" s="18" t="s">
        <v>129</v>
      </c>
      <c r="N2209" s="18"/>
      <c r="O2209" s="18"/>
      <c r="P2209" s="18" t="s">
        <v>9321</v>
      </c>
      <c r="Q2209" s="18" t="s">
        <v>131</v>
      </c>
      <c r="R2209" s="18" t="s">
        <v>9322</v>
      </c>
      <c r="S2209" s="18" t="s">
        <v>133</v>
      </c>
      <c r="T2209" s="18" t="s">
        <v>9323</v>
      </c>
      <c r="U2209" s="18"/>
      <c r="V2209" s="19" t="s">
        <v>29</v>
      </c>
      <c r="W2209" s="19"/>
      <c r="X2209" s="19"/>
      <c r="Y2209" s="20"/>
      <c r="Z2209" s="19"/>
      <c r="AA2209" s="18" t="str">
        <f aca="false">IF(OR(V2209="Aprobada"),R2209,IF(AND(OR(V2209="Aprobada con ajuste",V2209="Rechazada"),W2209&lt;&gt;""),W2209,""))</f>
        <v/>
      </c>
    </row>
    <row r="2210" customFormat="false" ht="43.25" hidden="false" customHeight="false" outlineLevel="0" collapsed="false">
      <c r="A2210" s="18" t="s">
        <v>9324</v>
      </c>
      <c r="B2210" s="18" t="s">
        <v>66</v>
      </c>
      <c r="C2210" s="18" t="s">
        <v>67</v>
      </c>
      <c r="D2210" s="18" t="s">
        <v>9291</v>
      </c>
      <c r="E2210" s="18" t="n">
        <v>7</v>
      </c>
      <c r="F2210" s="18" t="s">
        <v>9325</v>
      </c>
      <c r="G2210" s="18" t="s">
        <v>503</v>
      </c>
      <c r="H2210" s="18" t="s">
        <v>162</v>
      </c>
      <c r="I2210" s="18"/>
      <c r="J2210" s="18"/>
      <c r="K2210" s="18"/>
      <c r="L2210" s="18" t="s">
        <v>129</v>
      </c>
      <c r="M2210" s="18" t="s">
        <v>129</v>
      </c>
      <c r="N2210" s="18"/>
      <c r="O2210" s="18"/>
      <c r="P2210" s="18" t="s">
        <v>9326</v>
      </c>
      <c r="Q2210" s="18" t="s">
        <v>131</v>
      </c>
      <c r="R2210" s="18" t="s">
        <v>9327</v>
      </c>
      <c r="S2210" s="18" t="s">
        <v>133</v>
      </c>
      <c r="T2210" s="18" t="s">
        <v>9328</v>
      </c>
      <c r="U2210" s="18"/>
      <c r="V2210" s="19" t="s">
        <v>29</v>
      </c>
      <c r="W2210" s="19"/>
      <c r="X2210" s="19"/>
      <c r="Y2210" s="20"/>
      <c r="Z2210" s="19"/>
      <c r="AA2210" s="18" t="str">
        <f aca="false">IF(OR(V2210="Aprobada"),R2210,IF(AND(OR(V2210="Aprobada con ajuste",V2210="Rechazada"),W2210&lt;&gt;""),W2210,""))</f>
        <v/>
      </c>
    </row>
    <row r="2211" customFormat="false" ht="43.25" hidden="false" customHeight="false" outlineLevel="0" collapsed="false">
      <c r="A2211" s="18" t="s">
        <v>9329</v>
      </c>
      <c r="B2211" s="18" t="s">
        <v>66</v>
      </c>
      <c r="C2211" s="18" t="s">
        <v>67</v>
      </c>
      <c r="D2211" s="18" t="s">
        <v>9291</v>
      </c>
      <c r="E2211" s="18" t="n">
        <v>7</v>
      </c>
      <c r="F2211" s="18" t="s">
        <v>9330</v>
      </c>
      <c r="G2211" s="18" t="s">
        <v>503</v>
      </c>
      <c r="H2211" s="18" t="s">
        <v>162</v>
      </c>
      <c r="I2211" s="18"/>
      <c r="J2211" s="18"/>
      <c r="K2211" s="18"/>
      <c r="L2211" s="18" t="s">
        <v>129</v>
      </c>
      <c r="M2211" s="18" t="s">
        <v>129</v>
      </c>
      <c r="N2211" s="18"/>
      <c r="O2211" s="18"/>
      <c r="P2211" s="18" t="s">
        <v>9331</v>
      </c>
      <c r="Q2211" s="18" t="s">
        <v>131</v>
      </c>
      <c r="R2211" s="18" t="s">
        <v>9332</v>
      </c>
      <c r="S2211" s="18" t="s">
        <v>133</v>
      </c>
      <c r="T2211" s="18" t="s">
        <v>9333</v>
      </c>
      <c r="U2211" s="18"/>
      <c r="V2211" s="19" t="s">
        <v>29</v>
      </c>
      <c r="W2211" s="19"/>
      <c r="X2211" s="19"/>
      <c r="Y2211" s="20"/>
      <c r="Z2211" s="19"/>
      <c r="AA2211" s="18" t="str">
        <f aca="false">IF(OR(V2211="Aprobada"),R2211,IF(AND(OR(V2211="Aprobada con ajuste",V2211="Rechazada"),W2211&lt;&gt;""),W2211,""))</f>
        <v/>
      </c>
    </row>
    <row r="2212" customFormat="false" ht="43.25" hidden="false" customHeight="false" outlineLevel="0" collapsed="false">
      <c r="A2212" s="18" t="s">
        <v>9334</v>
      </c>
      <c r="B2212" s="18" t="s">
        <v>66</v>
      </c>
      <c r="C2212" s="18" t="s">
        <v>67</v>
      </c>
      <c r="D2212" s="18" t="s">
        <v>9291</v>
      </c>
      <c r="E2212" s="18" t="n">
        <v>7</v>
      </c>
      <c r="F2212" s="18" t="s">
        <v>9335</v>
      </c>
      <c r="G2212" s="18" t="s">
        <v>503</v>
      </c>
      <c r="H2212" s="18" t="s">
        <v>162</v>
      </c>
      <c r="I2212" s="18"/>
      <c r="J2212" s="18"/>
      <c r="K2212" s="18"/>
      <c r="L2212" s="18" t="s">
        <v>129</v>
      </c>
      <c r="M2212" s="18" t="s">
        <v>129</v>
      </c>
      <c r="N2212" s="18"/>
      <c r="O2212" s="18"/>
      <c r="P2212" s="18" t="s">
        <v>9336</v>
      </c>
      <c r="Q2212" s="18" t="s">
        <v>131</v>
      </c>
      <c r="R2212" s="18" t="s">
        <v>9337</v>
      </c>
      <c r="S2212" s="18" t="s">
        <v>133</v>
      </c>
      <c r="T2212" s="18" t="s">
        <v>9338</v>
      </c>
      <c r="U2212" s="18"/>
      <c r="V2212" s="19" t="s">
        <v>29</v>
      </c>
      <c r="W2212" s="19"/>
      <c r="X2212" s="19"/>
      <c r="Y2212" s="20"/>
      <c r="Z2212" s="19"/>
      <c r="AA2212" s="18" t="str">
        <f aca="false">IF(OR(V2212="Aprobada"),R2212,IF(AND(OR(V2212="Aprobada con ajuste",V2212="Rechazada"),W2212&lt;&gt;""),W2212,""))</f>
        <v/>
      </c>
    </row>
    <row r="2213" customFormat="false" ht="43.25" hidden="false" customHeight="false" outlineLevel="0" collapsed="false">
      <c r="A2213" s="18" t="s">
        <v>9339</v>
      </c>
      <c r="B2213" s="18" t="s">
        <v>66</v>
      </c>
      <c r="C2213" s="18" t="s">
        <v>67</v>
      </c>
      <c r="D2213" s="18" t="s">
        <v>9291</v>
      </c>
      <c r="E2213" s="18" t="n">
        <v>7</v>
      </c>
      <c r="F2213" s="18" t="s">
        <v>9340</v>
      </c>
      <c r="G2213" s="18" t="s">
        <v>503</v>
      </c>
      <c r="H2213" s="18" t="s">
        <v>162</v>
      </c>
      <c r="I2213" s="18"/>
      <c r="J2213" s="18"/>
      <c r="K2213" s="18"/>
      <c r="L2213" s="18" t="s">
        <v>129</v>
      </c>
      <c r="M2213" s="18" t="s">
        <v>129</v>
      </c>
      <c r="N2213" s="18"/>
      <c r="O2213" s="18"/>
      <c r="P2213" s="18" t="s">
        <v>9341</v>
      </c>
      <c r="Q2213" s="18" t="s">
        <v>131</v>
      </c>
      <c r="R2213" s="18" t="s">
        <v>9342</v>
      </c>
      <c r="S2213" s="18" t="s">
        <v>133</v>
      </c>
      <c r="T2213" s="18" t="s">
        <v>9343</v>
      </c>
      <c r="U2213" s="18"/>
      <c r="V2213" s="19" t="s">
        <v>29</v>
      </c>
      <c r="W2213" s="19"/>
      <c r="X2213" s="19"/>
      <c r="Y2213" s="20"/>
      <c r="Z2213" s="19"/>
      <c r="AA2213" s="18" t="str">
        <f aca="false">IF(OR(V2213="Aprobada"),R2213,IF(AND(OR(V2213="Aprobada con ajuste",V2213="Rechazada"),W2213&lt;&gt;""),W2213,""))</f>
        <v/>
      </c>
    </row>
    <row r="2214" customFormat="false" ht="43.25" hidden="false" customHeight="false" outlineLevel="0" collapsed="false">
      <c r="A2214" s="18" t="s">
        <v>9344</v>
      </c>
      <c r="B2214" s="18" t="s">
        <v>66</v>
      </c>
      <c r="C2214" s="18" t="s">
        <v>67</v>
      </c>
      <c r="D2214" s="18" t="s">
        <v>9291</v>
      </c>
      <c r="E2214" s="18" t="n">
        <v>7</v>
      </c>
      <c r="F2214" s="18" t="s">
        <v>9345</v>
      </c>
      <c r="G2214" s="18" t="s">
        <v>503</v>
      </c>
      <c r="H2214" s="18" t="s">
        <v>162</v>
      </c>
      <c r="I2214" s="18"/>
      <c r="J2214" s="18"/>
      <c r="K2214" s="18"/>
      <c r="L2214" s="18" t="s">
        <v>129</v>
      </c>
      <c r="M2214" s="18" t="s">
        <v>129</v>
      </c>
      <c r="N2214" s="18"/>
      <c r="O2214" s="18"/>
      <c r="P2214" s="18" t="s">
        <v>9346</v>
      </c>
      <c r="Q2214" s="18" t="s">
        <v>131</v>
      </c>
      <c r="R2214" s="18" t="s">
        <v>9347</v>
      </c>
      <c r="S2214" s="18" t="s">
        <v>133</v>
      </c>
      <c r="T2214" s="18" t="s">
        <v>9348</v>
      </c>
      <c r="U2214" s="18"/>
      <c r="V2214" s="19" t="s">
        <v>29</v>
      </c>
      <c r="W2214" s="19"/>
      <c r="X2214" s="19"/>
      <c r="Y2214" s="20"/>
      <c r="Z2214" s="19"/>
      <c r="AA2214" s="18" t="str">
        <f aca="false">IF(OR(V2214="Aprobada"),R2214,IF(AND(OR(V2214="Aprobada con ajuste",V2214="Rechazada"),W2214&lt;&gt;""),W2214,""))</f>
        <v/>
      </c>
    </row>
    <row r="2215" customFormat="false" ht="53.7" hidden="false" customHeight="false" outlineLevel="0" collapsed="false">
      <c r="A2215" s="18" t="s">
        <v>9349</v>
      </c>
      <c r="B2215" s="18" t="s">
        <v>66</v>
      </c>
      <c r="C2215" s="18" t="s">
        <v>67</v>
      </c>
      <c r="D2215" s="18" t="s">
        <v>9291</v>
      </c>
      <c r="E2215" s="18" t="n">
        <v>7</v>
      </c>
      <c r="F2215" s="18" t="s">
        <v>9350</v>
      </c>
      <c r="G2215" s="18" t="s">
        <v>173</v>
      </c>
      <c r="H2215" s="18" t="s">
        <v>162</v>
      </c>
      <c r="I2215" s="18"/>
      <c r="J2215" s="18"/>
      <c r="K2215" s="18"/>
      <c r="L2215" s="18" t="s">
        <v>129</v>
      </c>
      <c r="M2215" s="18" t="s">
        <v>129</v>
      </c>
      <c r="N2215" s="18"/>
      <c r="O2215" s="18"/>
      <c r="P2215" s="18" t="s">
        <v>9351</v>
      </c>
      <c r="Q2215" s="18" t="s">
        <v>131</v>
      </c>
      <c r="R2215" s="18" t="s">
        <v>9352</v>
      </c>
      <c r="S2215" s="18" t="s">
        <v>133</v>
      </c>
      <c r="T2215" s="18" t="s">
        <v>9353</v>
      </c>
      <c r="U2215" s="18"/>
      <c r="V2215" s="19" t="s">
        <v>29</v>
      </c>
      <c r="W2215" s="19"/>
      <c r="X2215" s="19"/>
      <c r="Y2215" s="20"/>
      <c r="Z2215" s="19"/>
      <c r="AA2215" s="18" t="str">
        <f aca="false">IF(OR(V2215="Aprobada"),R2215,IF(AND(OR(V2215="Aprobada con ajuste",V2215="Rechazada"),W2215&lt;&gt;""),W2215,""))</f>
        <v/>
      </c>
    </row>
    <row r="2216" customFormat="false" ht="32.8" hidden="false" customHeight="false" outlineLevel="0" collapsed="false">
      <c r="A2216" s="18" t="s">
        <v>9354</v>
      </c>
      <c r="B2216" s="18" t="s">
        <v>66</v>
      </c>
      <c r="C2216" s="18" t="s">
        <v>67</v>
      </c>
      <c r="D2216" s="18" t="s">
        <v>9355</v>
      </c>
      <c r="E2216" s="18" t="n">
        <v>0</v>
      </c>
      <c r="F2216" s="18" t="s">
        <v>9356</v>
      </c>
      <c r="G2216" s="18" t="s">
        <v>503</v>
      </c>
      <c r="H2216" s="18" t="s">
        <v>129</v>
      </c>
      <c r="I2216" s="18"/>
      <c r="J2216" s="18"/>
      <c r="K2216" s="18"/>
      <c r="L2216" s="18" t="s">
        <v>129</v>
      </c>
      <c r="M2216" s="18" t="s">
        <v>129</v>
      </c>
      <c r="N2216" s="18"/>
      <c r="O2216" s="18" t="s">
        <v>9357</v>
      </c>
      <c r="P2216" s="18"/>
      <c r="Q2216" s="18" t="s">
        <v>149</v>
      </c>
      <c r="R2216" s="18" t="s">
        <v>9358</v>
      </c>
      <c r="S2216" s="18" t="s">
        <v>133</v>
      </c>
      <c r="T2216" s="18" t="s">
        <v>9359</v>
      </c>
      <c r="U2216" s="18"/>
      <c r="V2216" s="19" t="s">
        <v>29</v>
      </c>
      <c r="W2216" s="19"/>
      <c r="X2216" s="19"/>
      <c r="Y2216" s="20"/>
      <c r="Z2216" s="19"/>
      <c r="AA2216" s="18" t="str">
        <f aca="false">IF(OR(V2216="Aprobada"),R2216,IF(AND(OR(V2216="Aprobada con ajuste",V2216="Rechazada"),W2216&lt;&gt;""),W2216,""))</f>
        <v/>
      </c>
    </row>
    <row r="2217" customFormat="false" ht="22.35" hidden="false" customHeight="false" outlineLevel="0" collapsed="false">
      <c r="A2217" s="18" t="s">
        <v>9360</v>
      </c>
      <c r="B2217" s="18" t="s">
        <v>66</v>
      </c>
      <c r="C2217" s="18" t="s">
        <v>67</v>
      </c>
      <c r="D2217" s="18" t="s">
        <v>9355</v>
      </c>
      <c r="E2217" s="18" t="n">
        <v>0</v>
      </c>
      <c r="F2217" s="18" t="s">
        <v>9361</v>
      </c>
      <c r="G2217" s="18" t="s">
        <v>137</v>
      </c>
      <c r="H2217" s="18" t="s">
        <v>129</v>
      </c>
      <c r="I2217" s="18"/>
      <c r="J2217" s="18"/>
      <c r="K2217" s="18"/>
      <c r="L2217" s="18" t="s">
        <v>129</v>
      </c>
      <c r="M2217" s="18" t="s">
        <v>129</v>
      </c>
      <c r="N2217" s="18"/>
      <c r="O2217" s="18"/>
      <c r="P2217" s="18"/>
      <c r="Q2217" s="18" t="s">
        <v>138</v>
      </c>
      <c r="R2217" s="18" t="s">
        <v>9362</v>
      </c>
      <c r="S2217" s="18" t="s">
        <v>140</v>
      </c>
      <c r="T2217" s="18" t="s">
        <v>141</v>
      </c>
      <c r="U2217" s="18"/>
      <c r="V2217" s="19" t="s">
        <v>29</v>
      </c>
      <c r="W2217" s="19"/>
      <c r="X2217" s="19"/>
      <c r="Y2217" s="20"/>
      <c r="Z2217" s="19"/>
      <c r="AA2217" s="18" t="str">
        <f aca="false">IF(OR(V2217="Aprobada"),R2217,IF(AND(OR(V2217="Aprobada con ajuste",V2217="Rechazada"),W2217&lt;&gt;""),W2217,""))</f>
        <v/>
      </c>
    </row>
    <row r="2218" customFormat="false" ht="22.35" hidden="false" customHeight="false" outlineLevel="0" collapsed="false">
      <c r="A2218" s="18" t="s">
        <v>9363</v>
      </c>
      <c r="B2218" s="18" t="s">
        <v>66</v>
      </c>
      <c r="C2218" s="18" t="s">
        <v>67</v>
      </c>
      <c r="D2218" s="18" t="s">
        <v>9355</v>
      </c>
      <c r="E2218" s="18" t="n">
        <v>0</v>
      </c>
      <c r="F2218" s="18" t="s">
        <v>9364</v>
      </c>
      <c r="G2218" s="18" t="s">
        <v>180</v>
      </c>
      <c r="H2218" s="18" t="s">
        <v>129</v>
      </c>
      <c r="I2218" s="18"/>
      <c r="J2218" s="18"/>
      <c r="K2218" s="18"/>
      <c r="L2218" s="18" t="s">
        <v>129</v>
      </c>
      <c r="M2218" s="18" t="s">
        <v>129</v>
      </c>
      <c r="N2218" s="18"/>
      <c r="O2218" s="18"/>
      <c r="P2218" s="18"/>
      <c r="Q2218" s="18" t="s">
        <v>149</v>
      </c>
      <c r="R2218" s="18" t="s">
        <v>9365</v>
      </c>
      <c r="S2218" s="18" t="s">
        <v>140</v>
      </c>
      <c r="T2218" s="18" t="s">
        <v>183</v>
      </c>
      <c r="U2218" s="18" t="s">
        <v>9167</v>
      </c>
      <c r="V2218" s="19" t="s">
        <v>29</v>
      </c>
      <c r="W2218" s="19"/>
      <c r="X2218" s="19"/>
      <c r="Y2218" s="20"/>
      <c r="Z2218" s="19"/>
      <c r="AA2218" s="18" t="str">
        <f aca="false">IF(OR(V2218="Aprobada"),R2218,IF(AND(OR(V2218="Aprobada con ajuste",V2218="Rechazada"),W2218&lt;&gt;""),W2218,""))</f>
        <v/>
      </c>
    </row>
    <row r="2219" customFormat="false" ht="22.35" hidden="false" customHeight="false" outlineLevel="0" collapsed="false">
      <c r="A2219" s="18" t="s">
        <v>9366</v>
      </c>
      <c r="B2219" s="18" t="s">
        <v>66</v>
      </c>
      <c r="C2219" s="18" t="s">
        <v>67</v>
      </c>
      <c r="D2219" s="18" t="s">
        <v>9355</v>
      </c>
      <c r="E2219" s="18" t="n">
        <v>0</v>
      </c>
      <c r="F2219" s="18" t="s">
        <v>886</v>
      </c>
      <c r="G2219" s="18" t="s">
        <v>128</v>
      </c>
      <c r="H2219" s="18" t="s">
        <v>162</v>
      </c>
      <c r="I2219" s="18"/>
      <c r="J2219" s="18"/>
      <c r="K2219" s="18"/>
      <c r="L2219" s="18" t="s">
        <v>129</v>
      </c>
      <c r="M2219" s="18" t="s">
        <v>129</v>
      </c>
      <c r="N2219" s="18"/>
      <c r="O2219" s="18"/>
      <c r="P2219" s="18"/>
      <c r="Q2219" s="18" t="s">
        <v>138</v>
      </c>
      <c r="R2219" s="18" t="s">
        <v>1693</v>
      </c>
      <c r="S2219" s="18" t="s">
        <v>140</v>
      </c>
      <c r="T2219" s="18" t="s">
        <v>141</v>
      </c>
      <c r="U2219" s="18"/>
      <c r="V2219" s="19" t="s">
        <v>29</v>
      </c>
      <c r="W2219" s="19"/>
      <c r="X2219" s="19"/>
      <c r="Y2219" s="20"/>
      <c r="Z2219" s="19"/>
      <c r="AA2219" s="18" t="str">
        <f aca="false">IF(OR(V2219="Aprobada"),R2219,IF(AND(OR(V2219="Aprobada con ajuste",V2219="Rechazada"),W2219&lt;&gt;""),W2219,""))</f>
        <v/>
      </c>
    </row>
    <row r="2220" customFormat="false" ht="22.35" hidden="false" customHeight="false" outlineLevel="0" collapsed="false">
      <c r="A2220" s="18" t="s">
        <v>9367</v>
      </c>
      <c r="B2220" s="18" t="s">
        <v>66</v>
      </c>
      <c r="C2220" s="18" t="s">
        <v>67</v>
      </c>
      <c r="D2220" s="18" t="s">
        <v>9355</v>
      </c>
      <c r="E2220" s="18" t="n">
        <v>0</v>
      </c>
      <c r="F2220" s="18" t="s">
        <v>8389</v>
      </c>
      <c r="G2220" s="18" t="s">
        <v>503</v>
      </c>
      <c r="H2220" s="18" t="s">
        <v>162</v>
      </c>
      <c r="I2220" s="18" t="s">
        <v>298</v>
      </c>
      <c r="J2220" s="18"/>
      <c r="K2220" s="18"/>
      <c r="L2220" s="18" t="s">
        <v>129</v>
      </c>
      <c r="M2220" s="18" t="s">
        <v>129</v>
      </c>
      <c r="N2220" s="18"/>
      <c r="O2220" s="18"/>
      <c r="P2220" s="18"/>
      <c r="Q2220" s="18" t="s">
        <v>149</v>
      </c>
      <c r="R2220" s="18" t="s">
        <v>9368</v>
      </c>
      <c r="S2220" s="18" t="s">
        <v>140</v>
      </c>
      <c r="T2220" s="18" t="s">
        <v>183</v>
      </c>
      <c r="U2220" s="18" t="s">
        <v>9369</v>
      </c>
      <c r="V2220" s="19" t="s">
        <v>29</v>
      </c>
      <c r="W2220" s="19"/>
      <c r="X2220" s="19"/>
      <c r="Y2220" s="20"/>
      <c r="Z2220" s="19"/>
      <c r="AA2220" s="18" t="str">
        <f aca="false">IF(OR(V2220="Aprobada"),R2220,IF(AND(OR(V2220="Aprobada con ajuste",V2220="Rechazada"),W2220&lt;&gt;""),W2220,""))</f>
        <v/>
      </c>
    </row>
    <row r="2221" customFormat="false" ht="22.35" hidden="false" customHeight="false" outlineLevel="0" collapsed="false">
      <c r="A2221" s="18" t="s">
        <v>9370</v>
      </c>
      <c r="B2221" s="18" t="s">
        <v>66</v>
      </c>
      <c r="C2221" s="18" t="s">
        <v>67</v>
      </c>
      <c r="D2221" s="18" t="s">
        <v>9355</v>
      </c>
      <c r="E2221" s="18" t="n">
        <v>0</v>
      </c>
      <c r="F2221" s="18" t="s">
        <v>9371</v>
      </c>
      <c r="G2221" s="18" t="s">
        <v>503</v>
      </c>
      <c r="H2221" s="18" t="s">
        <v>162</v>
      </c>
      <c r="I2221" s="18" t="s">
        <v>298</v>
      </c>
      <c r="J2221" s="18"/>
      <c r="K2221" s="18"/>
      <c r="L2221" s="18" t="s">
        <v>129</v>
      </c>
      <c r="M2221" s="18" t="s">
        <v>129</v>
      </c>
      <c r="N2221" s="18"/>
      <c r="O2221" s="18"/>
      <c r="P2221" s="18"/>
      <c r="Q2221" s="18" t="s">
        <v>149</v>
      </c>
      <c r="R2221" s="18" t="s">
        <v>9372</v>
      </c>
      <c r="S2221" s="18" t="s">
        <v>140</v>
      </c>
      <c r="T2221" s="18" t="s">
        <v>183</v>
      </c>
      <c r="U2221" s="18" t="s">
        <v>9369</v>
      </c>
      <c r="V2221" s="19" t="s">
        <v>29</v>
      </c>
      <c r="W2221" s="19"/>
      <c r="X2221" s="19"/>
      <c r="Y2221" s="20"/>
      <c r="Z2221" s="19"/>
      <c r="AA2221" s="18" t="str">
        <f aca="false">IF(OR(V2221="Aprobada"),R2221,IF(AND(OR(V2221="Aprobada con ajuste",V2221="Rechazada"),W2221&lt;&gt;""),W2221,""))</f>
        <v/>
      </c>
    </row>
    <row r="2222" customFormat="false" ht="22.35" hidden="false" customHeight="false" outlineLevel="0" collapsed="false">
      <c r="A2222" s="18" t="s">
        <v>9373</v>
      </c>
      <c r="B2222" s="18" t="s">
        <v>66</v>
      </c>
      <c r="C2222" s="18" t="s">
        <v>67</v>
      </c>
      <c r="D2222" s="18" t="s">
        <v>9355</v>
      </c>
      <c r="E2222" s="18" t="n">
        <v>0</v>
      </c>
      <c r="F2222" s="18" t="s">
        <v>9097</v>
      </c>
      <c r="G2222" s="18" t="s">
        <v>503</v>
      </c>
      <c r="H2222" s="18" t="s">
        <v>162</v>
      </c>
      <c r="I2222" s="18"/>
      <c r="J2222" s="18"/>
      <c r="K2222" s="18"/>
      <c r="L2222" s="18" t="s">
        <v>129</v>
      </c>
      <c r="M2222" s="18" t="s">
        <v>129</v>
      </c>
      <c r="N2222" s="18"/>
      <c r="O2222" s="18"/>
      <c r="P2222" s="18"/>
      <c r="Q2222" s="18" t="s">
        <v>149</v>
      </c>
      <c r="R2222" s="18" t="s">
        <v>9374</v>
      </c>
      <c r="S2222" s="18" t="s">
        <v>133</v>
      </c>
      <c r="T2222" s="18" t="s">
        <v>183</v>
      </c>
      <c r="U2222" s="18"/>
      <c r="V2222" s="19" t="s">
        <v>29</v>
      </c>
      <c r="W2222" s="19"/>
      <c r="X2222" s="19"/>
      <c r="Y2222" s="20"/>
      <c r="Z2222" s="19"/>
      <c r="AA2222" s="18" t="str">
        <f aca="false">IF(OR(V2222="Aprobada"),R2222,IF(AND(OR(V2222="Aprobada con ajuste",V2222="Rechazada"),W2222&lt;&gt;""),W2222,""))</f>
        <v/>
      </c>
    </row>
    <row r="2223" customFormat="false" ht="22.35" hidden="false" customHeight="false" outlineLevel="0" collapsed="false">
      <c r="A2223" s="18" t="s">
        <v>9375</v>
      </c>
      <c r="B2223" s="18" t="s">
        <v>66</v>
      </c>
      <c r="C2223" s="18" t="s">
        <v>67</v>
      </c>
      <c r="D2223" s="18" t="s">
        <v>9355</v>
      </c>
      <c r="E2223" s="18" t="n">
        <v>0</v>
      </c>
      <c r="F2223" s="18" t="s">
        <v>9376</v>
      </c>
      <c r="G2223" s="18" t="s">
        <v>503</v>
      </c>
      <c r="H2223" s="18" t="s">
        <v>162</v>
      </c>
      <c r="I2223" s="18"/>
      <c r="J2223" s="18"/>
      <c r="K2223" s="18"/>
      <c r="L2223" s="18" t="s">
        <v>129</v>
      </c>
      <c r="M2223" s="18" t="s">
        <v>129</v>
      </c>
      <c r="N2223" s="18"/>
      <c r="O2223" s="18"/>
      <c r="P2223" s="18"/>
      <c r="Q2223" s="18" t="s">
        <v>149</v>
      </c>
      <c r="R2223" s="18" t="s">
        <v>9377</v>
      </c>
      <c r="S2223" s="18" t="s">
        <v>133</v>
      </c>
      <c r="T2223" s="18" t="s">
        <v>183</v>
      </c>
      <c r="U2223" s="18"/>
      <c r="V2223" s="19" t="s">
        <v>29</v>
      </c>
      <c r="W2223" s="19"/>
      <c r="X2223" s="19"/>
      <c r="Y2223" s="20"/>
      <c r="Z2223" s="19"/>
      <c r="AA2223" s="18" t="str">
        <f aca="false">IF(OR(V2223="Aprobada"),R2223,IF(AND(OR(V2223="Aprobada con ajuste",V2223="Rechazada"),W2223&lt;&gt;""),W2223,""))</f>
        <v/>
      </c>
    </row>
    <row r="2224" customFormat="false" ht="43.25" hidden="false" customHeight="false" outlineLevel="0" collapsed="false">
      <c r="A2224" s="18" t="s">
        <v>9378</v>
      </c>
      <c r="B2224" s="18" t="s">
        <v>66</v>
      </c>
      <c r="C2224" s="18" t="s">
        <v>67</v>
      </c>
      <c r="D2224" s="18" t="s">
        <v>9379</v>
      </c>
      <c r="E2224" s="18" t="n">
        <v>0</v>
      </c>
      <c r="F2224" s="18" t="s">
        <v>7399</v>
      </c>
      <c r="G2224" s="18" t="s">
        <v>503</v>
      </c>
      <c r="H2224" s="18" t="s">
        <v>129</v>
      </c>
      <c r="I2224" s="18" t="s">
        <v>298</v>
      </c>
      <c r="J2224" s="18"/>
      <c r="K2224" s="18"/>
      <c r="L2224" s="18" t="s">
        <v>129</v>
      </c>
      <c r="M2224" s="18" t="s">
        <v>129</v>
      </c>
      <c r="N2224" s="18"/>
      <c r="O2224" s="18" t="s">
        <v>9380</v>
      </c>
      <c r="P2224" s="18" t="s">
        <v>9381</v>
      </c>
      <c r="Q2224" s="18" t="s">
        <v>149</v>
      </c>
      <c r="R2224" s="18" t="s">
        <v>9382</v>
      </c>
      <c r="S2224" s="18" t="s">
        <v>133</v>
      </c>
      <c r="T2224" s="18" t="s">
        <v>9383</v>
      </c>
      <c r="U2224" s="18"/>
      <c r="V2224" s="19" t="s">
        <v>29</v>
      </c>
      <c r="W2224" s="19"/>
      <c r="X2224" s="19"/>
      <c r="Y2224" s="20"/>
      <c r="Z2224" s="19"/>
      <c r="AA2224" s="18" t="str">
        <f aca="false">IF(OR(V2224="Aprobada"),R2224,IF(AND(OR(V2224="Aprobada con ajuste",V2224="Rechazada"),W2224&lt;&gt;""),W2224,""))</f>
        <v/>
      </c>
    </row>
    <row r="2225" customFormat="false" ht="43.25" hidden="false" customHeight="false" outlineLevel="0" collapsed="false">
      <c r="A2225" s="18" t="s">
        <v>9384</v>
      </c>
      <c r="B2225" s="18" t="s">
        <v>66</v>
      </c>
      <c r="C2225" s="18" t="s">
        <v>67</v>
      </c>
      <c r="D2225" s="18" t="s">
        <v>9379</v>
      </c>
      <c r="E2225" s="18" t="n">
        <v>0</v>
      </c>
      <c r="F2225" s="18" t="s">
        <v>8671</v>
      </c>
      <c r="G2225" s="18" t="s">
        <v>503</v>
      </c>
      <c r="H2225" s="18" t="s">
        <v>129</v>
      </c>
      <c r="I2225" s="18"/>
      <c r="J2225" s="18"/>
      <c r="K2225" s="18"/>
      <c r="L2225" s="18" t="s">
        <v>129</v>
      </c>
      <c r="M2225" s="18" t="s">
        <v>129</v>
      </c>
      <c r="N2225" s="18"/>
      <c r="O2225" s="18" t="s">
        <v>9380</v>
      </c>
      <c r="P2225" s="18" t="s">
        <v>9385</v>
      </c>
      <c r="Q2225" s="18" t="s">
        <v>149</v>
      </c>
      <c r="R2225" s="18" t="s">
        <v>9386</v>
      </c>
      <c r="S2225" s="18" t="s">
        <v>133</v>
      </c>
      <c r="T2225" s="18" t="s">
        <v>9387</v>
      </c>
      <c r="U2225" s="18"/>
      <c r="V2225" s="19" t="s">
        <v>29</v>
      </c>
      <c r="W2225" s="19"/>
      <c r="X2225" s="19"/>
      <c r="Y2225" s="20"/>
      <c r="Z2225" s="19"/>
      <c r="AA2225" s="18" t="str">
        <f aca="false">IF(OR(V2225="Aprobada"),R2225,IF(AND(OR(V2225="Aprobada con ajuste",V2225="Rechazada"),W2225&lt;&gt;""),W2225,""))</f>
        <v/>
      </c>
    </row>
    <row r="2226" customFormat="false" ht="43.25" hidden="false" customHeight="false" outlineLevel="0" collapsed="false">
      <c r="A2226" s="18" t="s">
        <v>9388</v>
      </c>
      <c r="B2226" s="18" t="s">
        <v>66</v>
      </c>
      <c r="C2226" s="18" t="s">
        <v>67</v>
      </c>
      <c r="D2226" s="18" t="s">
        <v>9379</v>
      </c>
      <c r="E2226" s="18" t="n">
        <v>0</v>
      </c>
      <c r="F2226" s="18" t="s">
        <v>2414</v>
      </c>
      <c r="G2226" s="18" t="s">
        <v>137</v>
      </c>
      <c r="H2226" s="18" t="s">
        <v>129</v>
      </c>
      <c r="I2226" s="18"/>
      <c r="J2226" s="18"/>
      <c r="K2226" s="18"/>
      <c r="L2226" s="18" t="s">
        <v>129</v>
      </c>
      <c r="M2226" s="18" t="s">
        <v>129</v>
      </c>
      <c r="N2226" s="18"/>
      <c r="O2226" s="18"/>
      <c r="P2226" s="18" t="s">
        <v>9389</v>
      </c>
      <c r="Q2226" s="18" t="s">
        <v>138</v>
      </c>
      <c r="R2226" s="18" t="s">
        <v>2416</v>
      </c>
      <c r="S2226" s="18" t="s">
        <v>140</v>
      </c>
      <c r="T2226" s="18" t="s">
        <v>141</v>
      </c>
      <c r="U2226" s="18"/>
      <c r="V2226" s="19" t="s">
        <v>29</v>
      </c>
      <c r="W2226" s="19"/>
      <c r="X2226" s="19"/>
      <c r="Y2226" s="20"/>
      <c r="Z2226" s="19"/>
      <c r="AA2226" s="18" t="str">
        <f aca="false">IF(OR(V2226="Aprobada"),R2226,IF(AND(OR(V2226="Aprobada con ajuste",V2226="Rechazada"),W2226&lt;&gt;""),W2226,""))</f>
        <v/>
      </c>
    </row>
    <row r="2227" customFormat="false" ht="43.25" hidden="false" customHeight="false" outlineLevel="0" collapsed="false">
      <c r="A2227" s="18" t="s">
        <v>9390</v>
      </c>
      <c r="B2227" s="18" t="s">
        <v>66</v>
      </c>
      <c r="C2227" s="18" t="s">
        <v>67</v>
      </c>
      <c r="D2227" s="18" t="s">
        <v>9379</v>
      </c>
      <c r="E2227" s="18" t="n">
        <v>0</v>
      </c>
      <c r="F2227" s="18" t="s">
        <v>2418</v>
      </c>
      <c r="G2227" s="18" t="s">
        <v>137</v>
      </c>
      <c r="H2227" s="18" t="s">
        <v>129</v>
      </c>
      <c r="I2227" s="18"/>
      <c r="J2227" s="18"/>
      <c r="K2227" s="18"/>
      <c r="L2227" s="18" t="s">
        <v>129</v>
      </c>
      <c r="M2227" s="18" t="s">
        <v>129</v>
      </c>
      <c r="N2227" s="18"/>
      <c r="O2227" s="18"/>
      <c r="P2227" s="18" t="s">
        <v>9391</v>
      </c>
      <c r="Q2227" s="18" t="s">
        <v>138</v>
      </c>
      <c r="R2227" s="18" t="s">
        <v>2420</v>
      </c>
      <c r="S2227" s="18" t="s">
        <v>140</v>
      </c>
      <c r="T2227" s="18" t="s">
        <v>141</v>
      </c>
      <c r="U2227" s="18"/>
      <c r="V2227" s="19" t="s">
        <v>29</v>
      </c>
      <c r="W2227" s="19"/>
      <c r="X2227" s="19"/>
      <c r="Y2227" s="20"/>
      <c r="Z2227" s="19"/>
      <c r="AA2227" s="18" t="str">
        <f aca="false">IF(OR(V2227="Aprobada"),R2227,IF(AND(OR(V2227="Aprobada con ajuste",V2227="Rechazada"),W2227&lt;&gt;""),W2227,""))</f>
        <v/>
      </c>
    </row>
    <row r="2228" customFormat="false" ht="43.25" hidden="false" customHeight="false" outlineLevel="0" collapsed="false">
      <c r="A2228" s="18" t="s">
        <v>9392</v>
      </c>
      <c r="B2228" s="18" t="s">
        <v>66</v>
      </c>
      <c r="C2228" s="18" t="s">
        <v>67</v>
      </c>
      <c r="D2228" s="18" t="s">
        <v>9379</v>
      </c>
      <c r="E2228" s="18" t="n">
        <v>0</v>
      </c>
      <c r="F2228" s="18" t="s">
        <v>9361</v>
      </c>
      <c r="G2228" s="18" t="s">
        <v>137</v>
      </c>
      <c r="H2228" s="18" t="s">
        <v>162</v>
      </c>
      <c r="I2228" s="18"/>
      <c r="J2228" s="18"/>
      <c r="K2228" s="18"/>
      <c r="L2228" s="18" t="s">
        <v>129</v>
      </c>
      <c r="M2228" s="18" t="s">
        <v>129</v>
      </c>
      <c r="N2228" s="18"/>
      <c r="O2228" s="18"/>
      <c r="P2228" s="18" t="s">
        <v>9393</v>
      </c>
      <c r="Q2228" s="18" t="s">
        <v>138</v>
      </c>
      <c r="R2228" s="18" t="s">
        <v>9362</v>
      </c>
      <c r="S2228" s="18" t="s">
        <v>140</v>
      </c>
      <c r="T2228" s="18" t="s">
        <v>141</v>
      </c>
      <c r="U2228" s="18"/>
      <c r="V2228" s="19" t="s">
        <v>29</v>
      </c>
      <c r="W2228" s="19"/>
      <c r="X2228" s="19"/>
      <c r="Y2228" s="20"/>
      <c r="Z2228" s="19"/>
      <c r="AA2228" s="18" t="str">
        <f aca="false">IF(OR(V2228="Aprobada"),R2228,IF(AND(OR(V2228="Aprobada con ajuste",V2228="Rechazada"),W2228&lt;&gt;""),W2228,""))</f>
        <v/>
      </c>
    </row>
    <row r="2229" customFormat="false" ht="43.25" hidden="false" customHeight="false" outlineLevel="0" collapsed="false">
      <c r="A2229" s="18" t="s">
        <v>9394</v>
      </c>
      <c r="B2229" s="18" t="s">
        <v>66</v>
      </c>
      <c r="C2229" s="18" t="s">
        <v>67</v>
      </c>
      <c r="D2229" s="18" t="s">
        <v>9379</v>
      </c>
      <c r="E2229" s="18" t="n">
        <v>0</v>
      </c>
      <c r="F2229" s="18" t="s">
        <v>8863</v>
      </c>
      <c r="G2229" s="18" t="s">
        <v>503</v>
      </c>
      <c r="H2229" s="18" t="s">
        <v>162</v>
      </c>
      <c r="I2229" s="18" t="s">
        <v>298</v>
      </c>
      <c r="J2229" s="18"/>
      <c r="K2229" s="18"/>
      <c r="L2229" s="18" t="s">
        <v>129</v>
      </c>
      <c r="M2229" s="18" t="s">
        <v>129</v>
      </c>
      <c r="N2229" s="18"/>
      <c r="O2229" s="18"/>
      <c r="P2229" s="18" t="s">
        <v>9395</v>
      </c>
      <c r="Q2229" s="18" t="s">
        <v>149</v>
      </c>
      <c r="R2229" s="18" t="s">
        <v>9396</v>
      </c>
      <c r="S2229" s="18" t="s">
        <v>133</v>
      </c>
      <c r="T2229" s="18" t="s">
        <v>9387</v>
      </c>
      <c r="U2229" s="18"/>
      <c r="V2229" s="19" t="s">
        <v>29</v>
      </c>
      <c r="W2229" s="19"/>
      <c r="X2229" s="19"/>
      <c r="Y2229" s="20"/>
      <c r="Z2229" s="19"/>
      <c r="AA2229" s="18" t="str">
        <f aca="false">IF(OR(V2229="Aprobada"),R2229,IF(AND(OR(V2229="Aprobada con ajuste",V2229="Rechazada"),W2229&lt;&gt;""),W2229,""))</f>
        <v/>
      </c>
    </row>
    <row r="2230" customFormat="false" ht="43.25" hidden="false" customHeight="false" outlineLevel="0" collapsed="false">
      <c r="A2230" s="18" t="s">
        <v>9397</v>
      </c>
      <c r="B2230" s="18" t="s">
        <v>66</v>
      </c>
      <c r="C2230" s="18" t="s">
        <v>67</v>
      </c>
      <c r="D2230" s="18" t="s">
        <v>9379</v>
      </c>
      <c r="E2230" s="18" t="n">
        <v>0</v>
      </c>
      <c r="F2230" s="18" t="s">
        <v>8697</v>
      </c>
      <c r="G2230" s="18" t="s">
        <v>503</v>
      </c>
      <c r="H2230" s="18" t="s">
        <v>162</v>
      </c>
      <c r="I2230" s="18" t="s">
        <v>298</v>
      </c>
      <c r="J2230" s="18"/>
      <c r="K2230" s="18"/>
      <c r="L2230" s="18" t="s">
        <v>129</v>
      </c>
      <c r="M2230" s="18" t="s">
        <v>129</v>
      </c>
      <c r="N2230" s="18"/>
      <c r="O2230" s="18"/>
      <c r="P2230" s="18" t="s">
        <v>9398</v>
      </c>
      <c r="Q2230" s="18" t="s">
        <v>149</v>
      </c>
      <c r="R2230" s="18" t="s">
        <v>9399</v>
      </c>
      <c r="S2230" s="18" t="s">
        <v>133</v>
      </c>
      <c r="T2230" s="18" t="s">
        <v>9387</v>
      </c>
      <c r="U2230" s="18"/>
      <c r="V2230" s="19" t="s">
        <v>29</v>
      </c>
      <c r="W2230" s="19"/>
      <c r="X2230" s="19"/>
      <c r="Y2230" s="20"/>
      <c r="Z2230" s="19"/>
      <c r="AA2230" s="18" t="str">
        <f aca="false">IF(OR(V2230="Aprobada"),R2230,IF(AND(OR(V2230="Aprobada con ajuste",V2230="Rechazada"),W2230&lt;&gt;""),W2230,""))</f>
        <v/>
      </c>
    </row>
    <row r="2231" customFormat="false" ht="43.25" hidden="false" customHeight="false" outlineLevel="0" collapsed="false">
      <c r="A2231" s="18" t="s">
        <v>9400</v>
      </c>
      <c r="B2231" s="18" t="s">
        <v>66</v>
      </c>
      <c r="C2231" s="18" t="s">
        <v>67</v>
      </c>
      <c r="D2231" s="18" t="s">
        <v>9379</v>
      </c>
      <c r="E2231" s="18" t="n">
        <v>0</v>
      </c>
      <c r="F2231" s="18" t="s">
        <v>8883</v>
      </c>
      <c r="G2231" s="18" t="s">
        <v>503</v>
      </c>
      <c r="H2231" s="18" t="s">
        <v>162</v>
      </c>
      <c r="I2231" s="18" t="s">
        <v>298</v>
      </c>
      <c r="J2231" s="18"/>
      <c r="K2231" s="18"/>
      <c r="L2231" s="18" t="s">
        <v>129</v>
      </c>
      <c r="M2231" s="18" t="s">
        <v>129</v>
      </c>
      <c r="N2231" s="18"/>
      <c r="O2231" s="18"/>
      <c r="P2231" s="18" t="s">
        <v>9401</v>
      </c>
      <c r="Q2231" s="18" t="s">
        <v>149</v>
      </c>
      <c r="R2231" s="18" t="s">
        <v>9402</v>
      </c>
      <c r="S2231" s="18" t="s">
        <v>133</v>
      </c>
      <c r="T2231" s="18" t="s">
        <v>9387</v>
      </c>
      <c r="U2231" s="18"/>
      <c r="V2231" s="19" t="s">
        <v>29</v>
      </c>
      <c r="W2231" s="19"/>
      <c r="X2231" s="19"/>
      <c r="Y2231" s="20"/>
      <c r="Z2231" s="19"/>
      <c r="AA2231" s="18" t="str">
        <f aca="false">IF(OR(V2231="Aprobada"),R2231,IF(AND(OR(V2231="Aprobada con ajuste",V2231="Rechazada"),W2231&lt;&gt;""),W2231,""))</f>
        <v/>
      </c>
    </row>
    <row r="2232" customFormat="false" ht="43.25" hidden="false" customHeight="false" outlineLevel="0" collapsed="false">
      <c r="A2232" s="18" t="s">
        <v>9403</v>
      </c>
      <c r="B2232" s="18" t="s">
        <v>66</v>
      </c>
      <c r="C2232" s="18" t="s">
        <v>67</v>
      </c>
      <c r="D2232" s="18" t="s">
        <v>9379</v>
      </c>
      <c r="E2232" s="18" t="n">
        <v>0</v>
      </c>
      <c r="F2232" s="18" t="s">
        <v>9404</v>
      </c>
      <c r="G2232" s="18" t="s">
        <v>503</v>
      </c>
      <c r="H2232" s="18" t="s">
        <v>162</v>
      </c>
      <c r="I2232" s="18"/>
      <c r="J2232" s="18"/>
      <c r="K2232" s="18"/>
      <c r="L2232" s="18" t="s">
        <v>129</v>
      </c>
      <c r="M2232" s="18" t="s">
        <v>129</v>
      </c>
      <c r="N2232" s="18"/>
      <c r="O2232" s="18"/>
      <c r="P2232" s="18" t="s">
        <v>9405</v>
      </c>
      <c r="Q2232" s="18" t="s">
        <v>149</v>
      </c>
      <c r="R2232" s="18" t="s">
        <v>9406</v>
      </c>
      <c r="S2232" s="18" t="s">
        <v>133</v>
      </c>
      <c r="T2232" s="18" t="s">
        <v>183</v>
      </c>
      <c r="U2232" s="18"/>
      <c r="V2232" s="19" t="s">
        <v>29</v>
      </c>
      <c r="W2232" s="19"/>
      <c r="X2232" s="19"/>
      <c r="Y2232" s="20"/>
      <c r="Z2232" s="19"/>
      <c r="AA2232" s="18" t="str">
        <f aca="false">IF(OR(V2232="Aprobada"),R2232,IF(AND(OR(V2232="Aprobada con ajuste",V2232="Rechazada"),W2232&lt;&gt;""),W2232,""))</f>
        <v/>
      </c>
    </row>
    <row r="2233" customFormat="false" ht="43.25" hidden="false" customHeight="false" outlineLevel="0" collapsed="false">
      <c r="A2233" s="18" t="s">
        <v>9407</v>
      </c>
      <c r="B2233" s="18" t="s">
        <v>66</v>
      </c>
      <c r="C2233" s="18" t="s">
        <v>67</v>
      </c>
      <c r="D2233" s="18" t="s">
        <v>9379</v>
      </c>
      <c r="E2233" s="18" t="n">
        <v>0</v>
      </c>
      <c r="F2233" s="18" t="s">
        <v>9376</v>
      </c>
      <c r="G2233" s="18" t="s">
        <v>503</v>
      </c>
      <c r="H2233" s="18" t="s">
        <v>162</v>
      </c>
      <c r="I2233" s="18"/>
      <c r="J2233" s="18"/>
      <c r="K2233" s="18"/>
      <c r="L2233" s="18" t="s">
        <v>129</v>
      </c>
      <c r="M2233" s="18" t="s">
        <v>129</v>
      </c>
      <c r="N2233" s="18"/>
      <c r="O2233" s="18"/>
      <c r="P2233" s="18" t="s">
        <v>9408</v>
      </c>
      <c r="Q2233" s="18" t="s">
        <v>149</v>
      </c>
      <c r="R2233" s="18" t="s">
        <v>9409</v>
      </c>
      <c r="S2233" s="18" t="s">
        <v>133</v>
      </c>
      <c r="T2233" s="18" t="s">
        <v>183</v>
      </c>
      <c r="U2233" s="18"/>
      <c r="V2233" s="19" t="s">
        <v>29</v>
      </c>
      <c r="W2233" s="19"/>
      <c r="X2233" s="19"/>
      <c r="Y2233" s="20"/>
      <c r="Z2233" s="19"/>
      <c r="AA2233" s="18" t="str">
        <f aca="false">IF(OR(V2233="Aprobada"),R2233,IF(AND(OR(V2233="Aprobada con ajuste",V2233="Rechazada"),W2233&lt;&gt;""),W2233,""))</f>
        <v/>
      </c>
    </row>
    <row r="2234" customFormat="false" ht="43.25" hidden="false" customHeight="false" outlineLevel="0" collapsed="false">
      <c r="A2234" s="18" t="s">
        <v>9410</v>
      </c>
      <c r="B2234" s="18" t="s">
        <v>66</v>
      </c>
      <c r="C2234" s="18" t="s">
        <v>67</v>
      </c>
      <c r="D2234" s="18" t="s">
        <v>9379</v>
      </c>
      <c r="E2234" s="18" t="n">
        <v>0</v>
      </c>
      <c r="F2234" s="18" t="s">
        <v>9411</v>
      </c>
      <c r="G2234" s="18" t="s">
        <v>128</v>
      </c>
      <c r="H2234" s="18" t="s">
        <v>162</v>
      </c>
      <c r="I2234" s="18"/>
      <c r="J2234" s="18"/>
      <c r="K2234" s="18"/>
      <c r="L2234" s="18" t="s">
        <v>129</v>
      </c>
      <c r="M2234" s="18" t="s">
        <v>129</v>
      </c>
      <c r="N2234" s="18"/>
      <c r="O2234" s="18"/>
      <c r="P2234" s="18" t="s">
        <v>9412</v>
      </c>
      <c r="Q2234" s="18" t="s">
        <v>149</v>
      </c>
      <c r="R2234" s="18" t="s">
        <v>9413</v>
      </c>
      <c r="S2234" s="18" t="s">
        <v>133</v>
      </c>
      <c r="T2234" s="18" t="s">
        <v>183</v>
      </c>
      <c r="U2234" s="18"/>
      <c r="V2234" s="19" t="s">
        <v>29</v>
      </c>
      <c r="W2234" s="19"/>
      <c r="X2234" s="19"/>
      <c r="Y2234" s="20"/>
      <c r="Z2234" s="19"/>
      <c r="AA2234" s="18" t="str">
        <f aca="false">IF(OR(V2234="Aprobada"),R2234,IF(AND(OR(V2234="Aprobada con ajuste",V2234="Rechazada"),W2234&lt;&gt;""),W2234,""))</f>
        <v/>
      </c>
    </row>
    <row r="2235" customFormat="false" ht="32.8" hidden="false" customHeight="false" outlineLevel="0" collapsed="false">
      <c r="A2235" s="18" t="s">
        <v>9414</v>
      </c>
      <c r="B2235" s="18" t="s">
        <v>66</v>
      </c>
      <c r="C2235" s="18" t="s">
        <v>67</v>
      </c>
      <c r="D2235" s="18" t="s">
        <v>9415</v>
      </c>
      <c r="E2235" s="18" t="n">
        <v>0</v>
      </c>
      <c r="F2235" s="18" t="s">
        <v>964</v>
      </c>
      <c r="G2235" s="18" t="s">
        <v>161</v>
      </c>
      <c r="H2235" s="18" t="s">
        <v>129</v>
      </c>
      <c r="I2235" s="18" t="s">
        <v>146</v>
      </c>
      <c r="J2235" s="18"/>
      <c r="K2235" s="18"/>
      <c r="L2235" s="18" t="s">
        <v>129</v>
      </c>
      <c r="M2235" s="18" t="s">
        <v>129</v>
      </c>
      <c r="N2235" s="18"/>
      <c r="O2235" s="18" t="s">
        <v>9416</v>
      </c>
      <c r="P2235" s="18"/>
      <c r="Q2235" s="18" t="s">
        <v>149</v>
      </c>
      <c r="R2235" s="18" t="s">
        <v>9417</v>
      </c>
      <c r="S2235" s="18" t="s">
        <v>133</v>
      </c>
      <c r="T2235" s="18" t="s">
        <v>3029</v>
      </c>
      <c r="U2235" s="18"/>
      <c r="V2235" s="19" t="s">
        <v>29</v>
      </c>
      <c r="W2235" s="19"/>
      <c r="X2235" s="19"/>
      <c r="Y2235" s="20"/>
      <c r="Z2235" s="19"/>
      <c r="AA2235" s="18" t="str">
        <f aca="false">IF(OR(V2235="Aprobada"),R2235,IF(AND(OR(V2235="Aprobada con ajuste",V2235="Rechazada"),W2235&lt;&gt;""),W2235,""))</f>
        <v/>
      </c>
    </row>
    <row r="2236" customFormat="false" ht="22.35" hidden="false" customHeight="false" outlineLevel="0" collapsed="false">
      <c r="A2236" s="18" t="s">
        <v>9418</v>
      </c>
      <c r="B2236" s="18" t="s">
        <v>66</v>
      </c>
      <c r="C2236" s="18" t="s">
        <v>67</v>
      </c>
      <c r="D2236" s="18" t="s">
        <v>9415</v>
      </c>
      <c r="E2236" s="18" t="n">
        <v>0</v>
      </c>
      <c r="F2236" s="18" t="s">
        <v>1049</v>
      </c>
      <c r="G2236" s="18" t="s">
        <v>8100</v>
      </c>
      <c r="H2236" s="18" t="s">
        <v>162</v>
      </c>
      <c r="I2236" s="18"/>
      <c r="J2236" s="18"/>
      <c r="K2236" s="18"/>
      <c r="L2236" s="18" t="s">
        <v>129</v>
      </c>
      <c r="M2236" s="18" t="s">
        <v>129</v>
      </c>
      <c r="N2236" s="18"/>
      <c r="O2236" s="18"/>
      <c r="P2236" s="18"/>
      <c r="Q2236" s="18" t="s">
        <v>149</v>
      </c>
      <c r="R2236" s="18" t="s">
        <v>9419</v>
      </c>
      <c r="S2236" s="18" t="s">
        <v>133</v>
      </c>
      <c r="T2236" s="18" t="s">
        <v>8504</v>
      </c>
      <c r="U2236" s="18"/>
      <c r="V2236" s="19" t="s">
        <v>29</v>
      </c>
      <c r="W2236" s="19"/>
      <c r="X2236" s="19"/>
      <c r="Y2236" s="20"/>
      <c r="Z2236" s="19"/>
      <c r="AA2236" s="18" t="str">
        <f aca="false">IF(OR(V2236="Aprobada"),R2236,IF(AND(OR(V2236="Aprobada con ajuste",V2236="Rechazada"),W2236&lt;&gt;""),W2236,""))</f>
        <v/>
      </c>
    </row>
    <row r="2237" customFormat="false" ht="22.35" hidden="false" customHeight="false" outlineLevel="0" collapsed="false">
      <c r="A2237" s="18" t="s">
        <v>9420</v>
      </c>
      <c r="B2237" s="18" t="s">
        <v>66</v>
      </c>
      <c r="C2237" s="18" t="s">
        <v>67</v>
      </c>
      <c r="D2237" s="18" t="s">
        <v>9415</v>
      </c>
      <c r="E2237" s="18" t="n">
        <v>0</v>
      </c>
      <c r="F2237" s="18" t="s">
        <v>1054</v>
      </c>
      <c r="G2237" s="18" t="s">
        <v>128</v>
      </c>
      <c r="H2237" s="18" t="s">
        <v>162</v>
      </c>
      <c r="I2237" s="18"/>
      <c r="J2237" s="18"/>
      <c r="K2237" s="18"/>
      <c r="L2237" s="18" t="s">
        <v>129</v>
      </c>
      <c r="M2237" s="18" t="s">
        <v>129</v>
      </c>
      <c r="N2237" s="18"/>
      <c r="O2237" s="18"/>
      <c r="P2237" s="18"/>
      <c r="Q2237" s="18" t="s">
        <v>138</v>
      </c>
      <c r="R2237" s="18" t="s">
        <v>1056</v>
      </c>
      <c r="S2237" s="18" t="s">
        <v>140</v>
      </c>
      <c r="T2237" s="18" t="s">
        <v>141</v>
      </c>
      <c r="U2237" s="18"/>
      <c r="V2237" s="19" t="s">
        <v>29</v>
      </c>
      <c r="W2237" s="19"/>
      <c r="X2237" s="19"/>
      <c r="Y2237" s="20"/>
      <c r="Z2237" s="19"/>
      <c r="AA2237" s="18" t="str">
        <f aca="false">IF(OR(V2237="Aprobada"),R2237,IF(AND(OR(V2237="Aprobada con ajuste",V2237="Rechazada"),W2237&lt;&gt;""),W2237,""))</f>
        <v/>
      </c>
    </row>
    <row r="2238" customFormat="false" ht="22.35" hidden="false" customHeight="false" outlineLevel="0" collapsed="false">
      <c r="A2238" s="18" t="s">
        <v>9421</v>
      </c>
      <c r="B2238" s="18" t="s">
        <v>66</v>
      </c>
      <c r="C2238" s="18" t="s">
        <v>67</v>
      </c>
      <c r="D2238" s="18" t="s">
        <v>9415</v>
      </c>
      <c r="E2238" s="18" t="n">
        <v>0</v>
      </c>
      <c r="F2238" s="18" t="s">
        <v>2414</v>
      </c>
      <c r="G2238" s="18" t="s">
        <v>317</v>
      </c>
      <c r="H2238" s="18" t="s">
        <v>162</v>
      </c>
      <c r="I2238" s="18"/>
      <c r="J2238" s="18"/>
      <c r="K2238" s="18"/>
      <c r="L2238" s="18" t="s">
        <v>129</v>
      </c>
      <c r="M2238" s="18" t="s">
        <v>129</v>
      </c>
      <c r="N2238" s="18"/>
      <c r="O2238" s="18"/>
      <c r="P2238" s="18"/>
      <c r="Q2238" s="18" t="s">
        <v>138</v>
      </c>
      <c r="R2238" s="18" t="s">
        <v>2416</v>
      </c>
      <c r="S2238" s="18" t="s">
        <v>140</v>
      </c>
      <c r="T2238" s="18" t="s">
        <v>141</v>
      </c>
      <c r="U2238" s="18"/>
      <c r="V2238" s="19" t="s">
        <v>29</v>
      </c>
      <c r="W2238" s="19"/>
      <c r="X2238" s="19"/>
      <c r="Y2238" s="20"/>
      <c r="Z2238" s="19"/>
      <c r="AA2238" s="18" t="str">
        <f aca="false">IF(OR(V2238="Aprobada"),R2238,IF(AND(OR(V2238="Aprobada con ajuste",V2238="Rechazada"),W2238&lt;&gt;""),W2238,""))</f>
        <v/>
      </c>
    </row>
    <row r="2239" customFormat="false" ht="22.35" hidden="false" customHeight="false" outlineLevel="0" collapsed="false">
      <c r="A2239" s="18" t="s">
        <v>9422</v>
      </c>
      <c r="B2239" s="18" t="s">
        <v>66</v>
      </c>
      <c r="C2239" s="18" t="s">
        <v>67</v>
      </c>
      <c r="D2239" s="18" t="s">
        <v>9415</v>
      </c>
      <c r="E2239" s="18" t="n">
        <v>0</v>
      </c>
      <c r="F2239" s="18" t="s">
        <v>1801</v>
      </c>
      <c r="G2239" s="18" t="s">
        <v>317</v>
      </c>
      <c r="H2239" s="18" t="s">
        <v>129</v>
      </c>
      <c r="I2239" s="18"/>
      <c r="J2239" s="18"/>
      <c r="K2239" s="18"/>
      <c r="L2239" s="18" t="s">
        <v>129</v>
      </c>
      <c r="M2239" s="18" t="s">
        <v>129</v>
      </c>
      <c r="N2239" s="18"/>
      <c r="O2239" s="18" t="s">
        <v>9423</v>
      </c>
      <c r="P2239" s="18"/>
      <c r="Q2239" s="18" t="s">
        <v>138</v>
      </c>
      <c r="R2239" s="18" t="s">
        <v>1803</v>
      </c>
      <c r="S2239" s="18" t="s">
        <v>140</v>
      </c>
      <c r="T2239" s="18" t="s">
        <v>141</v>
      </c>
      <c r="U2239" s="18"/>
      <c r="V2239" s="19" t="s">
        <v>29</v>
      </c>
      <c r="W2239" s="19"/>
      <c r="X2239" s="19"/>
      <c r="Y2239" s="20"/>
      <c r="Z2239" s="19"/>
      <c r="AA2239" s="18" t="str">
        <f aca="false">IF(OR(V2239="Aprobada"),R2239,IF(AND(OR(V2239="Aprobada con ajuste",V2239="Rechazada"),W2239&lt;&gt;""),W2239,""))</f>
        <v/>
      </c>
    </row>
    <row r="2240" customFormat="false" ht="22.35" hidden="false" customHeight="false" outlineLevel="0" collapsed="false">
      <c r="A2240" s="18" t="s">
        <v>9424</v>
      </c>
      <c r="B2240" s="18" t="s">
        <v>66</v>
      </c>
      <c r="C2240" s="18" t="s">
        <v>67</v>
      </c>
      <c r="D2240" s="18" t="s">
        <v>9415</v>
      </c>
      <c r="E2240" s="18" t="n">
        <v>0</v>
      </c>
      <c r="F2240" s="18" t="s">
        <v>1688</v>
      </c>
      <c r="G2240" s="18" t="s">
        <v>173</v>
      </c>
      <c r="H2240" s="18" t="s">
        <v>162</v>
      </c>
      <c r="I2240" s="18"/>
      <c r="J2240" s="18"/>
      <c r="K2240" s="18"/>
      <c r="L2240" s="18" t="s">
        <v>129</v>
      </c>
      <c r="M2240" s="18" t="s">
        <v>129</v>
      </c>
      <c r="N2240" s="18"/>
      <c r="O2240" s="18" t="s">
        <v>9425</v>
      </c>
      <c r="P2240" s="18"/>
      <c r="Q2240" s="18" t="s">
        <v>138</v>
      </c>
      <c r="R2240" s="18" t="s">
        <v>176</v>
      </c>
      <c r="S2240" s="18" t="s">
        <v>140</v>
      </c>
      <c r="T2240" s="18" t="s">
        <v>141</v>
      </c>
      <c r="U2240" s="18"/>
      <c r="V2240" s="19" t="s">
        <v>29</v>
      </c>
      <c r="W2240" s="19"/>
      <c r="X2240" s="19"/>
      <c r="Y2240" s="20"/>
      <c r="Z2240" s="19"/>
      <c r="AA2240" s="18" t="str">
        <f aca="false">IF(OR(V2240="Aprobada"),R2240,IF(AND(OR(V2240="Aprobada con ajuste",V2240="Rechazada"),W2240&lt;&gt;""),W2240,""))</f>
        <v/>
      </c>
    </row>
    <row r="2241" customFormat="false" ht="53.7" hidden="false" customHeight="false" outlineLevel="0" collapsed="false">
      <c r="A2241" s="18" t="s">
        <v>9426</v>
      </c>
      <c r="B2241" s="18" t="s">
        <v>66</v>
      </c>
      <c r="C2241" s="18" t="s">
        <v>67</v>
      </c>
      <c r="D2241" s="18" t="s">
        <v>9427</v>
      </c>
      <c r="E2241" s="18" t="n">
        <v>2</v>
      </c>
      <c r="F2241" s="18" t="s">
        <v>275</v>
      </c>
      <c r="G2241" s="18" t="s">
        <v>180</v>
      </c>
      <c r="H2241" s="18" t="s">
        <v>129</v>
      </c>
      <c r="I2241" s="18"/>
      <c r="J2241" s="18"/>
      <c r="K2241" s="18"/>
      <c r="L2241" s="18" t="s">
        <v>129</v>
      </c>
      <c r="M2241" s="18" t="s">
        <v>129</v>
      </c>
      <c r="N2241" s="18"/>
      <c r="O2241" s="18"/>
      <c r="P2241" s="18" t="s">
        <v>9428</v>
      </c>
      <c r="Q2241" s="18" t="s">
        <v>138</v>
      </c>
      <c r="R2241" s="18" t="s">
        <v>9429</v>
      </c>
      <c r="S2241" s="18" t="s">
        <v>140</v>
      </c>
      <c r="T2241" s="18" t="s">
        <v>141</v>
      </c>
      <c r="U2241" s="18"/>
      <c r="V2241" s="19" t="s">
        <v>29</v>
      </c>
      <c r="W2241" s="19"/>
      <c r="X2241" s="19"/>
      <c r="Y2241" s="20"/>
      <c r="Z2241" s="19"/>
      <c r="AA2241" s="18" t="str">
        <f aca="false">IF(OR(V2241="Aprobada"),R2241,IF(AND(OR(V2241="Aprobada con ajuste",V2241="Rechazada"),W2241&lt;&gt;""),W2241,""))</f>
        <v/>
      </c>
    </row>
    <row r="2242" customFormat="false" ht="43.25" hidden="false" customHeight="false" outlineLevel="0" collapsed="false">
      <c r="A2242" s="18" t="s">
        <v>9430</v>
      </c>
      <c r="B2242" s="18" t="s">
        <v>66</v>
      </c>
      <c r="C2242" s="18" t="s">
        <v>67</v>
      </c>
      <c r="D2242" s="18" t="s">
        <v>9427</v>
      </c>
      <c r="E2242" s="18" t="n">
        <v>2</v>
      </c>
      <c r="F2242" s="18" t="s">
        <v>160</v>
      </c>
      <c r="G2242" s="18" t="s">
        <v>128</v>
      </c>
      <c r="H2242" s="18" t="s">
        <v>162</v>
      </c>
      <c r="I2242" s="18"/>
      <c r="J2242" s="18"/>
      <c r="K2242" s="18"/>
      <c r="L2242" s="18" t="s">
        <v>129</v>
      </c>
      <c r="M2242" s="18" t="s">
        <v>129</v>
      </c>
      <c r="N2242" s="18"/>
      <c r="O2242" s="18"/>
      <c r="P2242" s="18" t="s">
        <v>9431</v>
      </c>
      <c r="Q2242" s="18" t="s">
        <v>138</v>
      </c>
      <c r="R2242" s="18" t="s">
        <v>9432</v>
      </c>
      <c r="S2242" s="18" t="s">
        <v>140</v>
      </c>
      <c r="T2242" s="18" t="s">
        <v>141</v>
      </c>
      <c r="U2242" s="18"/>
      <c r="V2242" s="19" t="s">
        <v>29</v>
      </c>
      <c r="W2242" s="19"/>
      <c r="X2242" s="19"/>
      <c r="Y2242" s="20"/>
      <c r="Z2242" s="19"/>
      <c r="AA2242" s="18" t="str">
        <f aca="false">IF(OR(V2242="Aprobada"),R2242,IF(AND(OR(V2242="Aprobada con ajuste",V2242="Rechazada"),W2242&lt;&gt;""),W2242,""))</f>
        <v/>
      </c>
    </row>
    <row r="2243" customFormat="false" ht="32.8" hidden="false" customHeight="false" outlineLevel="0" collapsed="false">
      <c r="A2243" s="18" t="s">
        <v>9433</v>
      </c>
      <c r="B2243" s="18" t="s">
        <v>66</v>
      </c>
      <c r="C2243" s="18" t="s">
        <v>67</v>
      </c>
      <c r="D2243" s="18" t="s">
        <v>9427</v>
      </c>
      <c r="E2243" s="18" t="n">
        <v>2</v>
      </c>
      <c r="F2243" s="18" t="s">
        <v>172</v>
      </c>
      <c r="G2243" s="18" t="s">
        <v>173</v>
      </c>
      <c r="H2243" s="18" t="s">
        <v>129</v>
      </c>
      <c r="I2243" s="18"/>
      <c r="J2243" s="18"/>
      <c r="K2243" s="18"/>
      <c r="L2243" s="18" t="s">
        <v>129</v>
      </c>
      <c r="M2243" s="18" t="s">
        <v>129</v>
      </c>
      <c r="N2243" s="18"/>
      <c r="O2243" s="18" t="s">
        <v>9434</v>
      </c>
      <c r="P2243" s="18" t="s">
        <v>9435</v>
      </c>
      <c r="Q2243" s="18" t="s">
        <v>138</v>
      </c>
      <c r="R2243" s="18" t="s">
        <v>176</v>
      </c>
      <c r="S2243" s="18" t="s">
        <v>140</v>
      </c>
      <c r="T2243" s="18" t="s">
        <v>141</v>
      </c>
      <c r="U2243" s="18"/>
      <c r="V2243" s="19" t="s">
        <v>29</v>
      </c>
      <c r="W2243" s="19"/>
      <c r="X2243" s="19"/>
      <c r="Y2243" s="20"/>
      <c r="Z2243" s="19"/>
      <c r="AA2243" s="18" t="str">
        <f aca="false">IF(OR(V2243="Aprobada"),R2243,IF(AND(OR(V2243="Aprobada con ajuste",V2243="Rechazada"),W2243&lt;&gt;""),W2243,""))</f>
        <v/>
      </c>
    </row>
    <row r="2244" customFormat="false" ht="32.8" hidden="false" customHeight="false" outlineLevel="0" collapsed="false">
      <c r="A2244" s="18" t="s">
        <v>9436</v>
      </c>
      <c r="B2244" s="18" t="s">
        <v>66</v>
      </c>
      <c r="C2244" s="18" t="s">
        <v>67</v>
      </c>
      <c r="D2244" s="18" t="s">
        <v>9427</v>
      </c>
      <c r="E2244" s="18" t="n">
        <v>2</v>
      </c>
      <c r="F2244" s="18" t="s">
        <v>1695</v>
      </c>
      <c r="G2244" s="18" t="s">
        <v>584</v>
      </c>
      <c r="H2244" s="18" t="s">
        <v>162</v>
      </c>
      <c r="I2244" s="18"/>
      <c r="J2244" s="18"/>
      <c r="K2244" s="18"/>
      <c r="L2244" s="18" t="s">
        <v>129</v>
      </c>
      <c r="M2244" s="18" t="s">
        <v>129</v>
      </c>
      <c r="N2244" s="18"/>
      <c r="O2244" s="18" t="s">
        <v>9437</v>
      </c>
      <c r="P2244" s="18" t="s">
        <v>9438</v>
      </c>
      <c r="Q2244" s="18" t="s">
        <v>138</v>
      </c>
      <c r="R2244" s="18" t="s">
        <v>1697</v>
      </c>
      <c r="S2244" s="18" t="s">
        <v>140</v>
      </c>
      <c r="T2244" s="18" t="s">
        <v>141</v>
      </c>
      <c r="U2244" s="18"/>
      <c r="V2244" s="19" t="s">
        <v>29</v>
      </c>
      <c r="W2244" s="19"/>
      <c r="X2244" s="19"/>
      <c r="Y2244" s="20"/>
      <c r="Z2244" s="19"/>
      <c r="AA2244" s="18" t="str">
        <f aca="false">IF(OR(V2244="Aprobada"),R2244,IF(AND(OR(V2244="Aprobada con ajuste",V2244="Rechazada"),W2244&lt;&gt;""),W2244,""))</f>
        <v/>
      </c>
    </row>
    <row r="2245" customFormat="false" ht="32.8" hidden="false" customHeight="false" outlineLevel="0" collapsed="false">
      <c r="A2245" s="18" t="s">
        <v>9439</v>
      </c>
      <c r="B2245" s="18" t="s">
        <v>66</v>
      </c>
      <c r="C2245" s="18" t="s">
        <v>67</v>
      </c>
      <c r="D2245" s="18" t="s">
        <v>9427</v>
      </c>
      <c r="E2245" s="18" t="n">
        <v>2</v>
      </c>
      <c r="F2245" s="18" t="s">
        <v>9440</v>
      </c>
      <c r="G2245" s="18" t="s">
        <v>192</v>
      </c>
      <c r="H2245" s="18" t="s">
        <v>162</v>
      </c>
      <c r="I2245" s="18"/>
      <c r="J2245" s="18"/>
      <c r="K2245" s="18"/>
      <c r="L2245" s="18" t="s">
        <v>129</v>
      </c>
      <c r="M2245" s="18" t="s">
        <v>129</v>
      </c>
      <c r="N2245" s="18"/>
      <c r="O2245" s="18"/>
      <c r="P2245" s="18" t="s">
        <v>9441</v>
      </c>
      <c r="Q2245" s="18" t="s">
        <v>149</v>
      </c>
      <c r="R2245" s="18" t="s">
        <v>9442</v>
      </c>
      <c r="S2245" s="18" t="s">
        <v>140</v>
      </c>
      <c r="T2245" s="18" t="s">
        <v>183</v>
      </c>
      <c r="U2245" s="18" t="s">
        <v>9443</v>
      </c>
      <c r="V2245" s="19" t="s">
        <v>29</v>
      </c>
      <c r="W2245" s="19"/>
      <c r="X2245" s="19"/>
      <c r="Y2245" s="20"/>
      <c r="Z2245" s="19"/>
      <c r="AA2245" s="18" t="str">
        <f aca="false">IF(OR(V2245="Aprobada"),R2245,IF(AND(OR(V2245="Aprobada con ajuste",V2245="Rechazada"),W2245&lt;&gt;""),W2245,""))</f>
        <v/>
      </c>
    </row>
    <row r="2246" customFormat="false" ht="43.25" hidden="false" customHeight="false" outlineLevel="0" collapsed="false">
      <c r="A2246" s="18" t="s">
        <v>9444</v>
      </c>
      <c r="B2246" s="18" t="s">
        <v>66</v>
      </c>
      <c r="C2246" s="18" t="s">
        <v>67</v>
      </c>
      <c r="D2246" s="18" t="s">
        <v>9445</v>
      </c>
      <c r="E2246" s="18" t="n">
        <v>0</v>
      </c>
      <c r="F2246" s="18" t="s">
        <v>4369</v>
      </c>
      <c r="G2246" s="18" t="s">
        <v>180</v>
      </c>
      <c r="H2246" s="18" t="s">
        <v>129</v>
      </c>
      <c r="I2246" s="18"/>
      <c r="J2246" s="18"/>
      <c r="K2246" s="18"/>
      <c r="L2246" s="18" t="s">
        <v>129</v>
      </c>
      <c r="M2246" s="18" t="s">
        <v>129</v>
      </c>
      <c r="N2246" s="18"/>
      <c r="O2246" s="18"/>
      <c r="P2246" s="18" t="s">
        <v>9446</v>
      </c>
      <c r="Q2246" s="18" t="s">
        <v>149</v>
      </c>
      <c r="R2246" s="18" t="s">
        <v>6324</v>
      </c>
      <c r="S2246" s="18" t="s">
        <v>133</v>
      </c>
      <c r="T2246" s="18" t="s">
        <v>183</v>
      </c>
      <c r="U2246" s="18"/>
      <c r="V2246" s="19" t="s">
        <v>29</v>
      </c>
      <c r="W2246" s="19"/>
      <c r="X2246" s="19"/>
      <c r="Y2246" s="20"/>
      <c r="Z2246" s="19"/>
      <c r="AA2246" s="18" t="str">
        <f aca="false">IF(OR(V2246="Aprobada"),R2246,IF(AND(OR(V2246="Aprobada con ajuste",V2246="Rechazada"),W2246&lt;&gt;""),W2246,""))</f>
        <v/>
      </c>
    </row>
    <row r="2247" customFormat="false" ht="43.25" hidden="false" customHeight="false" outlineLevel="0" collapsed="false">
      <c r="A2247" s="18" t="s">
        <v>9447</v>
      </c>
      <c r="B2247" s="18" t="s">
        <v>66</v>
      </c>
      <c r="C2247" s="18" t="s">
        <v>67</v>
      </c>
      <c r="D2247" s="18" t="s">
        <v>9445</v>
      </c>
      <c r="E2247" s="18" t="n">
        <v>0</v>
      </c>
      <c r="F2247" s="18" t="s">
        <v>160</v>
      </c>
      <c r="G2247" s="18" t="s">
        <v>128</v>
      </c>
      <c r="H2247" s="18" t="s">
        <v>162</v>
      </c>
      <c r="I2247" s="18"/>
      <c r="J2247" s="18"/>
      <c r="K2247" s="18"/>
      <c r="L2247" s="18" t="s">
        <v>129</v>
      </c>
      <c r="M2247" s="18" t="s">
        <v>129</v>
      </c>
      <c r="N2247" s="18"/>
      <c r="O2247" s="18"/>
      <c r="P2247" s="18" t="s">
        <v>9448</v>
      </c>
      <c r="Q2247" s="18" t="s">
        <v>138</v>
      </c>
      <c r="R2247" s="18" t="s">
        <v>9449</v>
      </c>
      <c r="S2247" s="18" t="s">
        <v>140</v>
      </c>
      <c r="T2247" s="18" t="s">
        <v>141</v>
      </c>
      <c r="U2247" s="18"/>
      <c r="V2247" s="19" t="s">
        <v>29</v>
      </c>
      <c r="W2247" s="19"/>
      <c r="X2247" s="19"/>
      <c r="Y2247" s="20"/>
      <c r="Z2247" s="19"/>
      <c r="AA2247" s="18" t="str">
        <f aca="false">IF(OR(V2247="Aprobada"),R2247,IF(AND(OR(V2247="Aprobada con ajuste",V2247="Rechazada"),W2247&lt;&gt;""),W2247,""))</f>
        <v/>
      </c>
    </row>
    <row r="2248" customFormat="false" ht="64.15" hidden="false" customHeight="false" outlineLevel="0" collapsed="false">
      <c r="A2248" s="18" t="s">
        <v>9450</v>
      </c>
      <c r="B2248" s="18" t="s">
        <v>66</v>
      </c>
      <c r="C2248" s="18" t="s">
        <v>67</v>
      </c>
      <c r="D2248" s="18" t="s">
        <v>9445</v>
      </c>
      <c r="E2248" s="18" t="n">
        <v>0</v>
      </c>
      <c r="F2248" s="18" t="s">
        <v>185</v>
      </c>
      <c r="G2248" s="18" t="s">
        <v>9451</v>
      </c>
      <c r="H2248" s="18" t="s">
        <v>129</v>
      </c>
      <c r="I2248" s="18" t="s">
        <v>5921</v>
      </c>
      <c r="J2248" s="18" t="s">
        <v>9452</v>
      </c>
      <c r="K2248" s="18"/>
      <c r="L2248" s="18" t="s">
        <v>162</v>
      </c>
      <c r="M2248" s="18" t="s">
        <v>129</v>
      </c>
      <c r="N2248" s="18"/>
      <c r="O2248" s="18" t="s">
        <v>9453</v>
      </c>
      <c r="P2248" s="18" t="s">
        <v>9454</v>
      </c>
      <c r="Q2248" s="18" t="s">
        <v>138</v>
      </c>
      <c r="R2248" s="18" t="s">
        <v>9455</v>
      </c>
      <c r="S2248" s="18" t="s">
        <v>140</v>
      </c>
      <c r="T2248" s="18" t="s">
        <v>141</v>
      </c>
      <c r="U2248" s="18"/>
      <c r="V2248" s="19" t="s">
        <v>29</v>
      </c>
      <c r="W2248" s="19"/>
      <c r="X2248" s="19"/>
      <c r="Y2248" s="20"/>
      <c r="Z2248" s="19"/>
      <c r="AA2248" s="18" t="str">
        <f aca="false">IF(OR(V2248="Aprobada"),R2248,IF(AND(OR(V2248="Aprobada con ajuste",V2248="Rechazada"),W2248&lt;&gt;""),W2248,""))</f>
        <v/>
      </c>
    </row>
    <row r="2249" customFormat="false" ht="64.15" hidden="false" customHeight="false" outlineLevel="0" collapsed="false">
      <c r="A2249" s="18" t="s">
        <v>9456</v>
      </c>
      <c r="B2249" s="18" t="s">
        <v>66</v>
      </c>
      <c r="C2249" s="18" t="s">
        <v>67</v>
      </c>
      <c r="D2249" s="18" t="s">
        <v>9445</v>
      </c>
      <c r="E2249" s="18" t="n">
        <v>0</v>
      </c>
      <c r="F2249" s="18" t="s">
        <v>4777</v>
      </c>
      <c r="G2249" s="18" t="s">
        <v>9457</v>
      </c>
      <c r="H2249" s="18" t="s">
        <v>129</v>
      </c>
      <c r="I2249" s="18" t="s">
        <v>5921</v>
      </c>
      <c r="J2249" s="18" t="s">
        <v>9458</v>
      </c>
      <c r="K2249" s="18"/>
      <c r="L2249" s="18" t="s">
        <v>162</v>
      </c>
      <c r="M2249" s="18" t="s">
        <v>129</v>
      </c>
      <c r="N2249" s="18"/>
      <c r="O2249" s="18" t="s">
        <v>9459</v>
      </c>
      <c r="P2249" s="18" t="s">
        <v>9460</v>
      </c>
      <c r="Q2249" s="18" t="s">
        <v>149</v>
      </c>
      <c r="R2249" s="18" t="s">
        <v>9461</v>
      </c>
      <c r="S2249" s="18" t="s">
        <v>133</v>
      </c>
      <c r="T2249" s="18" t="s">
        <v>9462</v>
      </c>
      <c r="U2249" s="18"/>
      <c r="V2249" s="19" t="s">
        <v>29</v>
      </c>
      <c r="W2249" s="19"/>
      <c r="X2249" s="19"/>
      <c r="Y2249" s="20"/>
      <c r="Z2249" s="19"/>
      <c r="AA2249" s="18" t="str">
        <f aca="false">IF(OR(V2249="Aprobada"),R2249,IF(AND(OR(V2249="Aprobada con ajuste",V2249="Rechazada"),W2249&lt;&gt;""),W2249,""))</f>
        <v/>
      </c>
    </row>
    <row r="2250" customFormat="false" ht="53.7" hidden="false" customHeight="false" outlineLevel="0" collapsed="false">
      <c r="A2250" s="18" t="s">
        <v>9463</v>
      </c>
      <c r="B2250" s="18" t="s">
        <v>66</v>
      </c>
      <c r="C2250" s="18" t="s">
        <v>67</v>
      </c>
      <c r="D2250" s="18" t="s">
        <v>9445</v>
      </c>
      <c r="E2250" s="18" t="n">
        <v>0</v>
      </c>
      <c r="F2250" s="18" t="s">
        <v>6705</v>
      </c>
      <c r="G2250" s="18" t="s">
        <v>9464</v>
      </c>
      <c r="H2250" s="18" t="s">
        <v>162</v>
      </c>
      <c r="I2250" s="18" t="s">
        <v>5921</v>
      </c>
      <c r="J2250" s="18" t="s">
        <v>9465</v>
      </c>
      <c r="K2250" s="18"/>
      <c r="L2250" s="18" t="s">
        <v>162</v>
      </c>
      <c r="M2250" s="18" t="s">
        <v>129</v>
      </c>
      <c r="N2250" s="18"/>
      <c r="O2250" s="18"/>
      <c r="P2250" s="18" t="s">
        <v>9466</v>
      </c>
      <c r="Q2250" s="18" t="s">
        <v>149</v>
      </c>
      <c r="R2250" s="18" t="s">
        <v>9467</v>
      </c>
      <c r="S2250" s="18" t="s">
        <v>133</v>
      </c>
      <c r="T2250" s="18" t="s">
        <v>9462</v>
      </c>
      <c r="U2250" s="18"/>
      <c r="V2250" s="19" t="s">
        <v>29</v>
      </c>
      <c r="W2250" s="19"/>
      <c r="X2250" s="19"/>
      <c r="Y2250" s="20"/>
      <c r="Z2250" s="19"/>
      <c r="AA2250" s="18" t="str">
        <f aca="false">IF(OR(V2250="Aprobada"),R2250,IF(AND(OR(V2250="Aprobada con ajuste",V2250="Rechazada"),W2250&lt;&gt;""),W2250,""))</f>
        <v/>
      </c>
    </row>
    <row r="2251" customFormat="false" ht="53.7" hidden="false" customHeight="false" outlineLevel="0" collapsed="false">
      <c r="A2251" s="18" t="s">
        <v>9468</v>
      </c>
      <c r="B2251" s="18" t="s">
        <v>66</v>
      </c>
      <c r="C2251" s="18" t="s">
        <v>67</v>
      </c>
      <c r="D2251" s="18" t="s">
        <v>9445</v>
      </c>
      <c r="E2251" s="18" t="n">
        <v>0</v>
      </c>
      <c r="F2251" s="18" t="s">
        <v>4337</v>
      </c>
      <c r="G2251" s="18" t="s">
        <v>312</v>
      </c>
      <c r="H2251" s="18" t="s">
        <v>129</v>
      </c>
      <c r="I2251" s="18"/>
      <c r="J2251" s="18"/>
      <c r="K2251" s="18"/>
      <c r="L2251" s="18" t="s">
        <v>129</v>
      </c>
      <c r="M2251" s="18" t="s">
        <v>129</v>
      </c>
      <c r="N2251" s="18"/>
      <c r="O2251" s="18" t="s">
        <v>9469</v>
      </c>
      <c r="P2251" s="18" t="s">
        <v>9470</v>
      </c>
      <c r="Q2251" s="18" t="s">
        <v>149</v>
      </c>
      <c r="R2251" s="18" t="s">
        <v>9471</v>
      </c>
      <c r="S2251" s="18" t="s">
        <v>140</v>
      </c>
      <c r="T2251" s="18" t="s">
        <v>8546</v>
      </c>
      <c r="U2251" s="18" t="s">
        <v>9472</v>
      </c>
      <c r="V2251" s="19" t="s">
        <v>29</v>
      </c>
      <c r="W2251" s="19"/>
      <c r="X2251" s="19"/>
      <c r="Y2251" s="20"/>
      <c r="Z2251" s="19"/>
      <c r="AA2251" s="18" t="str">
        <f aca="false">IF(OR(V2251="Aprobada"),R2251,IF(AND(OR(V2251="Aprobada con ajuste",V2251="Rechazada"),W2251&lt;&gt;""),W2251,""))</f>
        <v/>
      </c>
    </row>
    <row r="2252" customFormat="false" ht="43.25" hidden="false" customHeight="false" outlineLevel="0" collapsed="false">
      <c r="A2252" s="18" t="s">
        <v>9473</v>
      </c>
      <c r="B2252" s="18" t="s">
        <v>66</v>
      </c>
      <c r="C2252" s="18" t="s">
        <v>67</v>
      </c>
      <c r="D2252" s="18" t="s">
        <v>9445</v>
      </c>
      <c r="E2252" s="18" t="n">
        <v>0</v>
      </c>
      <c r="F2252" s="18" t="s">
        <v>5700</v>
      </c>
      <c r="G2252" s="18" t="s">
        <v>180</v>
      </c>
      <c r="H2252" s="18" t="s">
        <v>129</v>
      </c>
      <c r="I2252" s="18"/>
      <c r="J2252" s="18"/>
      <c r="K2252" s="18"/>
      <c r="L2252" s="18" t="s">
        <v>129</v>
      </c>
      <c r="M2252" s="18" t="s">
        <v>129</v>
      </c>
      <c r="N2252" s="18"/>
      <c r="O2252" s="18"/>
      <c r="P2252" s="18" t="s">
        <v>9474</v>
      </c>
      <c r="Q2252" s="18" t="s">
        <v>149</v>
      </c>
      <c r="R2252" s="18" t="s">
        <v>9475</v>
      </c>
      <c r="S2252" s="18" t="s">
        <v>133</v>
      </c>
      <c r="T2252" s="18" t="s">
        <v>183</v>
      </c>
      <c r="U2252" s="18"/>
      <c r="V2252" s="19" t="s">
        <v>29</v>
      </c>
      <c r="W2252" s="19"/>
      <c r="X2252" s="19"/>
      <c r="Y2252" s="20"/>
      <c r="Z2252" s="19"/>
      <c r="AA2252" s="18" t="str">
        <f aca="false">IF(OR(V2252="Aprobada"),R2252,IF(AND(OR(V2252="Aprobada con ajuste",V2252="Rechazada"),W2252&lt;&gt;""),W2252,""))</f>
        <v/>
      </c>
    </row>
    <row r="2253" customFormat="false" ht="43.25" hidden="false" customHeight="false" outlineLevel="0" collapsed="false">
      <c r="A2253" s="18" t="s">
        <v>9476</v>
      </c>
      <c r="B2253" s="18" t="s">
        <v>66</v>
      </c>
      <c r="C2253" s="18" t="s">
        <v>67</v>
      </c>
      <c r="D2253" s="18" t="s">
        <v>9445</v>
      </c>
      <c r="E2253" s="18" t="n">
        <v>0</v>
      </c>
      <c r="F2253" s="18" t="s">
        <v>326</v>
      </c>
      <c r="G2253" s="18" t="s">
        <v>317</v>
      </c>
      <c r="H2253" s="18" t="s">
        <v>162</v>
      </c>
      <c r="I2253" s="18"/>
      <c r="J2253" s="18"/>
      <c r="K2253" s="18"/>
      <c r="L2253" s="18" t="s">
        <v>129</v>
      </c>
      <c r="M2253" s="18" t="s">
        <v>129</v>
      </c>
      <c r="N2253" s="18"/>
      <c r="O2253" s="18" t="s">
        <v>9477</v>
      </c>
      <c r="P2253" s="18" t="s">
        <v>9478</v>
      </c>
      <c r="Q2253" s="18" t="s">
        <v>138</v>
      </c>
      <c r="R2253" s="18" t="s">
        <v>328</v>
      </c>
      <c r="S2253" s="18" t="s">
        <v>140</v>
      </c>
      <c r="T2253" s="18" t="s">
        <v>141</v>
      </c>
      <c r="U2253" s="18"/>
      <c r="V2253" s="19" t="s">
        <v>29</v>
      </c>
      <c r="W2253" s="19"/>
      <c r="X2253" s="19"/>
      <c r="Y2253" s="20"/>
      <c r="Z2253" s="19"/>
      <c r="AA2253" s="18" t="str">
        <f aca="false">IF(OR(V2253="Aprobada"),R2253,IF(AND(OR(V2253="Aprobada con ajuste",V2253="Rechazada"),W2253&lt;&gt;""),W2253,""))</f>
        <v/>
      </c>
    </row>
    <row r="2254" customFormat="false" ht="43.25" hidden="false" customHeight="false" outlineLevel="0" collapsed="false">
      <c r="A2254" s="18" t="s">
        <v>9479</v>
      </c>
      <c r="B2254" s="18" t="s">
        <v>66</v>
      </c>
      <c r="C2254" s="18" t="s">
        <v>67</v>
      </c>
      <c r="D2254" s="18" t="s">
        <v>9445</v>
      </c>
      <c r="E2254" s="18" t="n">
        <v>0</v>
      </c>
      <c r="F2254" s="18" t="s">
        <v>9480</v>
      </c>
      <c r="G2254" s="18" t="s">
        <v>317</v>
      </c>
      <c r="H2254" s="18" t="s">
        <v>162</v>
      </c>
      <c r="I2254" s="18"/>
      <c r="J2254" s="18"/>
      <c r="K2254" s="18"/>
      <c r="L2254" s="18" t="s">
        <v>129</v>
      </c>
      <c r="M2254" s="18" t="s">
        <v>129</v>
      </c>
      <c r="N2254" s="18"/>
      <c r="O2254" s="18"/>
      <c r="P2254" s="18" t="s">
        <v>9481</v>
      </c>
      <c r="Q2254" s="18" t="s">
        <v>138</v>
      </c>
      <c r="R2254" s="18" t="s">
        <v>9482</v>
      </c>
      <c r="S2254" s="18" t="s">
        <v>140</v>
      </c>
      <c r="T2254" s="18" t="s">
        <v>141</v>
      </c>
      <c r="U2254" s="18"/>
      <c r="V2254" s="19" t="s">
        <v>29</v>
      </c>
      <c r="W2254" s="19"/>
      <c r="X2254" s="19"/>
      <c r="Y2254" s="20"/>
      <c r="Z2254" s="19"/>
      <c r="AA2254" s="18" t="str">
        <f aca="false">IF(OR(V2254="Aprobada"),R2254,IF(AND(OR(V2254="Aprobada con ajuste",V2254="Rechazada"),W2254&lt;&gt;""),W2254,""))</f>
        <v/>
      </c>
    </row>
    <row r="2255" customFormat="false" ht="43.25" hidden="false" customHeight="false" outlineLevel="0" collapsed="false">
      <c r="A2255" s="18" t="s">
        <v>9483</v>
      </c>
      <c r="B2255" s="18" t="s">
        <v>66</v>
      </c>
      <c r="C2255" s="18" t="s">
        <v>67</v>
      </c>
      <c r="D2255" s="18" t="s">
        <v>9445</v>
      </c>
      <c r="E2255" s="18" t="n">
        <v>0</v>
      </c>
      <c r="F2255" s="18" t="s">
        <v>6939</v>
      </c>
      <c r="G2255" s="18" t="s">
        <v>503</v>
      </c>
      <c r="H2255" s="18" t="s">
        <v>162</v>
      </c>
      <c r="I2255" s="18" t="s">
        <v>298</v>
      </c>
      <c r="J2255" s="18"/>
      <c r="K2255" s="18"/>
      <c r="L2255" s="18" t="s">
        <v>129</v>
      </c>
      <c r="M2255" s="18" t="s">
        <v>129</v>
      </c>
      <c r="N2255" s="18"/>
      <c r="O2255" s="18"/>
      <c r="P2255" s="18" t="s">
        <v>9484</v>
      </c>
      <c r="Q2255" s="18" t="s">
        <v>131</v>
      </c>
      <c r="R2255" s="18" t="s">
        <v>9485</v>
      </c>
      <c r="S2255" s="18" t="s">
        <v>133</v>
      </c>
      <c r="T2255" s="18" t="s">
        <v>9486</v>
      </c>
      <c r="U2255" s="18"/>
      <c r="V2255" s="19" t="s">
        <v>29</v>
      </c>
      <c r="W2255" s="19"/>
      <c r="X2255" s="19"/>
      <c r="Y2255" s="20"/>
      <c r="Z2255" s="19"/>
      <c r="AA2255" s="18" t="str">
        <f aca="false">IF(OR(V2255="Aprobada"),R2255,IF(AND(OR(V2255="Aprobada con ajuste",V2255="Rechazada"),W2255&lt;&gt;""),W2255,""))</f>
        <v/>
      </c>
    </row>
    <row r="2256" customFormat="false" ht="32.8" hidden="false" customHeight="false" outlineLevel="0" collapsed="false">
      <c r="A2256" s="18" t="s">
        <v>9487</v>
      </c>
      <c r="B2256" s="18" t="s">
        <v>66</v>
      </c>
      <c r="C2256" s="18" t="s">
        <v>67</v>
      </c>
      <c r="D2256" s="18" t="s">
        <v>9445</v>
      </c>
      <c r="E2256" s="18" t="n">
        <v>0</v>
      </c>
      <c r="F2256" s="18" t="s">
        <v>9488</v>
      </c>
      <c r="G2256" s="18" t="s">
        <v>128</v>
      </c>
      <c r="H2256" s="18" t="s">
        <v>162</v>
      </c>
      <c r="I2256" s="18"/>
      <c r="J2256" s="18"/>
      <c r="K2256" s="18"/>
      <c r="L2256" s="18" t="s">
        <v>129</v>
      </c>
      <c r="M2256" s="18" t="s">
        <v>129</v>
      </c>
      <c r="N2256" s="18"/>
      <c r="O2256" s="18"/>
      <c r="P2256" s="18" t="s">
        <v>9489</v>
      </c>
      <c r="Q2256" s="18" t="s">
        <v>149</v>
      </c>
      <c r="R2256" s="18" t="s">
        <v>9490</v>
      </c>
      <c r="S2256" s="18" t="s">
        <v>133</v>
      </c>
      <c r="T2256" s="18" t="s">
        <v>858</v>
      </c>
      <c r="U2256" s="18"/>
      <c r="V2256" s="19" t="s">
        <v>29</v>
      </c>
      <c r="W2256" s="19"/>
      <c r="X2256" s="19"/>
      <c r="Y2256" s="20"/>
      <c r="Z2256" s="19"/>
      <c r="AA2256" s="18" t="str">
        <f aca="false">IF(OR(V2256="Aprobada"),R2256,IF(AND(OR(V2256="Aprobada con ajuste",V2256="Rechazada"),W2256&lt;&gt;""),W2256,""))</f>
        <v/>
      </c>
    </row>
    <row r="2257" customFormat="false" ht="43.25" hidden="false" customHeight="false" outlineLevel="0" collapsed="false">
      <c r="A2257" s="18" t="s">
        <v>9491</v>
      </c>
      <c r="B2257" s="18" t="s">
        <v>66</v>
      </c>
      <c r="C2257" s="18" t="s">
        <v>67</v>
      </c>
      <c r="D2257" s="18" t="s">
        <v>5246</v>
      </c>
      <c r="E2257" s="18" t="n">
        <v>7</v>
      </c>
      <c r="F2257" s="18" t="s">
        <v>937</v>
      </c>
      <c r="G2257" s="18" t="s">
        <v>503</v>
      </c>
      <c r="H2257" s="18" t="s">
        <v>129</v>
      </c>
      <c r="I2257" s="18"/>
      <c r="J2257" s="18"/>
      <c r="K2257" s="18"/>
      <c r="L2257" s="18" t="s">
        <v>162</v>
      </c>
      <c r="M2257" s="18" t="s">
        <v>129</v>
      </c>
      <c r="N2257" s="18"/>
      <c r="O2257" s="18" t="s">
        <v>9492</v>
      </c>
      <c r="P2257" s="18" t="s">
        <v>9493</v>
      </c>
      <c r="Q2257" s="18" t="s">
        <v>138</v>
      </c>
      <c r="R2257" s="18" t="s">
        <v>939</v>
      </c>
      <c r="S2257" s="18" t="s">
        <v>140</v>
      </c>
      <c r="T2257" s="18" t="s">
        <v>141</v>
      </c>
      <c r="U2257" s="18"/>
      <c r="V2257" s="19" t="s">
        <v>29</v>
      </c>
      <c r="W2257" s="19"/>
      <c r="X2257" s="19"/>
      <c r="Y2257" s="20"/>
      <c r="Z2257" s="19"/>
      <c r="AA2257" s="18" t="str">
        <f aca="false">IF(OR(V2257="Aprobada"),R2257,IF(AND(OR(V2257="Aprobada con ajuste",V2257="Rechazada"),W2257&lt;&gt;""),W2257,""))</f>
        <v/>
      </c>
    </row>
    <row r="2258" customFormat="false" ht="43.25" hidden="false" customHeight="false" outlineLevel="0" collapsed="false">
      <c r="A2258" s="18" t="s">
        <v>9494</v>
      </c>
      <c r="B2258" s="18" t="s">
        <v>66</v>
      </c>
      <c r="C2258" s="18" t="s">
        <v>67</v>
      </c>
      <c r="D2258" s="18" t="s">
        <v>5246</v>
      </c>
      <c r="E2258" s="18" t="n">
        <v>7</v>
      </c>
      <c r="F2258" s="18" t="s">
        <v>172</v>
      </c>
      <c r="G2258" s="18" t="s">
        <v>173</v>
      </c>
      <c r="H2258" s="18" t="s">
        <v>129</v>
      </c>
      <c r="I2258" s="18"/>
      <c r="J2258" s="18"/>
      <c r="K2258" s="18"/>
      <c r="L2258" s="18" t="s">
        <v>162</v>
      </c>
      <c r="M2258" s="18" t="s">
        <v>129</v>
      </c>
      <c r="N2258" s="18"/>
      <c r="O2258" s="18" t="s">
        <v>9495</v>
      </c>
      <c r="P2258" s="18" t="s">
        <v>9496</v>
      </c>
      <c r="Q2258" s="18" t="s">
        <v>138</v>
      </c>
      <c r="R2258" s="18" t="s">
        <v>176</v>
      </c>
      <c r="S2258" s="18" t="s">
        <v>140</v>
      </c>
      <c r="T2258" s="18" t="s">
        <v>141</v>
      </c>
      <c r="U2258" s="18"/>
      <c r="V2258" s="19" t="s">
        <v>29</v>
      </c>
      <c r="W2258" s="19"/>
      <c r="X2258" s="19"/>
      <c r="Y2258" s="20"/>
      <c r="Z2258" s="19"/>
      <c r="AA2258" s="18" t="str">
        <f aca="false">IF(OR(V2258="Aprobada"),R2258,IF(AND(OR(V2258="Aprobada con ajuste",V2258="Rechazada"),W2258&lt;&gt;""),W2258,""))</f>
        <v/>
      </c>
    </row>
    <row r="2259" customFormat="false" ht="43.25" hidden="false" customHeight="false" outlineLevel="0" collapsed="false">
      <c r="A2259" s="18" t="s">
        <v>9497</v>
      </c>
      <c r="B2259" s="18" t="s">
        <v>66</v>
      </c>
      <c r="C2259" s="18" t="s">
        <v>67</v>
      </c>
      <c r="D2259" s="18" t="s">
        <v>9498</v>
      </c>
      <c r="E2259" s="18" t="n">
        <v>0</v>
      </c>
      <c r="F2259" s="18" t="s">
        <v>611</v>
      </c>
      <c r="G2259" s="18" t="s">
        <v>180</v>
      </c>
      <c r="H2259" s="18" t="s">
        <v>129</v>
      </c>
      <c r="I2259" s="18" t="s">
        <v>146</v>
      </c>
      <c r="J2259" s="18"/>
      <c r="K2259" s="18"/>
      <c r="L2259" s="18" t="s">
        <v>129</v>
      </c>
      <c r="M2259" s="18" t="s">
        <v>129</v>
      </c>
      <c r="N2259" s="18"/>
      <c r="O2259" s="18" t="s">
        <v>9499</v>
      </c>
      <c r="P2259" s="18"/>
      <c r="Q2259" s="18" t="s">
        <v>138</v>
      </c>
      <c r="R2259" s="18" t="s">
        <v>9500</v>
      </c>
      <c r="S2259" s="18" t="s">
        <v>140</v>
      </c>
      <c r="T2259" s="18" t="s">
        <v>141</v>
      </c>
      <c r="U2259" s="18"/>
      <c r="V2259" s="19" t="s">
        <v>29</v>
      </c>
      <c r="W2259" s="19"/>
      <c r="X2259" s="19"/>
      <c r="Y2259" s="20"/>
      <c r="Z2259" s="19"/>
      <c r="AA2259" s="18" t="str">
        <f aca="false">IF(OR(V2259="Aprobada"),R2259,IF(AND(OR(V2259="Aprobada con ajuste",V2259="Rechazada"),W2259&lt;&gt;""),W2259,""))</f>
        <v/>
      </c>
    </row>
    <row r="2260" customFormat="false" ht="22.35" hidden="false" customHeight="false" outlineLevel="0" collapsed="false">
      <c r="A2260" s="18" t="s">
        <v>9501</v>
      </c>
      <c r="B2260" s="18" t="s">
        <v>66</v>
      </c>
      <c r="C2260" s="18" t="s">
        <v>67</v>
      </c>
      <c r="D2260" s="18" t="s">
        <v>9498</v>
      </c>
      <c r="E2260" s="18" t="n">
        <v>0</v>
      </c>
      <c r="F2260" s="18" t="s">
        <v>9502</v>
      </c>
      <c r="G2260" s="18" t="s">
        <v>180</v>
      </c>
      <c r="H2260" s="18" t="s">
        <v>129</v>
      </c>
      <c r="I2260" s="18"/>
      <c r="J2260" s="18"/>
      <c r="K2260" s="18"/>
      <c r="L2260" s="18" t="s">
        <v>129</v>
      </c>
      <c r="M2260" s="18" t="s">
        <v>129</v>
      </c>
      <c r="N2260" s="18"/>
      <c r="O2260" s="18"/>
      <c r="P2260" s="18"/>
      <c r="Q2260" s="18" t="s">
        <v>149</v>
      </c>
      <c r="R2260" s="18" t="s">
        <v>9503</v>
      </c>
      <c r="S2260" s="18" t="s">
        <v>133</v>
      </c>
      <c r="T2260" s="18" t="s">
        <v>183</v>
      </c>
      <c r="U2260" s="18"/>
      <c r="V2260" s="19" t="s">
        <v>29</v>
      </c>
      <c r="W2260" s="19"/>
      <c r="X2260" s="19"/>
      <c r="Y2260" s="20"/>
      <c r="Z2260" s="19"/>
      <c r="AA2260" s="18" t="str">
        <f aca="false">IF(OR(V2260="Aprobada"),R2260,IF(AND(OR(V2260="Aprobada con ajuste",V2260="Rechazada"),W2260&lt;&gt;""),W2260,""))</f>
        <v/>
      </c>
    </row>
    <row r="2261" customFormat="false" ht="43.25" hidden="false" customHeight="false" outlineLevel="0" collapsed="false">
      <c r="A2261" s="18" t="s">
        <v>9504</v>
      </c>
      <c r="B2261" s="18" t="s">
        <v>66</v>
      </c>
      <c r="C2261" s="18" t="s">
        <v>67</v>
      </c>
      <c r="D2261" s="18" t="s">
        <v>9498</v>
      </c>
      <c r="E2261" s="18" t="n">
        <v>0</v>
      </c>
      <c r="F2261" s="18" t="s">
        <v>1127</v>
      </c>
      <c r="G2261" s="18" t="s">
        <v>180</v>
      </c>
      <c r="H2261" s="18" t="s">
        <v>129</v>
      </c>
      <c r="I2261" s="18" t="s">
        <v>146</v>
      </c>
      <c r="J2261" s="18"/>
      <c r="K2261" s="18"/>
      <c r="L2261" s="18" t="s">
        <v>129</v>
      </c>
      <c r="M2261" s="18" t="s">
        <v>129</v>
      </c>
      <c r="N2261" s="18"/>
      <c r="O2261" s="18" t="s">
        <v>9505</v>
      </c>
      <c r="P2261" s="18"/>
      <c r="Q2261" s="18" t="s">
        <v>138</v>
      </c>
      <c r="R2261" s="18" t="s">
        <v>1129</v>
      </c>
      <c r="S2261" s="18" t="s">
        <v>140</v>
      </c>
      <c r="T2261" s="18" t="s">
        <v>141</v>
      </c>
      <c r="U2261" s="18"/>
      <c r="V2261" s="19" t="s">
        <v>29</v>
      </c>
      <c r="W2261" s="19"/>
      <c r="X2261" s="19"/>
      <c r="Y2261" s="20"/>
      <c r="Z2261" s="19"/>
      <c r="AA2261" s="18" t="str">
        <f aca="false">IF(OR(V2261="Aprobada"),R2261,IF(AND(OR(V2261="Aprobada con ajuste",V2261="Rechazada"),W2261&lt;&gt;""),W2261,""))</f>
        <v/>
      </c>
    </row>
    <row r="2262" customFormat="false" ht="22.35" hidden="false" customHeight="false" outlineLevel="0" collapsed="false">
      <c r="A2262" s="18" t="s">
        <v>9506</v>
      </c>
      <c r="B2262" s="18" t="s">
        <v>66</v>
      </c>
      <c r="C2262" s="18" t="s">
        <v>67</v>
      </c>
      <c r="D2262" s="18" t="s">
        <v>9498</v>
      </c>
      <c r="E2262" s="18" t="n">
        <v>0</v>
      </c>
      <c r="F2262" s="18" t="s">
        <v>4269</v>
      </c>
      <c r="G2262" s="18" t="s">
        <v>180</v>
      </c>
      <c r="H2262" s="18" t="s">
        <v>162</v>
      </c>
      <c r="I2262" s="18"/>
      <c r="J2262" s="18"/>
      <c r="K2262" s="18"/>
      <c r="L2262" s="18" t="s">
        <v>129</v>
      </c>
      <c r="M2262" s="18" t="s">
        <v>129</v>
      </c>
      <c r="N2262" s="18"/>
      <c r="O2262" s="18"/>
      <c r="P2262" s="18"/>
      <c r="Q2262" s="18" t="s">
        <v>149</v>
      </c>
      <c r="R2262" s="18" t="s">
        <v>9507</v>
      </c>
      <c r="S2262" s="18" t="s">
        <v>133</v>
      </c>
      <c r="T2262" s="18" t="s">
        <v>183</v>
      </c>
      <c r="U2262" s="18"/>
      <c r="V2262" s="19" t="s">
        <v>29</v>
      </c>
      <c r="W2262" s="19"/>
      <c r="X2262" s="19"/>
      <c r="Y2262" s="20"/>
      <c r="Z2262" s="19"/>
      <c r="AA2262" s="18" t="str">
        <f aca="false">IF(OR(V2262="Aprobada"),R2262,IF(AND(OR(V2262="Aprobada con ajuste",V2262="Rechazada"),W2262&lt;&gt;""),W2262,""))</f>
        <v/>
      </c>
    </row>
    <row r="2263" customFormat="false" ht="22.35" hidden="false" customHeight="false" outlineLevel="0" collapsed="false">
      <c r="A2263" s="18" t="s">
        <v>9508</v>
      </c>
      <c r="B2263" s="18" t="s">
        <v>66</v>
      </c>
      <c r="C2263" s="18" t="s">
        <v>67</v>
      </c>
      <c r="D2263" s="18" t="s">
        <v>9498</v>
      </c>
      <c r="E2263" s="18" t="n">
        <v>0</v>
      </c>
      <c r="F2263" s="18" t="s">
        <v>6890</v>
      </c>
      <c r="G2263" s="18" t="s">
        <v>180</v>
      </c>
      <c r="H2263" s="18" t="s">
        <v>162</v>
      </c>
      <c r="I2263" s="18"/>
      <c r="J2263" s="18"/>
      <c r="K2263" s="18"/>
      <c r="L2263" s="18" t="s">
        <v>129</v>
      </c>
      <c r="M2263" s="18" t="s">
        <v>129</v>
      </c>
      <c r="N2263" s="18"/>
      <c r="O2263" s="18"/>
      <c r="P2263" s="18"/>
      <c r="Q2263" s="18" t="s">
        <v>149</v>
      </c>
      <c r="R2263" s="18" t="s">
        <v>9509</v>
      </c>
      <c r="S2263" s="18" t="s">
        <v>133</v>
      </c>
      <c r="T2263" s="18" t="s">
        <v>183</v>
      </c>
      <c r="U2263" s="18"/>
      <c r="V2263" s="19" t="s">
        <v>29</v>
      </c>
      <c r="W2263" s="19"/>
      <c r="X2263" s="19"/>
      <c r="Y2263" s="20"/>
      <c r="Z2263" s="19"/>
      <c r="AA2263" s="18" t="str">
        <f aca="false">IF(OR(V2263="Aprobada"),R2263,IF(AND(OR(V2263="Aprobada con ajuste",V2263="Rechazada"),W2263&lt;&gt;""),W2263,""))</f>
        <v/>
      </c>
    </row>
    <row r="2264" customFormat="false" ht="22.35" hidden="false" customHeight="false" outlineLevel="0" collapsed="false">
      <c r="A2264" s="18" t="s">
        <v>9510</v>
      </c>
      <c r="B2264" s="18" t="s">
        <v>66</v>
      </c>
      <c r="C2264" s="18" t="s">
        <v>67</v>
      </c>
      <c r="D2264" s="18" t="s">
        <v>9498</v>
      </c>
      <c r="E2264" s="18" t="n">
        <v>0</v>
      </c>
      <c r="F2264" s="18" t="s">
        <v>4263</v>
      </c>
      <c r="G2264" s="18" t="s">
        <v>486</v>
      </c>
      <c r="H2264" s="18" t="s">
        <v>162</v>
      </c>
      <c r="I2264" s="18"/>
      <c r="J2264" s="18"/>
      <c r="K2264" s="18"/>
      <c r="L2264" s="18" t="s">
        <v>129</v>
      </c>
      <c r="M2264" s="18" t="s">
        <v>129</v>
      </c>
      <c r="N2264" s="18"/>
      <c r="O2264" s="18"/>
      <c r="P2264" s="18"/>
      <c r="Q2264" s="18" t="s">
        <v>149</v>
      </c>
      <c r="R2264" s="18" t="s">
        <v>9511</v>
      </c>
      <c r="S2264" s="18" t="s">
        <v>140</v>
      </c>
      <c r="T2264" s="18" t="s">
        <v>183</v>
      </c>
      <c r="U2264" s="18" t="s">
        <v>9512</v>
      </c>
      <c r="V2264" s="19" t="s">
        <v>29</v>
      </c>
      <c r="W2264" s="19"/>
      <c r="X2264" s="19"/>
      <c r="Y2264" s="20"/>
      <c r="Z2264" s="19"/>
      <c r="AA2264" s="18" t="str">
        <f aca="false">IF(OR(V2264="Aprobada"),R2264,IF(AND(OR(V2264="Aprobada con ajuste",V2264="Rechazada"),W2264&lt;&gt;""),W2264,""))</f>
        <v/>
      </c>
    </row>
    <row r="2265" customFormat="false" ht="22.35" hidden="false" customHeight="false" outlineLevel="0" collapsed="false">
      <c r="A2265" s="18" t="s">
        <v>9513</v>
      </c>
      <c r="B2265" s="18" t="s">
        <v>66</v>
      </c>
      <c r="C2265" s="18" t="s">
        <v>67</v>
      </c>
      <c r="D2265" s="18" t="s">
        <v>9498</v>
      </c>
      <c r="E2265" s="18" t="n">
        <v>0</v>
      </c>
      <c r="F2265" s="18" t="s">
        <v>172</v>
      </c>
      <c r="G2265" s="18" t="s">
        <v>173</v>
      </c>
      <c r="H2265" s="18" t="s">
        <v>162</v>
      </c>
      <c r="I2265" s="18"/>
      <c r="J2265" s="18"/>
      <c r="K2265" s="18"/>
      <c r="L2265" s="18" t="s">
        <v>129</v>
      </c>
      <c r="M2265" s="18" t="s">
        <v>129</v>
      </c>
      <c r="N2265" s="18"/>
      <c r="O2265" s="18" t="s">
        <v>9514</v>
      </c>
      <c r="P2265" s="18"/>
      <c r="Q2265" s="18" t="s">
        <v>138</v>
      </c>
      <c r="R2265" s="18" t="s">
        <v>176</v>
      </c>
      <c r="S2265" s="18" t="s">
        <v>140</v>
      </c>
      <c r="T2265" s="18" t="s">
        <v>141</v>
      </c>
      <c r="U2265" s="18"/>
      <c r="V2265" s="19" t="s">
        <v>29</v>
      </c>
      <c r="W2265" s="19"/>
      <c r="X2265" s="19"/>
      <c r="Y2265" s="20"/>
      <c r="Z2265" s="19"/>
      <c r="AA2265" s="18" t="str">
        <f aca="false">IF(OR(V2265="Aprobada"),R2265,IF(AND(OR(V2265="Aprobada con ajuste",V2265="Rechazada"),W2265&lt;&gt;""),W2265,""))</f>
        <v/>
      </c>
    </row>
    <row r="2266" customFormat="false" ht="22.35" hidden="false" customHeight="false" outlineLevel="0" collapsed="false">
      <c r="A2266" s="18" t="s">
        <v>9515</v>
      </c>
      <c r="B2266" s="18" t="s">
        <v>66</v>
      </c>
      <c r="C2266" s="18" t="s">
        <v>67</v>
      </c>
      <c r="D2266" s="18" t="s">
        <v>9498</v>
      </c>
      <c r="E2266" s="18" t="n">
        <v>0</v>
      </c>
      <c r="F2266" s="18" t="s">
        <v>9516</v>
      </c>
      <c r="G2266" s="18" t="s">
        <v>317</v>
      </c>
      <c r="H2266" s="18" t="s">
        <v>162</v>
      </c>
      <c r="I2266" s="18"/>
      <c r="J2266" s="18"/>
      <c r="K2266" s="18"/>
      <c r="L2266" s="18" t="s">
        <v>129</v>
      </c>
      <c r="M2266" s="18" t="s">
        <v>129</v>
      </c>
      <c r="N2266" s="18"/>
      <c r="O2266" s="18"/>
      <c r="P2266" s="18"/>
      <c r="Q2266" s="18" t="s">
        <v>149</v>
      </c>
      <c r="R2266" s="18" t="s">
        <v>9517</v>
      </c>
      <c r="S2266" s="18" t="s">
        <v>133</v>
      </c>
      <c r="T2266" s="18" t="s">
        <v>183</v>
      </c>
      <c r="U2266" s="18"/>
      <c r="V2266" s="19" t="s">
        <v>29</v>
      </c>
      <c r="W2266" s="19"/>
      <c r="X2266" s="19"/>
      <c r="Y2266" s="20"/>
      <c r="Z2266" s="19"/>
      <c r="AA2266" s="18" t="str">
        <f aca="false">IF(OR(V2266="Aprobada"),R2266,IF(AND(OR(V2266="Aprobada con ajuste",V2266="Rechazada"),W2266&lt;&gt;""),W2266,""))</f>
        <v/>
      </c>
    </row>
    <row r="2267" customFormat="false" ht="22.35" hidden="false" customHeight="false" outlineLevel="0" collapsed="false">
      <c r="A2267" s="18" t="s">
        <v>9518</v>
      </c>
      <c r="B2267" s="18" t="s">
        <v>66</v>
      </c>
      <c r="C2267" s="18" t="s">
        <v>67</v>
      </c>
      <c r="D2267" s="18" t="s">
        <v>9519</v>
      </c>
      <c r="E2267" s="18" t="n">
        <v>0</v>
      </c>
      <c r="F2267" s="18" t="s">
        <v>9282</v>
      </c>
      <c r="G2267" s="18" t="s">
        <v>312</v>
      </c>
      <c r="H2267" s="18" t="s">
        <v>129</v>
      </c>
      <c r="I2267" s="18"/>
      <c r="J2267" s="18"/>
      <c r="K2267" s="18"/>
      <c r="L2267" s="18" t="s">
        <v>129</v>
      </c>
      <c r="M2267" s="18" t="s">
        <v>129</v>
      </c>
      <c r="N2267" s="18"/>
      <c r="O2267" s="18" t="s">
        <v>9520</v>
      </c>
      <c r="P2267" s="18"/>
      <c r="Q2267" s="18" t="s">
        <v>149</v>
      </c>
      <c r="R2267" s="18" t="s">
        <v>9521</v>
      </c>
      <c r="S2267" s="18" t="s">
        <v>140</v>
      </c>
      <c r="T2267" s="18" t="s">
        <v>183</v>
      </c>
      <c r="U2267" s="18" t="s">
        <v>8330</v>
      </c>
      <c r="V2267" s="19" t="s">
        <v>29</v>
      </c>
      <c r="W2267" s="19"/>
      <c r="X2267" s="19"/>
      <c r="Y2267" s="20"/>
      <c r="Z2267" s="19"/>
      <c r="AA2267" s="18" t="str">
        <f aca="false">IF(OR(V2267="Aprobada"),R2267,IF(AND(OR(V2267="Aprobada con ajuste",V2267="Rechazada"),W2267&lt;&gt;""),W2267,""))</f>
        <v/>
      </c>
    </row>
    <row r="2268" customFormat="false" ht="22.35" hidden="false" customHeight="false" outlineLevel="0" collapsed="false">
      <c r="A2268" s="18" t="s">
        <v>9522</v>
      </c>
      <c r="B2268" s="18" t="s">
        <v>66</v>
      </c>
      <c r="C2268" s="18" t="s">
        <v>67</v>
      </c>
      <c r="D2268" s="18" t="s">
        <v>9519</v>
      </c>
      <c r="E2268" s="18" t="n">
        <v>0</v>
      </c>
      <c r="F2268" s="18" t="s">
        <v>1018</v>
      </c>
      <c r="G2268" s="18" t="s">
        <v>145</v>
      </c>
      <c r="H2268" s="18" t="s">
        <v>129</v>
      </c>
      <c r="I2268" s="18"/>
      <c r="J2268" s="18"/>
      <c r="K2268" s="18"/>
      <c r="L2268" s="18" t="s">
        <v>129</v>
      </c>
      <c r="M2268" s="18" t="s">
        <v>129</v>
      </c>
      <c r="N2268" s="18"/>
      <c r="O2268" s="18"/>
      <c r="P2268" s="18"/>
      <c r="Q2268" s="18" t="s">
        <v>138</v>
      </c>
      <c r="R2268" s="18" t="s">
        <v>2302</v>
      </c>
      <c r="S2268" s="18" t="s">
        <v>140</v>
      </c>
      <c r="T2268" s="18" t="s">
        <v>141</v>
      </c>
      <c r="U2268" s="18"/>
      <c r="V2268" s="19" t="s">
        <v>29</v>
      </c>
      <c r="W2268" s="19"/>
      <c r="X2268" s="19"/>
      <c r="Y2268" s="20"/>
      <c r="Z2268" s="19"/>
      <c r="AA2268" s="18" t="str">
        <f aca="false">IF(OR(V2268="Aprobada"),R2268,IF(AND(OR(V2268="Aprobada con ajuste",V2268="Rechazada"),W2268&lt;&gt;""),W2268,""))</f>
        <v/>
      </c>
    </row>
    <row r="2269" customFormat="false" ht="22.35" hidden="false" customHeight="false" outlineLevel="0" collapsed="false">
      <c r="A2269" s="18" t="s">
        <v>9523</v>
      </c>
      <c r="B2269" s="18" t="s">
        <v>66</v>
      </c>
      <c r="C2269" s="18" t="s">
        <v>67</v>
      </c>
      <c r="D2269" s="18" t="s">
        <v>9519</v>
      </c>
      <c r="E2269" s="18" t="n">
        <v>0</v>
      </c>
      <c r="F2269" s="18" t="s">
        <v>331</v>
      </c>
      <c r="G2269" s="18" t="s">
        <v>137</v>
      </c>
      <c r="H2269" s="18" t="s">
        <v>129</v>
      </c>
      <c r="I2269" s="18"/>
      <c r="J2269" s="18"/>
      <c r="K2269" s="18"/>
      <c r="L2269" s="18" t="s">
        <v>129</v>
      </c>
      <c r="M2269" s="18" t="s">
        <v>129</v>
      </c>
      <c r="N2269" s="18"/>
      <c r="O2269" s="18"/>
      <c r="P2269" s="18"/>
      <c r="Q2269" s="18" t="s">
        <v>149</v>
      </c>
      <c r="R2269" s="18" t="s">
        <v>9524</v>
      </c>
      <c r="S2269" s="18" t="s">
        <v>133</v>
      </c>
      <c r="T2269" s="18" t="s">
        <v>183</v>
      </c>
      <c r="U2269" s="18"/>
      <c r="V2269" s="19" t="s">
        <v>29</v>
      </c>
      <c r="W2269" s="19"/>
      <c r="X2269" s="19"/>
      <c r="Y2269" s="20"/>
      <c r="Z2269" s="19"/>
      <c r="AA2269" s="18" t="str">
        <f aca="false">IF(OR(V2269="Aprobada"),R2269,IF(AND(OR(V2269="Aprobada con ajuste",V2269="Rechazada"),W2269&lt;&gt;""),W2269,""))</f>
        <v/>
      </c>
    </row>
    <row r="2270" customFormat="false" ht="22.35" hidden="false" customHeight="false" outlineLevel="0" collapsed="false">
      <c r="A2270" s="18" t="s">
        <v>9525</v>
      </c>
      <c r="B2270" s="18" t="s">
        <v>66</v>
      </c>
      <c r="C2270" s="18" t="s">
        <v>67</v>
      </c>
      <c r="D2270" s="18" t="s">
        <v>9519</v>
      </c>
      <c r="E2270" s="18" t="n">
        <v>0</v>
      </c>
      <c r="F2270" s="18" t="s">
        <v>4527</v>
      </c>
      <c r="G2270" s="18" t="s">
        <v>180</v>
      </c>
      <c r="H2270" s="18" t="s">
        <v>129</v>
      </c>
      <c r="I2270" s="18"/>
      <c r="J2270" s="18"/>
      <c r="K2270" s="18"/>
      <c r="L2270" s="18" t="s">
        <v>129</v>
      </c>
      <c r="M2270" s="18" t="s">
        <v>129</v>
      </c>
      <c r="N2270" s="18"/>
      <c r="O2270" s="18"/>
      <c r="P2270" s="18"/>
      <c r="Q2270" s="18" t="s">
        <v>149</v>
      </c>
      <c r="R2270" s="18" t="s">
        <v>9526</v>
      </c>
      <c r="S2270" s="18" t="s">
        <v>140</v>
      </c>
      <c r="T2270" s="18" t="s">
        <v>183</v>
      </c>
      <c r="U2270" s="18" t="s">
        <v>9527</v>
      </c>
      <c r="V2270" s="19" t="s">
        <v>29</v>
      </c>
      <c r="W2270" s="19"/>
      <c r="X2270" s="19"/>
      <c r="Y2270" s="20"/>
      <c r="Z2270" s="19"/>
      <c r="AA2270" s="18" t="str">
        <f aca="false">IF(OR(V2270="Aprobada"),R2270,IF(AND(OR(V2270="Aprobada con ajuste",V2270="Rechazada"),W2270&lt;&gt;""),W2270,""))</f>
        <v/>
      </c>
    </row>
    <row r="2271" customFormat="false" ht="22.35" hidden="false" customHeight="false" outlineLevel="0" collapsed="false">
      <c r="A2271" s="18" t="s">
        <v>9528</v>
      </c>
      <c r="B2271" s="18" t="s">
        <v>66</v>
      </c>
      <c r="C2271" s="18" t="s">
        <v>67</v>
      </c>
      <c r="D2271" s="18" t="s">
        <v>9519</v>
      </c>
      <c r="E2271" s="18" t="n">
        <v>0</v>
      </c>
      <c r="F2271" s="18" t="s">
        <v>9529</v>
      </c>
      <c r="G2271" s="18" t="s">
        <v>128</v>
      </c>
      <c r="H2271" s="18" t="s">
        <v>129</v>
      </c>
      <c r="I2271" s="18"/>
      <c r="J2271" s="18"/>
      <c r="K2271" s="18"/>
      <c r="L2271" s="18" t="s">
        <v>129</v>
      </c>
      <c r="M2271" s="18" t="s">
        <v>129</v>
      </c>
      <c r="N2271" s="18"/>
      <c r="O2271" s="18"/>
      <c r="P2271" s="18"/>
      <c r="Q2271" s="18" t="s">
        <v>149</v>
      </c>
      <c r="R2271" s="18" t="s">
        <v>9530</v>
      </c>
      <c r="S2271" s="18" t="s">
        <v>133</v>
      </c>
      <c r="T2271" s="18" t="s">
        <v>183</v>
      </c>
      <c r="U2271" s="18"/>
      <c r="V2271" s="19" t="s">
        <v>29</v>
      </c>
      <c r="W2271" s="19"/>
      <c r="X2271" s="19"/>
      <c r="Y2271" s="20"/>
      <c r="Z2271" s="19"/>
      <c r="AA2271" s="18" t="str">
        <f aca="false">IF(OR(V2271="Aprobada"),R2271,IF(AND(OR(V2271="Aprobada con ajuste",V2271="Rechazada"),W2271&lt;&gt;""),W2271,""))</f>
        <v/>
      </c>
    </row>
    <row r="2272" customFormat="false" ht="22.35" hidden="false" customHeight="false" outlineLevel="0" collapsed="false">
      <c r="A2272" s="18" t="s">
        <v>9531</v>
      </c>
      <c r="B2272" s="18" t="s">
        <v>66</v>
      </c>
      <c r="C2272" s="18" t="s">
        <v>67</v>
      </c>
      <c r="D2272" s="18" t="s">
        <v>9519</v>
      </c>
      <c r="E2272" s="18" t="n">
        <v>0</v>
      </c>
      <c r="F2272" s="18" t="s">
        <v>9532</v>
      </c>
      <c r="G2272" s="18" t="s">
        <v>128</v>
      </c>
      <c r="H2272" s="18" t="s">
        <v>129</v>
      </c>
      <c r="I2272" s="18"/>
      <c r="J2272" s="18"/>
      <c r="K2272" s="18"/>
      <c r="L2272" s="18" t="s">
        <v>129</v>
      </c>
      <c r="M2272" s="18" t="s">
        <v>129</v>
      </c>
      <c r="N2272" s="18"/>
      <c r="O2272" s="18"/>
      <c r="P2272" s="18"/>
      <c r="Q2272" s="18" t="s">
        <v>138</v>
      </c>
      <c r="R2272" s="18" t="s">
        <v>9533</v>
      </c>
      <c r="S2272" s="18" t="s">
        <v>140</v>
      </c>
      <c r="T2272" s="18" t="s">
        <v>141</v>
      </c>
      <c r="U2272" s="18"/>
      <c r="V2272" s="19" t="s">
        <v>29</v>
      </c>
      <c r="W2272" s="19"/>
      <c r="X2272" s="19"/>
      <c r="Y2272" s="20"/>
      <c r="Z2272" s="19"/>
      <c r="AA2272" s="18" t="str">
        <f aca="false">IF(OR(V2272="Aprobada"),R2272,IF(AND(OR(V2272="Aprobada con ajuste",V2272="Rechazada"),W2272&lt;&gt;""),W2272,""))</f>
        <v/>
      </c>
    </row>
    <row r="2273" customFormat="false" ht="53.7" hidden="false" customHeight="false" outlineLevel="0" collapsed="false">
      <c r="A2273" s="18" t="s">
        <v>9534</v>
      </c>
      <c r="B2273" s="18" t="s">
        <v>66</v>
      </c>
      <c r="C2273" s="18" t="s">
        <v>67</v>
      </c>
      <c r="D2273" s="18" t="s">
        <v>9535</v>
      </c>
      <c r="E2273" s="18" t="n">
        <v>25</v>
      </c>
      <c r="F2273" s="18" t="s">
        <v>136</v>
      </c>
      <c r="G2273" s="18" t="s">
        <v>503</v>
      </c>
      <c r="H2273" s="18" t="s">
        <v>129</v>
      </c>
      <c r="I2273" s="18"/>
      <c r="J2273" s="18"/>
      <c r="K2273" s="18"/>
      <c r="L2273" s="18" t="s">
        <v>129</v>
      </c>
      <c r="M2273" s="18" t="s">
        <v>129</v>
      </c>
      <c r="N2273" s="18"/>
      <c r="O2273" s="18" t="s">
        <v>9536</v>
      </c>
      <c r="P2273" s="18" t="s">
        <v>9537</v>
      </c>
      <c r="Q2273" s="18" t="s">
        <v>138</v>
      </c>
      <c r="R2273" s="18" t="s">
        <v>139</v>
      </c>
      <c r="S2273" s="18" t="s">
        <v>140</v>
      </c>
      <c r="T2273" s="18" t="s">
        <v>141</v>
      </c>
      <c r="U2273" s="18"/>
      <c r="V2273" s="19" t="s">
        <v>29</v>
      </c>
      <c r="W2273" s="19"/>
      <c r="X2273" s="19"/>
      <c r="Y2273" s="20"/>
      <c r="Z2273" s="19"/>
      <c r="AA2273" s="18" t="str">
        <f aca="false">IF(OR(V2273="Aprobada"),R2273,IF(AND(OR(V2273="Aprobada con ajuste",V2273="Rechazada"),W2273&lt;&gt;""),W2273,""))</f>
        <v/>
      </c>
    </row>
    <row r="2274" customFormat="false" ht="43.25" hidden="false" customHeight="false" outlineLevel="0" collapsed="false">
      <c r="A2274" s="18" t="s">
        <v>9538</v>
      </c>
      <c r="B2274" s="18" t="s">
        <v>66</v>
      </c>
      <c r="C2274" s="18" t="s">
        <v>67</v>
      </c>
      <c r="D2274" s="18" t="s">
        <v>9535</v>
      </c>
      <c r="E2274" s="18" t="n">
        <v>25</v>
      </c>
      <c r="F2274" s="18" t="s">
        <v>1018</v>
      </c>
      <c r="G2274" s="18" t="s">
        <v>503</v>
      </c>
      <c r="H2274" s="18" t="s">
        <v>129</v>
      </c>
      <c r="I2274" s="18"/>
      <c r="J2274" s="18"/>
      <c r="K2274" s="18"/>
      <c r="L2274" s="18" t="s">
        <v>129</v>
      </c>
      <c r="M2274" s="18" t="s">
        <v>129</v>
      </c>
      <c r="N2274" s="18"/>
      <c r="O2274" s="18" t="s">
        <v>9536</v>
      </c>
      <c r="P2274" s="18" t="s">
        <v>9539</v>
      </c>
      <c r="Q2274" s="18" t="s">
        <v>138</v>
      </c>
      <c r="R2274" s="18" t="s">
        <v>2302</v>
      </c>
      <c r="S2274" s="18" t="s">
        <v>140</v>
      </c>
      <c r="T2274" s="18" t="s">
        <v>141</v>
      </c>
      <c r="U2274" s="18"/>
      <c r="V2274" s="19" t="s">
        <v>29</v>
      </c>
      <c r="W2274" s="19"/>
      <c r="X2274" s="19"/>
      <c r="Y2274" s="20"/>
      <c r="Z2274" s="19"/>
      <c r="AA2274" s="18" t="str">
        <f aca="false">IF(OR(V2274="Aprobada"),R2274,IF(AND(OR(V2274="Aprobada con ajuste",V2274="Rechazada"),W2274&lt;&gt;""),W2274,""))</f>
        <v/>
      </c>
    </row>
    <row r="2275" customFormat="false" ht="32.8" hidden="false" customHeight="false" outlineLevel="0" collapsed="false">
      <c r="A2275" s="18" t="s">
        <v>9540</v>
      </c>
      <c r="B2275" s="18" t="s">
        <v>66</v>
      </c>
      <c r="C2275" s="18" t="s">
        <v>67</v>
      </c>
      <c r="D2275" s="18" t="s">
        <v>9535</v>
      </c>
      <c r="E2275" s="18" t="n">
        <v>25</v>
      </c>
      <c r="F2275" s="18" t="s">
        <v>2002</v>
      </c>
      <c r="G2275" s="18" t="s">
        <v>3172</v>
      </c>
      <c r="H2275" s="18" t="s">
        <v>129</v>
      </c>
      <c r="I2275" s="18"/>
      <c r="J2275" s="18"/>
      <c r="K2275" s="18"/>
      <c r="L2275" s="18" t="s">
        <v>129</v>
      </c>
      <c r="M2275" s="18" t="s">
        <v>129</v>
      </c>
      <c r="N2275" s="18"/>
      <c r="O2275" s="18"/>
      <c r="P2275" s="18" t="s">
        <v>9541</v>
      </c>
      <c r="Q2275" s="18" t="s">
        <v>131</v>
      </c>
      <c r="R2275" s="18" t="s">
        <v>9542</v>
      </c>
      <c r="S2275" s="18" t="s">
        <v>133</v>
      </c>
      <c r="T2275" s="18" t="s">
        <v>9543</v>
      </c>
      <c r="U2275" s="18"/>
      <c r="V2275" s="19" t="s">
        <v>29</v>
      </c>
      <c r="W2275" s="19"/>
      <c r="X2275" s="19"/>
      <c r="Y2275" s="20"/>
      <c r="Z2275" s="19"/>
      <c r="AA2275" s="18" t="str">
        <f aca="false">IF(OR(V2275="Aprobada"),R2275,IF(AND(OR(V2275="Aprobada con ajuste",V2275="Rechazada"),W2275&lt;&gt;""),W2275,""))</f>
        <v/>
      </c>
    </row>
    <row r="2276" customFormat="false" ht="32.8" hidden="false" customHeight="false" outlineLevel="0" collapsed="false">
      <c r="A2276" s="18" t="s">
        <v>9544</v>
      </c>
      <c r="B2276" s="18" t="s">
        <v>66</v>
      </c>
      <c r="C2276" s="18" t="s">
        <v>67</v>
      </c>
      <c r="D2276" s="18" t="s">
        <v>9535</v>
      </c>
      <c r="E2276" s="18" t="n">
        <v>25</v>
      </c>
      <c r="F2276" s="18" t="s">
        <v>9545</v>
      </c>
      <c r="G2276" s="18" t="s">
        <v>192</v>
      </c>
      <c r="H2276" s="18" t="s">
        <v>129</v>
      </c>
      <c r="I2276" s="18"/>
      <c r="J2276" s="18"/>
      <c r="K2276" s="18"/>
      <c r="L2276" s="18" t="s">
        <v>129</v>
      </c>
      <c r="M2276" s="18" t="s">
        <v>129</v>
      </c>
      <c r="N2276" s="18"/>
      <c r="O2276" s="18"/>
      <c r="P2276" s="18" t="s">
        <v>9546</v>
      </c>
      <c r="Q2276" s="18" t="s">
        <v>131</v>
      </c>
      <c r="R2276" s="18" t="s">
        <v>9547</v>
      </c>
      <c r="S2276" s="18" t="s">
        <v>133</v>
      </c>
      <c r="T2276" s="18" t="s">
        <v>9548</v>
      </c>
      <c r="U2276" s="18"/>
      <c r="V2276" s="19" t="s">
        <v>29</v>
      </c>
      <c r="W2276" s="19"/>
      <c r="X2276" s="19"/>
      <c r="Y2276" s="20"/>
      <c r="Z2276" s="19"/>
      <c r="AA2276" s="18" t="str">
        <f aca="false">IF(OR(V2276="Aprobada"),R2276,IF(AND(OR(V2276="Aprobada con ajuste",V2276="Rechazada"),W2276&lt;&gt;""),W2276,""))</f>
        <v/>
      </c>
    </row>
    <row r="2277" customFormat="false" ht="32.8" hidden="false" customHeight="false" outlineLevel="0" collapsed="false">
      <c r="A2277" s="18" t="s">
        <v>9549</v>
      </c>
      <c r="B2277" s="18" t="s">
        <v>66</v>
      </c>
      <c r="C2277" s="18" t="s">
        <v>67</v>
      </c>
      <c r="D2277" s="18" t="s">
        <v>9535</v>
      </c>
      <c r="E2277" s="18" t="n">
        <v>25</v>
      </c>
      <c r="F2277" s="18" t="s">
        <v>9529</v>
      </c>
      <c r="G2277" s="18" t="s">
        <v>192</v>
      </c>
      <c r="H2277" s="18" t="s">
        <v>129</v>
      </c>
      <c r="I2277" s="18"/>
      <c r="J2277" s="18"/>
      <c r="K2277" s="18"/>
      <c r="L2277" s="18" t="s">
        <v>129</v>
      </c>
      <c r="M2277" s="18" t="s">
        <v>129</v>
      </c>
      <c r="N2277" s="18"/>
      <c r="O2277" s="18"/>
      <c r="P2277" s="18" t="s">
        <v>9550</v>
      </c>
      <c r="Q2277" s="18" t="s">
        <v>131</v>
      </c>
      <c r="R2277" s="18" t="s">
        <v>9551</v>
      </c>
      <c r="S2277" s="18" t="s">
        <v>133</v>
      </c>
      <c r="T2277" s="18" t="s">
        <v>9552</v>
      </c>
      <c r="U2277" s="18"/>
      <c r="V2277" s="19" t="s">
        <v>29</v>
      </c>
      <c r="W2277" s="19"/>
      <c r="X2277" s="19"/>
      <c r="Y2277" s="20"/>
      <c r="Z2277" s="19"/>
      <c r="AA2277" s="18" t="str">
        <f aca="false">IF(OR(V2277="Aprobada"),R2277,IF(AND(OR(V2277="Aprobada con ajuste",V2277="Rechazada"),W2277&lt;&gt;""),W2277,""))</f>
        <v/>
      </c>
    </row>
    <row r="2278" customFormat="false" ht="43.25" hidden="false" customHeight="false" outlineLevel="0" collapsed="false">
      <c r="A2278" s="18" t="s">
        <v>9553</v>
      </c>
      <c r="B2278" s="18" t="s">
        <v>66</v>
      </c>
      <c r="C2278" s="18" t="s">
        <v>67</v>
      </c>
      <c r="D2278" s="18" t="s">
        <v>9535</v>
      </c>
      <c r="E2278" s="18" t="n">
        <v>25</v>
      </c>
      <c r="F2278" s="18" t="s">
        <v>9554</v>
      </c>
      <c r="G2278" s="18" t="s">
        <v>180</v>
      </c>
      <c r="H2278" s="18" t="s">
        <v>129</v>
      </c>
      <c r="I2278" s="18"/>
      <c r="J2278" s="18"/>
      <c r="K2278" s="18"/>
      <c r="L2278" s="18" t="s">
        <v>129</v>
      </c>
      <c r="M2278" s="18" t="s">
        <v>129</v>
      </c>
      <c r="N2278" s="18"/>
      <c r="O2278" s="18"/>
      <c r="P2278" s="18" t="s">
        <v>9555</v>
      </c>
      <c r="Q2278" s="18" t="s">
        <v>138</v>
      </c>
      <c r="R2278" s="18" t="s">
        <v>7668</v>
      </c>
      <c r="S2278" s="18" t="s">
        <v>140</v>
      </c>
      <c r="T2278" s="18" t="s">
        <v>141</v>
      </c>
      <c r="U2278" s="18"/>
      <c r="V2278" s="19" t="s">
        <v>29</v>
      </c>
      <c r="W2278" s="19"/>
      <c r="X2278" s="19"/>
      <c r="Y2278" s="20"/>
      <c r="Z2278" s="19"/>
      <c r="AA2278" s="18" t="str">
        <f aca="false">IF(OR(V2278="Aprobada"),R2278,IF(AND(OR(V2278="Aprobada con ajuste",V2278="Rechazada"),W2278&lt;&gt;""),W2278,""))</f>
        <v/>
      </c>
    </row>
    <row r="2279" customFormat="false" ht="43.25" hidden="false" customHeight="false" outlineLevel="0" collapsed="false">
      <c r="A2279" s="18" t="s">
        <v>9556</v>
      </c>
      <c r="B2279" s="18" t="s">
        <v>66</v>
      </c>
      <c r="C2279" s="18" t="s">
        <v>67</v>
      </c>
      <c r="D2279" s="18" t="s">
        <v>9535</v>
      </c>
      <c r="E2279" s="18" t="n">
        <v>25</v>
      </c>
      <c r="F2279" s="18" t="s">
        <v>9557</v>
      </c>
      <c r="G2279" s="18" t="s">
        <v>3172</v>
      </c>
      <c r="H2279" s="18" t="s">
        <v>162</v>
      </c>
      <c r="I2279" s="18"/>
      <c r="J2279" s="18"/>
      <c r="K2279" s="18"/>
      <c r="L2279" s="18" t="s">
        <v>129</v>
      </c>
      <c r="M2279" s="18" t="s">
        <v>129</v>
      </c>
      <c r="N2279" s="18"/>
      <c r="O2279" s="18"/>
      <c r="P2279" s="18" t="s">
        <v>9558</v>
      </c>
      <c r="Q2279" s="18" t="s">
        <v>149</v>
      </c>
      <c r="R2279" s="18" t="s">
        <v>9559</v>
      </c>
      <c r="S2279" s="18" t="s">
        <v>140</v>
      </c>
      <c r="T2279" s="18" t="s">
        <v>3165</v>
      </c>
      <c r="U2279" s="18" t="s">
        <v>9077</v>
      </c>
      <c r="V2279" s="19" t="s">
        <v>29</v>
      </c>
      <c r="W2279" s="19"/>
      <c r="X2279" s="19"/>
      <c r="Y2279" s="20"/>
      <c r="Z2279" s="19"/>
      <c r="AA2279" s="18" t="str">
        <f aca="false">IF(OR(V2279="Aprobada"),R2279,IF(AND(OR(V2279="Aprobada con ajuste",V2279="Rechazada"),W2279&lt;&gt;""),W2279,""))</f>
        <v/>
      </c>
    </row>
    <row r="2280" customFormat="false" ht="53.7" hidden="false" customHeight="false" outlineLevel="0" collapsed="false">
      <c r="A2280" s="18" t="s">
        <v>9560</v>
      </c>
      <c r="B2280" s="18" t="s">
        <v>66</v>
      </c>
      <c r="C2280" s="18" t="s">
        <v>67</v>
      </c>
      <c r="D2280" s="18" t="s">
        <v>9535</v>
      </c>
      <c r="E2280" s="18" t="n">
        <v>25</v>
      </c>
      <c r="F2280" s="18" t="s">
        <v>3036</v>
      </c>
      <c r="G2280" s="18" t="s">
        <v>128</v>
      </c>
      <c r="H2280" s="18" t="s">
        <v>162</v>
      </c>
      <c r="I2280" s="18"/>
      <c r="J2280" s="18"/>
      <c r="K2280" s="18"/>
      <c r="L2280" s="18" t="s">
        <v>129</v>
      </c>
      <c r="M2280" s="18" t="s">
        <v>129</v>
      </c>
      <c r="N2280" s="18"/>
      <c r="O2280" s="18"/>
      <c r="P2280" s="18" t="s">
        <v>9561</v>
      </c>
      <c r="Q2280" s="18" t="s">
        <v>149</v>
      </c>
      <c r="R2280" s="18" t="s">
        <v>9562</v>
      </c>
      <c r="S2280" s="18" t="s">
        <v>133</v>
      </c>
      <c r="T2280" s="18" t="s">
        <v>9563</v>
      </c>
      <c r="U2280" s="18"/>
      <c r="V2280" s="19" t="s">
        <v>29</v>
      </c>
      <c r="W2280" s="19"/>
      <c r="X2280" s="19"/>
      <c r="Y2280" s="20"/>
      <c r="Z2280" s="19"/>
      <c r="AA2280" s="18" t="str">
        <f aca="false">IF(OR(V2280="Aprobada"),R2280,IF(AND(OR(V2280="Aprobada con ajuste",V2280="Rechazada"),W2280&lt;&gt;""),W2280,""))</f>
        <v/>
      </c>
    </row>
    <row r="2281" customFormat="false" ht="43.25" hidden="false" customHeight="false" outlineLevel="0" collapsed="false">
      <c r="A2281" s="18" t="s">
        <v>9564</v>
      </c>
      <c r="B2281" s="18" t="s">
        <v>66</v>
      </c>
      <c r="C2281" s="18" t="s">
        <v>67</v>
      </c>
      <c r="D2281" s="18" t="s">
        <v>9565</v>
      </c>
      <c r="E2281" s="18" t="n">
        <v>0</v>
      </c>
      <c r="F2281" s="18" t="s">
        <v>9566</v>
      </c>
      <c r="G2281" s="18" t="s">
        <v>503</v>
      </c>
      <c r="H2281" s="18" t="s">
        <v>162</v>
      </c>
      <c r="I2281" s="18"/>
      <c r="J2281" s="18"/>
      <c r="K2281" s="18"/>
      <c r="L2281" s="18" t="s">
        <v>129</v>
      </c>
      <c r="M2281" s="18" t="s">
        <v>129</v>
      </c>
      <c r="N2281" s="18"/>
      <c r="O2281" s="18"/>
      <c r="P2281" s="18" t="s">
        <v>9567</v>
      </c>
      <c r="Q2281" s="18" t="s">
        <v>149</v>
      </c>
      <c r="R2281" s="18" t="s">
        <v>9568</v>
      </c>
      <c r="S2281" s="18" t="s">
        <v>133</v>
      </c>
      <c r="T2281" s="18" t="s">
        <v>9569</v>
      </c>
      <c r="U2281" s="18"/>
      <c r="V2281" s="19" t="s">
        <v>29</v>
      </c>
      <c r="W2281" s="19"/>
      <c r="X2281" s="19"/>
      <c r="Y2281" s="20"/>
      <c r="Z2281" s="19"/>
      <c r="AA2281" s="18" t="str">
        <f aca="false">IF(OR(V2281="Aprobada"),R2281,IF(AND(OR(V2281="Aprobada con ajuste",V2281="Rechazada"),W2281&lt;&gt;""),W2281,""))</f>
        <v/>
      </c>
    </row>
    <row r="2282" customFormat="false" ht="43.25" hidden="false" customHeight="false" outlineLevel="0" collapsed="false">
      <c r="A2282" s="18" t="s">
        <v>9570</v>
      </c>
      <c r="B2282" s="18" t="s">
        <v>66</v>
      </c>
      <c r="C2282" s="18" t="s">
        <v>67</v>
      </c>
      <c r="D2282" s="18" t="s">
        <v>9565</v>
      </c>
      <c r="E2282" s="18" t="n">
        <v>0</v>
      </c>
      <c r="F2282" s="18" t="s">
        <v>9571</v>
      </c>
      <c r="G2282" s="18" t="s">
        <v>145</v>
      </c>
      <c r="H2282" s="18" t="s">
        <v>162</v>
      </c>
      <c r="I2282" s="18" t="s">
        <v>298</v>
      </c>
      <c r="J2282" s="18" t="s">
        <v>9572</v>
      </c>
      <c r="K2282" s="18"/>
      <c r="L2282" s="18" t="s">
        <v>162</v>
      </c>
      <c r="M2282" s="18" t="s">
        <v>129</v>
      </c>
      <c r="N2282" s="18"/>
      <c r="O2282" s="18" t="s">
        <v>9573</v>
      </c>
      <c r="P2282" s="18" t="s">
        <v>9574</v>
      </c>
      <c r="Q2282" s="18" t="s">
        <v>149</v>
      </c>
      <c r="R2282" s="18" t="s">
        <v>9575</v>
      </c>
      <c r="S2282" s="18" t="s">
        <v>133</v>
      </c>
      <c r="T2282" s="18" t="s">
        <v>801</v>
      </c>
      <c r="U2282" s="18"/>
      <c r="V2282" s="19" t="s">
        <v>29</v>
      </c>
      <c r="W2282" s="19"/>
      <c r="X2282" s="19"/>
      <c r="Y2282" s="20"/>
      <c r="Z2282" s="19"/>
      <c r="AA2282" s="18" t="str">
        <f aca="false">IF(OR(V2282="Aprobada"),R2282,IF(AND(OR(V2282="Aprobada con ajuste",V2282="Rechazada"),W2282&lt;&gt;""),W2282,""))</f>
        <v/>
      </c>
    </row>
    <row r="2283" customFormat="false" ht="43.25" hidden="false" customHeight="false" outlineLevel="0" collapsed="false">
      <c r="A2283" s="18" t="s">
        <v>9576</v>
      </c>
      <c r="B2283" s="18" t="s">
        <v>66</v>
      </c>
      <c r="C2283" s="18" t="s">
        <v>67</v>
      </c>
      <c r="D2283" s="18" t="s">
        <v>9565</v>
      </c>
      <c r="E2283" s="18" t="n">
        <v>0</v>
      </c>
      <c r="F2283" s="18" t="s">
        <v>9577</v>
      </c>
      <c r="G2283" s="18" t="s">
        <v>173</v>
      </c>
      <c r="H2283" s="18" t="s">
        <v>162</v>
      </c>
      <c r="I2283" s="18" t="s">
        <v>298</v>
      </c>
      <c r="J2283" s="18"/>
      <c r="K2283" s="18"/>
      <c r="L2283" s="18" t="s">
        <v>129</v>
      </c>
      <c r="M2283" s="18" t="s">
        <v>129</v>
      </c>
      <c r="N2283" s="18"/>
      <c r="O2283" s="18"/>
      <c r="P2283" s="18" t="s">
        <v>9578</v>
      </c>
      <c r="Q2283" s="18" t="s">
        <v>138</v>
      </c>
      <c r="R2283" s="18" t="s">
        <v>9579</v>
      </c>
      <c r="S2283" s="18" t="s">
        <v>140</v>
      </c>
      <c r="T2283" s="18" t="s">
        <v>141</v>
      </c>
      <c r="U2283" s="18"/>
      <c r="V2283" s="19" t="s">
        <v>29</v>
      </c>
      <c r="W2283" s="19"/>
      <c r="X2283" s="19"/>
      <c r="Y2283" s="20"/>
      <c r="Z2283" s="19"/>
      <c r="AA2283" s="18" t="str">
        <f aca="false">IF(OR(V2283="Aprobada"),R2283,IF(AND(OR(V2283="Aprobada con ajuste",V2283="Rechazada"),W2283&lt;&gt;""),W2283,""))</f>
        <v/>
      </c>
    </row>
    <row r="2284" customFormat="false" ht="53.7" hidden="false" customHeight="false" outlineLevel="0" collapsed="false">
      <c r="A2284" s="18" t="s">
        <v>9580</v>
      </c>
      <c r="B2284" s="18" t="s">
        <v>66</v>
      </c>
      <c r="C2284" s="18" t="s">
        <v>67</v>
      </c>
      <c r="D2284" s="18" t="s">
        <v>9565</v>
      </c>
      <c r="E2284" s="18" t="n">
        <v>0</v>
      </c>
      <c r="F2284" s="18" t="s">
        <v>9480</v>
      </c>
      <c r="G2284" s="18" t="s">
        <v>317</v>
      </c>
      <c r="H2284" s="18" t="s">
        <v>162</v>
      </c>
      <c r="I2284" s="18"/>
      <c r="J2284" s="18"/>
      <c r="K2284" s="18"/>
      <c r="L2284" s="18" t="s">
        <v>129</v>
      </c>
      <c r="M2284" s="18" t="s">
        <v>129</v>
      </c>
      <c r="N2284" s="18"/>
      <c r="O2284" s="18"/>
      <c r="P2284" s="18" t="s">
        <v>9581</v>
      </c>
      <c r="Q2284" s="18" t="s">
        <v>138</v>
      </c>
      <c r="R2284" s="18" t="s">
        <v>9482</v>
      </c>
      <c r="S2284" s="18" t="s">
        <v>140</v>
      </c>
      <c r="T2284" s="18" t="s">
        <v>141</v>
      </c>
      <c r="U2284" s="18"/>
      <c r="V2284" s="19" t="s">
        <v>29</v>
      </c>
      <c r="W2284" s="19"/>
      <c r="X2284" s="19"/>
      <c r="Y2284" s="20"/>
      <c r="Z2284" s="19"/>
      <c r="AA2284" s="18" t="str">
        <f aca="false">IF(OR(V2284="Aprobada"),R2284,IF(AND(OR(V2284="Aprobada con ajuste",V2284="Rechazada"),W2284&lt;&gt;""),W2284,""))</f>
        <v/>
      </c>
    </row>
    <row r="2285" customFormat="false" ht="43.25" hidden="false" customHeight="false" outlineLevel="0" collapsed="false">
      <c r="A2285" s="18" t="s">
        <v>9582</v>
      </c>
      <c r="B2285" s="18" t="s">
        <v>68</v>
      </c>
      <c r="C2285" s="18" t="s">
        <v>69</v>
      </c>
      <c r="D2285" s="18" t="s">
        <v>9583</v>
      </c>
      <c r="E2285" s="18" t="n">
        <v>117</v>
      </c>
      <c r="F2285" s="18" t="s">
        <v>127</v>
      </c>
      <c r="G2285" s="18" t="s">
        <v>9584</v>
      </c>
      <c r="H2285" s="18" t="s">
        <v>129</v>
      </c>
      <c r="I2285" s="18" t="s">
        <v>5921</v>
      </c>
      <c r="J2285" s="18" t="s">
        <v>9585</v>
      </c>
      <c r="K2285" s="18"/>
      <c r="L2285" s="18" t="s">
        <v>162</v>
      </c>
      <c r="M2285" s="18" t="s">
        <v>129</v>
      </c>
      <c r="N2285" s="18"/>
      <c r="O2285" s="18"/>
      <c r="P2285" s="18" t="s">
        <v>9586</v>
      </c>
      <c r="Q2285" s="18" t="s">
        <v>138</v>
      </c>
      <c r="R2285" s="18" t="s">
        <v>9587</v>
      </c>
      <c r="S2285" s="18" t="s">
        <v>140</v>
      </c>
      <c r="T2285" s="18" t="s">
        <v>141</v>
      </c>
      <c r="U2285" s="18"/>
      <c r="V2285" s="19" t="s">
        <v>29</v>
      </c>
      <c r="W2285" s="19"/>
      <c r="X2285" s="19"/>
      <c r="Y2285" s="20"/>
      <c r="Z2285" s="19"/>
      <c r="AA2285" s="18" t="str">
        <f aca="false">IF(OR(V2285="Aprobada"),R2285,IF(AND(OR(V2285="Aprobada con ajuste",V2285="Rechazada"),W2285&lt;&gt;""),W2285,""))</f>
        <v/>
      </c>
    </row>
    <row r="2286" customFormat="false" ht="22.35" hidden="false" customHeight="false" outlineLevel="0" collapsed="false">
      <c r="A2286" s="18" t="s">
        <v>9588</v>
      </c>
      <c r="B2286" s="18" t="s">
        <v>68</v>
      </c>
      <c r="C2286" s="18" t="s">
        <v>69</v>
      </c>
      <c r="D2286" s="18" t="s">
        <v>9583</v>
      </c>
      <c r="E2286" s="18" t="n">
        <v>117</v>
      </c>
      <c r="F2286" s="18" t="s">
        <v>5569</v>
      </c>
      <c r="G2286" s="18" t="s">
        <v>454</v>
      </c>
      <c r="H2286" s="18" t="s">
        <v>129</v>
      </c>
      <c r="I2286" s="18"/>
      <c r="J2286" s="18"/>
      <c r="K2286" s="18"/>
      <c r="L2286" s="18" t="s">
        <v>129</v>
      </c>
      <c r="M2286" s="18" t="s">
        <v>129</v>
      </c>
      <c r="N2286" s="18"/>
      <c r="O2286" s="18"/>
      <c r="P2286" s="18" t="s">
        <v>9589</v>
      </c>
      <c r="Q2286" s="18" t="s">
        <v>149</v>
      </c>
      <c r="R2286" s="18" t="s">
        <v>9590</v>
      </c>
      <c r="S2286" s="18" t="s">
        <v>140</v>
      </c>
      <c r="T2286" s="18" t="s">
        <v>183</v>
      </c>
      <c r="U2286" s="18" t="s">
        <v>9591</v>
      </c>
      <c r="V2286" s="19" t="s">
        <v>29</v>
      </c>
      <c r="W2286" s="19"/>
      <c r="X2286" s="19"/>
      <c r="Y2286" s="20"/>
      <c r="Z2286" s="19"/>
      <c r="AA2286" s="18" t="str">
        <f aca="false">IF(OR(V2286="Aprobada"),R2286,IF(AND(OR(V2286="Aprobada con ajuste",V2286="Rechazada"),W2286&lt;&gt;""),W2286,""))</f>
        <v/>
      </c>
    </row>
    <row r="2287" customFormat="false" ht="22.35" hidden="false" customHeight="false" outlineLevel="0" collapsed="false">
      <c r="A2287" s="18" t="s">
        <v>9592</v>
      </c>
      <c r="B2287" s="18" t="s">
        <v>68</v>
      </c>
      <c r="C2287" s="18" t="s">
        <v>69</v>
      </c>
      <c r="D2287" s="18" t="s">
        <v>9583</v>
      </c>
      <c r="E2287" s="18" t="n">
        <v>117</v>
      </c>
      <c r="F2287" s="18" t="s">
        <v>4478</v>
      </c>
      <c r="G2287" s="18" t="s">
        <v>161</v>
      </c>
      <c r="H2287" s="18" t="s">
        <v>162</v>
      </c>
      <c r="I2287" s="18"/>
      <c r="J2287" s="18"/>
      <c r="K2287" s="18"/>
      <c r="L2287" s="18" t="s">
        <v>129</v>
      </c>
      <c r="M2287" s="18" t="s">
        <v>129</v>
      </c>
      <c r="N2287" s="18"/>
      <c r="O2287" s="18"/>
      <c r="P2287" s="18" t="s">
        <v>9593</v>
      </c>
      <c r="Q2287" s="18" t="s">
        <v>149</v>
      </c>
      <c r="R2287" s="18" t="s">
        <v>9594</v>
      </c>
      <c r="S2287" s="18" t="s">
        <v>133</v>
      </c>
      <c r="T2287" s="18" t="s">
        <v>183</v>
      </c>
      <c r="U2287" s="18"/>
      <c r="V2287" s="19" t="s">
        <v>29</v>
      </c>
      <c r="W2287" s="19"/>
      <c r="X2287" s="19"/>
      <c r="Y2287" s="20"/>
      <c r="Z2287" s="19"/>
      <c r="AA2287" s="18" t="str">
        <f aca="false">IF(OR(V2287="Aprobada"),R2287,IF(AND(OR(V2287="Aprobada con ajuste",V2287="Rechazada"),W2287&lt;&gt;""),W2287,""))</f>
        <v/>
      </c>
    </row>
    <row r="2288" customFormat="false" ht="22.35" hidden="false" customHeight="false" outlineLevel="0" collapsed="false">
      <c r="A2288" s="18" t="s">
        <v>9595</v>
      </c>
      <c r="B2288" s="18" t="s">
        <v>68</v>
      </c>
      <c r="C2288" s="18" t="s">
        <v>69</v>
      </c>
      <c r="D2288" s="18" t="s">
        <v>9583</v>
      </c>
      <c r="E2288" s="18" t="n">
        <v>117</v>
      </c>
      <c r="F2288" s="18" t="s">
        <v>1918</v>
      </c>
      <c r="G2288" s="18" t="s">
        <v>128</v>
      </c>
      <c r="H2288" s="18" t="s">
        <v>162</v>
      </c>
      <c r="I2288" s="18"/>
      <c r="J2288" s="18"/>
      <c r="K2288" s="18"/>
      <c r="L2288" s="18" t="s">
        <v>129</v>
      </c>
      <c r="M2288" s="18" t="s">
        <v>129</v>
      </c>
      <c r="N2288" s="18"/>
      <c r="O2288" s="18"/>
      <c r="P2288" s="18" t="s">
        <v>9596</v>
      </c>
      <c r="Q2288" s="18" t="s">
        <v>149</v>
      </c>
      <c r="R2288" s="18" t="s">
        <v>9597</v>
      </c>
      <c r="S2288" s="18" t="s">
        <v>133</v>
      </c>
      <c r="T2288" s="18" t="s">
        <v>183</v>
      </c>
      <c r="U2288" s="18"/>
      <c r="V2288" s="19" t="s">
        <v>29</v>
      </c>
      <c r="W2288" s="19"/>
      <c r="X2288" s="19"/>
      <c r="Y2288" s="20"/>
      <c r="Z2288" s="19"/>
      <c r="AA2288" s="18" t="str">
        <f aca="false">IF(OR(V2288="Aprobada"),R2288,IF(AND(OR(V2288="Aprobada con ajuste",V2288="Rechazada"),W2288&lt;&gt;""),W2288,""))</f>
        <v/>
      </c>
    </row>
    <row r="2289" customFormat="false" ht="43.25" hidden="false" customHeight="false" outlineLevel="0" collapsed="false">
      <c r="A2289" s="18" t="s">
        <v>9598</v>
      </c>
      <c r="B2289" s="18" t="s">
        <v>68</v>
      </c>
      <c r="C2289" s="18" t="s">
        <v>69</v>
      </c>
      <c r="D2289" s="18" t="s">
        <v>9583</v>
      </c>
      <c r="E2289" s="18" t="n">
        <v>117</v>
      </c>
      <c r="F2289" s="18" t="s">
        <v>185</v>
      </c>
      <c r="G2289" s="18" t="s">
        <v>9599</v>
      </c>
      <c r="H2289" s="18" t="s">
        <v>129</v>
      </c>
      <c r="I2289" s="18" t="s">
        <v>5921</v>
      </c>
      <c r="J2289" s="18" t="s">
        <v>9600</v>
      </c>
      <c r="K2289" s="18"/>
      <c r="L2289" s="18" t="s">
        <v>162</v>
      </c>
      <c r="M2289" s="18" t="s">
        <v>129</v>
      </c>
      <c r="N2289" s="18"/>
      <c r="O2289" s="18" t="s">
        <v>9601</v>
      </c>
      <c r="P2289" s="18" t="s">
        <v>9602</v>
      </c>
      <c r="Q2289" s="18" t="s">
        <v>138</v>
      </c>
      <c r="R2289" s="18" t="s">
        <v>9603</v>
      </c>
      <c r="S2289" s="18" t="s">
        <v>140</v>
      </c>
      <c r="T2289" s="18" t="s">
        <v>141</v>
      </c>
      <c r="U2289" s="18"/>
      <c r="V2289" s="19" t="s">
        <v>29</v>
      </c>
      <c r="W2289" s="19"/>
      <c r="X2289" s="19"/>
      <c r="Y2289" s="20"/>
      <c r="Z2289" s="19"/>
      <c r="AA2289" s="18" t="str">
        <f aca="false">IF(OR(V2289="Aprobada"),R2289,IF(AND(OR(V2289="Aprobada con ajuste",V2289="Rechazada"),W2289&lt;&gt;""),W2289,""))</f>
        <v/>
      </c>
    </row>
    <row r="2290" customFormat="false" ht="43.25" hidden="false" customHeight="false" outlineLevel="0" collapsed="false">
      <c r="A2290" s="18" t="s">
        <v>9604</v>
      </c>
      <c r="B2290" s="18" t="s">
        <v>68</v>
      </c>
      <c r="C2290" s="18" t="s">
        <v>69</v>
      </c>
      <c r="D2290" s="18" t="s">
        <v>9583</v>
      </c>
      <c r="E2290" s="18" t="n">
        <v>117</v>
      </c>
      <c r="F2290" s="18" t="s">
        <v>3424</v>
      </c>
      <c r="G2290" s="18" t="s">
        <v>317</v>
      </c>
      <c r="H2290" s="18" t="s">
        <v>129</v>
      </c>
      <c r="I2290" s="18"/>
      <c r="J2290" s="18"/>
      <c r="K2290" s="18"/>
      <c r="L2290" s="18" t="s">
        <v>129</v>
      </c>
      <c r="M2290" s="18" t="s">
        <v>129</v>
      </c>
      <c r="N2290" s="18"/>
      <c r="O2290" s="18" t="s">
        <v>9605</v>
      </c>
      <c r="P2290" s="18" t="s">
        <v>9606</v>
      </c>
      <c r="Q2290" s="18" t="s">
        <v>138</v>
      </c>
      <c r="R2290" s="18" t="s">
        <v>3425</v>
      </c>
      <c r="S2290" s="18" t="s">
        <v>140</v>
      </c>
      <c r="T2290" s="18" t="s">
        <v>141</v>
      </c>
      <c r="U2290" s="18"/>
      <c r="V2290" s="19" t="s">
        <v>29</v>
      </c>
      <c r="W2290" s="19"/>
      <c r="X2290" s="19"/>
      <c r="Y2290" s="20"/>
      <c r="Z2290" s="19"/>
      <c r="AA2290" s="18" t="str">
        <f aca="false">IF(OR(V2290="Aprobada"),R2290,IF(AND(OR(V2290="Aprobada con ajuste",V2290="Rechazada"),W2290&lt;&gt;""),W2290,""))</f>
        <v/>
      </c>
    </row>
    <row r="2291" customFormat="false" ht="32.8" hidden="false" customHeight="false" outlineLevel="0" collapsed="false">
      <c r="A2291" s="18" t="s">
        <v>9607</v>
      </c>
      <c r="B2291" s="18" t="s">
        <v>68</v>
      </c>
      <c r="C2291" s="18" t="s">
        <v>69</v>
      </c>
      <c r="D2291" s="18" t="s">
        <v>9583</v>
      </c>
      <c r="E2291" s="18" t="n">
        <v>117</v>
      </c>
      <c r="F2291" s="18" t="s">
        <v>8576</v>
      </c>
      <c r="G2291" s="18" t="s">
        <v>317</v>
      </c>
      <c r="H2291" s="18" t="s">
        <v>162</v>
      </c>
      <c r="I2291" s="18"/>
      <c r="J2291" s="18"/>
      <c r="K2291" s="18"/>
      <c r="L2291" s="18" t="s">
        <v>129</v>
      </c>
      <c r="M2291" s="18" t="s">
        <v>129</v>
      </c>
      <c r="N2291" s="18"/>
      <c r="O2291" s="18"/>
      <c r="P2291" s="18" t="s">
        <v>9608</v>
      </c>
      <c r="Q2291" s="18" t="s">
        <v>131</v>
      </c>
      <c r="R2291" s="18" t="s">
        <v>9609</v>
      </c>
      <c r="S2291" s="18" t="s">
        <v>133</v>
      </c>
      <c r="T2291" s="18" t="s">
        <v>9610</v>
      </c>
      <c r="U2291" s="18"/>
      <c r="V2291" s="19" t="s">
        <v>29</v>
      </c>
      <c r="W2291" s="19"/>
      <c r="X2291" s="19"/>
      <c r="Y2291" s="20"/>
      <c r="Z2291" s="19"/>
      <c r="AA2291" s="18" t="str">
        <f aca="false">IF(OR(V2291="Aprobada"),R2291,IF(AND(OR(V2291="Aprobada con ajuste",V2291="Rechazada"),W2291&lt;&gt;""),W2291,""))</f>
        <v/>
      </c>
    </row>
    <row r="2292" customFormat="false" ht="32.8" hidden="false" customHeight="false" outlineLevel="0" collapsed="false">
      <c r="A2292" s="18" t="s">
        <v>9611</v>
      </c>
      <c r="B2292" s="18" t="s">
        <v>68</v>
      </c>
      <c r="C2292" s="18" t="s">
        <v>69</v>
      </c>
      <c r="D2292" s="18" t="s">
        <v>9583</v>
      </c>
      <c r="E2292" s="18" t="n">
        <v>117</v>
      </c>
      <c r="F2292" s="18" t="s">
        <v>9612</v>
      </c>
      <c r="G2292" s="18" t="s">
        <v>128</v>
      </c>
      <c r="H2292" s="18" t="s">
        <v>162</v>
      </c>
      <c r="I2292" s="18"/>
      <c r="J2292" s="18"/>
      <c r="K2292" s="18"/>
      <c r="L2292" s="18" t="s">
        <v>129</v>
      </c>
      <c r="M2292" s="18" t="s">
        <v>129</v>
      </c>
      <c r="N2292" s="18"/>
      <c r="O2292" s="18"/>
      <c r="P2292" s="18" t="s">
        <v>9613</v>
      </c>
      <c r="Q2292" s="18" t="s">
        <v>131</v>
      </c>
      <c r="R2292" s="18" t="s">
        <v>9614</v>
      </c>
      <c r="S2292" s="18" t="s">
        <v>133</v>
      </c>
      <c r="T2292" s="18" t="s">
        <v>9615</v>
      </c>
      <c r="U2292" s="18"/>
      <c r="V2292" s="19" t="s">
        <v>29</v>
      </c>
      <c r="W2292" s="19"/>
      <c r="X2292" s="19"/>
      <c r="Y2292" s="20"/>
      <c r="Z2292" s="19"/>
      <c r="AA2292" s="18" t="str">
        <f aca="false">IF(OR(V2292="Aprobada"),R2292,IF(AND(OR(V2292="Aprobada con ajuste",V2292="Rechazada"),W2292&lt;&gt;""),W2292,""))</f>
        <v/>
      </c>
    </row>
    <row r="2293" customFormat="false" ht="32.8" hidden="false" customHeight="false" outlineLevel="0" collapsed="false">
      <c r="A2293" s="18" t="s">
        <v>9616</v>
      </c>
      <c r="B2293" s="18" t="s">
        <v>68</v>
      </c>
      <c r="C2293" s="18" t="s">
        <v>69</v>
      </c>
      <c r="D2293" s="18" t="s">
        <v>9583</v>
      </c>
      <c r="E2293" s="18" t="n">
        <v>117</v>
      </c>
      <c r="F2293" s="18" t="s">
        <v>9617</v>
      </c>
      <c r="G2293" s="18" t="s">
        <v>312</v>
      </c>
      <c r="H2293" s="18" t="s">
        <v>162</v>
      </c>
      <c r="I2293" s="18"/>
      <c r="J2293" s="18"/>
      <c r="K2293" s="18"/>
      <c r="L2293" s="18" t="s">
        <v>129</v>
      </c>
      <c r="M2293" s="18" t="s">
        <v>129</v>
      </c>
      <c r="N2293" s="18"/>
      <c r="O2293" s="18"/>
      <c r="P2293" s="18" t="s">
        <v>9618</v>
      </c>
      <c r="Q2293" s="18" t="s">
        <v>131</v>
      </c>
      <c r="R2293" s="18" t="s">
        <v>9619</v>
      </c>
      <c r="S2293" s="18" t="s">
        <v>140</v>
      </c>
      <c r="T2293" s="18" t="s">
        <v>9620</v>
      </c>
      <c r="U2293" s="18" t="s">
        <v>9621</v>
      </c>
      <c r="V2293" s="19" t="s">
        <v>29</v>
      </c>
      <c r="W2293" s="19"/>
      <c r="X2293" s="19"/>
      <c r="Y2293" s="20"/>
      <c r="Z2293" s="19"/>
      <c r="AA2293" s="18" t="str">
        <f aca="false">IF(OR(V2293="Aprobada"),R2293,IF(AND(OR(V2293="Aprobada con ajuste",V2293="Rechazada"),W2293&lt;&gt;""),W2293,""))</f>
        <v/>
      </c>
    </row>
    <row r="2294" customFormat="false" ht="43.25" hidden="false" customHeight="false" outlineLevel="0" collapsed="false">
      <c r="A2294" s="18" t="s">
        <v>9622</v>
      </c>
      <c r="B2294" s="18" t="s">
        <v>68</v>
      </c>
      <c r="C2294" s="18" t="s">
        <v>69</v>
      </c>
      <c r="D2294" s="18" t="s">
        <v>9623</v>
      </c>
      <c r="E2294" s="18" t="n">
        <v>244</v>
      </c>
      <c r="F2294" s="18" t="s">
        <v>9624</v>
      </c>
      <c r="G2294" s="18" t="s">
        <v>312</v>
      </c>
      <c r="H2294" s="18" t="s">
        <v>162</v>
      </c>
      <c r="I2294" s="18"/>
      <c r="J2294" s="18"/>
      <c r="K2294" s="18"/>
      <c r="L2294" s="18" t="s">
        <v>129</v>
      </c>
      <c r="M2294" s="18" t="s">
        <v>129</v>
      </c>
      <c r="N2294" s="18"/>
      <c r="O2294" s="18" t="s">
        <v>9625</v>
      </c>
      <c r="P2294" s="18"/>
      <c r="Q2294" s="18" t="s">
        <v>149</v>
      </c>
      <c r="R2294" s="18" t="s">
        <v>9626</v>
      </c>
      <c r="S2294" s="18" t="s">
        <v>140</v>
      </c>
      <c r="T2294" s="18" t="s">
        <v>183</v>
      </c>
      <c r="U2294" s="18" t="s">
        <v>9627</v>
      </c>
      <c r="V2294" s="19" t="s">
        <v>29</v>
      </c>
      <c r="W2294" s="19"/>
      <c r="X2294" s="19"/>
      <c r="Y2294" s="20"/>
      <c r="Z2294" s="19"/>
      <c r="AA2294" s="18" t="str">
        <f aca="false">IF(OR(V2294="Aprobada"),R2294,IF(AND(OR(V2294="Aprobada con ajuste",V2294="Rechazada"),W2294&lt;&gt;""),W2294,""))</f>
        <v/>
      </c>
    </row>
    <row r="2295" customFormat="false" ht="22.35" hidden="false" customHeight="false" outlineLevel="0" collapsed="false">
      <c r="A2295" s="18" t="s">
        <v>9628</v>
      </c>
      <c r="B2295" s="18" t="s">
        <v>68</v>
      </c>
      <c r="C2295" s="18" t="s">
        <v>69</v>
      </c>
      <c r="D2295" s="18" t="s">
        <v>9623</v>
      </c>
      <c r="E2295" s="18" t="n">
        <v>244</v>
      </c>
      <c r="F2295" s="18" t="s">
        <v>3176</v>
      </c>
      <c r="G2295" s="18" t="s">
        <v>128</v>
      </c>
      <c r="H2295" s="18" t="s">
        <v>129</v>
      </c>
      <c r="I2295" s="18"/>
      <c r="J2295" s="18"/>
      <c r="K2295" s="18"/>
      <c r="L2295" s="18" t="s">
        <v>129</v>
      </c>
      <c r="M2295" s="18" t="s">
        <v>129</v>
      </c>
      <c r="N2295" s="18"/>
      <c r="O2295" s="18"/>
      <c r="P2295" s="18" t="s">
        <v>9629</v>
      </c>
      <c r="Q2295" s="18" t="s">
        <v>149</v>
      </c>
      <c r="R2295" s="18" t="s">
        <v>9630</v>
      </c>
      <c r="S2295" s="18" t="s">
        <v>140</v>
      </c>
      <c r="T2295" s="18" t="s">
        <v>183</v>
      </c>
      <c r="U2295" s="18" t="s">
        <v>9631</v>
      </c>
      <c r="V2295" s="19" t="s">
        <v>29</v>
      </c>
      <c r="W2295" s="19"/>
      <c r="X2295" s="19"/>
      <c r="Y2295" s="20"/>
      <c r="Z2295" s="19"/>
      <c r="AA2295" s="18" t="str">
        <f aca="false">IF(OR(V2295="Aprobada"),R2295,IF(AND(OR(V2295="Aprobada con ajuste",V2295="Rechazada"),W2295&lt;&gt;""),W2295,""))</f>
        <v/>
      </c>
    </row>
    <row r="2296" customFormat="false" ht="22.35" hidden="false" customHeight="false" outlineLevel="0" collapsed="false">
      <c r="A2296" s="18" t="s">
        <v>9632</v>
      </c>
      <c r="B2296" s="18" t="s">
        <v>68</v>
      </c>
      <c r="C2296" s="18" t="s">
        <v>69</v>
      </c>
      <c r="D2296" s="18" t="s">
        <v>9623</v>
      </c>
      <c r="E2296" s="18" t="n">
        <v>244</v>
      </c>
      <c r="F2296" s="18" t="s">
        <v>9633</v>
      </c>
      <c r="G2296" s="18" t="s">
        <v>503</v>
      </c>
      <c r="H2296" s="18" t="s">
        <v>129</v>
      </c>
      <c r="I2296" s="18"/>
      <c r="J2296" s="18"/>
      <c r="K2296" s="18"/>
      <c r="L2296" s="18" t="s">
        <v>129</v>
      </c>
      <c r="M2296" s="18" t="s">
        <v>129</v>
      </c>
      <c r="N2296" s="18"/>
      <c r="O2296" s="18" t="s">
        <v>9634</v>
      </c>
      <c r="P2296" s="18" t="s">
        <v>9635</v>
      </c>
      <c r="Q2296" s="18" t="s">
        <v>149</v>
      </c>
      <c r="R2296" s="18" t="s">
        <v>9636</v>
      </c>
      <c r="S2296" s="18" t="s">
        <v>133</v>
      </c>
      <c r="T2296" s="18" t="s">
        <v>183</v>
      </c>
      <c r="U2296" s="18"/>
      <c r="V2296" s="19" t="s">
        <v>29</v>
      </c>
      <c r="W2296" s="19"/>
      <c r="X2296" s="19"/>
      <c r="Y2296" s="20"/>
      <c r="Z2296" s="19"/>
      <c r="AA2296" s="18" t="str">
        <f aca="false">IF(OR(V2296="Aprobada"),R2296,IF(AND(OR(V2296="Aprobada con ajuste",V2296="Rechazada"),W2296&lt;&gt;""),W2296,""))</f>
        <v/>
      </c>
    </row>
    <row r="2297" customFormat="false" ht="22.35" hidden="false" customHeight="false" outlineLevel="0" collapsed="false">
      <c r="A2297" s="18" t="s">
        <v>9637</v>
      </c>
      <c r="B2297" s="18" t="s">
        <v>68</v>
      </c>
      <c r="C2297" s="18" t="s">
        <v>69</v>
      </c>
      <c r="D2297" s="18" t="s">
        <v>9623</v>
      </c>
      <c r="E2297" s="18" t="n">
        <v>244</v>
      </c>
      <c r="F2297" s="18" t="s">
        <v>9638</v>
      </c>
      <c r="G2297" s="18" t="s">
        <v>128</v>
      </c>
      <c r="H2297" s="18" t="s">
        <v>162</v>
      </c>
      <c r="I2297" s="18"/>
      <c r="J2297" s="18"/>
      <c r="K2297" s="18"/>
      <c r="L2297" s="18" t="s">
        <v>129</v>
      </c>
      <c r="M2297" s="18" t="s">
        <v>129</v>
      </c>
      <c r="N2297" s="18"/>
      <c r="O2297" s="18"/>
      <c r="P2297" s="18" t="s">
        <v>9639</v>
      </c>
      <c r="Q2297" s="18" t="s">
        <v>149</v>
      </c>
      <c r="R2297" s="18" t="s">
        <v>9640</v>
      </c>
      <c r="S2297" s="18" t="s">
        <v>133</v>
      </c>
      <c r="T2297" s="18" t="s">
        <v>183</v>
      </c>
      <c r="U2297" s="18"/>
      <c r="V2297" s="19" t="s">
        <v>29</v>
      </c>
      <c r="W2297" s="19"/>
      <c r="X2297" s="19"/>
      <c r="Y2297" s="20"/>
      <c r="Z2297" s="19"/>
      <c r="AA2297" s="18" t="str">
        <f aca="false">IF(OR(V2297="Aprobada"),R2297,IF(AND(OR(V2297="Aprobada con ajuste",V2297="Rechazada"),W2297&lt;&gt;""),W2297,""))</f>
        <v/>
      </c>
    </row>
    <row r="2298" customFormat="false" ht="32.8" hidden="false" customHeight="false" outlineLevel="0" collapsed="false">
      <c r="A2298" s="18" t="s">
        <v>9641</v>
      </c>
      <c r="B2298" s="18" t="s">
        <v>68</v>
      </c>
      <c r="C2298" s="18" t="s">
        <v>69</v>
      </c>
      <c r="D2298" s="18" t="s">
        <v>9642</v>
      </c>
      <c r="E2298" s="18" t="n">
        <v>38</v>
      </c>
      <c r="F2298" s="18" t="s">
        <v>9643</v>
      </c>
      <c r="G2298" s="18" t="s">
        <v>312</v>
      </c>
      <c r="H2298" s="18" t="s">
        <v>129</v>
      </c>
      <c r="I2298" s="18"/>
      <c r="J2298" s="18"/>
      <c r="K2298" s="18"/>
      <c r="L2298" s="18" t="s">
        <v>129</v>
      </c>
      <c r="M2298" s="18" t="s">
        <v>129</v>
      </c>
      <c r="N2298" s="18"/>
      <c r="O2298" s="18"/>
      <c r="P2298" s="18" t="s">
        <v>9644</v>
      </c>
      <c r="Q2298" s="18" t="s">
        <v>149</v>
      </c>
      <c r="R2298" s="18" t="s">
        <v>9645</v>
      </c>
      <c r="S2298" s="18" t="s">
        <v>133</v>
      </c>
      <c r="T2298" s="18" t="s">
        <v>9646</v>
      </c>
      <c r="U2298" s="18"/>
      <c r="V2298" s="19" t="s">
        <v>29</v>
      </c>
      <c r="W2298" s="19"/>
      <c r="X2298" s="19"/>
      <c r="Y2298" s="20"/>
      <c r="Z2298" s="19"/>
      <c r="AA2298" s="18" t="str">
        <f aca="false">IF(OR(V2298="Aprobada"),R2298,IF(AND(OR(V2298="Aprobada con ajuste",V2298="Rechazada"),W2298&lt;&gt;""),W2298,""))</f>
        <v/>
      </c>
    </row>
    <row r="2299" customFormat="false" ht="43.25" hidden="false" customHeight="false" outlineLevel="0" collapsed="false">
      <c r="A2299" s="18" t="s">
        <v>9647</v>
      </c>
      <c r="B2299" s="18" t="s">
        <v>68</v>
      </c>
      <c r="C2299" s="18" t="s">
        <v>69</v>
      </c>
      <c r="D2299" s="18" t="s">
        <v>9642</v>
      </c>
      <c r="E2299" s="18" t="n">
        <v>38</v>
      </c>
      <c r="F2299" s="18" t="s">
        <v>127</v>
      </c>
      <c r="G2299" s="18" t="s">
        <v>486</v>
      </c>
      <c r="H2299" s="18" t="s">
        <v>129</v>
      </c>
      <c r="I2299" s="18"/>
      <c r="J2299" s="18"/>
      <c r="K2299" s="18"/>
      <c r="L2299" s="18" t="s">
        <v>129</v>
      </c>
      <c r="M2299" s="18" t="s">
        <v>129</v>
      </c>
      <c r="N2299" s="18"/>
      <c r="O2299" s="18" t="s">
        <v>9648</v>
      </c>
      <c r="P2299" s="18" t="s">
        <v>9649</v>
      </c>
      <c r="Q2299" s="18" t="s">
        <v>138</v>
      </c>
      <c r="R2299" s="18" t="s">
        <v>9650</v>
      </c>
      <c r="S2299" s="18" t="s">
        <v>140</v>
      </c>
      <c r="T2299" s="18" t="s">
        <v>141</v>
      </c>
      <c r="U2299" s="18"/>
      <c r="V2299" s="19" t="s">
        <v>29</v>
      </c>
      <c r="W2299" s="19"/>
      <c r="X2299" s="19"/>
      <c r="Y2299" s="20"/>
      <c r="Z2299" s="19"/>
      <c r="AA2299" s="18" t="str">
        <f aca="false">IF(OR(V2299="Aprobada"),R2299,IF(AND(OR(V2299="Aprobada con ajuste",V2299="Rechazada"),W2299&lt;&gt;""),W2299,""))</f>
        <v/>
      </c>
    </row>
    <row r="2300" customFormat="false" ht="32.8" hidden="false" customHeight="false" outlineLevel="0" collapsed="false">
      <c r="A2300" s="18" t="s">
        <v>9651</v>
      </c>
      <c r="B2300" s="18" t="s">
        <v>68</v>
      </c>
      <c r="C2300" s="18" t="s">
        <v>69</v>
      </c>
      <c r="D2300" s="18" t="s">
        <v>9642</v>
      </c>
      <c r="E2300" s="18" t="n">
        <v>38</v>
      </c>
      <c r="F2300" s="18" t="s">
        <v>275</v>
      </c>
      <c r="G2300" s="18" t="s">
        <v>454</v>
      </c>
      <c r="H2300" s="18" t="s">
        <v>129</v>
      </c>
      <c r="I2300" s="18"/>
      <c r="J2300" s="18"/>
      <c r="K2300" s="18"/>
      <c r="L2300" s="18" t="s">
        <v>129</v>
      </c>
      <c r="M2300" s="18" t="s">
        <v>129</v>
      </c>
      <c r="N2300" s="18"/>
      <c r="O2300" s="18"/>
      <c r="P2300" s="18" t="s">
        <v>9652</v>
      </c>
      <c r="Q2300" s="18" t="s">
        <v>138</v>
      </c>
      <c r="R2300" s="18" t="s">
        <v>9653</v>
      </c>
      <c r="S2300" s="18" t="s">
        <v>140</v>
      </c>
      <c r="T2300" s="18" t="s">
        <v>141</v>
      </c>
      <c r="U2300" s="18"/>
      <c r="V2300" s="19" t="s">
        <v>29</v>
      </c>
      <c r="W2300" s="19"/>
      <c r="X2300" s="19"/>
      <c r="Y2300" s="20"/>
      <c r="Z2300" s="19"/>
      <c r="AA2300" s="18" t="str">
        <f aca="false">IF(OR(V2300="Aprobada"),R2300,IF(AND(OR(V2300="Aprobada con ajuste",V2300="Rechazada"),W2300&lt;&gt;""),W2300,""))</f>
        <v/>
      </c>
    </row>
    <row r="2301" customFormat="false" ht="43.25" hidden="false" customHeight="false" outlineLevel="0" collapsed="false">
      <c r="A2301" s="18" t="s">
        <v>9654</v>
      </c>
      <c r="B2301" s="18" t="s">
        <v>68</v>
      </c>
      <c r="C2301" s="18" t="s">
        <v>69</v>
      </c>
      <c r="D2301" s="18" t="s">
        <v>9642</v>
      </c>
      <c r="E2301" s="18" t="n">
        <v>38</v>
      </c>
      <c r="F2301" s="18" t="s">
        <v>185</v>
      </c>
      <c r="G2301" s="18" t="s">
        <v>145</v>
      </c>
      <c r="H2301" s="18" t="s">
        <v>129</v>
      </c>
      <c r="I2301" s="18"/>
      <c r="J2301" s="18"/>
      <c r="K2301" s="18"/>
      <c r="L2301" s="18" t="s">
        <v>129</v>
      </c>
      <c r="M2301" s="18" t="s">
        <v>129</v>
      </c>
      <c r="N2301" s="18"/>
      <c r="O2301" s="18" t="s">
        <v>9655</v>
      </c>
      <c r="P2301" s="18" t="s">
        <v>9656</v>
      </c>
      <c r="Q2301" s="18" t="s">
        <v>138</v>
      </c>
      <c r="R2301" s="18" t="s">
        <v>9657</v>
      </c>
      <c r="S2301" s="18" t="s">
        <v>140</v>
      </c>
      <c r="T2301" s="18" t="s">
        <v>141</v>
      </c>
      <c r="U2301" s="18"/>
      <c r="V2301" s="19" t="s">
        <v>29</v>
      </c>
      <c r="W2301" s="19"/>
      <c r="X2301" s="19"/>
      <c r="Y2301" s="20"/>
      <c r="Z2301" s="19"/>
      <c r="AA2301" s="18" t="str">
        <f aca="false">IF(OR(V2301="Aprobada"),R2301,IF(AND(OR(V2301="Aprobada con ajuste",V2301="Rechazada"),W2301&lt;&gt;""),W2301,""))</f>
        <v/>
      </c>
    </row>
    <row r="2302" customFormat="false" ht="32.8" hidden="false" customHeight="false" outlineLevel="0" collapsed="false">
      <c r="A2302" s="18" t="s">
        <v>9658</v>
      </c>
      <c r="B2302" s="18" t="s">
        <v>68</v>
      </c>
      <c r="C2302" s="18" t="s">
        <v>69</v>
      </c>
      <c r="D2302" s="18" t="s">
        <v>9642</v>
      </c>
      <c r="E2302" s="18" t="n">
        <v>38</v>
      </c>
      <c r="F2302" s="18" t="s">
        <v>5590</v>
      </c>
      <c r="G2302" s="18" t="s">
        <v>128</v>
      </c>
      <c r="H2302" s="18" t="s">
        <v>162</v>
      </c>
      <c r="I2302" s="18"/>
      <c r="J2302" s="18"/>
      <c r="K2302" s="18"/>
      <c r="L2302" s="18" t="s">
        <v>129</v>
      </c>
      <c r="M2302" s="18" t="s">
        <v>129</v>
      </c>
      <c r="N2302" s="18"/>
      <c r="O2302" s="18"/>
      <c r="P2302" s="18" t="s">
        <v>9659</v>
      </c>
      <c r="Q2302" s="18" t="s">
        <v>149</v>
      </c>
      <c r="R2302" s="18" t="s">
        <v>9660</v>
      </c>
      <c r="S2302" s="18" t="s">
        <v>140</v>
      </c>
      <c r="T2302" s="18" t="s">
        <v>183</v>
      </c>
      <c r="U2302" s="18" t="s">
        <v>9661</v>
      </c>
      <c r="V2302" s="19" t="s">
        <v>29</v>
      </c>
      <c r="W2302" s="19"/>
      <c r="X2302" s="19"/>
      <c r="Y2302" s="20"/>
      <c r="Z2302" s="19"/>
      <c r="AA2302" s="18" t="str">
        <f aca="false">IF(OR(V2302="Aprobada"),R2302,IF(AND(OR(V2302="Aprobada con ajuste",V2302="Rechazada"),W2302&lt;&gt;""),W2302,""))</f>
        <v/>
      </c>
    </row>
    <row r="2303" customFormat="false" ht="32.8" hidden="false" customHeight="false" outlineLevel="0" collapsed="false">
      <c r="A2303" s="18" t="s">
        <v>9662</v>
      </c>
      <c r="B2303" s="18" t="s">
        <v>68</v>
      </c>
      <c r="C2303" s="18" t="s">
        <v>69</v>
      </c>
      <c r="D2303" s="18" t="s">
        <v>9642</v>
      </c>
      <c r="E2303" s="18" t="n">
        <v>38</v>
      </c>
      <c r="F2303" s="18" t="s">
        <v>937</v>
      </c>
      <c r="G2303" s="18" t="s">
        <v>503</v>
      </c>
      <c r="H2303" s="18" t="s">
        <v>162</v>
      </c>
      <c r="I2303" s="18"/>
      <c r="J2303" s="18"/>
      <c r="K2303" s="18"/>
      <c r="L2303" s="18" t="s">
        <v>129</v>
      </c>
      <c r="M2303" s="18" t="s">
        <v>129</v>
      </c>
      <c r="N2303" s="18"/>
      <c r="O2303" s="18" t="s">
        <v>9663</v>
      </c>
      <c r="P2303" s="18" t="s">
        <v>9664</v>
      </c>
      <c r="Q2303" s="18" t="s">
        <v>138</v>
      </c>
      <c r="R2303" s="18" t="s">
        <v>939</v>
      </c>
      <c r="S2303" s="18" t="s">
        <v>140</v>
      </c>
      <c r="T2303" s="18" t="s">
        <v>141</v>
      </c>
      <c r="U2303" s="18"/>
      <c r="V2303" s="19" t="s">
        <v>29</v>
      </c>
      <c r="W2303" s="19"/>
      <c r="X2303" s="19"/>
      <c r="Y2303" s="20"/>
      <c r="Z2303" s="19"/>
      <c r="AA2303" s="18" t="str">
        <f aca="false">IF(OR(V2303="Aprobada"),R2303,IF(AND(OR(V2303="Aprobada con ajuste",V2303="Rechazada"),W2303&lt;&gt;""),W2303,""))</f>
        <v/>
      </c>
    </row>
    <row r="2304" customFormat="false" ht="32.8" hidden="false" customHeight="false" outlineLevel="0" collapsed="false">
      <c r="A2304" s="18" t="s">
        <v>9665</v>
      </c>
      <c r="B2304" s="18" t="s">
        <v>68</v>
      </c>
      <c r="C2304" s="18" t="s">
        <v>69</v>
      </c>
      <c r="D2304" s="18" t="s">
        <v>9642</v>
      </c>
      <c r="E2304" s="18" t="n">
        <v>38</v>
      </c>
      <c r="F2304" s="18" t="s">
        <v>9666</v>
      </c>
      <c r="G2304" s="18" t="s">
        <v>145</v>
      </c>
      <c r="H2304" s="18" t="s">
        <v>162</v>
      </c>
      <c r="I2304" s="18"/>
      <c r="J2304" s="18"/>
      <c r="K2304" s="18"/>
      <c r="L2304" s="18" t="s">
        <v>129</v>
      </c>
      <c r="M2304" s="18" t="s">
        <v>129</v>
      </c>
      <c r="N2304" s="18"/>
      <c r="O2304" s="18"/>
      <c r="P2304" s="18" t="s">
        <v>9667</v>
      </c>
      <c r="Q2304" s="18" t="s">
        <v>149</v>
      </c>
      <c r="R2304" s="18" t="s">
        <v>9668</v>
      </c>
      <c r="S2304" s="18" t="s">
        <v>140</v>
      </c>
      <c r="T2304" s="18" t="s">
        <v>183</v>
      </c>
      <c r="U2304" s="18" t="s">
        <v>9669</v>
      </c>
      <c r="V2304" s="19" t="s">
        <v>29</v>
      </c>
      <c r="W2304" s="19"/>
      <c r="X2304" s="19"/>
      <c r="Y2304" s="20"/>
      <c r="Z2304" s="19"/>
      <c r="AA2304" s="18" t="str">
        <f aca="false">IF(OR(V2304="Aprobada"),R2304,IF(AND(OR(V2304="Aprobada con ajuste",V2304="Rechazada"),W2304&lt;&gt;""),W2304,""))</f>
        <v/>
      </c>
    </row>
    <row r="2305" customFormat="false" ht="32.8" hidden="false" customHeight="false" outlineLevel="0" collapsed="false">
      <c r="A2305" s="18" t="s">
        <v>9670</v>
      </c>
      <c r="B2305" s="18" t="s">
        <v>68</v>
      </c>
      <c r="C2305" s="18" t="s">
        <v>69</v>
      </c>
      <c r="D2305" s="18" t="s">
        <v>9671</v>
      </c>
      <c r="E2305" s="18" t="n">
        <v>19</v>
      </c>
      <c r="F2305" s="18" t="s">
        <v>331</v>
      </c>
      <c r="G2305" s="18" t="s">
        <v>137</v>
      </c>
      <c r="H2305" s="18" t="s">
        <v>129</v>
      </c>
      <c r="I2305" s="18"/>
      <c r="J2305" s="18"/>
      <c r="K2305" s="18"/>
      <c r="L2305" s="18" t="s">
        <v>129</v>
      </c>
      <c r="M2305" s="18" t="s">
        <v>129</v>
      </c>
      <c r="N2305" s="18"/>
      <c r="O2305" s="18" t="s">
        <v>9672</v>
      </c>
      <c r="P2305" s="18" t="s">
        <v>9673</v>
      </c>
      <c r="Q2305" s="18" t="s">
        <v>149</v>
      </c>
      <c r="R2305" s="18" t="s">
        <v>9674</v>
      </c>
      <c r="S2305" s="18" t="s">
        <v>133</v>
      </c>
      <c r="T2305" s="18" t="s">
        <v>9675</v>
      </c>
      <c r="U2305" s="18"/>
      <c r="V2305" s="19" t="s">
        <v>29</v>
      </c>
      <c r="W2305" s="19"/>
      <c r="X2305" s="19"/>
      <c r="Y2305" s="20"/>
      <c r="Z2305" s="19"/>
      <c r="AA2305" s="18" t="str">
        <f aca="false">IF(OR(V2305="Aprobada"),R2305,IF(AND(OR(V2305="Aprobada con ajuste",V2305="Rechazada"),W2305&lt;&gt;""),W2305,""))</f>
        <v/>
      </c>
    </row>
    <row r="2306" customFormat="false" ht="32.8" hidden="false" customHeight="false" outlineLevel="0" collapsed="false">
      <c r="A2306" s="18" t="s">
        <v>9676</v>
      </c>
      <c r="B2306" s="18" t="s">
        <v>68</v>
      </c>
      <c r="C2306" s="18" t="s">
        <v>69</v>
      </c>
      <c r="D2306" s="18" t="s">
        <v>9671</v>
      </c>
      <c r="E2306" s="18" t="n">
        <v>19</v>
      </c>
      <c r="F2306" s="18" t="s">
        <v>160</v>
      </c>
      <c r="G2306" s="18" t="s">
        <v>454</v>
      </c>
      <c r="H2306" s="18" t="s">
        <v>129</v>
      </c>
      <c r="I2306" s="18"/>
      <c r="J2306" s="18"/>
      <c r="K2306" s="18"/>
      <c r="L2306" s="18" t="s">
        <v>129</v>
      </c>
      <c r="M2306" s="18" t="s">
        <v>129</v>
      </c>
      <c r="N2306" s="18"/>
      <c r="O2306" s="18"/>
      <c r="P2306" s="18" t="s">
        <v>9677</v>
      </c>
      <c r="Q2306" s="18" t="s">
        <v>138</v>
      </c>
      <c r="R2306" s="18" t="s">
        <v>9678</v>
      </c>
      <c r="S2306" s="18" t="s">
        <v>140</v>
      </c>
      <c r="T2306" s="18" t="s">
        <v>141</v>
      </c>
      <c r="U2306" s="18"/>
      <c r="V2306" s="19" t="s">
        <v>29</v>
      </c>
      <c r="W2306" s="19"/>
      <c r="X2306" s="19"/>
      <c r="Y2306" s="20"/>
      <c r="Z2306" s="19"/>
      <c r="AA2306" s="18" t="str">
        <f aca="false">IF(OR(V2306="Aprobada"),R2306,IF(AND(OR(V2306="Aprobada con ajuste",V2306="Rechazada"),W2306&lt;&gt;""),W2306,""))</f>
        <v/>
      </c>
    </row>
    <row r="2307" customFormat="false" ht="43.25" hidden="false" customHeight="false" outlineLevel="0" collapsed="false">
      <c r="A2307" s="18" t="s">
        <v>9679</v>
      </c>
      <c r="B2307" s="18" t="s">
        <v>68</v>
      </c>
      <c r="C2307" s="18" t="s">
        <v>69</v>
      </c>
      <c r="D2307" s="18" t="s">
        <v>9671</v>
      </c>
      <c r="E2307" s="18" t="n">
        <v>19</v>
      </c>
      <c r="F2307" s="18" t="s">
        <v>127</v>
      </c>
      <c r="G2307" s="18" t="s">
        <v>9680</v>
      </c>
      <c r="H2307" s="18" t="s">
        <v>129</v>
      </c>
      <c r="I2307" s="18" t="s">
        <v>5921</v>
      </c>
      <c r="J2307" s="18" t="s">
        <v>9681</v>
      </c>
      <c r="K2307" s="18"/>
      <c r="L2307" s="18" t="s">
        <v>162</v>
      </c>
      <c r="M2307" s="18" t="s">
        <v>129</v>
      </c>
      <c r="N2307" s="18"/>
      <c r="O2307" s="18" t="s">
        <v>9682</v>
      </c>
      <c r="P2307" s="18" t="s">
        <v>9683</v>
      </c>
      <c r="Q2307" s="18" t="s">
        <v>138</v>
      </c>
      <c r="R2307" s="18" t="s">
        <v>9684</v>
      </c>
      <c r="S2307" s="18" t="s">
        <v>140</v>
      </c>
      <c r="T2307" s="18" t="s">
        <v>141</v>
      </c>
      <c r="U2307" s="18"/>
      <c r="V2307" s="19" t="s">
        <v>29</v>
      </c>
      <c r="W2307" s="19"/>
      <c r="X2307" s="19"/>
      <c r="Y2307" s="20"/>
      <c r="Z2307" s="19"/>
      <c r="AA2307" s="18" t="str">
        <f aca="false">IF(OR(V2307="Aprobada"),R2307,IF(AND(OR(V2307="Aprobada con ajuste",V2307="Rechazada"),W2307&lt;&gt;""),W2307,""))</f>
        <v/>
      </c>
    </row>
    <row r="2308" customFormat="false" ht="32.8" hidden="false" customHeight="false" outlineLevel="0" collapsed="false">
      <c r="A2308" s="18" t="s">
        <v>9685</v>
      </c>
      <c r="B2308" s="18" t="s">
        <v>68</v>
      </c>
      <c r="C2308" s="18" t="s">
        <v>69</v>
      </c>
      <c r="D2308" s="18" t="s">
        <v>9671</v>
      </c>
      <c r="E2308" s="18" t="n">
        <v>19</v>
      </c>
      <c r="F2308" s="18" t="s">
        <v>9686</v>
      </c>
      <c r="G2308" s="18" t="s">
        <v>486</v>
      </c>
      <c r="H2308" s="18" t="s">
        <v>162</v>
      </c>
      <c r="I2308" s="18"/>
      <c r="J2308" s="18"/>
      <c r="K2308" s="18"/>
      <c r="L2308" s="18" t="s">
        <v>129</v>
      </c>
      <c r="M2308" s="18" t="s">
        <v>129</v>
      </c>
      <c r="N2308" s="18"/>
      <c r="O2308" s="18"/>
      <c r="P2308" s="18" t="s">
        <v>9687</v>
      </c>
      <c r="Q2308" s="18" t="s">
        <v>131</v>
      </c>
      <c r="R2308" s="18" t="s">
        <v>9688</v>
      </c>
      <c r="S2308" s="18" t="s">
        <v>133</v>
      </c>
      <c r="T2308" s="18" t="s">
        <v>9689</v>
      </c>
      <c r="U2308" s="18"/>
      <c r="V2308" s="19" t="s">
        <v>29</v>
      </c>
      <c r="W2308" s="19"/>
      <c r="X2308" s="19"/>
      <c r="Y2308" s="20"/>
      <c r="Z2308" s="19"/>
      <c r="AA2308" s="18" t="str">
        <f aca="false">IF(OR(V2308="Aprobada"),R2308,IF(AND(OR(V2308="Aprobada con ajuste",V2308="Rechazada"),W2308&lt;&gt;""),W2308,""))</f>
        <v/>
      </c>
    </row>
    <row r="2309" customFormat="false" ht="32.8" hidden="false" customHeight="false" outlineLevel="0" collapsed="false">
      <c r="A2309" s="18" t="s">
        <v>9690</v>
      </c>
      <c r="B2309" s="18" t="s">
        <v>68</v>
      </c>
      <c r="C2309" s="18" t="s">
        <v>69</v>
      </c>
      <c r="D2309" s="18" t="s">
        <v>9671</v>
      </c>
      <c r="E2309" s="18" t="n">
        <v>19</v>
      </c>
      <c r="F2309" s="18" t="s">
        <v>172</v>
      </c>
      <c r="G2309" s="18" t="s">
        <v>173</v>
      </c>
      <c r="H2309" s="18" t="s">
        <v>129</v>
      </c>
      <c r="I2309" s="18"/>
      <c r="J2309" s="18"/>
      <c r="K2309" s="18"/>
      <c r="L2309" s="18" t="s">
        <v>129</v>
      </c>
      <c r="M2309" s="18" t="s">
        <v>129</v>
      </c>
      <c r="N2309" s="18"/>
      <c r="O2309" s="18" t="s">
        <v>9691</v>
      </c>
      <c r="P2309" s="18" t="s">
        <v>9692</v>
      </c>
      <c r="Q2309" s="18" t="s">
        <v>138</v>
      </c>
      <c r="R2309" s="18" t="s">
        <v>176</v>
      </c>
      <c r="S2309" s="18" t="s">
        <v>140</v>
      </c>
      <c r="T2309" s="18" t="s">
        <v>141</v>
      </c>
      <c r="U2309" s="18"/>
      <c r="V2309" s="19" t="s">
        <v>29</v>
      </c>
      <c r="W2309" s="19"/>
      <c r="X2309" s="19"/>
      <c r="Y2309" s="20"/>
      <c r="Z2309" s="19"/>
      <c r="AA2309" s="18" t="str">
        <f aca="false">IF(OR(V2309="Aprobada"),R2309,IF(AND(OR(V2309="Aprobada con ajuste",V2309="Rechazada"),W2309&lt;&gt;""),W2309,""))</f>
        <v/>
      </c>
    </row>
    <row r="2310" customFormat="false" ht="32.8" hidden="false" customHeight="false" outlineLevel="0" collapsed="false">
      <c r="A2310" s="18" t="s">
        <v>9693</v>
      </c>
      <c r="B2310" s="18" t="s">
        <v>68</v>
      </c>
      <c r="C2310" s="18" t="s">
        <v>69</v>
      </c>
      <c r="D2310" s="18" t="s">
        <v>9671</v>
      </c>
      <c r="E2310" s="18" t="n">
        <v>19</v>
      </c>
      <c r="F2310" s="18" t="s">
        <v>9617</v>
      </c>
      <c r="G2310" s="18" t="s">
        <v>312</v>
      </c>
      <c r="H2310" s="18" t="s">
        <v>129</v>
      </c>
      <c r="I2310" s="18"/>
      <c r="J2310" s="18"/>
      <c r="K2310" s="18"/>
      <c r="L2310" s="18" t="s">
        <v>129</v>
      </c>
      <c r="M2310" s="18" t="s">
        <v>129</v>
      </c>
      <c r="N2310" s="18"/>
      <c r="O2310" s="18"/>
      <c r="P2310" s="18" t="s">
        <v>9694</v>
      </c>
      <c r="Q2310" s="18" t="s">
        <v>131</v>
      </c>
      <c r="R2310" s="18" t="s">
        <v>9695</v>
      </c>
      <c r="S2310" s="18" t="s">
        <v>140</v>
      </c>
      <c r="T2310" s="18" t="s">
        <v>9696</v>
      </c>
      <c r="U2310" s="18" t="s">
        <v>9697</v>
      </c>
      <c r="V2310" s="19" t="s">
        <v>29</v>
      </c>
      <c r="W2310" s="19"/>
      <c r="X2310" s="19"/>
      <c r="Y2310" s="20"/>
      <c r="Z2310" s="19"/>
      <c r="AA2310" s="18" t="str">
        <f aca="false">IF(OR(V2310="Aprobada"),R2310,IF(AND(OR(V2310="Aprobada con ajuste",V2310="Rechazada"),W2310&lt;&gt;""),W2310,""))</f>
        <v/>
      </c>
    </row>
    <row r="2311" customFormat="false" ht="53.7" hidden="false" customHeight="false" outlineLevel="0" collapsed="false">
      <c r="A2311" s="18" t="s">
        <v>9698</v>
      </c>
      <c r="B2311" s="18" t="s">
        <v>68</v>
      </c>
      <c r="C2311" s="18" t="s">
        <v>69</v>
      </c>
      <c r="D2311" s="18" t="s">
        <v>9699</v>
      </c>
      <c r="E2311" s="18" t="n">
        <v>35</v>
      </c>
      <c r="F2311" s="18" t="s">
        <v>5235</v>
      </c>
      <c r="G2311" s="18" t="s">
        <v>180</v>
      </c>
      <c r="H2311" s="18" t="s">
        <v>129</v>
      </c>
      <c r="I2311" s="18" t="s">
        <v>146</v>
      </c>
      <c r="J2311" s="18"/>
      <c r="K2311" s="18"/>
      <c r="L2311" s="18" t="s">
        <v>129</v>
      </c>
      <c r="M2311" s="18" t="s">
        <v>129</v>
      </c>
      <c r="N2311" s="18"/>
      <c r="O2311" s="18" t="s">
        <v>9700</v>
      </c>
      <c r="P2311" s="18" t="s">
        <v>9701</v>
      </c>
      <c r="Q2311" s="18" t="s">
        <v>131</v>
      </c>
      <c r="R2311" s="18" t="s">
        <v>9702</v>
      </c>
      <c r="S2311" s="18" t="s">
        <v>133</v>
      </c>
      <c r="T2311" s="18" t="s">
        <v>9703</v>
      </c>
      <c r="U2311" s="18"/>
      <c r="V2311" s="19" t="s">
        <v>29</v>
      </c>
      <c r="W2311" s="19"/>
      <c r="X2311" s="19"/>
      <c r="Y2311" s="20"/>
      <c r="Z2311" s="19"/>
      <c r="AA2311" s="18" t="str">
        <f aca="false">IF(OR(V2311="Aprobada"),R2311,IF(AND(OR(V2311="Aprobada con ajuste",V2311="Rechazada"),W2311&lt;&gt;""),W2311,""))</f>
        <v/>
      </c>
    </row>
    <row r="2312" customFormat="false" ht="32.8" hidden="false" customHeight="false" outlineLevel="0" collapsed="false">
      <c r="A2312" s="18" t="s">
        <v>9704</v>
      </c>
      <c r="B2312" s="18" t="s">
        <v>68</v>
      </c>
      <c r="C2312" s="18" t="s">
        <v>69</v>
      </c>
      <c r="D2312" s="18" t="s">
        <v>9699</v>
      </c>
      <c r="E2312" s="18" t="n">
        <v>35</v>
      </c>
      <c r="F2312" s="18" t="s">
        <v>9705</v>
      </c>
      <c r="G2312" s="18" t="s">
        <v>317</v>
      </c>
      <c r="H2312" s="18" t="s">
        <v>129</v>
      </c>
      <c r="I2312" s="18"/>
      <c r="J2312" s="18"/>
      <c r="K2312" s="18"/>
      <c r="L2312" s="18" t="s">
        <v>129</v>
      </c>
      <c r="M2312" s="18" t="s">
        <v>129</v>
      </c>
      <c r="N2312" s="18"/>
      <c r="O2312" s="18" t="s">
        <v>9706</v>
      </c>
      <c r="P2312" s="18" t="s">
        <v>9707</v>
      </c>
      <c r="Q2312" s="18" t="s">
        <v>149</v>
      </c>
      <c r="R2312" s="18" t="s">
        <v>9708</v>
      </c>
      <c r="S2312" s="18" t="s">
        <v>133</v>
      </c>
      <c r="T2312" s="18" t="s">
        <v>5503</v>
      </c>
      <c r="U2312" s="18"/>
      <c r="V2312" s="19" t="s">
        <v>29</v>
      </c>
      <c r="W2312" s="19"/>
      <c r="X2312" s="19"/>
      <c r="Y2312" s="20"/>
      <c r="Z2312" s="19"/>
      <c r="AA2312" s="18" t="str">
        <f aca="false">IF(OR(V2312="Aprobada"),R2312,IF(AND(OR(V2312="Aprobada con ajuste",V2312="Rechazada"),W2312&lt;&gt;""),W2312,""))</f>
        <v/>
      </c>
    </row>
    <row r="2313" customFormat="false" ht="32.8" hidden="false" customHeight="false" outlineLevel="0" collapsed="false">
      <c r="A2313" s="18" t="s">
        <v>9709</v>
      </c>
      <c r="B2313" s="18" t="s">
        <v>68</v>
      </c>
      <c r="C2313" s="18" t="s">
        <v>69</v>
      </c>
      <c r="D2313" s="18" t="s">
        <v>9699</v>
      </c>
      <c r="E2313" s="18" t="n">
        <v>35</v>
      </c>
      <c r="F2313" s="18" t="s">
        <v>341</v>
      </c>
      <c r="G2313" s="18" t="s">
        <v>9710</v>
      </c>
      <c r="H2313" s="18" t="s">
        <v>162</v>
      </c>
      <c r="I2313" s="18" t="s">
        <v>5921</v>
      </c>
      <c r="J2313" s="18" t="s">
        <v>9711</v>
      </c>
      <c r="K2313" s="18"/>
      <c r="L2313" s="18" t="s">
        <v>162</v>
      </c>
      <c r="M2313" s="18" t="s">
        <v>129</v>
      </c>
      <c r="N2313" s="18"/>
      <c r="O2313" s="18"/>
      <c r="P2313" s="18" t="s">
        <v>9712</v>
      </c>
      <c r="Q2313" s="18" t="s">
        <v>149</v>
      </c>
      <c r="R2313" s="18" t="s">
        <v>9713</v>
      </c>
      <c r="S2313" s="18" t="s">
        <v>133</v>
      </c>
      <c r="T2313" s="18" t="s">
        <v>9462</v>
      </c>
      <c r="U2313" s="18"/>
      <c r="V2313" s="19" t="s">
        <v>29</v>
      </c>
      <c r="W2313" s="19"/>
      <c r="X2313" s="19"/>
      <c r="Y2313" s="20"/>
      <c r="Z2313" s="19"/>
      <c r="AA2313" s="18" t="str">
        <f aca="false">IF(OR(V2313="Aprobada"),R2313,IF(AND(OR(V2313="Aprobada con ajuste",V2313="Rechazada"),W2313&lt;&gt;""),W2313,""))</f>
        <v/>
      </c>
    </row>
    <row r="2314" customFormat="false" ht="32.8" hidden="false" customHeight="false" outlineLevel="0" collapsed="false">
      <c r="A2314" s="18" t="s">
        <v>9714</v>
      </c>
      <c r="B2314" s="18" t="s">
        <v>68</v>
      </c>
      <c r="C2314" s="18" t="s">
        <v>69</v>
      </c>
      <c r="D2314" s="18" t="s">
        <v>9699</v>
      </c>
      <c r="E2314" s="18" t="n">
        <v>35</v>
      </c>
      <c r="F2314" s="18" t="s">
        <v>5413</v>
      </c>
      <c r="G2314" s="18" t="s">
        <v>486</v>
      </c>
      <c r="H2314" s="18" t="s">
        <v>162</v>
      </c>
      <c r="I2314" s="18"/>
      <c r="J2314" s="18"/>
      <c r="K2314" s="18"/>
      <c r="L2314" s="18" t="s">
        <v>129</v>
      </c>
      <c r="M2314" s="18" t="s">
        <v>129</v>
      </c>
      <c r="N2314" s="18"/>
      <c r="O2314" s="18" t="s">
        <v>9715</v>
      </c>
      <c r="P2314" s="18" t="s">
        <v>9716</v>
      </c>
      <c r="Q2314" s="18" t="s">
        <v>149</v>
      </c>
      <c r="R2314" s="18" t="s">
        <v>9717</v>
      </c>
      <c r="S2314" s="18" t="s">
        <v>140</v>
      </c>
      <c r="T2314" s="18" t="s">
        <v>183</v>
      </c>
      <c r="U2314" s="18" t="s">
        <v>9718</v>
      </c>
      <c r="V2314" s="19" t="s">
        <v>29</v>
      </c>
      <c r="W2314" s="19"/>
      <c r="X2314" s="19"/>
      <c r="Y2314" s="20"/>
      <c r="Z2314" s="19"/>
      <c r="AA2314" s="18" t="str">
        <f aca="false">IF(OR(V2314="Aprobada"),R2314,IF(AND(OR(V2314="Aprobada con ajuste",V2314="Rechazada"),W2314&lt;&gt;""),W2314,""))</f>
        <v/>
      </c>
    </row>
    <row r="2315" customFormat="false" ht="43.25" hidden="false" customHeight="false" outlineLevel="0" collapsed="false">
      <c r="A2315" s="18" t="s">
        <v>9719</v>
      </c>
      <c r="B2315" s="18" t="s">
        <v>68</v>
      </c>
      <c r="C2315" s="18" t="s">
        <v>69</v>
      </c>
      <c r="D2315" s="18" t="s">
        <v>9699</v>
      </c>
      <c r="E2315" s="18" t="n">
        <v>35</v>
      </c>
      <c r="F2315" s="18" t="s">
        <v>9720</v>
      </c>
      <c r="G2315" s="18" t="s">
        <v>180</v>
      </c>
      <c r="H2315" s="18" t="s">
        <v>162</v>
      </c>
      <c r="I2315" s="18"/>
      <c r="J2315" s="18"/>
      <c r="K2315" s="18"/>
      <c r="L2315" s="18" t="s">
        <v>129</v>
      </c>
      <c r="M2315" s="18" t="s">
        <v>129</v>
      </c>
      <c r="N2315" s="18"/>
      <c r="O2315" s="18"/>
      <c r="P2315" s="18" t="s">
        <v>9721</v>
      </c>
      <c r="Q2315" s="18" t="s">
        <v>149</v>
      </c>
      <c r="R2315" s="18" t="s">
        <v>9722</v>
      </c>
      <c r="S2315" s="18" t="s">
        <v>133</v>
      </c>
      <c r="T2315" s="18" t="s">
        <v>183</v>
      </c>
      <c r="U2315" s="18"/>
      <c r="V2315" s="19" t="s">
        <v>29</v>
      </c>
      <c r="W2315" s="19"/>
      <c r="X2315" s="19"/>
      <c r="Y2315" s="20"/>
      <c r="Z2315" s="19"/>
      <c r="AA2315" s="18" t="str">
        <f aca="false">IF(OR(V2315="Aprobada"),R2315,IF(AND(OR(V2315="Aprobada con ajuste",V2315="Rechazada"),W2315&lt;&gt;""),W2315,""))</f>
        <v/>
      </c>
    </row>
    <row r="2316" customFormat="false" ht="43.25" hidden="false" customHeight="false" outlineLevel="0" collapsed="false">
      <c r="A2316" s="18" t="s">
        <v>9723</v>
      </c>
      <c r="B2316" s="18" t="s">
        <v>68</v>
      </c>
      <c r="C2316" s="18" t="s">
        <v>69</v>
      </c>
      <c r="D2316" s="18" t="s">
        <v>9699</v>
      </c>
      <c r="E2316" s="18" t="n">
        <v>35</v>
      </c>
      <c r="F2316" s="18" t="s">
        <v>5306</v>
      </c>
      <c r="G2316" s="18" t="s">
        <v>128</v>
      </c>
      <c r="H2316" s="18" t="s">
        <v>129</v>
      </c>
      <c r="I2316" s="18"/>
      <c r="J2316" s="18"/>
      <c r="K2316" s="18"/>
      <c r="L2316" s="18" t="s">
        <v>129</v>
      </c>
      <c r="M2316" s="18" t="s">
        <v>129</v>
      </c>
      <c r="N2316" s="18"/>
      <c r="O2316" s="18"/>
      <c r="P2316" s="18" t="s">
        <v>9724</v>
      </c>
      <c r="Q2316" s="18" t="s">
        <v>149</v>
      </c>
      <c r="R2316" s="18" t="s">
        <v>9725</v>
      </c>
      <c r="S2316" s="18" t="s">
        <v>133</v>
      </c>
      <c r="T2316" s="18" t="s">
        <v>183</v>
      </c>
      <c r="U2316" s="18"/>
      <c r="V2316" s="19" t="s">
        <v>29</v>
      </c>
      <c r="W2316" s="19"/>
      <c r="X2316" s="19"/>
      <c r="Y2316" s="20"/>
      <c r="Z2316" s="19"/>
      <c r="AA2316" s="18" t="str">
        <f aca="false">IF(OR(V2316="Aprobada"),R2316,IF(AND(OR(V2316="Aprobada con ajuste",V2316="Rechazada"),W2316&lt;&gt;""),W2316,""))</f>
        <v/>
      </c>
    </row>
    <row r="2317" customFormat="false" ht="32.8" hidden="false" customHeight="false" outlineLevel="0" collapsed="false">
      <c r="A2317" s="18" t="s">
        <v>9726</v>
      </c>
      <c r="B2317" s="18" t="s">
        <v>68</v>
      </c>
      <c r="C2317" s="18" t="s">
        <v>69</v>
      </c>
      <c r="D2317" s="18" t="s">
        <v>9699</v>
      </c>
      <c r="E2317" s="18" t="n">
        <v>35</v>
      </c>
      <c r="F2317" s="18" t="s">
        <v>9727</v>
      </c>
      <c r="G2317" s="18" t="s">
        <v>651</v>
      </c>
      <c r="H2317" s="18" t="s">
        <v>162</v>
      </c>
      <c r="I2317" s="18"/>
      <c r="J2317" s="18"/>
      <c r="K2317" s="18"/>
      <c r="L2317" s="18" t="s">
        <v>129</v>
      </c>
      <c r="M2317" s="18" t="s">
        <v>129</v>
      </c>
      <c r="N2317" s="18"/>
      <c r="O2317" s="18"/>
      <c r="P2317" s="18" t="s">
        <v>9728</v>
      </c>
      <c r="Q2317" s="18" t="s">
        <v>149</v>
      </c>
      <c r="R2317" s="18" t="s">
        <v>9729</v>
      </c>
      <c r="S2317" s="18" t="s">
        <v>140</v>
      </c>
      <c r="T2317" s="18" t="s">
        <v>183</v>
      </c>
      <c r="U2317" s="18" t="s">
        <v>9125</v>
      </c>
      <c r="V2317" s="19" t="s">
        <v>29</v>
      </c>
      <c r="W2317" s="19"/>
      <c r="X2317" s="19"/>
      <c r="Y2317" s="20"/>
      <c r="Z2317" s="19"/>
      <c r="AA2317" s="18" t="str">
        <f aca="false">IF(OR(V2317="Aprobada"),R2317,IF(AND(OR(V2317="Aprobada con ajuste",V2317="Rechazada"),W2317&lt;&gt;""),W2317,""))</f>
        <v/>
      </c>
    </row>
    <row r="2318" customFormat="false" ht="43.25" hidden="false" customHeight="false" outlineLevel="0" collapsed="false">
      <c r="A2318" s="18" t="s">
        <v>9730</v>
      </c>
      <c r="B2318" s="18" t="s">
        <v>68</v>
      </c>
      <c r="C2318" s="18" t="s">
        <v>69</v>
      </c>
      <c r="D2318" s="18" t="s">
        <v>9699</v>
      </c>
      <c r="E2318" s="18" t="n">
        <v>35</v>
      </c>
      <c r="F2318" s="18" t="s">
        <v>886</v>
      </c>
      <c r="G2318" s="18" t="s">
        <v>128</v>
      </c>
      <c r="H2318" s="18" t="s">
        <v>162</v>
      </c>
      <c r="I2318" s="18"/>
      <c r="J2318" s="18"/>
      <c r="K2318" s="18"/>
      <c r="L2318" s="18" t="s">
        <v>129</v>
      </c>
      <c r="M2318" s="18" t="s">
        <v>129</v>
      </c>
      <c r="N2318" s="18"/>
      <c r="O2318" s="18"/>
      <c r="P2318" s="18" t="s">
        <v>9731</v>
      </c>
      <c r="Q2318" s="18" t="s">
        <v>138</v>
      </c>
      <c r="R2318" s="18" t="s">
        <v>1693</v>
      </c>
      <c r="S2318" s="18" t="s">
        <v>140</v>
      </c>
      <c r="T2318" s="18" t="s">
        <v>141</v>
      </c>
      <c r="U2318" s="18"/>
      <c r="V2318" s="19" t="s">
        <v>29</v>
      </c>
      <c r="W2318" s="19"/>
      <c r="X2318" s="19"/>
      <c r="Y2318" s="20"/>
      <c r="Z2318" s="19"/>
      <c r="AA2318" s="18" t="str">
        <f aca="false">IF(OR(V2318="Aprobada"),R2318,IF(AND(OR(V2318="Aprobada con ajuste",V2318="Rechazada"),W2318&lt;&gt;""),W2318,""))</f>
        <v/>
      </c>
    </row>
    <row r="2319" customFormat="false" ht="32.8" hidden="false" customHeight="false" outlineLevel="0" collapsed="false">
      <c r="A2319" s="18" t="s">
        <v>9732</v>
      </c>
      <c r="B2319" s="18" t="s">
        <v>68</v>
      </c>
      <c r="C2319" s="18" t="s">
        <v>69</v>
      </c>
      <c r="D2319" s="18" t="s">
        <v>9699</v>
      </c>
      <c r="E2319" s="18" t="n">
        <v>35</v>
      </c>
      <c r="F2319" s="18" t="s">
        <v>9733</v>
      </c>
      <c r="G2319" s="18" t="s">
        <v>192</v>
      </c>
      <c r="H2319" s="18" t="s">
        <v>162</v>
      </c>
      <c r="I2319" s="18"/>
      <c r="J2319" s="18"/>
      <c r="K2319" s="18"/>
      <c r="L2319" s="18" t="s">
        <v>129</v>
      </c>
      <c r="M2319" s="18" t="s">
        <v>129</v>
      </c>
      <c r="N2319" s="18"/>
      <c r="O2319" s="18"/>
      <c r="P2319" s="18" t="s">
        <v>9734</v>
      </c>
      <c r="Q2319" s="18" t="s">
        <v>149</v>
      </c>
      <c r="R2319" s="18" t="s">
        <v>9735</v>
      </c>
      <c r="S2319" s="18" t="s">
        <v>140</v>
      </c>
      <c r="T2319" s="18" t="s">
        <v>2276</v>
      </c>
      <c r="U2319" s="18" t="s">
        <v>9736</v>
      </c>
      <c r="V2319" s="19" t="s">
        <v>29</v>
      </c>
      <c r="W2319" s="19"/>
      <c r="X2319" s="19"/>
      <c r="Y2319" s="20"/>
      <c r="Z2319" s="19"/>
      <c r="AA2319" s="18" t="str">
        <f aca="false">IF(OR(V2319="Aprobada"),R2319,IF(AND(OR(V2319="Aprobada con ajuste",V2319="Rechazada"),W2319&lt;&gt;""),W2319,""))</f>
        <v/>
      </c>
    </row>
    <row r="2320" customFormat="false" ht="43.25" hidden="false" customHeight="false" outlineLevel="0" collapsed="false">
      <c r="A2320" s="18" t="s">
        <v>9737</v>
      </c>
      <c r="B2320" s="18" t="s">
        <v>68</v>
      </c>
      <c r="C2320" s="18" t="s">
        <v>69</v>
      </c>
      <c r="D2320" s="18" t="s">
        <v>9699</v>
      </c>
      <c r="E2320" s="18" t="n">
        <v>35</v>
      </c>
      <c r="F2320" s="18" t="s">
        <v>9738</v>
      </c>
      <c r="G2320" s="18" t="s">
        <v>312</v>
      </c>
      <c r="H2320" s="18" t="s">
        <v>162</v>
      </c>
      <c r="I2320" s="18"/>
      <c r="J2320" s="18"/>
      <c r="K2320" s="18"/>
      <c r="L2320" s="18" t="s">
        <v>129</v>
      </c>
      <c r="M2320" s="18" t="s">
        <v>129</v>
      </c>
      <c r="N2320" s="18"/>
      <c r="O2320" s="18"/>
      <c r="P2320" s="18" t="s">
        <v>9739</v>
      </c>
      <c r="Q2320" s="18" t="s">
        <v>149</v>
      </c>
      <c r="R2320" s="18" t="s">
        <v>9740</v>
      </c>
      <c r="S2320" s="18" t="s">
        <v>140</v>
      </c>
      <c r="T2320" s="18" t="s">
        <v>183</v>
      </c>
      <c r="U2320" s="18" t="s">
        <v>9741</v>
      </c>
      <c r="V2320" s="19" t="s">
        <v>29</v>
      </c>
      <c r="W2320" s="19"/>
      <c r="X2320" s="19"/>
      <c r="Y2320" s="20"/>
      <c r="Z2320" s="19"/>
      <c r="AA2320" s="18" t="str">
        <f aca="false">IF(OR(V2320="Aprobada"),R2320,IF(AND(OR(V2320="Aprobada con ajuste",V2320="Rechazada"),W2320&lt;&gt;""),W2320,""))</f>
        <v/>
      </c>
    </row>
    <row r="2321" customFormat="false" ht="32.8" hidden="false" customHeight="false" outlineLevel="0" collapsed="false">
      <c r="A2321" s="18" t="s">
        <v>9742</v>
      </c>
      <c r="B2321" s="18" t="s">
        <v>68</v>
      </c>
      <c r="C2321" s="18" t="s">
        <v>69</v>
      </c>
      <c r="D2321" s="18" t="s">
        <v>9699</v>
      </c>
      <c r="E2321" s="18" t="n">
        <v>35</v>
      </c>
      <c r="F2321" s="18" t="s">
        <v>9743</v>
      </c>
      <c r="G2321" s="18" t="s">
        <v>317</v>
      </c>
      <c r="H2321" s="18" t="s">
        <v>162</v>
      </c>
      <c r="I2321" s="18"/>
      <c r="J2321" s="18"/>
      <c r="K2321" s="18"/>
      <c r="L2321" s="18" t="s">
        <v>129</v>
      </c>
      <c r="M2321" s="18" t="s">
        <v>129</v>
      </c>
      <c r="N2321" s="18"/>
      <c r="O2321" s="18"/>
      <c r="P2321" s="18" t="s">
        <v>9744</v>
      </c>
      <c r="Q2321" s="18" t="s">
        <v>149</v>
      </c>
      <c r="R2321" s="18" t="s">
        <v>9745</v>
      </c>
      <c r="S2321" s="18" t="s">
        <v>133</v>
      </c>
      <c r="T2321" s="18" t="s">
        <v>183</v>
      </c>
      <c r="U2321" s="18"/>
      <c r="V2321" s="19" t="s">
        <v>29</v>
      </c>
      <c r="W2321" s="19"/>
      <c r="X2321" s="19"/>
      <c r="Y2321" s="20"/>
      <c r="Z2321" s="19"/>
      <c r="AA2321" s="18" t="str">
        <f aca="false">IF(OR(V2321="Aprobada"),R2321,IF(AND(OR(V2321="Aprobada con ajuste",V2321="Rechazada"),W2321&lt;&gt;""),W2321,""))</f>
        <v/>
      </c>
    </row>
    <row r="2322" customFormat="false" ht="32.8" hidden="false" customHeight="false" outlineLevel="0" collapsed="false">
      <c r="A2322" s="18" t="s">
        <v>9746</v>
      </c>
      <c r="B2322" s="18" t="s">
        <v>68</v>
      </c>
      <c r="C2322" s="18" t="s">
        <v>69</v>
      </c>
      <c r="D2322" s="18" t="s">
        <v>9699</v>
      </c>
      <c r="E2322" s="18" t="n">
        <v>35</v>
      </c>
      <c r="F2322" s="18" t="s">
        <v>9747</v>
      </c>
      <c r="G2322" s="18" t="s">
        <v>317</v>
      </c>
      <c r="H2322" s="18" t="s">
        <v>162</v>
      </c>
      <c r="I2322" s="18"/>
      <c r="J2322" s="18"/>
      <c r="K2322" s="18"/>
      <c r="L2322" s="18" t="s">
        <v>129</v>
      </c>
      <c r="M2322" s="18" t="s">
        <v>129</v>
      </c>
      <c r="N2322" s="18"/>
      <c r="O2322" s="18"/>
      <c r="P2322" s="18" t="s">
        <v>9748</v>
      </c>
      <c r="Q2322" s="18" t="s">
        <v>149</v>
      </c>
      <c r="R2322" s="18" t="s">
        <v>9749</v>
      </c>
      <c r="S2322" s="18" t="s">
        <v>140</v>
      </c>
      <c r="T2322" s="18" t="s">
        <v>183</v>
      </c>
      <c r="U2322" s="18" t="s">
        <v>9750</v>
      </c>
      <c r="V2322" s="19" t="s">
        <v>29</v>
      </c>
      <c r="W2322" s="19"/>
      <c r="X2322" s="19"/>
      <c r="Y2322" s="20"/>
      <c r="Z2322" s="19"/>
      <c r="AA2322" s="18" t="str">
        <f aca="false">IF(OR(V2322="Aprobada"),R2322,IF(AND(OR(V2322="Aprobada con ajuste",V2322="Rechazada"),W2322&lt;&gt;""),W2322,""))</f>
        <v/>
      </c>
    </row>
    <row r="2323" customFormat="false" ht="43.25" hidden="false" customHeight="false" outlineLevel="0" collapsed="false">
      <c r="A2323" s="18" t="s">
        <v>9751</v>
      </c>
      <c r="B2323" s="18" t="s">
        <v>68</v>
      </c>
      <c r="C2323" s="18" t="s">
        <v>69</v>
      </c>
      <c r="D2323" s="18" t="s">
        <v>9699</v>
      </c>
      <c r="E2323" s="18" t="n">
        <v>35</v>
      </c>
      <c r="F2323" s="18" t="s">
        <v>9752</v>
      </c>
      <c r="G2323" s="18" t="s">
        <v>312</v>
      </c>
      <c r="H2323" s="18" t="s">
        <v>162</v>
      </c>
      <c r="I2323" s="18"/>
      <c r="J2323" s="18"/>
      <c r="K2323" s="18"/>
      <c r="L2323" s="18" t="s">
        <v>129</v>
      </c>
      <c r="M2323" s="18" t="s">
        <v>129</v>
      </c>
      <c r="N2323" s="18"/>
      <c r="O2323" s="18" t="s">
        <v>9753</v>
      </c>
      <c r="P2323" s="18" t="s">
        <v>9754</v>
      </c>
      <c r="Q2323" s="18" t="s">
        <v>131</v>
      </c>
      <c r="R2323" s="18" t="s">
        <v>9755</v>
      </c>
      <c r="S2323" s="18" t="s">
        <v>140</v>
      </c>
      <c r="T2323" s="18" t="s">
        <v>183</v>
      </c>
      <c r="U2323" s="18" t="s">
        <v>9756</v>
      </c>
      <c r="V2323" s="19" t="s">
        <v>29</v>
      </c>
      <c r="W2323" s="19"/>
      <c r="X2323" s="19"/>
      <c r="Y2323" s="20"/>
      <c r="Z2323" s="19"/>
      <c r="AA2323" s="18" t="str">
        <f aca="false">IF(OR(V2323="Aprobada"),R2323,IF(AND(OR(V2323="Aprobada con ajuste",V2323="Rechazada"),W2323&lt;&gt;""),W2323,""))</f>
        <v/>
      </c>
    </row>
    <row r="2324" customFormat="false" ht="43.25" hidden="false" customHeight="false" outlineLevel="0" collapsed="false">
      <c r="A2324" s="18" t="s">
        <v>9757</v>
      </c>
      <c r="B2324" s="18" t="s">
        <v>68</v>
      </c>
      <c r="C2324" s="18" t="s">
        <v>69</v>
      </c>
      <c r="D2324" s="18" t="s">
        <v>9699</v>
      </c>
      <c r="E2324" s="18" t="n">
        <v>35</v>
      </c>
      <c r="F2324" s="18" t="s">
        <v>9758</v>
      </c>
      <c r="G2324" s="18" t="s">
        <v>145</v>
      </c>
      <c r="H2324" s="18" t="s">
        <v>162</v>
      </c>
      <c r="I2324" s="18"/>
      <c r="J2324" s="18"/>
      <c r="K2324" s="18"/>
      <c r="L2324" s="18" t="s">
        <v>129</v>
      </c>
      <c r="M2324" s="18" t="s">
        <v>129</v>
      </c>
      <c r="N2324" s="18"/>
      <c r="O2324" s="18"/>
      <c r="P2324" s="18" t="s">
        <v>9759</v>
      </c>
      <c r="Q2324" s="18" t="s">
        <v>131</v>
      </c>
      <c r="R2324" s="18" t="s">
        <v>9760</v>
      </c>
      <c r="S2324" s="18" t="s">
        <v>140</v>
      </c>
      <c r="T2324" s="18" t="s">
        <v>9761</v>
      </c>
      <c r="U2324" s="18" t="s">
        <v>9762</v>
      </c>
      <c r="V2324" s="19" t="s">
        <v>29</v>
      </c>
      <c r="W2324" s="19"/>
      <c r="X2324" s="19"/>
      <c r="Y2324" s="20"/>
      <c r="Z2324" s="19"/>
      <c r="AA2324" s="18" t="str">
        <f aca="false">IF(OR(V2324="Aprobada"),R2324,IF(AND(OR(V2324="Aprobada con ajuste",V2324="Rechazada"),W2324&lt;&gt;""),W2324,""))</f>
        <v/>
      </c>
    </row>
    <row r="2325" customFormat="false" ht="43.25" hidden="false" customHeight="false" outlineLevel="0" collapsed="false">
      <c r="A2325" s="18" t="s">
        <v>9763</v>
      </c>
      <c r="B2325" s="18" t="s">
        <v>68</v>
      </c>
      <c r="C2325" s="18" t="s">
        <v>69</v>
      </c>
      <c r="D2325" s="18" t="s">
        <v>9699</v>
      </c>
      <c r="E2325" s="18" t="n">
        <v>35</v>
      </c>
      <c r="F2325" s="18" t="s">
        <v>9764</v>
      </c>
      <c r="G2325" s="18" t="s">
        <v>584</v>
      </c>
      <c r="H2325" s="18" t="s">
        <v>162</v>
      </c>
      <c r="I2325" s="18"/>
      <c r="J2325" s="18"/>
      <c r="K2325" s="18"/>
      <c r="L2325" s="18" t="s">
        <v>129</v>
      </c>
      <c r="M2325" s="18" t="s">
        <v>129</v>
      </c>
      <c r="N2325" s="18"/>
      <c r="O2325" s="18"/>
      <c r="P2325" s="18" t="s">
        <v>9765</v>
      </c>
      <c r="Q2325" s="18" t="s">
        <v>131</v>
      </c>
      <c r="R2325" s="18" t="s">
        <v>9766</v>
      </c>
      <c r="S2325" s="18" t="s">
        <v>140</v>
      </c>
      <c r="T2325" s="18" t="s">
        <v>183</v>
      </c>
      <c r="U2325" s="18" t="s">
        <v>9767</v>
      </c>
      <c r="V2325" s="19" t="s">
        <v>29</v>
      </c>
      <c r="W2325" s="19"/>
      <c r="X2325" s="19"/>
      <c r="Y2325" s="20"/>
      <c r="Z2325" s="19"/>
      <c r="AA2325" s="18" t="str">
        <f aca="false">IF(OR(V2325="Aprobada"),R2325,IF(AND(OR(V2325="Aprobada con ajuste",V2325="Rechazada"),W2325&lt;&gt;""),W2325,""))</f>
        <v/>
      </c>
    </row>
    <row r="2326" customFormat="false" ht="43.25" hidden="false" customHeight="false" outlineLevel="0" collapsed="false">
      <c r="A2326" s="18" t="s">
        <v>9768</v>
      </c>
      <c r="B2326" s="18" t="s">
        <v>68</v>
      </c>
      <c r="C2326" s="18" t="s">
        <v>69</v>
      </c>
      <c r="D2326" s="18" t="s">
        <v>9699</v>
      </c>
      <c r="E2326" s="18" t="n">
        <v>35</v>
      </c>
      <c r="F2326" s="18" t="s">
        <v>9769</v>
      </c>
      <c r="G2326" s="18" t="s">
        <v>128</v>
      </c>
      <c r="H2326" s="18" t="s">
        <v>162</v>
      </c>
      <c r="I2326" s="18"/>
      <c r="J2326" s="18"/>
      <c r="K2326" s="18"/>
      <c r="L2326" s="18" t="s">
        <v>129</v>
      </c>
      <c r="M2326" s="18" t="s">
        <v>129</v>
      </c>
      <c r="N2326" s="18"/>
      <c r="O2326" s="18"/>
      <c r="P2326" s="18" t="s">
        <v>9770</v>
      </c>
      <c r="Q2326" s="18" t="s">
        <v>131</v>
      </c>
      <c r="R2326" s="18" t="s">
        <v>9771</v>
      </c>
      <c r="S2326" s="18" t="s">
        <v>133</v>
      </c>
      <c r="T2326" s="18" t="s">
        <v>183</v>
      </c>
      <c r="U2326" s="18"/>
      <c r="V2326" s="19" t="s">
        <v>29</v>
      </c>
      <c r="W2326" s="19"/>
      <c r="X2326" s="19"/>
      <c r="Y2326" s="20"/>
      <c r="Z2326" s="19"/>
      <c r="AA2326" s="18" t="str">
        <f aca="false">IF(OR(V2326="Aprobada"),R2326,IF(AND(OR(V2326="Aprobada con ajuste",V2326="Rechazada"),W2326&lt;&gt;""),W2326,""))</f>
        <v/>
      </c>
    </row>
    <row r="2327" customFormat="false" ht="43.25" hidden="false" customHeight="false" outlineLevel="0" collapsed="false">
      <c r="A2327" s="18" t="s">
        <v>9772</v>
      </c>
      <c r="B2327" s="18" t="s">
        <v>68</v>
      </c>
      <c r="C2327" s="18" t="s">
        <v>69</v>
      </c>
      <c r="D2327" s="18" t="s">
        <v>9699</v>
      </c>
      <c r="E2327" s="18" t="n">
        <v>35</v>
      </c>
      <c r="F2327" s="18" t="s">
        <v>9773</v>
      </c>
      <c r="G2327" s="18" t="s">
        <v>145</v>
      </c>
      <c r="H2327" s="18" t="s">
        <v>162</v>
      </c>
      <c r="I2327" s="18"/>
      <c r="J2327" s="18"/>
      <c r="K2327" s="18"/>
      <c r="L2327" s="18" t="s">
        <v>129</v>
      </c>
      <c r="M2327" s="18" t="s">
        <v>129</v>
      </c>
      <c r="N2327" s="18"/>
      <c r="O2327" s="18" t="s">
        <v>9774</v>
      </c>
      <c r="P2327" s="18" t="s">
        <v>9775</v>
      </c>
      <c r="Q2327" s="18" t="s">
        <v>131</v>
      </c>
      <c r="R2327" s="18" t="s">
        <v>9776</v>
      </c>
      <c r="S2327" s="18" t="s">
        <v>242</v>
      </c>
      <c r="T2327" s="18" t="s">
        <v>858</v>
      </c>
      <c r="U2327" s="18" t="s">
        <v>9777</v>
      </c>
      <c r="V2327" s="19" t="s">
        <v>29</v>
      </c>
      <c r="W2327" s="19"/>
      <c r="X2327" s="19"/>
      <c r="Y2327" s="20"/>
      <c r="Z2327" s="19"/>
      <c r="AA2327" s="18" t="str">
        <f aca="false">IF(OR(V2327="Aprobada"),R2327,IF(AND(OR(V2327="Aprobada con ajuste",V2327="Rechazada"),W2327&lt;&gt;""),W2327,""))</f>
        <v/>
      </c>
    </row>
    <row r="2328" customFormat="false" ht="43.25" hidden="false" customHeight="false" outlineLevel="0" collapsed="false">
      <c r="A2328" s="18" t="s">
        <v>9778</v>
      </c>
      <c r="B2328" s="18" t="s">
        <v>68</v>
      </c>
      <c r="C2328" s="18" t="s">
        <v>69</v>
      </c>
      <c r="D2328" s="18" t="s">
        <v>9699</v>
      </c>
      <c r="E2328" s="18" t="n">
        <v>35</v>
      </c>
      <c r="F2328" s="18" t="s">
        <v>9779</v>
      </c>
      <c r="G2328" s="18" t="s">
        <v>180</v>
      </c>
      <c r="H2328" s="18" t="s">
        <v>162</v>
      </c>
      <c r="I2328" s="18"/>
      <c r="J2328" s="18"/>
      <c r="K2328" s="18"/>
      <c r="L2328" s="18" t="s">
        <v>129</v>
      </c>
      <c r="M2328" s="18" t="s">
        <v>129</v>
      </c>
      <c r="N2328" s="18"/>
      <c r="O2328" s="18" t="s">
        <v>9780</v>
      </c>
      <c r="P2328" s="18" t="s">
        <v>9781</v>
      </c>
      <c r="Q2328" s="18" t="s">
        <v>131</v>
      </c>
      <c r="R2328" s="18" t="s">
        <v>9782</v>
      </c>
      <c r="S2328" s="18" t="s">
        <v>140</v>
      </c>
      <c r="T2328" s="18" t="s">
        <v>183</v>
      </c>
      <c r="U2328" s="18" t="s">
        <v>9783</v>
      </c>
      <c r="V2328" s="19" t="s">
        <v>29</v>
      </c>
      <c r="W2328" s="19"/>
      <c r="X2328" s="19"/>
      <c r="Y2328" s="20"/>
      <c r="Z2328" s="19"/>
      <c r="AA2328" s="18" t="str">
        <f aca="false">IF(OR(V2328="Aprobada"),R2328,IF(AND(OR(V2328="Aprobada con ajuste",V2328="Rechazada"),W2328&lt;&gt;""),W2328,""))</f>
        <v/>
      </c>
    </row>
    <row r="2329" customFormat="false" ht="43.25" hidden="false" customHeight="false" outlineLevel="0" collapsed="false">
      <c r="A2329" s="18" t="s">
        <v>9784</v>
      </c>
      <c r="B2329" s="18" t="s">
        <v>68</v>
      </c>
      <c r="C2329" s="18" t="s">
        <v>69</v>
      </c>
      <c r="D2329" s="18" t="s">
        <v>9699</v>
      </c>
      <c r="E2329" s="18" t="n">
        <v>35</v>
      </c>
      <c r="F2329" s="18" t="s">
        <v>9785</v>
      </c>
      <c r="G2329" s="18" t="s">
        <v>180</v>
      </c>
      <c r="H2329" s="18" t="s">
        <v>162</v>
      </c>
      <c r="I2329" s="18"/>
      <c r="J2329" s="18"/>
      <c r="K2329" s="18"/>
      <c r="L2329" s="18" t="s">
        <v>129</v>
      </c>
      <c r="M2329" s="18" t="s">
        <v>129</v>
      </c>
      <c r="N2329" s="18"/>
      <c r="O2329" s="18"/>
      <c r="P2329" s="18" t="s">
        <v>9786</v>
      </c>
      <c r="Q2329" s="18" t="s">
        <v>131</v>
      </c>
      <c r="R2329" s="18" t="s">
        <v>9787</v>
      </c>
      <c r="S2329" s="18" t="s">
        <v>133</v>
      </c>
      <c r="T2329" s="18" t="s">
        <v>183</v>
      </c>
      <c r="U2329" s="18"/>
      <c r="V2329" s="19" t="s">
        <v>29</v>
      </c>
      <c r="W2329" s="19"/>
      <c r="X2329" s="19"/>
      <c r="Y2329" s="20"/>
      <c r="Z2329" s="19"/>
      <c r="AA2329" s="18" t="str">
        <f aca="false">IF(OR(V2329="Aprobada"),R2329,IF(AND(OR(V2329="Aprobada con ajuste",V2329="Rechazada"),W2329&lt;&gt;""),W2329,""))</f>
        <v/>
      </c>
    </row>
    <row r="2330" customFormat="false" ht="43.25" hidden="false" customHeight="false" outlineLevel="0" collapsed="false">
      <c r="A2330" s="18" t="s">
        <v>9788</v>
      </c>
      <c r="B2330" s="18" t="s">
        <v>68</v>
      </c>
      <c r="C2330" s="18" t="s">
        <v>69</v>
      </c>
      <c r="D2330" s="18" t="s">
        <v>9699</v>
      </c>
      <c r="E2330" s="18" t="n">
        <v>35</v>
      </c>
      <c r="F2330" s="18" t="s">
        <v>9789</v>
      </c>
      <c r="G2330" s="18" t="s">
        <v>584</v>
      </c>
      <c r="H2330" s="18" t="s">
        <v>162</v>
      </c>
      <c r="I2330" s="18"/>
      <c r="J2330" s="18"/>
      <c r="K2330" s="18"/>
      <c r="L2330" s="18" t="s">
        <v>129</v>
      </c>
      <c r="M2330" s="18" t="s">
        <v>129</v>
      </c>
      <c r="N2330" s="18"/>
      <c r="O2330" s="18" t="s">
        <v>9790</v>
      </c>
      <c r="P2330" s="18" t="s">
        <v>9791</v>
      </c>
      <c r="Q2330" s="18" t="s">
        <v>131</v>
      </c>
      <c r="R2330" s="18" t="s">
        <v>9792</v>
      </c>
      <c r="S2330" s="18" t="s">
        <v>133</v>
      </c>
      <c r="T2330" s="18" t="s">
        <v>873</v>
      </c>
      <c r="U2330" s="18"/>
      <c r="V2330" s="19" t="s">
        <v>29</v>
      </c>
      <c r="W2330" s="19"/>
      <c r="X2330" s="19"/>
      <c r="Y2330" s="20"/>
      <c r="Z2330" s="19"/>
      <c r="AA2330" s="18" t="str">
        <f aca="false">IF(OR(V2330="Aprobada"),R2330,IF(AND(OR(V2330="Aprobada con ajuste",V2330="Rechazada"),W2330&lt;&gt;""),W2330,""))</f>
        <v/>
      </c>
    </row>
    <row r="2331" customFormat="false" ht="53.7" hidden="false" customHeight="false" outlineLevel="0" collapsed="false">
      <c r="A2331" s="18" t="s">
        <v>9793</v>
      </c>
      <c r="B2331" s="18" t="s">
        <v>68</v>
      </c>
      <c r="C2331" s="18" t="s">
        <v>69</v>
      </c>
      <c r="D2331" s="18" t="s">
        <v>9699</v>
      </c>
      <c r="E2331" s="18" t="n">
        <v>35</v>
      </c>
      <c r="F2331" s="18" t="s">
        <v>9794</v>
      </c>
      <c r="G2331" s="18" t="s">
        <v>486</v>
      </c>
      <c r="H2331" s="18" t="s">
        <v>162</v>
      </c>
      <c r="I2331" s="18"/>
      <c r="J2331" s="18"/>
      <c r="K2331" s="18"/>
      <c r="L2331" s="18" t="s">
        <v>129</v>
      </c>
      <c r="M2331" s="18" t="s">
        <v>129</v>
      </c>
      <c r="N2331" s="18"/>
      <c r="O2331" s="18"/>
      <c r="P2331" s="18" t="s">
        <v>9795</v>
      </c>
      <c r="Q2331" s="18" t="s">
        <v>131</v>
      </c>
      <c r="R2331" s="18" t="s">
        <v>9796</v>
      </c>
      <c r="S2331" s="18" t="s">
        <v>242</v>
      </c>
      <c r="T2331" s="18" t="s">
        <v>858</v>
      </c>
      <c r="U2331" s="18" t="s">
        <v>9797</v>
      </c>
      <c r="V2331" s="19" t="s">
        <v>29</v>
      </c>
      <c r="W2331" s="19"/>
      <c r="X2331" s="19"/>
      <c r="Y2331" s="20"/>
      <c r="Z2331" s="19"/>
      <c r="AA2331" s="18" t="str">
        <f aca="false">IF(OR(V2331="Aprobada"),R2331,IF(AND(OR(V2331="Aprobada con ajuste",V2331="Rechazada"),W2331&lt;&gt;""),W2331,""))</f>
        <v/>
      </c>
    </row>
    <row r="2332" customFormat="false" ht="43.25" hidden="false" customHeight="false" outlineLevel="0" collapsed="false">
      <c r="A2332" s="18" t="s">
        <v>9798</v>
      </c>
      <c r="B2332" s="18" t="s">
        <v>68</v>
      </c>
      <c r="C2332" s="18" t="s">
        <v>69</v>
      </c>
      <c r="D2332" s="18" t="s">
        <v>9699</v>
      </c>
      <c r="E2332" s="18" t="n">
        <v>35</v>
      </c>
      <c r="F2332" s="18" t="s">
        <v>9799</v>
      </c>
      <c r="G2332" s="18" t="s">
        <v>128</v>
      </c>
      <c r="H2332" s="18" t="s">
        <v>162</v>
      </c>
      <c r="I2332" s="18"/>
      <c r="J2332" s="18"/>
      <c r="K2332" s="18"/>
      <c r="L2332" s="18" t="s">
        <v>129</v>
      </c>
      <c r="M2332" s="18" t="s">
        <v>129</v>
      </c>
      <c r="N2332" s="18"/>
      <c r="O2332" s="18"/>
      <c r="P2332" s="18" t="s">
        <v>9800</v>
      </c>
      <c r="Q2332" s="18" t="s">
        <v>131</v>
      </c>
      <c r="R2332" s="18" t="s">
        <v>9801</v>
      </c>
      <c r="S2332" s="18" t="s">
        <v>133</v>
      </c>
      <c r="T2332" s="18" t="s">
        <v>183</v>
      </c>
      <c r="U2332" s="18"/>
      <c r="V2332" s="19" t="s">
        <v>29</v>
      </c>
      <c r="W2332" s="19"/>
      <c r="X2332" s="19"/>
      <c r="Y2332" s="20"/>
      <c r="Z2332" s="19"/>
      <c r="AA2332" s="18" t="str">
        <f aca="false">IF(OR(V2332="Aprobada"),R2332,IF(AND(OR(V2332="Aprobada con ajuste",V2332="Rechazada"),W2332&lt;&gt;""),W2332,""))</f>
        <v/>
      </c>
    </row>
    <row r="2333" customFormat="false" ht="43.25" hidden="false" customHeight="false" outlineLevel="0" collapsed="false">
      <c r="A2333" s="18" t="s">
        <v>9802</v>
      </c>
      <c r="B2333" s="18" t="s">
        <v>68</v>
      </c>
      <c r="C2333" s="18" t="s">
        <v>69</v>
      </c>
      <c r="D2333" s="18" t="s">
        <v>9699</v>
      </c>
      <c r="E2333" s="18" t="n">
        <v>35</v>
      </c>
      <c r="F2333" s="18" t="s">
        <v>9803</v>
      </c>
      <c r="G2333" s="18" t="s">
        <v>192</v>
      </c>
      <c r="H2333" s="18" t="s">
        <v>162</v>
      </c>
      <c r="I2333" s="18"/>
      <c r="J2333" s="18"/>
      <c r="K2333" s="18"/>
      <c r="L2333" s="18" t="s">
        <v>129</v>
      </c>
      <c r="M2333" s="18" t="s">
        <v>129</v>
      </c>
      <c r="N2333" s="18"/>
      <c r="O2333" s="18"/>
      <c r="P2333" s="18" t="s">
        <v>9804</v>
      </c>
      <c r="Q2333" s="18" t="s">
        <v>131</v>
      </c>
      <c r="R2333" s="18" t="s">
        <v>9805</v>
      </c>
      <c r="S2333" s="18" t="s">
        <v>242</v>
      </c>
      <c r="T2333" s="18" t="s">
        <v>5503</v>
      </c>
      <c r="U2333" s="18" t="s">
        <v>9806</v>
      </c>
      <c r="V2333" s="19" t="s">
        <v>29</v>
      </c>
      <c r="W2333" s="19"/>
      <c r="X2333" s="19"/>
      <c r="Y2333" s="20"/>
      <c r="Z2333" s="19"/>
      <c r="AA2333" s="18" t="str">
        <f aca="false">IF(OR(V2333="Aprobada"),R2333,IF(AND(OR(V2333="Aprobada con ajuste",V2333="Rechazada"),W2333&lt;&gt;""),W2333,""))</f>
        <v/>
      </c>
    </row>
    <row r="2334" customFormat="false" ht="43.25" hidden="false" customHeight="false" outlineLevel="0" collapsed="false">
      <c r="A2334" s="18" t="s">
        <v>9807</v>
      </c>
      <c r="B2334" s="18" t="s">
        <v>68</v>
      </c>
      <c r="C2334" s="18" t="s">
        <v>69</v>
      </c>
      <c r="D2334" s="18" t="s">
        <v>9699</v>
      </c>
      <c r="E2334" s="18" t="n">
        <v>35</v>
      </c>
      <c r="F2334" s="18" t="s">
        <v>9808</v>
      </c>
      <c r="G2334" s="18" t="s">
        <v>312</v>
      </c>
      <c r="H2334" s="18" t="s">
        <v>162</v>
      </c>
      <c r="I2334" s="18"/>
      <c r="J2334" s="18"/>
      <c r="K2334" s="18"/>
      <c r="L2334" s="18" t="s">
        <v>129</v>
      </c>
      <c r="M2334" s="18" t="s">
        <v>129</v>
      </c>
      <c r="N2334" s="18"/>
      <c r="O2334" s="18"/>
      <c r="P2334" s="18" t="s">
        <v>9809</v>
      </c>
      <c r="Q2334" s="18" t="s">
        <v>149</v>
      </c>
      <c r="R2334" s="18" t="s">
        <v>9810</v>
      </c>
      <c r="S2334" s="18" t="s">
        <v>140</v>
      </c>
      <c r="T2334" s="18" t="s">
        <v>8546</v>
      </c>
      <c r="U2334" s="18" t="s">
        <v>9811</v>
      </c>
      <c r="V2334" s="19" t="s">
        <v>29</v>
      </c>
      <c r="W2334" s="19"/>
      <c r="X2334" s="19"/>
      <c r="Y2334" s="20"/>
      <c r="Z2334" s="19"/>
      <c r="AA2334" s="18" t="str">
        <f aca="false">IF(OR(V2334="Aprobada"),R2334,IF(AND(OR(V2334="Aprobada con ajuste",V2334="Rechazada"),W2334&lt;&gt;""),W2334,""))</f>
        <v/>
      </c>
    </row>
    <row r="2335" customFormat="false" ht="32.8" hidden="false" customHeight="false" outlineLevel="0" collapsed="false">
      <c r="A2335" s="18" t="s">
        <v>9812</v>
      </c>
      <c r="B2335" s="18" t="s">
        <v>68</v>
      </c>
      <c r="C2335" s="18" t="s">
        <v>69</v>
      </c>
      <c r="D2335" s="18" t="s">
        <v>9699</v>
      </c>
      <c r="E2335" s="18" t="n">
        <v>35</v>
      </c>
      <c r="F2335" s="18" t="s">
        <v>9813</v>
      </c>
      <c r="G2335" s="18" t="s">
        <v>180</v>
      </c>
      <c r="H2335" s="18" t="s">
        <v>162</v>
      </c>
      <c r="I2335" s="18"/>
      <c r="J2335" s="18"/>
      <c r="K2335" s="18"/>
      <c r="L2335" s="18" t="s">
        <v>129</v>
      </c>
      <c r="M2335" s="18" t="s">
        <v>129</v>
      </c>
      <c r="N2335" s="18"/>
      <c r="O2335" s="18"/>
      <c r="P2335" s="18" t="s">
        <v>9814</v>
      </c>
      <c r="Q2335" s="18" t="s">
        <v>131</v>
      </c>
      <c r="R2335" s="18" t="s">
        <v>9815</v>
      </c>
      <c r="S2335" s="18" t="s">
        <v>133</v>
      </c>
      <c r="T2335" s="18" t="s">
        <v>9816</v>
      </c>
      <c r="U2335" s="18"/>
      <c r="V2335" s="19" t="s">
        <v>29</v>
      </c>
      <c r="W2335" s="19"/>
      <c r="X2335" s="19"/>
      <c r="Y2335" s="20"/>
      <c r="Z2335" s="19"/>
      <c r="AA2335" s="18" t="str">
        <f aca="false">IF(OR(V2335="Aprobada"),R2335,IF(AND(OR(V2335="Aprobada con ajuste",V2335="Rechazada"),W2335&lt;&gt;""),W2335,""))</f>
        <v/>
      </c>
    </row>
    <row r="2336" customFormat="false" ht="53.7" hidden="false" customHeight="false" outlineLevel="0" collapsed="false">
      <c r="A2336" s="18" t="s">
        <v>9817</v>
      </c>
      <c r="B2336" s="18" t="s">
        <v>68</v>
      </c>
      <c r="C2336" s="18" t="s">
        <v>69</v>
      </c>
      <c r="D2336" s="18" t="s">
        <v>9818</v>
      </c>
      <c r="E2336" s="18" t="n">
        <v>148</v>
      </c>
      <c r="F2336" s="18" t="s">
        <v>127</v>
      </c>
      <c r="G2336" s="18" t="s">
        <v>145</v>
      </c>
      <c r="H2336" s="18" t="s">
        <v>129</v>
      </c>
      <c r="I2336" s="18"/>
      <c r="J2336" s="18"/>
      <c r="K2336" s="18"/>
      <c r="L2336" s="18" t="s">
        <v>129</v>
      </c>
      <c r="M2336" s="18" t="s">
        <v>129</v>
      </c>
      <c r="N2336" s="18"/>
      <c r="O2336" s="18"/>
      <c r="P2336" s="18" t="s">
        <v>9819</v>
      </c>
      <c r="Q2336" s="18" t="s">
        <v>138</v>
      </c>
      <c r="R2336" s="18" t="s">
        <v>9820</v>
      </c>
      <c r="S2336" s="18" t="s">
        <v>140</v>
      </c>
      <c r="T2336" s="18" t="s">
        <v>141</v>
      </c>
      <c r="U2336" s="18"/>
      <c r="V2336" s="19" t="s">
        <v>29</v>
      </c>
      <c r="W2336" s="19"/>
      <c r="X2336" s="19"/>
      <c r="Y2336" s="20"/>
      <c r="Z2336" s="19"/>
      <c r="AA2336" s="18" t="str">
        <f aca="false">IF(OR(V2336="Aprobada"),R2336,IF(AND(OR(V2336="Aprobada con ajuste",V2336="Rechazada"),W2336&lt;&gt;""),W2336,""))</f>
        <v/>
      </c>
    </row>
    <row r="2337" customFormat="false" ht="53.7" hidden="false" customHeight="false" outlineLevel="0" collapsed="false">
      <c r="A2337" s="18" t="s">
        <v>9821</v>
      </c>
      <c r="B2337" s="18" t="s">
        <v>68</v>
      </c>
      <c r="C2337" s="18" t="s">
        <v>69</v>
      </c>
      <c r="D2337" s="18" t="s">
        <v>9818</v>
      </c>
      <c r="E2337" s="18" t="n">
        <v>148</v>
      </c>
      <c r="F2337" s="18" t="s">
        <v>3361</v>
      </c>
      <c r="G2337" s="18" t="s">
        <v>282</v>
      </c>
      <c r="H2337" s="18" t="s">
        <v>162</v>
      </c>
      <c r="I2337" s="18"/>
      <c r="J2337" s="18"/>
      <c r="K2337" s="18"/>
      <c r="L2337" s="18" t="s">
        <v>129</v>
      </c>
      <c r="M2337" s="18" t="s">
        <v>129</v>
      </c>
      <c r="N2337" s="18"/>
      <c r="O2337" s="18"/>
      <c r="P2337" s="18" t="s">
        <v>9822</v>
      </c>
      <c r="Q2337" s="18" t="s">
        <v>149</v>
      </c>
      <c r="R2337" s="18" t="s">
        <v>9823</v>
      </c>
      <c r="S2337" s="18" t="s">
        <v>140</v>
      </c>
      <c r="T2337" s="18" t="s">
        <v>183</v>
      </c>
      <c r="U2337" s="18" t="s">
        <v>9669</v>
      </c>
      <c r="V2337" s="19" t="s">
        <v>29</v>
      </c>
      <c r="W2337" s="19"/>
      <c r="X2337" s="19"/>
      <c r="Y2337" s="20"/>
      <c r="Z2337" s="19"/>
      <c r="AA2337" s="18" t="str">
        <f aca="false">IF(OR(V2337="Aprobada"),R2337,IF(AND(OR(V2337="Aprobada con ajuste",V2337="Rechazada"),W2337&lt;&gt;""),W2337,""))</f>
        <v/>
      </c>
    </row>
    <row r="2338" customFormat="false" ht="53.7" hidden="false" customHeight="false" outlineLevel="0" collapsed="false">
      <c r="A2338" s="18" t="s">
        <v>9824</v>
      </c>
      <c r="B2338" s="18" t="s">
        <v>68</v>
      </c>
      <c r="C2338" s="18" t="s">
        <v>69</v>
      </c>
      <c r="D2338" s="18" t="s">
        <v>9818</v>
      </c>
      <c r="E2338" s="18" t="n">
        <v>148</v>
      </c>
      <c r="F2338" s="18" t="s">
        <v>160</v>
      </c>
      <c r="G2338" s="18" t="s">
        <v>128</v>
      </c>
      <c r="H2338" s="18" t="s">
        <v>129</v>
      </c>
      <c r="I2338" s="18"/>
      <c r="J2338" s="18"/>
      <c r="K2338" s="18"/>
      <c r="L2338" s="18" t="s">
        <v>129</v>
      </c>
      <c r="M2338" s="18" t="s">
        <v>129</v>
      </c>
      <c r="N2338" s="18"/>
      <c r="O2338" s="18"/>
      <c r="P2338" s="18" t="s">
        <v>9825</v>
      </c>
      <c r="Q2338" s="18" t="s">
        <v>138</v>
      </c>
      <c r="R2338" s="18" t="s">
        <v>9826</v>
      </c>
      <c r="S2338" s="18" t="s">
        <v>140</v>
      </c>
      <c r="T2338" s="18" t="s">
        <v>141</v>
      </c>
      <c r="U2338" s="18"/>
      <c r="V2338" s="19" t="s">
        <v>29</v>
      </c>
      <c r="W2338" s="19"/>
      <c r="X2338" s="19"/>
      <c r="Y2338" s="20"/>
      <c r="Z2338" s="19"/>
      <c r="AA2338" s="18" t="str">
        <f aca="false">IF(OR(V2338="Aprobada"),R2338,IF(AND(OR(V2338="Aprobada con ajuste",V2338="Rechazada"),W2338&lt;&gt;""),W2338,""))</f>
        <v/>
      </c>
    </row>
    <row r="2339" customFormat="false" ht="53.7" hidden="false" customHeight="false" outlineLevel="0" collapsed="false">
      <c r="A2339" s="18" t="s">
        <v>9827</v>
      </c>
      <c r="B2339" s="18" t="s">
        <v>68</v>
      </c>
      <c r="C2339" s="18" t="s">
        <v>69</v>
      </c>
      <c r="D2339" s="18" t="s">
        <v>9818</v>
      </c>
      <c r="E2339" s="18" t="n">
        <v>148</v>
      </c>
      <c r="F2339" s="18" t="s">
        <v>9828</v>
      </c>
      <c r="G2339" s="18" t="s">
        <v>180</v>
      </c>
      <c r="H2339" s="18" t="s">
        <v>129</v>
      </c>
      <c r="I2339" s="18"/>
      <c r="J2339" s="18"/>
      <c r="K2339" s="18"/>
      <c r="L2339" s="18" t="s">
        <v>129</v>
      </c>
      <c r="M2339" s="18" t="s">
        <v>129</v>
      </c>
      <c r="N2339" s="18"/>
      <c r="O2339" s="18"/>
      <c r="P2339" s="18" t="s">
        <v>9829</v>
      </c>
      <c r="Q2339" s="18" t="s">
        <v>149</v>
      </c>
      <c r="R2339" s="18" t="s">
        <v>9830</v>
      </c>
      <c r="S2339" s="18" t="s">
        <v>133</v>
      </c>
      <c r="T2339" s="18" t="s">
        <v>183</v>
      </c>
      <c r="U2339" s="18"/>
      <c r="V2339" s="19" t="s">
        <v>29</v>
      </c>
      <c r="W2339" s="19"/>
      <c r="X2339" s="19"/>
      <c r="Y2339" s="20"/>
      <c r="Z2339" s="19"/>
      <c r="AA2339" s="18" t="str">
        <f aca="false">IF(OR(V2339="Aprobada"),R2339,IF(AND(OR(V2339="Aprobada con ajuste",V2339="Rechazada"),W2339&lt;&gt;""),W2339,""))</f>
        <v/>
      </c>
    </row>
    <row r="2340" customFormat="false" ht="53.7" hidden="false" customHeight="false" outlineLevel="0" collapsed="false">
      <c r="A2340" s="18" t="s">
        <v>9831</v>
      </c>
      <c r="B2340" s="18" t="s">
        <v>68</v>
      </c>
      <c r="C2340" s="18" t="s">
        <v>69</v>
      </c>
      <c r="D2340" s="18" t="s">
        <v>9818</v>
      </c>
      <c r="E2340" s="18" t="n">
        <v>148</v>
      </c>
      <c r="F2340" s="18" t="s">
        <v>9832</v>
      </c>
      <c r="G2340" s="18" t="s">
        <v>584</v>
      </c>
      <c r="H2340" s="18" t="s">
        <v>129</v>
      </c>
      <c r="I2340" s="18"/>
      <c r="J2340" s="18"/>
      <c r="K2340" s="18"/>
      <c r="L2340" s="18" t="s">
        <v>129</v>
      </c>
      <c r="M2340" s="18" t="s">
        <v>129</v>
      </c>
      <c r="N2340" s="18"/>
      <c r="O2340" s="18" t="s">
        <v>9833</v>
      </c>
      <c r="P2340" s="18" t="s">
        <v>9834</v>
      </c>
      <c r="Q2340" s="18" t="s">
        <v>149</v>
      </c>
      <c r="R2340" s="18" t="s">
        <v>9835</v>
      </c>
      <c r="S2340" s="18" t="s">
        <v>133</v>
      </c>
      <c r="T2340" s="18" t="s">
        <v>9836</v>
      </c>
      <c r="U2340" s="18"/>
      <c r="V2340" s="19" t="s">
        <v>29</v>
      </c>
      <c r="W2340" s="19"/>
      <c r="X2340" s="19"/>
      <c r="Y2340" s="20"/>
      <c r="Z2340" s="19"/>
      <c r="AA2340" s="18" t="str">
        <f aca="false">IF(OR(V2340="Aprobada"),R2340,IF(AND(OR(V2340="Aprobada con ajuste",V2340="Rechazada"),W2340&lt;&gt;""),W2340,""))</f>
        <v/>
      </c>
    </row>
    <row r="2341" customFormat="false" ht="53.7" hidden="false" customHeight="false" outlineLevel="0" collapsed="false">
      <c r="A2341" s="18" t="s">
        <v>9837</v>
      </c>
      <c r="B2341" s="18" t="s">
        <v>68</v>
      </c>
      <c r="C2341" s="18" t="s">
        <v>69</v>
      </c>
      <c r="D2341" s="18" t="s">
        <v>9818</v>
      </c>
      <c r="E2341" s="18" t="n">
        <v>148</v>
      </c>
      <c r="F2341" s="18" t="s">
        <v>886</v>
      </c>
      <c r="G2341" s="18" t="s">
        <v>128</v>
      </c>
      <c r="H2341" s="18" t="s">
        <v>162</v>
      </c>
      <c r="I2341" s="18"/>
      <c r="J2341" s="18"/>
      <c r="K2341" s="18"/>
      <c r="L2341" s="18" t="s">
        <v>129</v>
      </c>
      <c r="M2341" s="18" t="s">
        <v>129</v>
      </c>
      <c r="N2341" s="18"/>
      <c r="O2341" s="18"/>
      <c r="P2341" s="18" t="s">
        <v>9838</v>
      </c>
      <c r="Q2341" s="18" t="s">
        <v>138</v>
      </c>
      <c r="R2341" s="18" t="s">
        <v>1693</v>
      </c>
      <c r="S2341" s="18" t="s">
        <v>140</v>
      </c>
      <c r="T2341" s="18" t="s">
        <v>141</v>
      </c>
      <c r="U2341" s="18"/>
      <c r="V2341" s="19" t="s">
        <v>29</v>
      </c>
      <c r="W2341" s="19"/>
      <c r="X2341" s="19"/>
      <c r="Y2341" s="20"/>
      <c r="Z2341" s="19"/>
      <c r="AA2341" s="18" t="str">
        <f aca="false">IF(OR(V2341="Aprobada"),R2341,IF(AND(OR(V2341="Aprobada con ajuste",V2341="Rechazada"),W2341&lt;&gt;""),W2341,""))</f>
        <v/>
      </c>
    </row>
    <row r="2342" customFormat="false" ht="43.25" hidden="false" customHeight="false" outlineLevel="0" collapsed="false">
      <c r="A2342" s="18" t="s">
        <v>9839</v>
      </c>
      <c r="B2342" s="18" t="s">
        <v>68</v>
      </c>
      <c r="C2342" s="18" t="s">
        <v>69</v>
      </c>
      <c r="D2342" s="18" t="s">
        <v>9840</v>
      </c>
      <c r="E2342" s="18" t="n">
        <v>14</v>
      </c>
      <c r="F2342" s="18" t="s">
        <v>9841</v>
      </c>
      <c r="G2342" s="18" t="s">
        <v>128</v>
      </c>
      <c r="H2342" s="18" t="s">
        <v>129</v>
      </c>
      <c r="I2342" s="18"/>
      <c r="J2342" s="18"/>
      <c r="K2342" s="18"/>
      <c r="L2342" s="18" t="s">
        <v>129</v>
      </c>
      <c r="M2342" s="18" t="s">
        <v>129</v>
      </c>
      <c r="N2342" s="18"/>
      <c r="O2342" s="18"/>
      <c r="P2342" s="18" t="s">
        <v>9842</v>
      </c>
      <c r="Q2342" s="18" t="s">
        <v>149</v>
      </c>
      <c r="R2342" s="18" t="s">
        <v>9843</v>
      </c>
      <c r="S2342" s="18" t="s">
        <v>133</v>
      </c>
      <c r="T2342" s="18" t="s">
        <v>183</v>
      </c>
      <c r="U2342" s="18"/>
      <c r="V2342" s="19" t="s">
        <v>29</v>
      </c>
      <c r="W2342" s="19"/>
      <c r="X2342" s="19"/>
      <c r="Y2342" s="20"/>
      <c r="Z2342" s="19"/>
      <c r="AA2342" s="18" t="str">
        <f aca="false">IF(OR(V2342="Aprobada"),R2342,IF(AND(OR(V2342="Aprobada con ajuste",V2342="Rechazada"),W2342&lt;&gt;""),W2342,""))</f>
        <v/>
      </c>
    </row>
    <row r="2343" customFormat="false" ht="43.25" hidden="false" customHeight="false" outlineLevel="0" collapsed="false">
      <c r="A2343" s="18" t="s">
        <v>9844</v>
      </c>
      <c r="B2343" s="18" t="s">
        <v>68</v>
      </c>
      <c r="C2343" s="18" t="s">
        <v>69</v>
      </c>
      <c r="D2343" s="18" t="s">
        <v>9840</v>
      </c>
      <c r="E2343" s="18" t="n">
        <v>14</v>
      </c>
      <c r="F2343" s="18" t="s">
        <v>3361</v>
      </c>
      <c r="G2343" s="18" t="s">
        <v>282</v>
      </c>
      <c r="H2343" s="18" t="s">
        <v>162</v>
      </c>
      <c r="I2343" s="18"/>
      <c r="J2343" s="18"/>
      <c r="K2343" s="18"/>
      <c r="L2343" s="18" t="s">
        <v>129</v>
      </c>
      <c r="M2343" s="18" t="s">
        <v>129</v>
      </c>
      <c r="N2343" s="18"/>
      <c r="O2343" s="18"/>
      <c r="P2343" s="18" t="s">
        <v>9845</v>
      </c>
      <c r="Q2343" s="18" t="s">
        <v>149</v>
      </c>
      <c r="R2343" s="18" t="s">
        <v>9846</v>
      </c>
      <c r="S2343" s="18" t="s">
        <v>140</v>
      </c>
      <c r="T2343" s="18" t="s">
        <v>183</v>
      </c>
      <c r="U2343" s="18" t="s">
        <v>9669</v>
      </c>
      <c r="V2343" s="19" t="s">
        <v>29</v>
      </c>
      <c r="W2343" s="19"/>
      <c r="X2343" s="19"/>
      <c r="Y2343" s="20"/>
      <c r="Z2343" s="19"/>
      <c r="AA2343" s="18" t="str">
        <f aca="false">IF(OR(V2343="Aprobada"),R2343,IF(AND(OR(V2343="Aprobada con ajuste",V2343="Rechazada"),W2343&lt;&gt;""),W2343,""))</f>
        <v/>
      </c>
    </row>
    <row r="2344" customFormat="false" ht="53.7" hidden="false" customHeight="false" outlineLevel="0" collapsed="false">
      <c r="A2344" s="18" t="s">
        <v>9847</v>
      </c>
      <c r="B2344" s="18" t="s">
        <v>68</v>
      </c>
      <c r="C2344" s="18" t="s">
        <v>69</v>
      </c>
      <c r="D2344" s="18" t="s">
        <v>9848</v>
      </c>
      <c r="E2344" s="18" t="n">
        <v>24</v>
      </c>
      <c r="F2344" s="18" t="s">
        <v>9849</v>
      </c>
      <c r="G2344" s="18" t="s">
        <v>173</v>
      </c>
      <c r="H2344" s="18" t="s">
        <v>162</v>
      </c>
      <c r="I2344" s="18"/>
      <c r="J2344" s="18"/>
      <c r="K2344" s="18"/>
      <c r="L2344" s="18" t="s">
        <v>129</v>
      </c>
      <c r="M2344" s="18" t="s">
        <v>129</v>
      </c>
      <c r="N2344" s="18"/>
      <c r="O2344" s="18"/>
      <c r="P2344" s="18" t="s">
        <v>9850</v>
      </c>
      <c r="Q2344" s="18" t="s">
        <v>138</v>
      </c>
      <c r="R2344" s="18" t="s">
        <v>9851</v>
      </c>
      <c r="S2344" s="18" t="s">
        <v>140</v>
      </c>
      <c r="T2344" s="18" t="s">
        <v>141</v>
      </c>
      <c r="U2344" s="18"/>
      <c r="V2344" s="19" t="s">
        <v>29</v>
      </c>
      <c r="W2344" s="19"/>
      <c r="X2344" s="19"/>
      <c r="Y2344" s="20"/>
      <c r="Z2344" s="19"/>
      <c r="AA2344" s="18" t="str">
        <f aca="false">IF(OR(V2344="Aprobada"),R2344,IF(AND(OR(V2344="Aprobada con ajuste",V2344="Rechazada"),W2344&lt;&gt;""),W2344,""))</f>
        <v/>
      </c>
    </row>
    <row r="2345" customFormat="false" ht="43.25" hidden="false" customHeight="false" outlineLevel="0" collapsed="false">
      <c r="A2345" s="18" t="s">
        <v>9852</v>
      </c>
      <c r="B2345" s="18" t="s">
        <v>68</v>
      </c>
      <c r="C2345" s="18" t="s">
        <v>69</v>
      </c>
      <c r="D2345" s="18" t="s">
        <v>9853</v>
      </c>
      <c r="E2345" s="18" t="n">
        <v>15</v>
      </c>
      <c r="F2345" s="18" t="s">
        <v>4369</v>
      </c>
      <c r="G2345" s="18" t="s">
        <v>180</v>
      </c>
      <c r="H2345" s="18" t="s">
        <v>129</v>
      </c>
      <c r="I2345" s="18"/>
      <c r="J2345" s="18"/>
      <c r="K2345" s="18"/>
      <c r="L2345" s="18" t="s">
        <v>129</v>
      </c>
      <c r="M2345" s="18" t="s">
        <v>129</v>
      </c>
      <c r="N2345" s="18"/>
      <c r="O2345" s="18"/>
      <c r="P2345" s="18" t="s">
        <v>9854</v>
      </c>
      <c r="Q2345" s="18" t="s">
        <v>149</v>
      </c>
      <c r="R2345" s="18" t="s">
        <v>9855</v>
      </c>
      <c r="S2345" s="18" t="s">
        <v>133</v>
      </c>
      <c r="T2345" s="18" t="s">
        <v>183</v>
      </c>
      <c r="U2345" s="18"/>
      <c r="V2345" s="19" t="s">
        <v>29</v>
      </c>
      <c r="W2345" s="19"/>
      <c r="X2345" s="19"/>
      <c r="Y2345" s="20"/>
      <c r="Z2345" s="19"/>
      <c r="AA2345" s="18" t="str">
        <f aca="false">IF(OR(V2345="Aprobada"),R2345,IF(AND(OR(V2345="Aprobada con ajuste",V2345="Rechazada"),W2345&lt;&gt;""),W2345,""))</f>
        <v/>
      </c>
    </row>
    <row r="2346" customFormat="false" ht="43.25" hidden="false" customHeight="false" outlineLevel="0" collapsed="false">
      <c r="A2346" s="18" t="s">
        <v>9856</v>
      </c>
      <c r="B2346" s="18" t="s">
        <v>68</v>
      </c>
      <c r="C2346" s="18" t="s">
        <v>69</v>
      </c>
      <c r="D2346" s="18" t="s">
        <v>9853</v>
      </c>
      <c r="E2346" s="18" t="n">
        <v>15</v>
      </c>
      <c r="F2346" s="18" t="s">
        <v>160</v>
      </c>
      <c r="G2346" s="18" t="s">
        <v>128</v>
      </c>
      <c r="H2346" s="18" t="s">
        <v>162</v>
      </c>
      <c r="I2346" s="18"/>
      <c r="J2346" s="18"/>
      <c r="K2346" s="18"/>
      <c r="L2346" s="18" t="s">
        <v>129</v>
      </c>
      <c r="M2346" s="18" t="s">
        <v>129</v>
      </c>
      <c r="N2346" s="18"/>
      <c r="O2346" s="18"/>
      <c r="P2346" s="18" t="s">
        <v>9857</v>
      </c>
      <c r="Q2346" s="18" t="s">
        <v>138</v>
      </c>
      <c r="R2346" s="18" t="s">
        <v>9858</v>
      </c>
      <c r="S2346" s="18" t="s">
        <v>140</v>
      </c>
      <c r="T2346" s="18" t="s">
        <v>141</v>
      </c>
      <c r="U2346" s="18"/>
      <c r="V2346" s="19" t="s">
        <v>29</v>
      </c>
      <c r="W2346" s="19"/>
      <c r="X2346" s="19"/>
      <c r="Y2346" s="20"/>
      <c r="Z2346" s="19"/>
      <c r="AA2346" s="18" t="str">
        <f aca="false">IF(OR(V2346="Aprobada"),R2346,IF(AND(OR(V2346="Aprobada con ajuste",V2346="Rechazada"),W2346&lt;&gt;""),W2346,""))</f>
        <v/>
      </c>
    </row>
    <row r="2347" customFormat="false" ht="43.25" hidden="false" customHeight="false" outlineLevel="0" collapsed="false">
      <c r="A2347" s="18" t="s">
        <v>9859</v>
      </c>
      <c r="B2347" s="18" t="s">
        <v>68</v>
      </c>
      <c r="C2347" s="18" t="s">
        <v>69</v>
      </c>
      <c r="D2347" s="18" t="s">
        <v>9853</v>
      </c>
      <c r="E2347" s="18" t="n">
        <v>15</v>
      </c>
      <c r="F2347" s="18" t="s">
        <v>4777</v>
      </c>
      <c r="G2347" s="18" t="s">
        <v>205</v>
      </c>
      <c r="H2347" s="18" t="s">
        <v>129</v>
      </c>
      <c r="I2347" s="18"/>
      <c r="J2347" s="18"/>
      <c r="K2347" s="18"/>
      <c r="L2347" s="18" t="s">
        <v>129</v>
      </c>
      <c r="M2347" s="18" t="s">
        <v>129</v>
      </c>
      <c r="N2347" s="18"/>
      <c r="O2347" s="18"/>
      <c r="P2347" s="18" t="s">
        <v>9860</v>
      </c>
      <c r="Q2347" s="18" t="s">
        <v>149</v>
      </c>
      <c r="R2347" s="18" t="s">
        <v>9861</v>
      </c>
      <c r="S2347" s="18" t="s">
        <v>133</v>
      </c>
      <c r="T2347" s="18" t="s">
        <v>9862</v>
      </c>
      <c r="U2347" s="18"/>
      <c r="V2347" s="19" t="s">
        <v>29</v>
      </c>
      <c r="W2347" s="19"/>
      <c r="X2347" s="19"/>
      <c r="Y2347" s="20"/>
      <c r="Z2347" s="19"/>
      <c r="AA2347" s="18" t="str">
        <f aca="false">IF(OR(V2347="Aprobada"),R2347,IF(AND(OR(V2347="Aprobada con ajuste",V2347="Rechazada"),W2347&lt;&gt;""),W2347,""))</f>
        <v/>
      </c>
    </row>
    <row r="2348" customFormat="false" ht="43.25" hidden="false" customHeight="false" outlineLevel="0" collapsed="false">
      <c r="A2348" s="18" t="s">
        <v>9863</v>
      </c>
      <c r="B2348" s="18" t="s">
        <v>68</v>
      </c>
      <c r="C2348" s="18" t="s">
        <v>69</v>
      </c>
      <c r="D2348" s="18" t="s">
        <v>9853</v>
      </c>
      <c r="E2348" s="18" t="n">
        <v>15</v>
      </c>
      <c r="F2348" s="18" t="s">
        <v>3361</v>
      </c>
      <c r="G2348" s="18" t="s">
        <v>282</v>
      </c>
      <c r="H2348" s="18" t="s">
        <v>162</v>
      </c>
      <c r="I2348" s="18"/>
      <c r="J2348" s="18"/>
      <c r="K2348" s="18"/>
      <c r="L2348" s="18" t="s">
        <v>129</v>
      </c>
      <c r="M2348" s="18" t="s">
        <v>129</v>
      </c>
      <c r="N2348" s="18"/>
      <c r="O2348" s="18"/>
      <c r="P2348" s="18" t="s">
        <v>9864</v>
      </c>
      <c r="Q2348" s="18" t="s">
        <v>149</v>
      </c>
      <c r="R2348" s="18" t="s">
        <v>9865</v>
      </c>
      <c r="S2348" s="18" t="s">
        <v>140</v>
      </c>
      <c r="T2348" s="18" t="s">
        <v>183</v>
      </c>
      <c r="U2348" s="18" t="s">
        <v>9669</v>
      </c>
      <c r="V2348" s="19" t="s">
        <v>29</v>
      </c>
      <c r="W2348" s="19"/>
      <c r="X2348" s="19"/>
      <c r="Y2348" s="20"/>
      <c r="Z2348" s="19"/>
      <c r="AA2348" s="18" t="str">
        <f aca="false">IF(OR(V2348="Aprobada"),R2348,IF(AND(OR(V2348="Aprobada con ajuste",V2348="Rechazada"),W2348&lt;&gt;""),W2348,""))</f>
        <v/>
      </c>
    </row>
    <row r="2349" customFormat="false" ht="53.7" hidden="false" customHeight="false" outlineLevel="0" collapsed="false">
      <c r="A2349" s="18" t="s">
        <v>9866</v>
      </c>
      <c r="B2349" s="18" t="s">
        <v>68</v>
      </c>
      <c r="C2349" s="18" t="s">
        <v>69</v>
      </c>
      <c r="D2349" s="18" t="s">
        <v>9853</v>
      </c>
      <c r="E2349" s="18" t="n">
        <v>15</v>
      </c>
      <c r="F2349" s="18" t="s">
        <v>9828</v>
      </c>
      <c r="G2349" s="18" t="s">
        <v>180</v>
      </c>
      <c r="H2349" s="18" t="s">
        <v>162</v>
      </c>
      <c r="I2349" s="18"/>
      <c r="J2349" s="18"/>
      <c r="K2349" s="18"/>
      <c r="L2349" s="18" t="s">
        <v>129</v>
      </c>
      <c r="M2349" s="18" t="s">
        <v>129</v>
      </c>
      <c r="N2349" s="18"/>
      <c r="O2349" s="18"/>
      <c r="P2349" s="18" t="s">
        <v>9867</v>
      </c>
      <c r="Q2349" s="18" t="s">
        <v>149</v>
      </c>
      <c r="R2349" s="18" t="s">
        <v>9868</v>
      </c>
      <c r="S2349" s="18" t="s">
        <v>133</v>
      </c>
      <c r="T2349" s="18" t="s">
        <v>183</v>
      </c>
      <c r="U2349" s="18"/>
      <c r="V2349" s="19" t="s">
        <v>29</v>
      </c>
      <c r="W2349" s="19"/>
      <c r="X2349" s="19"/>
      <c r="Y2349" s="20"/>
      <c r="Z2349" s="19"/>
      <c r="AA2349" s="18" t="str">
        <f aca="false">IF(OR(V2349="Aprobada"),R2349,IF(AND(OR(V2349="Aprobada con ajuste",V2349="Rechazada"),W2349&lt;&gt;""),W2349,""))</f>
        <v/>
      </c>
    </row>
    <row r="2350" customFormat="false" ht="53.7" hidden="false" customHeight="false" outlineLevel="0" collapsed="false">
      <c r="A2350" s="18" t="s">
        <v>9869</v>
      </c>
      <c r="B2350" s="18" t="s">
        <v>68</v>
      </c>
      <c r="C2350" s="18" t="s">
        <v>69</v>
      </c>
      <c r="D2350" s="18" t="s">
        <v>9853</v>
      </c>
      <c r="E2350" s="18" t="n">
        <v>15</v>
      </c>
      <c r="F2350" s="18" t="s">
        <v>9870</v>
      </c>
      <c r="G2350" s="18" t="s">
        <v>137</v>
      </c>
      <c r="H2350" s="18" t="s">
        <v>129</v>
      </c>
      <c r="I2350" s="18"/>
      <c r="J2350" s="18"/>
      <c r="K2350" s="18"/>
      <c r="L2350" s="18" t="s">
        <v>129</v>
      </c>
      <c r="M2350" s="18" t="s">
        <v>129</v>
      </c>
      <c r="N2350" s="18"/>
      <c r="O2350" s="18" t="s">
        <v>9871</v>
      </c>
      <c r="P2350" s="18" t="s">
        <v>9872</v>
      </c>
      <c r="Q2350" s="18" t="s">
        <v>149</v>
      </c>
      <c r="R2350" s="18" t="s">
        <v>9873</v>
      </c>
      <c r="S2350" s="18" t="s">
        <v>133</v>
      </c>
      <c r="T2350" s="18" t="s">
        <v>183</v>
      </c>
      <c r="U2350" s="18"/>
      <c r="V2350" s="19" t="s">
        <v>29</v>
      </c>
      <c r="W2350" s="19"/>
      <c r="X2350" s="19"/>
      <c r="Y2350" s="20"/>
      <c r="Z2350" s="19"/>
      <c r="AA2350" s="18" t="str">
        <f aca="false">IF(OR(V2350="Aprobada"),R2350,IF(AND(OR(V2350="Aprobada con ajuste",V2350="Rechazada"),W2350&lt;&gt;""),W2350,""))</f>
        <v/>
      </c>
    </row>
    <row r="2351" customFormat="false" ht="43.25" hidden="false" customHeight="false" outlineLevel="0" collapsed="false">
      <c r="A2351" s="18" t="s">
        <v>9874</v>
      </c>
      <c r="B2351" s="18" t="s">
        <v>68</v>
      </c>
      <c r="C2351" s="18" t="s">
        <v>69</v>
      </c>
      <c r="D2351" s="18" t="s">
        <v>9853</v>
      </c>
      <c r="E2351" s="18" t="n">
        <v>15</v>
      </c>
      <c r="F2351" s="18" t="s">
        <v>6642</v>
      </c>
      <c r="G2351" s="18" t="s">
        <v>173</v>
      </c>
      <c r="H2351" s="18" t="s">
        <v>129</v>
      </c>
      <c r="I2351" s="18"/>
      <c r="J2351" s="18"/>
      <c r="K2351" s="18"/>
      <c r="L2351" s="18" t="s">
        <v>129</v>
      </c>
      <c r="M2351" s="18" t="s">
        <v>129</v>
      </c>
      <c r="N2351" s="18"/>
      <c r="O2351" s="18" t="s">
        <v>9875</v>
      </c>
      <c r="P2351" s="18" t="s">
        <v>9876</v>
      </c>
      <c r="Q2351" s="18" t="s">
        <v>138</v>
      </c>
      <c r="R2351" s="18" t="s">
        <v>6643</v>
      </c>
      <c r="S2351" s="18" t="s">
        <v>140</v>
      </c>
      <c r="T2351" s="18" t="s">
        <v>141</v>
      </c>
      <c r="U2351" s="18"/>
      <c r="V2351" s="19" t="s">
        <v>29</v>
      </c>
      <c r="W2351" s="19"/>
      <c r="X2351" s="19"/>
      <c r="Y2351" s="20"/>
      <c r="Z2351" s="19"/>
      <c r="AA2351" s="18" t="str">
        <f aca="false">IF(OR(V2351="Aprobada"),R2351,IF(AND(OR(V2351="Aprobada con ajuste",V2351="Rechazada"),W2351&lt;&gt;""),W2351,""))</f>
        <v/>
      </c>
    </row>
    <row r="2352" customFormat="false" ht="43.25" hidden="false" customHeight="false" outlineLevel="0" collapsed="false">
      <c r="A2352" s="18" t="s">
        <v>9877</v>
      </c>
      <c r="B2352" s="18" t="s">
        <v>68</v>
      </c>
      <c r="C2352" s="18" t="s">
        <v>69</v>
      </c>
      <c r="D2352" s="18" t="s">
        <v>9853</v>
      </c>
      <c r="E2352" s="18" t="n">
        <v>15</v>
      </c>
      <c r="F2352" s="18" t="s">
        <v>9878</v>
      </c>
      <c r="G2352" s="18" t="s">
        <v>584</v>
      </c>
      <c r="H2352" s="18" t="s">
        <v>162</v>
      </c>
      <c r="I2352" s="18"/>
      <c r="J2352" s="18"/>
      <c r="K2352" s="18"/>
      <c r="L2352" s="18" t="s">
        <v>129</v>
      </c>
      <c r="M2352" s="18" t="s">
        <v>129</v>
      </c>
      <c r="N2352" s="18"/>
      <c r="O2352" s="18"/>
      <c r="P2352" s="18" t="s">
        <v>9879</v>
      </c>
      <c r="Q2352" s="18" t="s">
        <v>149</v>
      </c>
      <c r="R2352" s="18" t="s">
        <v>9880</v>
      </c>
      <c r="S2352" s="18" t="s">
        <v>133</v>
      </c>
      <c r="T2352" s="18" t="s">
        <v>183</v>
      </c>
      <c r="U2352" s="18"/>
      <c r="V2352" s="19" t="s">
        <v>29</v>
      </c>
      <c r="W2352" s="19"/>
      <c r="X2352" s="19"/>
      <c r="Y2352" s="20"/>
      <c r="Z2352" s="19"/>
      <c r="AA2352" s="18" t="str">
        <f aca="false">IF(OR(V2352="Aprobada"),R2352,IF(AND(OR(V2352="Aprobada con ajuste",V2352="Rechazada"),W2352&lt;&gt;""),W2352,""))</f>
        <v/>
      </c>
    </row>
    <row r="2353" customFormat="false" ht="43.25" hidden="false" customHeight="false" outlineLevel="0" collapsed="false">
      <c r="A2353" s="18" t="s">
        <v>9881</v>
      </c>
      <c r="B2353" s="18" t="s">
        <v>68</v>
      </c>
      <c r="C2353" s="18" t="s">
        <v>69</v>
      </c>
      <c r="D2353" s="18" t="s">
        <v>9853</v>
      </c>
      <c r="E2353" s="18" t="n">
        <v>15</v>
      </c>
      <c r="F2353" s="18" t="s">
        <v>886</v>
      </c>
      <c r="G2353" s="18" t="s">
        <v>128</v>
      </c>
      <c r="H2353" s="18" t="s">
        <v>162</v>
      </c>
      <c r="I2353" s="18"/>
      <c r="J2353" s="18"/>
      <c r="K2353" s="18"/>
      <c r="L2353" s="18" t="s">
        <v>129</v>
      </c>
      <c r="M2353" s="18" t="s">
        <v>129</v>
      </c>
      <c r="N2353" s="18"/>
      <c r="O2353" s="18"/>
      <c r="P2353" s="18" t="s">
        <v>9882</v>
      </c>
      <c r="Q2353" s="18" t="s">
        <v>138</v>
      </c>
      <c r="R2353" s="18" t="s">
        <v>1693</v>
      </c>
      <c r="S2353" s="18" t="s">
        <v>140</v>
      </c>
      <c r="T2353" s="18" t="s">
        <v>141</v>
      </c>
      <c r="U2353" s="18"/>
      <c r="V2353" s="19" t="s">
        <v>29</v>
      </c>
      <c r="W2353" s="19"/>
      <c r="X2353" s="19"/>
      <c r="Y2353" s="20"/>
      <c r="Z2353" s="19"/>
      <c r="AA2353" s="18" t="str">
        <f aca="false">IF(OR(V2353="Aprobada"),R2353,IF(AND(OR(V2353="Aprobada con ajuste",V2353="Rechazada"),W2353&lt;&gt;""),W2353,""))</f>
        <v/>
      </c>
    </row>
    <row r="2354" customFormat="false" ht="53.7" hidden="false" customHeight="false" outlineLevel="0" collapsed="false">
      <c r="A2354" s="18" t="s">
        <v>9883</v>
      </c>
      <c r="B2354" s="18" t="s">
        <v>68</v>
      </c>
      <c r="C2354" s="18" t="s">
        <v>69</v>
      </c>
      <c r="D2354" s="18" t="s">
        <v>9884</v>
      </c>
      <c r="E2354" s="18" t="n">
        <v>26</v>
      </c>
      <c r="F2354" s="18" t="s">
        <v>9885</v>
      </c>
      <c r="G2354" s="18" t="s">
        <v>180</v>
      </c>
      <c r="H2354" s="18" t="s">
        <v>129</v>
      </c>
      <c r="I2354" s="18" t="s">
        <v>146</v>
      </c>
      <c r="J2354" s="18"/>
      <c r="K2354" s="18"/>
      <c r="L2354" s="18" t="s">
        <v>129</v>
      </c>
      <c r="M2354" s="18" t="s">
        <v>129</v>
      </c>
      <c r="N2354" s="18"/>
      <c r="O2354" s="18" t="s">
        <v>9886</v>
      </c>
      <c r="P2354" s="18" t="s">
        <v>9887</v>
      </c>
      <c r="Q2354" s="18" t="s">
        <v>131</v>
      </c>
      <c r="R2354" s="18" t="s">
        <v>9888</v>
      </c>
      <c r="S2354" s="18" t="s">
        <v>133</v>
      </c>
      <c r="T2354" s="18" t="s">
        <v>9889</v>
      </c>
      <c r="U2354" s="18"/>
      <c r="V2354" s="19" t="s">
        <v>29</v>
      </c>
      <c r="W2354" s="19"/>
      <c r="X2354" s="19"/>
      <c r="Y2354" s="20"/>
      <c r="Z2354" s="19"/>
      <c r="AA2354" s="18" t="str">
        <f aca="false">IF(OR(V2354="Aprobada"),R2354,IF(AND(OR(V2354="Aprobada con ajuste",V2354="Rechazada"),W2354&lt;&gt;""),W2354,""))</f>
        <v/>
      </c>
    </row>
    <row r="2355" customFormat="false" ht="43.25" hidden="false" customHeight="false" outlineLevel="0" collapsed="false">
      <c r="A2355" s="18" t="s">
        <v>9890</v>
      </c>
      <c r="B2355" s="18" t="s">
        <v>68</v>
      </c>
      <c r="C2355" s="18" t="s">
        <v>69</v>
      </c>
      <c r="D2355" s="18" t="s">
        <v>9884</v>
      </c>
      <c r="E2355" s="18" t="n">
        <v>26</v>
      </c>
      <c r="F2355" s="18" t="s">
        <v>9891</v>
      </c>
      <c r="G2355" s="18" t="s">
        <v>312</v>
      </c>
      <c r="H2355" s="18" t="s">
        <v>129</v>
      </c>
      <c r="I2355" s="18"/>
      <c r="J2355" s="18"/>
      <c r="K2355" s="18"/>
      <c r="L2355" s="18" t="s">
        <v>129</v>
      </c>
      <c r="M2355" s="18" t="s">
        <v>129</v>
      </c>
      <c r="N2355" s="18"/>
      <c r="O2355" s="18" t="s">
        <v>9892</v>
      </c>
      <c r="P2355" s="18" t="s">
        <v>9893</v>
      </c>
      <c r="Q2355" s="18" t="s">
        <v>149</v>
      </c>
      <c r="R2355" s="18" t="s">
        <v>9894</v>
      </c>
      <c r="S2355" s="18" t="s">
        <v>140</v>
      </c>
      <c r="T2355" s="18" t="s">
        <v>9895</v>
      </c>
      <c r="U2355" s="18" t="s">
        <v>9896</v>
      </c>
      <c r="V2355" s="19" t="s">
        <v>29</v>
      </c>
      <c r="W2355" s="19"/>
      <c r="X2355" s="19"/>
      <c r="Y2355" s="20"/>
      <c r="Z2355" s="19"/>
      <c r="AA2355" s="18" t="str">
        <f aca="false">IF(OR(V2355="Aprobada"),R2355,IF(AND(OR(V2355="Aprobada con ajuste",V2355="Rechazada"),W2355&lt;&gt;""),W2355,""))</f>
        <v/>
      </c>
    </row>
    <row r="2356" customFormat="false" ht="32.8" hidden="false" customHeight="false" outlineLevel="0" collapsed="false">
      <c r="A2356" s="18" t="s">
        <v>9897</v>
      </c>
      <c r="B2356" s="18" t="s">
        <v>68</v>
      </c>
      <c r="C2356" s="18" t="s">
        <v>69</v>
      </c>
      <c r="D2356" s="18" t="s">
        <v>9884</v>
      </c>
      <c r="E2356" s="18" t="n">
        <v>26</v>
      </c>
      <c r="F2356" s="18" t="s">
        <v>9898</v>
      </c>
      <c r="G2356" s="18" t="s">
        <v>584</v>
      </c>
      <c r="H2356" s="18" t="s">
        <v>162</v>
      </c>
      <c r="I2356" s="18"/>
      <c r="J2356" s="18"/>
      <c r="K2356" s="18"/>
      <c r="L2356" s="18" t="s">
        <v>129</v>
      </c>
      <c r="M2356" s="18" t="s">
        <v>129</v>
      </c>
      <c r="N2356" s="18"/>
      <c r="O2356" s="18"/>
      <c r="P2356" s="18" t="s">
        <v>9899</v>
      </c>
      <c r="Q2356" s="18" t="s">
        <v>149</v>
      </c>
      <c r="R2356" s="18" t="s">
        <v>9900</v>
      </c>
      <c r="S2356" s="18" t="s">
        <v>140</v>
      </c>
      <c r="T2356" s="18" t="s">
        <v>183</v>
      </c>
      <c r="U2356" s="18" t="s">
        <v>9901</v>
      </c>
      <c r="V2356" s="19" t="s">
        <v>29</v>
      </c>
      <c r="W2356" s="19"/>
      <c r="X2356" s="19"/>
      <c r="Y2356" s="20"/>
      <c r="Z2356" s="19"/>
      <c r="AA2356" s="18" t="str">
        <f aca="false">IF(OR(V2356="Aprobada"),R2356,IF(AND(OR(V2356="Aprobada con ajuste",V2356="Rechazada"),W2356&lt;&gt;""),W2356,""))</f>
        <v/>
      </c>
    </row>
    <row r="2357" customFormat="false" ht="32.8" hidden="false" customHeight="false" outlineLevel="0" collapsed="false">
      <c r="A2357" s="18" t="s">
        <v>9902</v>
      </c>
      <c r="B2357" s="18" t="s">
        <v>68</v>
      </c>
      <c r="C2357" s="18" t="s">
        <v>69</v>
      </c>
      <c r="D2357" s="18" t="s">
        <v>9884</v>
      </c>
      <c r="E2357" s="18" t="n">
        <v>26</v>
      </c>
      <c r="F2357" s="18" t="s">
        <v>9903</v>
      </c>
      <c r="G2357" s="18" t="s">
        <v>584</v>
      </c>
      <c r="H2357" s="18" t="s">
        <v>162</v>
      </c>
      <c r="I2357" s="18"/>
      <c r="J2357" s="18"/>
      <c r="K2357" s="18"/>
      <c r="L2357" s="18" t="s">
        <v>129</v>
      </c>
      <c r="M2357" s="18" t="s">
        <v>129</v>
      </c>
      <c r="N2357" s="18"/>
      <c r="O2357" s="18"/>
      <c r="P2357" s="18" t="s">
        <v>9904</v>
      </c>
      <c r="Q2357" s="18" t="s">
        <v>149</v>
      </c>
      <c r="R2357" s="18" t="s">
        <v>9905</v>
      </c>
      <c r="S2357" s="18" t="s">
        <v>140</v>
      </c>
      <c r="T2357" s="18" t="s">
        <v>9906</v>
      </c>
      <c r="U2357" s="18" t="s">
        <v>9907</v>
      </c>
      <c r="V2357" s="19" t="s">
        <v>29</v>
      </c>
      <c r="W2357" s="19"/>
      <c r="X2357" s="19"/>
      <c r="Y2357" s="20"/>
      <c r="Z2357" s="19"/>
      <c r="AA2357" s="18" t="str">
        <f aca="false">IF(OR(V2357="Aprobada"),R2357,IF(AND(OR(V2357="Aprobada con ajuste",V2357="Rechazada"),W2357&lt;&gt;""),W2357,""))</f>
        <v/>
      </c>
    </row>
    <row r="2358" customFormat="false" ht="43.25" hidden="false" customHeight="false" outlineLevel="0" collapsed="false">
      <c r="A2358" s="18" t="s">
        <v>9908</v>
      </c>
      <c r="B2358" s="18" t="s">
        <v>68</v>
      </c>
      <c r="C2358" s="18" t="s">
        <v>69</v>
      </c>
      <c r="D2358" s="18" t="s">
        <v>9884</v>
      </c>
      <c r="E2358" s="18" t="n">
        <v>26</v>
      </c>
      <c r="F2358" s="18" t="s">
        <v>886</v>
      </c>
      <c r="G2358" s="18" t="s">
        <v>128</v>
      </c>
      <c r="H2358" s="18" t="s">
        <v>162</v>
      </c>
      <c r="I2358" s="18"/>
      <c r="J2358" s="18"/>
      <c r="K2358" s="18"/>
      <c r="L2358" s="18" t="s">
        <v>129</v>
      </c>
      <c r="M2358" s="18" t="s">
        <v>129</v>
      </c>
      <c r="N2358" s="18"/>
      <c r="O2358" s="18"/>
      <c r="P2358" s="18" t="s">
        <v>9909</v>
      </c>
      <c r="Q2358" s="18" t="s">
        <v>138</v>
      </c>
      <c r="R2358" s="18" t="s">
        <v>1693</v>
      </c>
      <c r="S2358" s="18" t="s">
        <v>140</v>
      </c>
      <c r="T2358" s="18" t="s">
        <v>141</v>
      </c>
      <c r="U2358" s="18"/>
      <c r="V2358" s="19" t="s">
        <v>29</v>
      </c>
      <c r="W2358" s="19"/>
      <c r="X2358" s="19"/>
      <c r="Y2358" s="20"/>
      <c r="Z2358" s="19"/>
      <c r="AA2358" s="18" t="str">
        <f aca="false">IF(OR(V2358="Aprobada"),R2358,IF(AND(OR(V2358="Aprobada con ajuste",V2358="Rechazada"),W2358&lt;&gt;""),W2358,""))</f>
        <v/>
      </c>
    </row>
    <row r="2359" customFormat="false" ht="32.8" hidden="false" customHeight="false" outlineLevel="0" collapsed="false">
      <c r="A2359" s="18" t="s">
        <v>9910</v>
      </c>
      <c r="B2359" s="18" t="s">
        <v>68</v>
      </c>
      <c r="C2359" s="18" t="s">
        <v>69</v>
      </c>
      <c r="D2359" s="18" t="s">
        <v>9884</v>
      </c>
      <c r="E2359" s="18" t="n">
        <v>26</v>
      </c>
      <c r="F2359" s="18" t="s">
        <v>9911</v>
      </c>
      <c r="G2359" s="18" t="s">
        <v>651</v>
      </c>
      <c r="H2359" s="18" t="s">
        <v>162</v>
      </c>
      <c r="I2359" s="18"/>
      <c r="J2359" s="18"/>
      <c r="K2359" s="18"/>
      <c r="L2359" s="18" t="s">
        <v>129</v>
      </c>
      <c r="M2359" s="18" t="s">
        <v>129</v>
      </c>
      <c r="N2359" s="18"/>
      <c r="O2359" s="18"/>
      <c r="P2359" s="18" t="s">
        <v>9912</v>
      </c>
      <c r="Q2359" s="18" t="s">
        <v>149</v>
      </c>
      <c r="R2359" s="18" t="s">
        <v>9913</v>
      </c>
      <c r="S2359" s="18" t="s">
        <v>242</v>
      </c>
      <c r="T2359" s="18" t="s">
        <v>183</v>
      </c>
      <c r="U2359" s="18" t="s">
        <v>9914</v>
      </c>
      <c r="V2359" s="19" t="s">
        <v>29</v>
      </c>
      <c r="W2359" s="19"/>
      <c r="X2359" s="19"/>
      <c r="Y2359" s="20"/>
      <c r="Z2359" s="19"/>
      <c r="AA2359" s="18" t="str">
        <f aca="false">IF(OR(V2359="Aprobada"),R2359,IF(AND(OR(V2359="Aprobada con ajuste",V2359="Rechazada"),W2359&lt;&gt;""),W2359,""))</f>
        <v/>
      </c>
    </row>
    <row r="2360" customFormat="false" ht="43.25" hidden="false" customHeight="false" outlineLevel="0" collapsed="false">
      <c r="A2360" s="18" t="s">
        <v>9915</v>
      </c>
      <c r="B2360" s="18" t="s">
        <v>68</v>
      </c>
      <c r="C2360" s="18" t="s">
        <v>69</v>
      </c>
      <c r="D2360" s="18" t="s">
        <v>9884</v>
      </c>
      <c r="E2360" s="18" t="n">
        <v>26</v>
      </c>
      <c r="F2360" s="18" t="s">
        <v>9738</v>
      </c>
      <c r="G2360" s="18" t="s">
        <v>312</v>
      </c>
      <c r="H2360" s="18" t="s">
        <v>162</v>
      </c>
      <c r="I2360" s="18"/>
      <c r="J2360" s="18"/>
      <c r="K2360" s="18"/>
      <c r="L2360" s="18" t="s">
        <v>129</v>
      </c>
      <c r="M2360" s="18" t="s">
        <v>129</v>
      </c>
      <c r="N2360" s="18"/>
      <c r="O2360" s="18"/>
      <c r="P2360" s="18" t="s">
        <v>9916</v>
      </c>
      <c r="Q2360" s="18" t="s">
        <v>149</v>
      </c>
      <c r="R2360" s="18" t="s">
        <v>9917</v>
      </c>
      <c r="S2360" s="18" t="s">
        <v>242</v>
      </c>
      <c r="T2360" s="18" t="s">
        <v>183</v>
      </c>
      <c r="U2360" s="18" t="s">
        <v>9918</v>
      </c>
      <c r="V2360" s="19" t="s">
        <v>29</v>
      </c>
      <c r="W2360" s="19"/>
      <c r="X2360" s="19"/>
      <c r="Y2360" s="20"/>
      <c r="Z2360" s="19"/>
      <c r="AA2360" s="18" t="str">
        <f aca="false">IF(OR(V2360="Aprobada"),R2360,IF(AND(OR(V2360="Aprobada con ajuste",V2360="Rechazada"),W2360&lt;&gt;""),W2360,""))</f>
        <v/>
      </c>
    </row>
    <row r="2361" customFormat="false" ht="43.25" hidden="false" customHeight="false" outlineLevel="0" collapsed="false">
      <c r="A2361" s="18" t="s">
        <v>9919</v>
      </c>
      <c r="B2361" s="18" t="s">
        <v>68</v>
      </c>
      <c r="C2361" s="18" t="s">
        <v>69</v>
      </c>
      <c r="D2361" s="18" t="s">
        <v>9884</v>
      </c>
      <c r="E2361" s="18" t="n">
        <v>26</v>
      </c>
      <c r="F2361" s="18" t="s">
        <v>9920</v>
      </c>
      <c r="G2361" s="18" t="s">
        <v>128</v>
      </c>
      <c r="H2361" s="18" t="s">
        <v>162</v>
      </c>
      <c r="I2361" s="18"/>
      <c r="J2361" s="18"/>
      <c r="K2361" s="18"/>
      <c r="L2361" s="18" t="s">
        <v>129</v>
      </c>
      <c r="M2361" s="18" t="s">
        <v>129</v>
      </c>
      <c r="N2361" s="18"/>
      <c r="O2361" s="18"/>
      <c r="P2361" s="18" t="s">
        <v>9921</v>
      </c>
      <c r="Q2361" s="18" t="s">
        <v>149</v>
      </c>
      <c r="R2361" s="18" t="s">
        <v>9922</v>
      </c>
      <c r="S2361" s="18" t="s">
        <v>242</v>
      </c>
      <c r="T2361" s="18" t="s">
        <v>183</v>
      </c>
      <c r="U2361" s="18" t="s">
        <v>9923</v>
      </c>
      <c r="V2361" s="19" t="s">
        <v>29</v>
      </c>
      <c r="W2361" s="19"/>
      <c r="X2361" s="19"/>
      <c r="Y2361" s="20"/>
      <c r="Z2361" s="19"/>
      <c r="AA2361" s="18" t="str">
        <f aca="false">IF(OR(V2361="Aprobada"),R2361,IF(AND(OR(V2361="Aprobada con ajuste",V2361="Rechazada"),W2361&lt;&gt;""),W2361,""))</f>
        <v/>
      </c>
    </row>
    <row r="2362" customFormat="false" ht="32.8" hidden="false" customHeight="false" outlineLevel="0" collapsed="false">
      <c r="A2362" s="18" t="s">
        <v>9924</v>
      </c>
      <c r="B2362" s="18" t="s">
        <v>68</v>
      </c>
      <c r="C2362" s="18" t="s">
        <v>69</v>
      </c>
      <c r="D2362" s="18" t="s">
        <v>9884</v>
      </c>
      <c r="E2362" s="18" t="n">
        <v>26</v>
      </c>
      <c r="F2362" s="18" t="s">
        <v>9925</v>
      </c>
      <c r="G2362" s="18" t="s">
        <v>503</v>
      </c>
      <c r="H2362" s="18" t="s">
        <v>162</v>
      </c>
      <c r="I2362" s="18"/>
      <c r="J2362" s="18"/>
      <c r="K2362" s="18"/>
      <c r="L2362" s="18" t="s">
        <v>129</v>
      </c>
      <c r="M2362" s="18" t="s">
        <v>162</v>
      </c>
      <c r="N2362" s="18" t="s">
        <v>9926</v>
      </c>
      <c r="O2362" s="18"/>
      <c r="P2362" s="18"/>
      <c r="Q2362" s="18" t="s">
        <v>149</v>
      </c>
      <c r="R2362" s="18" t="s">
        <v>9927</v>
      </c>
      <c r="S2362" s="18" t="s">
        <v>133</v>
      </c>
      <c r="T2362" s="18" t="s">
        <v>9928</v>
      </c>
      <c r="U2362" s="18"/>
      <c r="V2362" s="19" t="s">
        <v>29</v>
      </c>
      <c r="W2362" s="19"/>
      <c r="X2362" s="19"/>
      <c r="Y2362" s="20"/>
      <c r="Z2362" s="19"/>
      <c r="AA2362" s="18" t="str">
        <f aca="false">IF(OR(V2362="Aprobada"),R2362,IF(AND(OR(V2362="Aprobada con ajuste",V2362="Rechazada"),W2362&lt;&gt;""),W2362,""))</f>
        <v/>
      </c>
    </row>
    <row r="2363" customFormat="false" ht="32.8" hidden="false" customHeight="false" outlineLevel="0" collapsed="false">
      <c r="A2363" s="18" t="s">
        <v>9929</v>
      </c>
      <c r="B2363" s="18" t="s">
        <v>68</v>
      </c>
      <c r="C2363" s="18" t="s">
        <v>69</v>
      </c>
      <c r="D2363" s="18" t="s">
        <v>9884</v>
      </c>
      <c r="E2363" s="18" t="n">
        <v>26</v>
      </c>
      <c r="F2363" s="18" t="s">
        <v>9930</v>
      </c>
      <c r="G2363" s="18" t="s">
        <v>503</v>
      </c>
      <c r="H2363" s="18" t="s">
        <v>162</v>
      </c>
      <c r="I2363" s="18"/>
      <c r="J2363" s="18"/>
      <c r="K2363" s="18"/>
      <c r="L2363" s="18" t="s">
        <v>129</v>
      </c>
      <c r="M2363" s="18" t="s">
        <v>162</v>
      </c>
      <c r="N2363" s="18" t="s">
        <v>9931</v>
      </c>
      <c r="O2363" s="18"/>
      <c r="P2363" s="18"/>
      <c r="Q2363" s="18" t="s">
        <v>149</v>
      </c>
      <c r="R2363" s="18" t="s">
        <v>9932</v>
      </c>
      <c r="S2363" s="18" t="s">
        <v>133</v>
      </c>
      <c r="T2363" s="18" t="s">
        <v>9933</v>
      </c>
      <c r="U2363" s="18"/>
      <c r="V2363" s="19" t="s">
        <v>29</v>
      </c>
      <c r="W2363" s="19"/>
      <c r="X2363" s="19"/>
      <c r="Y2363" s="20"/>
      <c r="Z2363" s="19"/>
      <c r="AA2363" s="18" t="str">
        <f aca="false">IF(OR(V2363="Aprobada"),R2363,IF(AND(OR(V2363="Aprobada con ajuste",V2363="Rechazada"),W2363&lt;&gt;""),W2363,""))</f>
        <v/>
      </c>
    </row>
    <row r="2364" customFormat="false" ht="22.35" hidden="false" customHeight="false" outlineLevel="0" collapsed="false">
      <c r="A2364" s="18" t="s">
        <v>9934</v>
      </c>
      <c r="B2364" s="18" t="s">
        <v>68</v>
      </c>
      <c r="C2364" s="18" t="s">
        <v>69</v>
      </c>
      <c r="D2364" s="18" t="s">
        <v>9884</v>
      </c>
      <c r="E2364" s="18" t="n">
        <v>26</v>
      </c>
      <c r="F2364" s="18" t="s">
        <v>9935</v>
      </c>
      <c r="G2364" s="18" t="s">
        <v>5738</v>
      </c>
      <c r="H2364" s="18" t="s">
        <v>162</v>
      </c>
      <c r="I2364" s="18"/>
      <c r="J2364" s="18"/>
      <c r="K2364" s="18"/>
      <c r="L2364" s="18" t="s">
        <v>129</v>
      </c>
      <c r="M2364" s="18" t="s">
        <v>129</v>
      </c>
      <c r="N2364" s="18"/>
      <c r="O2364" s="18"/>
      <c r="P2364" s="18"/>
      <c r="Q2364" s="18" t="s">
        <v>149</v>
      </c>
      <c r="R2364" s="18" t="s">
        <v>9936</v>
      </c>
      <c r="S2364" s="18" t="s">
        <v>140</v>
      </c>
      <c r="T2364" s="18" t="s">
        <v>9937</v>
      </c>
      <c r="U2364" s="18" t="s">
        <v>9938</v>
      </c>
      <c r="V2364" s="19" t="s">
        <v>29</v>
      </c>
      <c r="W2364" s="19"/>
      <c r="X2364" s="19"/>
      <c r="Y2364" s="20"/>
      <c r="Z2364" s="19"/>
      <c r="AA2364" s="18" t="str">
        <f aca="false">IF(OR(V2364="Aprobada"),R2364,IF(AND(OR(V2364="Aprobada con ajuste",V2364="Rechazada"),W2364&lt;&gt;""),W2364,""))</f>
        <v/>
      </c>
    </row>
    <row r="2365" customFormat="false" ht="43.25" hidden="false" customHeight="false" outlineLevel="0" collapsed="false">
      <c r="A2365" s="18" t="s">
        <v>9939</v>
      </c>
      <c r="B2365" s="18" t="s">
        <v>68</v>
      </c>
      <c r="C2365" s="18" t="s">
        <v>69</v>
      </c>
      <c r="D2365" s="18" t="s">
        <v>9884</v>
      </c>
      <c r="E2365" s="18" t="n">
        <v>26</v>
      </c>
      <c r="F2365" s="18" t="s">
        <v>9752</v>
      </c>
      <c r="G2365" s="18" t="s">
        <v>312</v>
      </c>
      <c r="H2365" s="18" t="s">
        <v>162</v>
      </c>
      <c r="I2365" s="18"/>
      <c r="J2365" s="18"/>
      <c r="K2365" s="18"/>
      <c r="L2365" s="18" t="s">
        <v>129</v>
      </c>
      <c r="M2365" s="18" t="s">
        <v>129</v>
      </c>
      <c r="N2365" s="18"/>
      <c r="O2365" s="18" t="s">
        <v>9940</v>
      </c>
      <c r="P2365" s="18" t="s">
        <v>9941</v>
      </c>
      <c r="Q2365" s="18" t="s">
        <v>131</v>
      </c>
      <c r="R2365" s="18" t="s">
        <v>9942</v>
      </c>
      <c r="S2365" s="18" t="s">
        <v>140</v>
      </c>
      <c r="T2365" s="18" t="s">
        <v>9943</v>
      </c>
      <c r="U2365" s="18" t="s">
        <v>9944</v>
      </c>
      <c r="V2365" s="19" t="s">
        <v>29</v>
      </c>
      <c r="W2365" s="19"/>
      <c r="X2365" s="19"/>
      <c r="Y2365" s="20"/>
      <c r="Z2365" s="19"/>
      <c r="AA2365" s="18" t="str">
        <f aca="false">IF(OR(V2365="Aprobada"),R2365,IF(AND(OR(V2365="Aprobada con ajuste",V2365="Rechazada"),W2365&lt;&gt;""),W2365,""))</f>
        <v/>
      </c>
    </row>
    <row r="2366" customFormat="false" ht="43.25" hidden="false" customHeight="false" outlineLevel="0" collapsed="false">
      <c r="A2366" s="18" t="s">
        <v>9945</v>
      </c>
      <c r="B2366" s="18" t="s">
        <v>68</v>
      </c>
      <c r="C2366" s="18" t="s">
        <v>69</v>
      </c>
      <c r="D2366" s="18" t="s">
        <v>9884</v>
      </c>
      <c r="E2366" s="18" t="n">
        <v>26</v>
      </c>
      <c r="F2366" s="18" t="s">
        <v>9758</v>
      </c>
      <c r="G2366" s="18" t="s">
        <v>145</v>
      </c>
      <c r="H2366" s="18" t="s">
        <v>162</v>
      </c>
      <c r="I2366" s="18"/>
      <c r="J2366" s="18"/>
      <c r="K2366" s="18"/>
      <c r="L2366" s="18" t="s">
        <v>129</v>
      </c>
      <c r="M2366" s="18" t="s">
        <v>129</v>
      </c>
      <c r="N2366" s="18"/>
      <c r="O2366" s="18"/>
      <c r="P2366" s="18" t="s">
        <v>9946</v>
      </c>
      <c r="Q2366" s="18" t="s">
        <v>131</v>
      </c>
      <c r="R2366" s="18" t="s">
        <v>9947</v>
      </c>
      <c r="S2366" s="18" t="s">
        <v>140</v>
      </c>
      <c r="T2366" s="18" t="s">
        <v>9948</v>
      </c>
      <c r="U2366" s="18" t="s">
        <v>9949</v>
      </c>
      <c r="V2366" s="19" t="s">
        <v>29</v>
      </c>
      <c r="W2366" s="19"/>
      <c r="X2366" s="19"/>
      <c r="Y2366" s="20"/>
      <c r="Z2366" s="19"/>
      <c r="AA2366" s="18" t="str">
        <f aca="false">IF(OR(V2366="Aprobada"),R2366,IF(AND(OR(V2366="Aprobada con ajuste",V2366="Rechazada"),W2366&lt;&gt;""),W2366,""))</f>
        <v/>
      </c>
    </row>
    <row r="2367" customFormat="false" ht="43.25" hidden="false" customHeight="false" outlineLevel="0" collapsed="false">
      <c r="A2367" s="18" t="s">
        <v>9950</v>
      </c>
      <c r="B2367" s="18" t="s">
        <v>68</v>
      </c>
      <c r="C2367" s="18" t="s">
        <v>69</v>
      </c>
      <c r="D2367" s="18" t="s">
        <v>9884</v>
      </c>
      <c r="E2367" s="18" t="n">
        <v>26</v>
      </c>
      <c r="F2367" s="18" t="s">
        <v>9951</v>
      </c>
      <c r="G2367" s="18" t="s">
        <v>205</v>
      </c>
      <c r="H2367" s="18" t="s">
        <v>162</v>
      </c>
      <c r="I2367" s="18"/>
      <c r="J2367" s="18"/>
      <c r="K2367" s="18"/>
      <c r="L2367" s="18" t="s">
        <v>129</v>
      </c>
      <c r="M2367" s="18" t="s">
        <v>129</v>
      </c>
      <c r="N2367" s="18"/>
      <c r="O2367" s="18"/>
      <c r="P2367" s="18" t="s">
        <v>9952</v>
      </c>
      <c r="Q2367" s="18" t="s">
        <v>131</v>
      </c>
      <c r="R2367" s="18" t="s">
        <v>9953</v>
      </c>
      <c r="S2367" s="18" t="s">
        <v>242</v>
      </c>
      <c r="T2367" s="18" t="s">
        <v>9954</v>
      </c>
      <c r="U2367" s="18" t="s">
        <v>9955</v>
      </c>
      <c r="V2367" s="19" t="s">
        <v>29</v>
      </c>
      <c r="W2367" s="19"/>
      <c r="X2367" s="19"/>
      <c r="Y2367" s="20"/>
      <c r="Z2367" s="19"/>
      <c r="AA2367" s="18" t="str">
        <f aca="false">IF(OR(V2367="Aprobada"),R2367,IF(AND(OR(V2367="Aprobada con ajuste",V2367="Rechazada"),W2367&lt;&gt;""),W2367,""))</f>
        <v/>
      </c>
    </row>
    <row r="2368" customFormat="false" ht="43.25" hidden="false" customHeight="false" outlineLevel="0" collapsed="false">
      <c r="A2368" s="18" t="s">
        <v>9956</v>
      </c>
      <c r="B2368" s="18" t="s">
        <v>68</v>
      </c>
      <c r="C2368" s="18" t="s">
        <v>69</v>
      </c>
      <c r="D2368" s="18" t="s">
        <v>9884</v>
      </c>
      <c r="E2368" s="18" t="n">
        <v>26</v>
      </c>
      <c r="F2368" s="18" t="s">
        <v>9764</v>
      </c>
      <c r="G2368" s="18" t="s">
        <v>584</v>
      </c>
      <c r="H2368" s="18" t="s">
        <v>162</v>
      </c>
      <c r="I2368" s="18"/>
      <c r="J2368" s="18"/>
      <c r="K2368" s="18"/>
      <c r="L2368" s="18" t="s">
        <v>129</v>
      </c>
      <c r="M2368" s="18" t="s">
        <v>129</v>
      </c>
      <c r="N2368" s="18"/>
      <c r="O2368" s="18"/>
      <c r="P2368" s="18" t="s">
        <v>9957</v>
      </c>
      <c r="Q2368" s="18" t="s">
        <v>131</v>
      </c>
      <c r="R2368" s="18" t="s">
        <v>9958</v>
      </c>
      <c r="S2368" s="18" t="s">
        <v>140</v>
      </c>
      <c r="T2368" s="18" t="s">
        <v>9959</v>
      </c>
      <c r="U2368" s="18" t="s">
        <v>9960</v>
      </c>
      <c r="V2368" s="19" t="s">
        <v>29</v>
      </c>
      <c r="W2368" s="19"/>
      <c r="X2368" s="19"/>
      <c r="Y2368" s="20"/>
      <c r="Z2368" s="19"/>
      <c r="AA2368" s="18" t="str">
        <f aca="false">IF(OR(V2368="Aprobada"),R2368,IF(AND(OR(V2368="Aprobada con ajuste",V2368="Rechazada"),W2368&lt;&gt;""),W2368,""))</f>
        <v/>
      </c>
    </row>
    <row r="2369" customFormat="false" ht="43.25" hidden="false" customHeight="false" outlineLevel="0" collapsed="false">
      <c r="A2369" s="18" t="s">
        <v>9961</v>
      </c>
      <c r="B2369" s="18" t="s">
        <v>68</v>
      </c>
      <c r="C2369" s="18" t="s">
        <v>69</v>
      </c>
      <c r="D2369" s="18" t="s">
        <v>9884</v>
      </c>
      <c r="E2369" s="18" t="n">
        <v>26</v>
      </c>
      <c r="F2369" s="18" t="s">
        <v>9769</v>
      </c>
      <c r="G2369" s="18" t="s">
        <v>128</v>
      </c>
      <c r="H2369" s="18" t="s">
        <v>162</v>
      </c>
      <c r="I2369" s="18"/>
      <c r="J2369" s="18"/>
      <c r="K2369" s="18"/>
      <c r="L2369" s="18" t="s">
        <v>129</v>
      </c>
      <c r="M2369" s="18" t="s">
        <v>129</v>
      </c>
      <c r="N2369" s="18"/>
      <c r="O2369" s="18"/>
      <c r="P2369" s="18" t="s">
        <v>9962</v>
      </c>
      <c r="Q2369" s="18" t="s">
        <v>131</v>
      </c>
      <c r="R2369" s="18" t="s">
        <v>9963</v>
      </c>
      <c r="S2369" s="18" t="s">
        <v>140</v>
      </c>
      <c r="T2369" s="18" t="s">
        <v>9964</v>
      </c>
      <c r="U2369" s="18" t="s">
        <v>9965</v>
      </c>
      <c r="V2369" s="19" t="s">
        <v>29</v>
      </c>
      <c r="W2369" s="19"/>
      <c r="X2369" s="19"/>
      <c r="Y2369" s="20"/>
      <c r="Z2369" s="19"/>
      <c r="AA2369" s="18" t="str">
        <f aca="false">IF(OR(V2369="Aprobada"),R2369,IF(AND(OR(V2369="Aprobada con ajuste",V2369="Rechazada"),W2369&lt;&gt;""),W2369,""))</f>
        <v/>
      </c>
    </row>
    <row r="2370" customFormat="false" ht="43.25" hidden="false" customHeight="false" outlineLevel="0" collapsed="false">
      <c r="A2370" s="18" t="s">
        <v>9966</v>
      </c>
      <c r="B2370" s="18" t="s">
        <v>68</v>
      </c>
      <c r="C2370" s="18" t="s">
        <v>69</v>
      </c>
      <c r="D2370" s="18" t="s">
        <v>9884</v>
      </c>
      <c r="E2370" s="18" t="n">
        <v>26</v>
      </c>
      <c r="F2370" s="18" t="s">
        <v>9967</v>
      </c>
      <c r="G2370" s="18" t="s">
        <v>651</v>
      </c>
      <c r="H2370" s="18" t="s">
        <v>162</v>
      </c>
      <c r="I2370" s="18"/>
      <c r="J2370" s="18"/>
      <c r="K2370" s="18"/>
      <c r="L2370" s="18" t="s">
        <v>129</v>
      </c>
      <c r="M2370" s="18" t="s">
        <v>129</v>
      </c>
      <c r="N2370" s="18"/>
      <c r="O2370" s="18"/>
      <c r="P2370" s="18" t="s">
        <v>9968</v>
      </c>
      <c r="Q2370" s="18" t="s">
        <v>131</v>
      </c>
      <c r="R2370" s="18" t="s">
        <v>9969</v>
      </c>
      <c r="S2370" s="18" t="s">
        <v>140</v>
      </c>
      <c r="T2370" s="18" t="s">
        <v>9970</v>
      </c>
      <c r="U2370" s="18" t="s">
        <v>9971</v>
      </c>
      <c r="V2370" s="19" t="s">
        <v>29</v>
      </c>
      <c r="W2370" s="19"/>
      <c r="X2370" s="19"/>
      <c r="Y2370" s="20"/>
      <c r="Z2370" s="19"/>
      <c r="AA2370" s="18" t="str">
        <f aca="false">IF(OR(V2370="Aprobada"),R2370,IF(AND(OR(V2370="Aprobada con ajuste",V2370="Rechazada"),W2370&lt;&gt;""),W2370,""))</f>
        <v/>
      </c>
    </row>
    <row r="2371" customFormat="false" ht="43.25" hidden="false" customHeight="false" outlineLevel="0" collapsed="false">
      <c r="A2371" s="18" t="s">
        <v>9972</v>
      </c>
      <c r="B2371" s="18" t="s">
        <v>68</v>
      </c>
      <c r="C2371" s="18" t="s">
        <v>69</v>
      </c>
      <c r="D2371" s="18" t="s">
        <v>9884</v>
      </c>
      <c r="E2371" s="18" t="n">
        <v>26</v>
      </c>
      <c r="F2371" s="18" t="s">
        <v>9973</v>
      </c>
      <c r="G2371" s="18" t="s">
        <v>312</v>
      </c>
      <c r="H2371" s="18" t="s">
        <v>162</v>
      </c>
      <c r="I2371" s="18"/>
      <c r="J2371" s="18"/>
      <c r="K2371" s="18"/>
      <c r="L2371" s="18" t="s">
        <v>129</v>
      </c>
      <c r="M2371" s="18" t="s">
        <v>129</v>
      </c>
      <c r="N2371" s="18"/>
      <c r="O2371" s="18" t="s">
        <v>9974</v>
      </c>
      <c r="P2371" s="18" t="s">
        <v>9975</v>
      </c>
      <c r="Q2371" s="18" t="s">
        <v>131</v>
      </c>
      <c r="R2371" s="18" t="s">
        <v>9976</v>
      </c>
      <c r="S2371" s="18" t="s">
        <v>140</v>
      </c>
      <c r="T2371" s="18" t="s">
        <v>9977</v>
      </c>
      <c r="U2371" s="18" t="s">
        <v>9978</v>
      </c>
      <c r="V2371" s="19" t="s">
        <v>29</v>
      </c>
      <c r="W2371" s="19"/>
      <c r="X2371" s="19"/>
      <c r="Y2371" s="20"/>
      <c r="Z2371" s="19"/>
      <c r="AA2371" s="18" t="str">
        <f aca="false">IF(OR(V2371="Aprobada"),R2371,IF(AND(OR(V2371="Aprobada con ajuste",V2371="Rechazada"),W2371&lt;&gt;""),W2371,""))</f>
        <v/>
      </c>
    </row>
    <row r="2372" customFormat="false" ht="43.25" hidden="false" customHeight="false" outlineLevel="0" collapsed="false">
      <c r="A2372" s="18" t="s">
        <v>9979</v>
      </c>
      <c r="B2372" s="18" t="s">
        <v>68</v>
      </c>
      <c r="C2372" s="18" t="s">
        <v>69</v>
      </c>
      <c r="D2372" s="18" t="s">
        <v>9884</v>
      </c>
      <c r="E2372" s="18" t="n">
        <v>26</v>
      </c>
      <c r="F2372" s="18" t="s">
        <v>9980</v>
      </c>
      <c r="G2372" s="18" t="s">
        <v>192</v>
      </c>
      <c r="H2372" s="18" t="s">
        <v>162</v>
      </c>
      <c r="I2372" s="18"/>
      <c r="J2372" s="18"/>
      <c r="K2372" s="18"/>
      <c r="L2372" s="18" t="s">
        <v>129</v>
      </c>
      <c r="M2372" s="18" t="s">
        <v>129</v>
      </c>
      <c r="N2372" s="18"/>
      <c r="O2372" s="18"/>
      <c r="P2372" s="18" t="s">
        <v>9981</v>
      </c>
      <c r="Q2372" s="18" t="s">
        <v>131</v>
      </c>
      <c r="R2372" s="18" t="s">
        <v>9982</v>
      </c>
      <c r="S2372" s="18" t="s">
        <v>242</v>
      </c>
      <c r="T2372" s="18" t="s">
        <v>9983</v>
      </c>
      <c r="U2372" s="18" t="s">
        <v>9984</v>
      </c>
      <c r="V2372" s="19" t="s">
        <v>29</v>
      </c>
      <c r="W2372" s="19"/>
      <c r="X2372" s="19"/>
      <c r="Y2372" s="20"/>
      <c r="Z2372" s="19"/>
      <c r="AA2372" s="18" t="str">
        <f aca="false">IF(OR(V2372="Aprobada"),R2372,IF(AND(OR(V2372="Aprobada con ajuste",V2372="Rechazada"),W2372&lt;&gt;""),W2372,""))</f>
        <v/>
      </c>
    </row>
    <row r="2373" customFormat="false" ht="32.8" hidden="false" customHeight="false" outlineLevel="0" collapsed="false">
      <c r="A2373" s="18" t="s">
        <v>9985</v>
      </c>
      <c r="B2373" s="18" t="s">
        <v>68</v>
      </c>
      <c r="C2373" s="18" t="s">
        <v>69</v>
      </c>
      <c r="D2373" s="18" t="s">
        <v>9884</v>
      </c>
      <c r="E2373" s="18" t="n">
        <v>26</v>
      </c>
      <c r="F2373" s="18" t="s">
        <v>9986</v>
      </c>
      <c r="G2373" s="18" t="s">
        <v>584</v>
      </c>
      <c r="H2373" s="18" t="s">
        <v>162</v>
      </c>
      <c r="I2373" s="18"/>
      <c r="J2373" s="18"/>
      <c r="K2373" s="18"/>
      <c r="L2373" s="18" t="s">
        <v>129</v>
      </c>
      <c r="M2373" s="18" t="s">
        <v>129</v>
      </c>
      <c r="N2373" s="18"/>
      <c r="O2373" s="18"/>
      <c r="P2373" s="18" t="s">
        <v>9987</v>
      </c>
      <c r="Q2373" s="18" t="s">
        <v>149</v>
      </c>
      <c r="R2373" s="18" t="s">
        <v>9988</v>
      </c>
      <c r="S2373" s="18" t="s">
        <v>133</v>
      </c>
      <c r="T2373" s="18" t="s">
        <v>9989</v>
      </c>
      <c r="U2373" s="18"/>
      <c r="V2373" s="19" t="s">
        <v>29</v>
      </c>
      <c r="W2373" s="19"/>
      <c r="X2373" s="19"/>
      <c r="Y2373" s="20"/>
      <c r="Z2373" s="19"/>
      <c r="AA2373" s="18" t="str">
        <f aca="false">IF(OR(V2373="Aprobada"),R2373,IF(AND(OR(V2373="Aprobada con ajuste",V2373="Rechazada"),W2373&lt;&gt;""),W2373,""))</f>
        <v/>
      </c>
    </row>
    <row r="2374" customFormat="false" ht="43.25" hidden="false" customHeight="false" outlineLevel="0" collapsed="false">
      <c r="A2374" s="18" t="s">
        <v>9990</v>
      </c>
      <c r="B2374" s="18" t="s">
        <v>68</v>
      </c>
      <c r="C2374" s="18" t="s">
        <v>69</v>
      </c>
      <c r="D2374" s="18" t="s">
        <v>9884</v>
      </c>
      <c r="E2374" s="18" t="n">
        <v>26</v>
      </c>
      <c r="F2374" s="18" t="s">
        <v>7310</v>
      </c>
      <c r="G2374" s="18" t="s">
        <v>584</v>
      </c>
      <c r="H2374" s="18" t="s">
        <v>162</v>
      </c>
      <c r="I2374" s="18"/>
      <c r="J2374" s="18"/>
      <c r="K2374" s="18"/>
      <c r="L2374" s="18" t="s">
        <v>129</v>
      </c>
      <c r="M2374" s="18" t="s">
        <v>129</v>
      </c>
      <c r="N2374" s="18"/>
      <c r="O2374" s="18"/>
      <c r="P2374" s="18" t="s">
        <v>9991</v>
      </c>
      <c r="Q2374" s="18" t="s">
        <v>131</v>
      </c>
      <c r="R2374" s="18" t="s">
        <v>9992</v>
      </c>
      <c r="S2374" s="18" t="s">
        <v>140</v>
      </c>
      <c r="T2374" s="18" t="s">
        <v>9993</v>
      </c>
      <c r="U2374" s="18" t="s">
        <v>9994</v>
      </c>
      <c r="V2374" s="19" t="s">
        <v>29</v>
      </c>
      <c r="W2374" s="19"/>
      <c r="X2374" s="19"/>
      <c r="Y2374" s="20"/>
      <c r="Z2374" s="19"/>
      <c r="AA2374" s="18" t="str">
        <f aca="false">IF(OR(V2374="Aprobada"),R2374,IF(AND(OR(V2374="Aprobada con ajuste",V2374="Rechazada"),W2374&lt;&gt;""),W2374,""))</f>
        <v/>
      </c>
    </row>
    <row r="2375" customFormat="false" ht="43.25" hidden="false" customHeight="false" outlineLevel="0" collapsed="false">
      <c r="A2375" s="18" t="s">
        <v>9995</v>
      </c>
      <c r="B2375" s="18" t="s">
        <v>68</v>
      </c>
      <c r="C2375" s="18" t="s">
        <v>69</v>
      </c>
      <c r="D2375" s="18" t="s">
        <v>9884</v>
      </c>
      <c r="E2375" s="18" t="n">
        <v>26</v>
      </c>
      <c r="F2375" s="18" t="s">
        <v>9996</v>
      </c>
      <c r="G2375" s="18" t="s">
        <v>486</v>
      </c>
      <c r="H2375" s="18" t="s">
        <v>162</v>
      </c>
      <c r="I2375" s="18"/>
      <c r="J2375" s="18"/>
      <c r="K2375" s="18"/>
      <c r="L2375" s="18" t="s">
        <v>129</v>
      </c>
      <c r="M2375" s="18" t="s">
        <v>129</v>
      </c>
      <c r="N2375" s="18"/>
      <c r="O2375" s="18"/>
      <c r="P2375" s="18" t="s">
        <v>9997</v>
      </c>
      <c r="Q2375" s="18" t="s">
        <v>131</v>
      </c>
      <c r="R2375" s="18" t="s">
        <v>9998</v>
      </c>
      <c r="S2375" s="18" t="s">
        <v>140</v>
      </c>
      <c r="T2375" s="18" t="s">
        <v>9999</v>
      </c>
      <c r="U2375" s="18" t="s">
        <v>10000</v>
      </c>
      <c r="V2375" s="19" t="s">
        <v>29</v>
      </c>
      <c r="W2375" s="19"/>
      <c r="X2375" s="19"/>
      <c r="Y2375" s="20"/>
      <c r="Z2375" s="19"/>
      <c r="AA2375" s="18" t="str">
        <f aca="false">IF(OR(V2375="Aprobada"),R2375,IF(AND(OR(V2375="Aprobada con ajuste",V2375="Rechazada"),W2375&lt;&gt;""),W2375,""))</f>
        <v/>
      </c>
    </row>
    <row r="2376" customFormat="false" ht="43.25" hidden="false" customHeight="false" outlineLevel="0" collapsed="false">
      <c r="A2376" s="18" t="s">
        <v>10001</v>
      </c>
      <c r="B2376" s="18" t="s">
        <v>68</v>
      </c>
      <c r="C2376" s="18" t="s">
        <v>69</v>
      </c>
      <c r="D2376" s="18" t="s">
        <v>9884</v>
      </c>
      <c r="E2376" s="18" t="n">
        <v>26</v>
      </c>
      <c r="F2376" s="18" t="s">
        <v>7315</v>
      </c>
      <c r="G2376" s="18" t="s">
        <v>312</v>
      </c>
      <c r="H2376" s="18" t="s">
        <v>162</v>
      </c>
      <c r="I2376" s="18"/>
      <c r="J2376" s="18"/>
      <c r="K2376" s="18"/>
      <c r="L2376" s="18" t="s">
        <v>129</v>
      </c>
      <c r="M2376" s="18" t="s">
        <v>129</v>
      </c>
      <c r="N2376" s="18"/>
      <c r="O2376" s="18"/>
      <c r="P2376" s="18" t="s">
        <v>10002</v>
      </c>
      <c r="Q2376" s="18" t="s">
        <v>131</v>
      </c>
      <c r="R2376" s="18" t="s">
        <v>10003</v>
      </c>
      <c r="S2376" s="18" t="s">
        <v>140</v>
      </c>
      <c r="T2376" s="18" t="s">
        <v>10004</v>
      </c>
      <c r="U2376" s="18" t="s">
        <v>10005</v>
      </c>
      <c r="V2376" s="19" t="s">
        <v>29</v>
      </c>
      <c r="W2376" s="19"/>
      <c r="X2376" s="19"/>
      <c r="Y2376" s="20"/>
      <c r="Z2376" s="19"/>
      <c r="AA2376" s="18" t="str">
        <f aca="false">IF(OR(V2376="Aprobada"),R2376,IF(AND(OR(V2376="Aprobada con ajuste",V2376="Rechazada"),W2376&lt;&gt;""),W2376,""))</f>
        <v/>
      </c>
    </row>
    <row r="2377" customFormat="false" ht="43.25" hidden="false" customHeight="false" outlineLevel="0" collapsed="false">
      <c r="A2377" s="18" t="s">
        <v>10006</v>
      </c>
      <c r="B2377" s="18" t="s">
        <v>68</v>
      </c>
      <c r="C2377" s="18" t="s">
        <v>69</v>
      </c>
      <c r="D2377" s="18" t="s">
        <v>9884</v>
      </c>
      <c r="E2377" s="18" t="n">
        <v>26</v>
      </c>
      <c r="F2377" s="18" t="s">
        <v>10007</v>
      </c>
      <c r="G2377" s="18" t="s">
        <v>173</v>
      </c>
      <c r="H2377" s="18" t="s">
        <v>162</v>
      </c>
      <c r="I2377" s="18"/>
      <c r="J2377" s="18"/>
      <c r="K2377" s="18"/>
      <c r="L2377" s="18" t="s">
        <v>129</v>
      </c>
      <c r="M2377" s="18" t="s">
        <v>129</v>
      </c>
      <c r="N2377" s="18"/>
      <c r="O2377" s="18"/>
      <c r="P2377" s="18" t="s">
        <v>10008</v>
      </c>
      <c r="Q2377" s="18" t="s">
        <v>131</v>
      </c>
      <c r="R2377" s="18" t="s">
        <v>10009</v>
      </c>
      <c r="S2377" s="18" t="s">
        <v>140</v>
      </c>
      <c r="T2377" s="18" t="s">
        <v>10010</v>
      </c>
      <c r="U2377" s="18" t="s">
        <v>10011</v>
      </c>
      <c r="V2377" s="19" t="s">
        <v>29</v>
      </c>
      <c r="W2377" s="19"/>
      <c r="X2377" s="19"/>
      <c r="Y2377" s="20"/>
      <c r="Z2377" s="19"/>
      <c r="AA2377" s="18" t="str">
        <f aca="false">IF(OR(V2377="Aprobada"),R2377,IF(AND(OR(V2377="Aprobada con ajuste",V2377="Rechazada"),W2377&lt;&gt;""),W2377,""))</f>
        <v/>
      </c>
    </row>
    <row r="2378" customFormat="false" ht="43.25" hidden="false" customHeight="false" outlineLevel="0" collapsed="false">
      <c r="A2378" s="18" t="s">
        <v>10012</v>
      </c>
      <c r="B2378" s="18" t="s">
        <v>68</v>
      </c>
      <c r="C2378" s="18" t="s">
        <v>69</v>
      </c>
      <c r="D2378" s="18" t="s">
        <v>9884</v>
      </c>
      <c r="E2378" s="18" t="n">
        <v>26</v>
      </c>
      <c r="F2378" s="18" t="s">
        <v>10013</v>
      </c>
      <c r="G2378" s="18" t="s">
        <v>584</v>
      </c>
      <c r="H2378" s="18" t="s">
        <v>162</v>
      </c>
      <c r="I2378" s="18"/>
      <c r="J2378" s="18"/>
      <c r="K2378" s="18"/>
      <c r="L2378" s="18" t="s">
        <v>129</v>
      </c>
      <c r="M2378" s="18" t="s">
        <v>129</v>
      </c>
      <c r="N2378" s="18"/>
      <c r="O2378" s="18"/>
      <c r="P2378" s="18" t="s">
        <v>10014</v>
      </c>
      <c r="Q2378" s="18" t="s">
        <v>131</v>
      </c>
      <c r="R2378" s="18" t="s">
        <v>10015</v>
      </c>
      <c r="S2378" s="18" t="s">
        <v>140</v>
      </c>
      <c r="T2378" s="18" t="s">
        <v>10016</v>
      </c>
      <c r="U2378" s="18" t="s">
        <v>10017</v>
      </c>
      <c r="V2378" s="19" t="s">
        <v>29</v>
      </c>
      <c r="W2378" s="19"/>
      <c r="X2378" s="19"/>
      <c r="Y2378" s="20"/>
      <c r="Z2378" s="19"/>
      <c r="AA2378" s="18" t="str">
        <f aca="false">IF(OR(V2378="Aprobada"),R2378,IF(AND(OR(V2378="Aprobada con ajuste",V2378="Rechazada"),W2378&lt;&gt;""),W2378,""))</f>
        <v/>
      </c>
    </row>
    <row r="2379" customFormat="false" ht="43.25" hidden="false" customHeight="false" outlineLevel="0" collapsed="false">
      <c r="A2379" s="18" t="s">
        <v>10018</v>
      </c>
      <c r="B2379" s="18" t="s">
        <v>68</v>
      </c>
      <c r="C2379" s="18" t="s">
        <v>69</v>
      </c>
      <c r="D2379" s="18" t="s">
        <v>9884</v>
      </c>
      <c r="E2379" s="18" t="n">
        <v>26</v>
      </c>
      <c r="F2379" s="18" t="s">
        <v>10019</v>
      </c>
      <c r="G2379" s="18" t="s">
        <v>173</v>
      </c>
      <c r="H2379" s="18" t="s">
        <v>162</v>
      </c>
      <c r="I2379" s="18"/>
      <c r="J2379" s="18"/>
      <c r="K2379" s="18"/>
      <c r="L2379" s="18" t="s">
        <v>129</v>
      </c>
      <c r="M2379" s="18" t="s">
        <v>129</v>
      </c>
      <c r="N2379" s="18"/>
      <c r="O2379" s="18"/>
      <c r="P2379" s="18" t="s">
        <v>10020</v>
      </c>
      <c r="Q2379" s="18" t="s">
        <v>131</v>
      </c>
      <c r="R2379" s="18" t="s">
        <v>10021</v>
      </c>
      <c r="S2379" s="18" t="s">
        <v>140</v>
      </c>
      <c r="T2379" s="18" t="s">
        <v>10022</v>
      </c>
      <c r="U2379" s="18" t="s">
        <v>10023</v>
      </c>
      <c r="V2379" s="19" t="s">
        <v>29</v>
      </c>
      <c r="W2379" s="19"/>
      <c r="X2379" s="19"/>
      <c r="Y2379" s="20"/>
      <c r="Z2379" s="19"/>
      <c r="AA2379" s="18" t="str">
        <f aca="false">IF(OR(V2379="Aprobada"),R2379,IF(AND(OR(V2379="Aprobada con ajuste",V2379="Rechazada"),W2379&lt;&gt;""),W2379,""))</f>
        <v/>
      </c>
    </row>
    <row r="2380" customFormat="false" ht="43.25" hidden="false" customHeight="false" outlineLevel="0" collapsed="false">
      <c r="A2380" s="18" t="s">
        <v>10024</v>
      </c>
      <c r="B2380" s="18" t="s">
        <v>68</v>
      </c>
      <c r="C2380" s="18" t="s">
        <v>69</v>
      </c>
      <c r="D2380" s="18" t="s">
        <v>9884</v>
      </c>
      <c r="E2380" s="18" t="n">
        <v>26</v>
      </c>
      <c r="F2380" s="18" t="s">
        <v>10025</v>
      </c>
      <c r="G2380" s="18" t="s">
        <v>173</v>
      </c>
      <c r="H2380" s="18" t="s">
        <v>162</v>
      </c>
      <c r="I2380" s="18"/>
      <c r="J2380" s="18"/>
      <c r="K2380" s="18"/>
      <c r="L2380" s="18" t="s">
        <v>129</v>
      </c>
      <c r="M2380" s="18" t="s">
        <v>129</v>
      </c>
      <c r="N2380" s="18"/>
      <c r="O2380" s="18"/>
      <c r="P2380" s="18" t="s">
        <v>10026</v>
      </c>
      <c r="Q2380" s="18" t="s">
        <v>131</v>
      </c>
      <c r="R2380" s="18" t="s">
        <v>10027</v>
      </c>
      <c r="S2380" s="18" t="s">
        <v>140</v>
      </c>
      <c r="T2380" s="18" t="s">
        <v>10028</v>
      </c>
      <c r="U2380" s="18" t="s">
        <v>10029</v>
      </c>
      <c r="V2380" s="19" t="s">
        <v>29</v>
      </c>
      <c r="W2380" s="19"/>
      <c r="X2380" s="19"/>
      <c r="Y2380" s="20"/>
      <c r="Z2380" s="19"/>
      <c r="AA2380" s="18" t="str">
        <f aca="false">IF(OR(V2380="Aprobada"),R2380,IF(AND(OR(V2380="Aprobada con ajuste",V2380="Rechazada"),W2380&lt;&gt;""),W2380,""))</f>
        <v/>
      </c>
    </row>
    <row r="2381" customFormat="false" ht="43.25" hidden="false" customHeight="false" outlineLevel="0" collapsed="false">
      <c r="A2381" s="18" t="s">
        <v>10030</v>
      </c>
      <c r="B2381" s="18" t="s">
        <v>68</v>
      </c>
      <c r="C2381" s="18" t="s">
        <v>69</v>
      </c>
      <c r="D2381" s="18" t="s">
        <v>9884</v>
      </c>
      <c r="E2381" s="18" t="n">
        <v>26</v>
      </c>
      <c r="F2381" s="18" t="s">
        <v>9773</v>
      </c>
      <c r="G2381" s="18" t="s">
        <v>145</v>
      </c>
      <c r="H2381" s="18" t="s">
        <v>162</v>
      </c>
      <c r="I2381" s="18"/>
      <c r="J2381" s="18"/>
      <c r="K2381" s="18"/>
      <c r="L2381" s="18" t="s">
        <v>129</v>
      </c>
      <c r="M2381" s="18" t="s">
        <v>129</v>
      </c>
      <c r="N2381" s="18"/>
      <c r="O2381" s="18"/>
      <c r="P2381" s="18" t="s">
        <v>10031</v>
      </c>
      <c r="Q2381" s="18" t="s">
        <v>131</v>
      </c>
      <c r="R2381" s="18" t="s">
        <v>10032</v>
      </c>
      <c r="S2381" s="18" t="s">
        <v>242</v>
      </c>
      <c r="T2381" s="18" t="s">
        <v>10033</v>
      </c>
      <c r="U2381" s="18" t="s">
        <v>10034</v>
      </c>
      <c r="V2381" s="19" t="s">
        <v>29</v>
      </c>
      <c r="W2381" s="19"/>
      <c r="X2381" s="19"/>
      <c r="Y2381" s="20"/>
      <c r="Z2381" s="19"/>
      <c r="AA2381" s="18" t="str">
        <f aca="false">IF(OR(V2381="Aprobada"),R2381,IF(AND(OR(V2381="Aprobada con ajuste",V2381="Rechazada"),W2381&lt;&gt;""),W2381,""))</f>
        <v/>
      </c>
    </row>
    <row r="2382" customFormat="false" ht="43.25" hidden="false" customHeight="false" outlineLevel="0" collapsed="false">
      <c r="A2382" s="18" t="s">
        <v>10035</v>
      </c>
      <c r="B2382" s="18" t="s">
        <v>68</v>
      </c>
      <c r="C2382" s="18" t="s">
        <v>69</v>
      </c>
      <c r="D2382" s="18" t="s">
        <v>9884</v>
      </c>
      <c r="E2382" s="18" t="n">
        <v>26</v>
      </c>
      <c r="F2382" s="18" t="s">
        <v>9779</v>
      </c>
      <c r="G2382" s="18" t="s">
        <v>180</v>
      </c>
      <c r="H2382" s="18" t="s">
        <v>162</v>
      </c>
      <c r="I2382" s="18"/>
      <c r="J2382" s="18"/>
      <c r="K2382" s="18"/>
      <c r="L2382" s="18" t="s">
        <v>129</v>
      </c>
      <c r="M2382" s="18" t="s">
        <v>129</v>
      </c>
      <c r="N2382" s="18"/>
      <c r="O2382" s="18"/>
      <c r="P2382" s="18" t="s">
        <v>10036</v>
      </c>
      <c r="Q2382" s="18" t="s">
        <v>131</v>
      </c>
      <c r="R2382" s="18" t="s">
        <v>10037</v>
      </c>
      <c r="S2382" s="18" t="s">
        <v>140</v>
      </c>
      <c r="T2382" s="18" t="s">
        <v>10038</v>
      </c>
      <c r="U2382" s="18" t="s">
        <v>10039</v>
      </c>
      <c r="V2382" s="19" t="s">
        <v>29</v>
      </c>
      <c r="W2382" s="19"/>
      <c r="X2382" s="19"/>
      <c r="Y2382" s="20"/>
      <c r="Z2382" s="19"/>
      <c r="AA2382" s="18" t="str">
        <f aca="false">IF(OR(V2382="Aprobada"),R2382,IF(AND(OR(V2382="Aprobada con ajuste",V2382="Rechazada"),W2382&lt;&gt;""),W2382,""))</f>
        <v/>
      </c>
    </row>
    <row r="2383" customFormat="false" ht="43.25" hidden="false" customHeight="false" outlineLevel="0" collapsed="false">
      <c r="A2383" s="18" t="s">
        <v>10040</v>
      </c>
      <c r="B2383" s="18" t="s">
        <v>68</v>
      </c>
      <c r="C2383" s="18" t="s">
        <v>69</v>
      </c>
      <c r="D2383" s="18" t="s">
        <v>9884</v>
      </c>
      <c r="E2383" s="18" t="n">
        <v>26</v>
      </c>
      <c r="F2383" s="18" t="s">
        <v>9785</v>
      </c>
      <c r="G2383" s="18" t="s">
        <v>180</v>
      </c>
      <c r="H2383" s="18" t="s">
        <v>162</v>
      </c>
      <c r="I2383" s="18"/>
      <c r="J2383" s="18"/>
      <c r="K2383" s="18"/>
      <c r="L2383" s="18" t="s">
        <v>129</v>
      </c>
      <c r="M2383" s="18" t="s">
        <v>129</v>
      </c>
      <c r="N2383" s="18"/>
      <c r="O2383" s="18"/>
      <c r="P2383" s="18" t="s">
        <v>10041</v>
      </c>
      <c r="Q2383" s="18" t="s">
        <v>131</v>
      </c>
      <c r="R2383" s="18" t="s">
        <v>10042</v>
      </c>
      <c r="S2383" s="18" t="s">
        <v>140</v>
      </c>
      <c r="T2383" s="18" t="s">
        <v>10043</v>
      </c>
      <c r="U2383" s="18" t="s">
        <v>10044</v>
      </c>
      <c r="V2383" s="19" t="s">
        <v>29</v>
      </c>
      <c r="W2383" s="19"/>
      <c r="X2383" s="19"/>
      <c r="Y2383" s="20"/>
      <c r="Z2383" s="19"/>
      <c r="AA2383" s="18" t="str">
        <f aca="false">IF(OR(V2383="Aprobada"),R2383,IF(AND(OR(V2383="Aprobada con ajuste",V2383="Rechazada"),W2383&lt;&gt;""),W2383,""))</f>
        <v/>
      </c>
    </row>
    <row r="2384" customFormat="false" ht="43.25" hidden="false" customHeight="false" outlineLevel="0" collapsed="false">
      <c r="A2384" s="18" t="s">
        <v>10045</v>
      </c>
      <c r="B2384" s="18" t="s">
        <v>68</v>
      </c>
      <c r="C2384" s="18" t="s">
        <v>69</v>
      </c>
      <c r="D2384" s="18" t="s">
        <v>9884</v>
      </c>
      <c r="E2384" s="18" t="n">
        <v>26</v>
      </c>
      <c r="F2384" s="18" t="s">
        <v>9789</v>
      </c>
      <c r="G2384" s="18" t="s">
        <v>584</v>
      </c>
      <c r="H2384" s="18" t="s">
        <v>162</v>
      </c>
      <c r="I2384" s="18"/>
      <c r="J2384" s="18"/>
      <c r="K2384" s="18"/>
      <c r="L2384" s="18" t="s">
        <v>129</v>
      </c>
      <c r="M2384" s="18" t="s">
        <v>129</v>
      </c>
      <c r="N2384" s="18"/>
      <c r="O2384" s="18"/>
      <c r="P2384" s="18" t="s">
        <v>10046</v>
      </c>
      <c r="Q2384" s="18" t="s">
        <v>131</v>
      </c>
      <c r="R2384" s="18" t="s">
        <v>10047</v>
      </c>
      <c r="S2384" s="18" t="s">
        <v>140</v>
      </c>
      <c r="T2384" s="18" t="s">
        <v>10048</v>
      </c>
      <c r="U2384" s="18" t="s">
        <v>10049</v>
      </c>
      <c r="V2384" s="19" t="s">
        <v>29</v>
      </c>
      <c r="W2384" s="19"/>
      <c r="X2384" s="19"/>
      <c r="Y2384" s="20"/>
      <c r="Z2384" s="19"/>
      <c r="AA2384" s="18" t="str">
        <f aca="false">IF(OR(V2384="Aprobada"),R2384,IF(AND(OR(V2384="Aprobada con ajuste",V2384="Rechazada"),W2384&lt;&gt;""),W2384,""))</f>
        <v/>
      </c>
    </row>
    <row r="2385" customFormat="false" ht="53.7" hidden="false" customHeight="false" outlineLevel="0" collapsed="false">
      <c r="A2385" s="18" t="s">
        <v>10050</v>
      </c>
      <c r="B2385" s="18" t="s">
        <v>68</v>
      </c>
      <c r="C2385" s="18" t="s">
        <v>69</v>
      </c>
      <c r="D2385" s="18" t="s">
        <v>9884</v>
      </c>
      <c r="E2385" s="18" t="n">
        <v>26</v>
      </c>
      <c r="F2385" s="18" t="s">
        <v>9794</v>
      </c>
      <c r="G2385" s="18" t="s">
        <v>486</v>
      </c>
      <c r="H2385" s="18" t="s">
        <v>162</v>
      </c>
      <c r="I2385" s="18"/>
      <c r="J2385" s="18"/>
      <c r="K2385" s="18"/>
      <c r="L2385" s="18" t="s">
        <v>129</v>
      </c>
      <c r="M2385" s="18" t="s">
        <v>129</v>
      </c>
      <c r="N2385" s="18"/>
      <c r="O2385" s="18"/>
      <c r="P2385" s="18" t="s">
        <v>10051</v>
      </c>
      <c r="Q2385" s="18" t="s">
        <v>131</v>
      </c>
      <c r="R2385" s="18" t="s">
        <v>10052</v>
      </c>
      <c r="S2385" s="18" t="s">
        <v>242</v>
      </c>
      <c r="T2385" s="18" t="s">
        <v>10053</v>
      </c>
      <c r="U2385" s="18" t="s">
        <v>9797</v>
      </c>
      <c r="V2385" s="19" t="s">
        <v>29</v>
      </c>
      <c r="W2385" s="19"/>
      <c r="X2385" s="19"/>
      <c r="Y2385" s="20"/>
      <c r="Z2385" s="19"/>
      <c r="AA2385" s="18" t="str">
        <f aca="false">IF(OR(V2385="Aprobada"),R2385,IF(AND(OR(V2385="Aprobada con ajuste",V2385="Rechazada"),W2385&lt;&gt;""),W2385,""))</f>
        <v/>
      </c>
    </row>
    <row r="2386" customFormat="false" ht="43.25" hidden="false" customHeight="false" outlineLevel="0" collapsed="false">
      <c r="A2386" s="18" t="s">
        <v>10054</v>
      </c>
      <c r="B2386" s="18" t="s">
        <v>68</v>
      </c>
      <c r="C2386" s="18" t="s">
        <v>69</v>
      </c>
      <c r="D2386" s="18" t="s">
        <v>9884</v>
      </c>
      <c r="E2386" s="18" t="n">
        <v>26</v>
      </c>
      <c r="F2386" s="18" t="s">
        <v>9799</v>
      </c>
      <c r="G2386" s="18" t="s">
        <v>128</v>
      </c>
      <c r="H2386" s="18" t="s">
        <v>162</v>
      </c>
      <c r="I2386" s="18"/>
      <c r="J2386" s="18"/>
      <c r="K2386" s="18"/>
      <c r="L2386" s="18" t="s">
        <v>129</v>
      </c>
      <c r="M2386" s="18" t="s">
        <v>129</v>
      </c>
      <c r="N2386" s="18"/>
      <c r="O2386" s="18"/>
      <c r="P2386" s="18" t="s">
        <v>10055</v>
      </c>
      <c r="Q2386" s="18" t="s">
        <v>131</v>
      </c>
      <c r="R2386" s="18" t="s">
        <v>10056</v>
      </c>
      <c r="S2386" s="18" t="s">
        <v>140</v>
      </c>
      <c r="T2386" s="18" t="s">
        <v>10057</v>
      </c>
      <c r="U2386" s="18" t="s">
        <v>10058</v>
      </c>
      <c r="V2386" s="19" t="s">
        <v>29</v>
      </c>
      <c r="W2386" s="19"/>
      <c r="X2386" s="19"/>
      <c r="Y2386" s="20"/>
      <c r="Z2386" s="19"/>
      <c r="AA2386" s="18" t="str">
        <f aca="false">IF(OR(V2386="Aprobada"),R2386,IF(AND(OR(V2386="Aprobada con ajuste",V2386="Rechazada"),W2386&lt;&gt;""),W2386,""))</f>
        <v/>
      </c>
    </row>
    <row r="2387" customFormat="false" ht="43.25" hidden="false" customHeight="false" outlineLevel="0" collapsed="false">
      <c r="A2387" s="18" t="s">
        <v>10059</v>
      </c>
      <c r="B2387" s="18" t="s">
        <v>68</v>
      </c>
      <c r="C2387" s="18" t="s">
        <v>69</v>
      </c>
      <c r="D2387" s="18" t="s">
        <v>9884</v>
      </c>
      <c r="E2387" s="18" t="n">
        <v>26</v>
      </c>
      <c r="F2387" s="18" t="s">
        <v>9803</v>
      </c>
      <c r="G2387" s="18" t="s">
        <v>192</v>
      </c>
      <c r="H2387" s="18" t="s">
        <v>162</v>
      </c>
      <c r="I2387" s="18"/>
      <c r="J2387" s="18"/>
      <c r="K2387" s="18"/>
      <c r="L2387" s="18" t="s">
        <v>129</v>
      </c>
      <c r="M2387" s="18" t="s">
        <v>129</v>
      </c>
      <c r="N2387" s="18"/>
      <c r="O2387" s="18"/>
      <c r="P2387" s="18" t="s">
        <v>10060</v>
      </c>
      <c r="Q2387" s="18" t="s">
        <v>131</v>
      </c>
      <c r="R2387" s="18" t="s">
        <v>10061</v>
      </c>
      <c r="S2387" s="18" t="s">
        <v>242</v>
      </c>
      <c r="T2387" s="18" t="s">
        <v>10062</v>
      </c>
      <c r="U2387" s="18" t="s">
        <v>10063</v>
      </c>
      <c r="V2387" s="19" t="s">
        <v>29</v>
      </c>
      <c r="W2387" s="19"/>
      <c r="X2387" s="19"/>
      <c r="Y2387" s="20"/>
      <c r="Z2387" s="19"/>
      <c r="AA2387" s="18" t="str">
        <f aca="false">IF(OR(V2387="Aprobada"),R2387,IF(AND(OR(V2387="Aprobada con ajuste",V2387="Rechazada"),W2387&lt;&gt;""),W2387,""))</f>
        <v/>
      </c>
    </row>
    <row r="2388" customFormat="false" ht="43.25" hidden="false" customHeight="false" outlineLevel="0" collapsed="false">
      <c r="A2388" s="18" t="s">
        <v>10064</v>
      </c>
      <c r="B2388" s="18" t="s">
        <v>68</v>
      </c>
      <c r="C2388" s="18" t="s">
        <v>69</v>
      </c>
      <c r="D2388" s="18" t="s">
        <v>10065</v>
      </c>
      <c r="E2388" s="18" t="n">
        <v>9</v>
      </c>
      <c r="F2388" s="18" t="s">
        <v>9502</v>
      </c>
      <c r="G2388" s="18" t="s">
        <v>180</v>
      </c>
      <c r="H2388" s="18" t="s">
        <v>129</v>
      </c>
      <c r="I2388" s="18"/>
      <c r="J2388" s="18"/>
      <c r="K2388" s="18"/>
      <c r="L2388" s="18" t="s">
        <v>129</v>
      </c>
      <c r="M2388" s="18" t="s">
        <v>129</v>
      </c>
      <c r="N2388" s="18"/>
      <c r="O2388" s="18"/>
      <c r="P2388" s="18" t="s">
        <v>10066</v>
      </c>
      <c r="Q2388" s="18" t="s">
        <v>149</v>
      </c>
      <c r="R2388" s="18" t="s">
        <v>10067</v>
      </c>
      <c r="S2388" s="18" t="s">
        <v>133</v>
      </c>
      <c r="T2388" s="18" t="s">
        <v>183</v>
      </c>
      <c r="U2388" s="18"/>
      <c r="V2388" s="19" t="s">
        <v>29</v>
      </c>
      <c r="W2388" s="19"/>
      <c r="X2388" s="19"/>
      <c r="Y2388" s="20"/>
      <c r="Z2388" s="19"/>
      <c r="AA2388" s="18" t="str">
        <f aca="false">IF(OR(V2388="Aprobada"),R2388,IF(AND(OR(V2388="Aprobada con ajuste",V2388="Rechazada"),W2388&lt;&gt;""),W2388,""))</f>
        <v/>
      </c>
    </row>
    <row r="2389" customFormat="false" ht="53.7" hidden="false" customHeight="false" outlineLevel="0" collapsed="false">
      <c r="A2389" s="18" t="s">
        <v>10068</v>
      </c>
      <c r="B2389" s="18" t="s">
        <v>68</v>
      </c>
      <c r="C2389" s="18" t="s">
        <v>69</v>
      </c>
      <c r="D2389" s="18" t="s">
        <v>10065</v>
      </c>
      <c r="E2389" s="18" t="n">
        <v>9</v>
      </c>
      <c r="F2389" s="18" t="s">
        <v>1127</v>
      </c>
      <c r="G2389" s="18" t="s">
        <v>180</v>
      </c>
      <c r="H2389" s="18" t="s">
        <v>129</v>
      </c>
      <c r="I2389" s="18" t="s">
        <v>146</v>
      </c>
      <c r="J2389" s="18"/>
      <c r="K2389" s="18"/>
      <c r="L2389" s="18" t="s">
        <v>129</v>
      </c>
      <c r="M2389" s="18" t="s">
        <v>129</v>
      </c>
      <c r="N2389" s="18"/>
      <c r="O2389" s="18" t="s">
        <v>10069</v>
      </c>
      <c r="P2389" s="18" t="s">
        <v>10070</v>
      </c>
      <c r="Q2389" s="18" t="s">
        <v>138</v>
      </c>
      <c r="R2389" s="18" t="s">
        <v>1129</v>
      </c>
      <c r="S2389" s="18" t="s">
        <v>140</v>
      </c>
      <c r="T2389" s="18" t="s">
        <v>141</v>
      </c>
      <c r="U2389" s="18"/>
      <c r="V2389" s="19" t="s">
        <v>29</v>
      </c>
      <c r="W2389" s="19"/>
      <c r="X2389" s="19"/>
      <c r="Y2389" s="20"/>
      <c r="Z2389" s="19"/>
      <c r="AA2389" s="18" t="str">
        <f aca="false">IF(OR(V2389="Aprobada"),R2389,IF(AND(OR(V2389="Aprobada con ajuste",V2389="Rechazada"),W2389&lt;&gt;""),W2389,""))</f>
        <v/>
      </c>
    </row>
    <row r="2390" customFormat="false" ht="43.25" hidden="false" customHeight="false" outlineLevel="0" collapsed="false">
      <c r="A2390" s="18" t="s">
        <v>10071</v>
      </c>
      <c r="B2390" s="18" t="s">
        <v>68</v>
      </c>
      <c r="C2390" s="18" t="s">
        <v>69</v>
      </c>
      <c r="D2390" s="18" t="s">
        <v>10065</v>
      </c>
      <c r="E2390" s="18" t="n">
        <v>9</v>
      </c>
      <c r="F2390" s="18" t="s">
        <v>2448</v>
      </c>
      <c r="G2390" s="18" t="s">
        <v>145</v>
      </c>
      <c r="H2390" s="18" t="s">
        <v>162</v>
      </c>
      <c r="I2390" s="18"/>
      <c r="J2390" s="18"/>
      <c r="K2390" s="18"/>
      <c r="L2390" s="18" t="s">
        <v>129</v>
      </c>
      <c r="M2390" s="18" t="s">
        <v>129</v>
      </c>
      <c r="N2390" s="18"/>
      <c r="O2390" s="18"/>
      <c r="P2390" s="18" t="s">
        <v>10072</v>
      </c>
      <c r="Q2390" s="18" t="s">
        <v>138</v>
      </c>
      <c r="R2390" s="18" t="s">
        <v>2450</v>
      </c>
      <c r="S2390" s="18" t="s">
        <v>140</v>
      </c>
      <c r="T2390" s="18" t="s">
        <v>141</v>
      </c>
      <c r="U2390" s="18"/>
      <c r="V2390" s="19" t="s">
        <v>29</v>
      </c>
      <c r="W2390" s="19"/>
      <c r="X2390" s="19"/>
      <c r="Y2390" s="20"/>
      <c r="Z2390" s="19"/>
      <c r="AA2390" s="18" t="str">
        <f aca="false">IF(OR(V2390="Aprobada"),R2390,IF(AND(OR(V2390="Aprobada con ajuste",V2390="Rechazada"),W2390&lt;&gt;""),W2390,""))</f>
        <v/>
      </c>
    </row>
    <row r="2391" customFormat="false" ht="32.8" hidden="false" customHeight="false" outlineLevel="0" collapsed="false">
      <c r="A2391" s="18" t="s">
        <v>10073</v>
      </c>
      <c r="B2391" s="18" t="s">
        <v>68</v>
      </c>
      <c r="C2391" s="18" t="s">
        <v>69</v>
      </c>
      <c r="D2391" s="18" t="s">
        <v>10065</v>
      </c>
      <c r="E2391" s="18" t="n">
        <v>9</v>
      </c>
      <c r="F2391" s="18" t="s">
        <v>4269</v>
      </c>
      <c r="G2391" s="18" t="s">
        <v>486</v>
      </c>
      <c r="H2391" s="18" t="s">
        <v>129</v>
      </c>
      <c r="I2391" s="18"/>
      <c r="J2391" s="18"/>
      <c r="K2391" s="18"/>
      <c r="L2391" s="18" t="s">
        <v>129</v>
      </c>
      <c r="M2391" s="18" t="s">
        <v>129</v>
      </c>
      <c r="N2391" s="18"/>
      <c r="O2391" s="18"/>
      <c r="P2391" s="18" t="s">
        <v>10074</v>
      </c>
      <c r="Q2391" s="18" t="s">
        <v>131</v>
      </c>
      <c r="R2391" s="18" t="s">
        <v>10075</v>
      </c>
      <c r="S2391" s="18" t="s">
        <v>133</v>
      </c>
      <c r="T2391" s="18" t="s">
        <v>10076</v>
      </c>
      <c r="U2391" s="18"/>
      <c r="V2391" s="19" t="s">
        <v>29</v>
      </c>
      <c r="W2391" s="19"/>
      <c r="X2391" s="19"/>
      <c r="Y2391" s="20"/>
      <c r="Z2391" s="19"/>
      <c r="AA2391" s="18" t="str">
        <f aca="false">IF(OR(V2391="Aprobada"),R2391,IF(AND(OR(V2391="Aprobada con ajuste",V2391="Rechazada"),W2391&lt;&gt;""),W2391,""))</f>
        <v/>
      </c>
    </row>
    <row r="2392" customFormat="false" ht="32.8" hidden="false" customHeight="false" outlineLevel="0" collapsed="false">
      <c r="A2392" s="18" t="s">
        <v>10077</v>
      </c>
      <c r="B2392" s="18" t="s">
        <v>68</v>
      </c>
      <c r="C2392" s="18" t="s">
        <v>69</v>
      </c>
      <c r="D2392" s="18" t="s">
        <v>10065</v>
      </c>
      <c r="E2392" s="18" t="n">
        <v>9</v>
      </c>
      <c r="F2392" s="18" t="s">
        <v>10078</v>
      </c>
      <c r="G2392" s="18" t="s">
        <v>486</v>
      </c>
      <c r="H2392" s="18" t="s">
        <v>162</v>
      </c>
      <c r="I2392" s="18"/>
      <c r="J2392" s="18"/>
      <c r="K2392" s="18"/>
      <c r="L2392" s="18" t="s">
        <v>129</v>
      </c>
      <c r="M2392" s="18" t="s">
        <v>129</v>
      </c>
      <c r="N2392" s="18"/>
      <c r="O2392" s="18"/>
      <c r="P2392" s="18" t="s">
        <v>10079</v>
      </c>
      <c r="Q2392" s="18" t="s">
        <v>149</v>
      </c>
      <c r="R2392" s="18" t="s">
        <v>10080</v>
      </c>
      <c r="S2392" s="18" t="s">
        <v>140</v>
      </c>
      <c r="T2392" s="18" t="s">
        <v>183</v>
      </c>
      <c r="U2392" s="18" t="s">
        <v>10081</v>
      </c>
      <c r="V2392" s="19" t="s">
        <v>29</v>
      </c>
      <c r="W2392" s="19"/>
      <c r="X2392" s="19"/>
      <c r="Y2392" s="20"/>
      <c r="Z2392" s="19"/>
      <c r="AA2392" s="18" t="str">
        <f aca="false">IF(OR(V2392="Aprobada"),R2392,IF(AND(OR(V2392="Aprobada con ajuste",V2392="Rechazada"),W2392&lt;&gt;""),W2392,""))</f>
        <v/>
      </c>
    </row>
    <row r="2393" customFormat="false" ht="32.8" hidden="false" customHeight="false" outlineLevel="0" collapsed="false">
      <c r="A2393" s="18" t="s">
        <v>10082</v>
      </c>
      <c r="B2393" s="18" t="s">
        <v>68</v>
      </c>
      <c r="C2393" s="18" t="s">
        <v>69</v>
      </c>
      <c r="D2393" s="18" t="s">
        <v>10065</v>
      </c>
      <c r="E2393" s="18" t="n">
        <v>9</v>
      </c>
      <c r="F2393" s="18" t="s">
        <v>10083</v>
      </c>
      <c r="G2393" s="18" t="s">
        <v>145</v>
      </c>
      <c r="H2393" s="18" t="s">
        <v>162</v>
      </c>
      <c r="I2393" s="18"/>
      <c r="J2393" s="18"/>
      <c r="K2393" s="18"/>
      <c r="L2393" s="18" t="s">
        <v>129</v>
      </c>
      <c r="M2393" s="18" t="s">
        <v>129</v>
      </c>
      <c r="N2393" s="18"/>
      <c r="O2393" s="18"/>
      <c r="P2393" s="18" t="s">
        <v>10084</v>
      </c>
      <c r="Q2393" s="18" t="s">
        <v>149</v>
      </c>
      <c r="R2393" s="18" t="s">
        <v>10085</v>
      </c>
      <c r="S2393" s="18" t="s">
        <v>140</v>
      </c>
      <c r="T2393" s="18" t="s">
        <v>183</v>
      </c>
      <c r="U2393" s="18" t="s">
        <v>10086</v>
      </c>
      <c r="V2393" s="19" t="s">
        <v>29</v>
      </c>
      <c r="W2393" s="19"/>
      <c r="X2393" s="19"/>
      <c r="Y2393" s="20"/>
      <c r="Z2393" s="19"/>
      <c r="AA2393" s="18" t="str">
        <f aca="false">IF(OR(V2393="Aprobada"),R2393,IF(AND(OR(V2393="Aprobada con ajuste",V2393="Rechazada"),W2393&lt;&gt;""),W2393,""))</f>
        <v/>
      </c>
    </row>
    <row r="2394" customFormat="false" ht="43.25" hidden="false" customHeight="false" outlineLevel="0" collapsed="false">
      <c r="A2394" s="18" t="s">
        <v>10087</v>
      </c>
      <c r="B2394" s="18" t="s">
        <v>68</v>
      </c>
      <c r="C2394" s="18" t="s">
        <v>69</v>
      </c>
      <c r="D2394" s="18" t="s">
        <v>10065</v>
      </c>
      <c r="E2394" s="18" t="n">
        <v>9</v>
      </c>
      <c r="F2394" s="18" t="s">
        <v>5413</v>
      </c>
      <c r="G2394" s="18" t="s">
        <v>486</v>
      </c>
      <c r="H2394" s="18" t="s">
        <v>162</v>
      </c>
      <c r="I2394" s="18"/>
      <c r="J2394" s="18"/>
      <c r="K2394" s="18"/>
      <c r="L2394" s="18" t="s">
        <v>129</v>
      </c>
      <c r="M2394" s="18" t="s">
        <v>129</v>
      </c>
      <c r="N2394" s="18"/>
      <c r="O2394" s="18"/>
      <c r="P2394" s="18" t="s">
        <v>10088</v>
      </c>
      <c r="Q2394" s="18" t="s">
        <v>149</v>
      </c>
      <c r="R2394" s="18" t="s">
        <v>10089</v>
      </c>
      <c r="S2394" s="18" t="s">
        <v>140</v>
      </c>
      <c r="T2394" s="18" t="s">
        <v>183</v>
      </c>
      <c r="U2394" s="18" t="s">
        <v>10090</v>
      </c>
      <c r="V2394" s="19" t="s">
        <v>29</v>
      </c>
      <c r="W2394" s="19"/>
      <c r="X2394" s="19"/>
      <c r="Y2394" s="20"/>
      <c r="Z2394" s="19"/>
      <c r="AA2394" s="18" t="str">
        <f aca="false">IF(OR(V2394="Aprobada"),R2394,IF(AND(OR(V2394="Aprobada con ajuste",V2394="Rechazada"),W2394&lt;&gt;""),W2394,""))</f>
        <v/>
      </c>
    </row>
    <row r="2395" customFormat="false" ht="43.25" hidden="false" customHeight="false" outlineLevel="0" collapsed="false">
      <c r="A2395" s="18" t="s">
        <v>10091</v>
      </c>
      <c r="B2395" s="18" t="s">
        <v>68</v>
      </c>
      <c r="C2395" s="18" t="s">
        <v>69</v>
      </c>
      <c r="D2395" s="18" t="s">
        <v>10065</v>
      </c>
      <c r="E2395" s="18" t="n">
        <v>9</v>
      </c>
      <c r="F2395" s="18" t="s">
        <v>10092</v>
      </c>
      <c r="G2395" s="18" t="s">
        <v>503</v>
      </c>
      <c r="H2395" s="18" t="s">
        <v>162</v>
      </c>
      <c r="I2395" s="18"/>
      <c r="J2395" s="18"/>
      <c r="K2395" s="18"/>
      <c r="L2395" s="18" t="s">
        <v>129</v>
      </c>
      <c r="M2395" s="18" t="s">
        <v>129</v>
      </c>
      <c r="N2395" s="18"/>
      <c r="O2395" s="18"/>
      <c r="P2395" s="18" t="s">
        <v>10093</v>
      </c>
      <c r="Q2395" s="18" t="s">
        <v>149</v>
      </c>
      <c r="R2395" s="18" t="s">
        <v>10094</v>
      </c>
      <c r="S2395" s="18" t="s">
        <v>140</v>
      </c>
      <c r="T2395" s="18" t="s">
        <v>169</v>
      </c>
      <c r="U2395" s="18" t="s">
        <v>10095</v>
      </c>
      <c r="V2395" s="19" t="s">
        <v>29</v>
      </c>
      <c r="W2395" s="19"/>
      <c r="X2395" s="19"/>
      <c r="Y2395" s="20"/>
      <c r="Z2395" s="19"/>
      <c r="AA2395" s="18" t="str">
        <f aca="false">IF(OR(V2395="Aprobada"),R2395,IF(AND(OR(V2395="Aprobada con ajuste",V2395="Rechazada"),W2395&lt;&gt;""),W2395,""))</f>
        <v/>
      </c>
    </row>
    <row r="2396" customFormat="false" ht="64.15" hidden="false" customHeight="false" outlineLevel="0" collapsed="false">
      <c r="A2396" s="18" t="s">
        <v>10096</v>
      </c>
      <c r="B2396" s="18" t="s">
        <v>68</v>
      </c>
      <c r="C2396" s="18" t="s">
        <v>69</v>
      </c>
      <c r="D2396" s="18" t="s">
        <v>10065</v>
      </c>
      <c r="E2396" s="18" t="n">
        <v>9</v>
      </c>
      <c r="F2396" s="18" t="s">
        <v>185</v>
      </c>
      <c r="G2396" s="18" t="s">
        <v>145</v>
      </c>
      <c r="H2396" s="18" t="s">
        <v>162</v>
      </c>
      <c r="I2396" s="18"/>
      <c r="J2396" s="18"/>
      <c r="K2396" s="18"/>
      <c r="L2396" s="18" t="s">
        <v>129</v>
      </c>
      <c r="M2396" s="18" t="s">
        <v>129</v>
      </c>
      <c r="N2396" s="18"/>
      <c r="O2396" s="18" t="s">
        <v>10097</v>
      </c>
      <c r="P2396" s="18" t="s">
        <v>10098</v>
      </c>
      <c r="Q2396" s="18" t="s">
        <v>138</v>
      </c>
      <c r="R2396" s="18" t="s">
        <v>10099</v>
      </c>
      <c r="S2396" s="18" t="s">
        <v>140</v>
      </c>
      <c r="T2396" s="18" t="s">
        <v>141</v>
      </c>
      <c r="U2396" s="18"/>
      <c r="V2396" s="19" t="s">
        <v>29</v>
      </c>
      <c r="W2396" s="19"/>
      <c r="X2396" s="19"/>
      <c r="Y2396" s="20"/>
      <c r="Z2396" s="19"/>
      <c r="AA2396" s="18" t="str">
        <f aca="false">IF(OR(V2396="Aprobada"),R2396,IF(AND(OR(V2396="Aprobada con ajuste",V2396="Rechazada"),W2396&lt;&gt;""),W2396,""))</f>
        <v/>
      </c>
    </row>
    <row r="2397" customFormat="false" ht="32.8" hidden="false" customHeight="false" outlineLevel="0" collapsed="false">
      <c r="A2397" s="18" t="s">
        <v>10100</v>
      </c>
      <c r="B2397" s="18" t="s">
        <v>68</v>
      </c>
      <c r="C2397" s="18" t="s">
        <v>69</v>
      </c>
      <c r="D2397" s="18" t="s">
        <v>10065</v>
      </c>
      <c r="E2397" s="18" t="n">
        <v>9</v>
      </c>
      <c r="F2397" s="18" t="s">
        <v>10101</v>
      </c>
      <c r="G2397" s="18" t="s">
        <v>312</v>
      </c>
      <c r="H2397" s="18" t="s">
        <v>162</v>
      </c>
      <c r="I2397" s="18"/>
      <c r="J2397" s="18"/>
      <c r="K2397" s="18"/>
      <c r="L2397" s="18" t="s">
        <v>129</v>
      </c>
      <c r="M2397" s="18" t="s">
        <v>129</v>
      </c>
      <c r="N2397" s="18"/>
      <c r="O2397" s="18"/>
      <c r="P2397" s="18" t="s">
        <v>10102</v>
      </c>
      <c r="Q2397" s="18" t="s">
        <v>138</v>
      </c>
      <c r="R2397" s="18" t="s">
        <v>10103</v>
      </c>
      <c r="S2397" s="18" t="s">
        <v>140</v>
      </c>
      <c r="T2397" s="18" t="s">
        <v>141</v>
      </c>
      <c r="U2397" s="18"/>
      <c r="V2397" s="19" t="s">
        <v>29</v>
      </c>
      <c r="W2397" s="19"/>
      <c r="X2397" s="19"/>
      <c r="Y2397" s="20"/>
      <c r="Z2397" s="19"/>
      <c r="AA2397" s="18" t="str">
        <f aca="false">IF(OR(V2397="Aprobada"),R2397,IF(AND(OR(V2397="Aprobada con ajuste",V2397="Rechazada"),W2397&lt;&gt;""),W2397,""))</f>
        <v/>
      </c>
    </row>
    <row r="2398" customFormat="false" ht="64.15" hidden="false" customHeight="false" outlineLevel="0" collapsed="false">
      <c r="A2398" s="18" t="s">
        <v>10104</v>
      </c>
      <c r="B2398" s="18" t="s">
        <v>68</v>
      </c>
      <c r="C2398" s="18" t="s">
        <v>69</v>
      </c>
      <c r="D2398" s="18" t="s">
        <v>10105</v>
      </c>
      <c r="E2398" s="18" t="n">
        <v>70</v>
      </c>
      <c r="F2398" s="18" t="s">
        <v>2269</v>
      </c>
      <c r="G2398" s="18" t="s">
        <v>128</v>
      </c>
      <c r="H2398" s="18" t="s">
        <v>129</v>
      </c>
      <c r="I2398" s="18"/>
      <c r="J2398" s="18"/>
      <c r="K2398" s="18"/>
      <c r="L2398" s="18" t="s">
        <v>129</v>
      </c>
      <c r="M2398" s="18" t="s">
        <v>129</v>
      </c>
      <c r="N2398" s="18"/>
      <c r="O2398" s="18"/>
      <c r="P2398" s="18" t="s">
        <v>10106</v>
      </c>
      <c r="Q2398" s="18" t="s">
        <v>131</v>
      </c>
      <c r="R2398" s="18" t="s">
        <v>10107</v>
      </c>
      <c r="S2398" s="18" t="s">
        <v>133</v>
      </c>
      <c r="T2398" s="18" t="s">
        <v>10108</v>
      </c>
      <c r="U2398" s="18"/>
      <c r="V2398" s="19" t="s">
        <v>29</v>
      </c>
      <c r="W2398" s="19"/>
      <c r="X2398" s="19"/>
      <c r="Y2398" s="20"/>
      <c r="Z2398" s="19"/>
      <c r="AA2398" s="18" t="str">
        <f aca="false">IF(OR(V2398="Aprobada"),R2398,IF(AND(OR(V2398="Aprobada con ajuste",V2398="Rechazada"),W2398&lt;&gt;""),W2398,""))</f>
        <v/>
      </c>
    </row>
    <row r="2399" customFormat="false" ht="32.8" hidden="false" customHeight="false" outlineLevel="0" collapsed="false">
      <c r="A2399" s="18" t="s">
        <v>10109</v>
      </c>
      <c r="B2399" s="18" t="s">
        <v>68</v>
      </c>
      <c r="C2399" s="18" t="s">
        <v>69</v>
      </c>
      <c r="D2399" s="18" t="s">
        <v>10105</v>
      </c>
      <c r="E2399" s="18" t="n">
        <v>70</v>
      </c>
      <c r="F2399" s="18" t="s">
        <v>10110</v>
      </c>
      <c r="G2399" s="18" t="s">
        <v>180</v>
      </c>
      <c r="H2399" s="18" t="s">
        <v>162</v>
      </c>
      <c r="I2399" s="18"/>
      <c r="J2399" s="18"/>
      <c r="K2399" s="18"/>
      <c r="L2399" s="18" t="s">
        <v>129</v>
      </c>
      <c r="M2399" s="18" t="s">
        <v>129</v>
      </c>
      <c r="N2399" s="18"/>
      <c r="O2399" s="18"/>
      <c r="P2399" s="18" t="s">
        <v>10111</v>
      </c>
      <c r="Q2399" s="18" t="s">
        <v>149</v>
      </c>
      <c r="R2399" s="18" t="s">
        <v>5192</v>
      </c>
      <c r="S2399" s="18" t="s">
        <v>133</v>
      </c>
      <c r="T2399" s="18" t="s">
        <v>10112</v>
      </c>
      <c r="U2399" s="18"/>
      <c r="V2399" s="19" t="s">
        <v>29</v>
      </c>
      <c r="W2399" s="19"/>
      <c r="X2399" s="19"/>
      <c r="Y2399" s="20"/>
      <c r="Z2399" s="19"/>
      <c r="AA2399" s="18" t="str">
        <f aca="false">IF(OR(V2399="Aprobada"),R2399,IF(AND(OR(V2399="Aprobada con ajuste",V2399="Rechazada"),W2399&lt;&gt;""),W2399,""))</f>
        <v/>
      </c>
    </row>
    <row r="2400" customFormat="false" ht="32.8" hidden="false" customHeight="false" outlineLevel="0" collapsed="false">
      <c r="A2400" s="18" t="s">
        <v>10113</v>
      </c>
      <c r="B2400" s="18" t="s">
        <v>68</v>
      </c>
      <c r="C2400" s="18" t="s">
        <v>69</v>
      </c>
      <c r="D2400" s="18" t="s">
        <v>10105</v>
      </c>
      <c r="E2400" s="18" t="n">
        <v>70</v>
      </c>
      <c r="F2400" s="18" t="s">
        <v>490</v>
      </c>
      <c r="G2400" s="18" t="s">
        <v>128</v>
      </c>
      <c r="H2400" s="18" t="s">
        <v>162</v>
      </c>
      <c r="I2400" s="18"/>
      <c r="J2400" s="18"/>
      <c r="K2400" s="18"/>
      <c r="L2400" s="18" t="s">
        <v>129</v>
      </c>
      <c r="M2400" s="18" t="s">
        <v>129</v>
      </c>
      <c r="N2400" s="18"/>
      <c r="O2400" s="18"/>
      <c r="P2400" s="18" t="s">
        <v>10114</v>
      </c>
      <c r="Q2400" s="18" t="s">
        <v>138</v>
      </c>
      <c r="R2400" s="18" t="s">
        <v>10115</v>
      </c>
      <c r="S2400" s="18" t="s">
        <v>140</v>
      </c>
      <c r="T2400" s="18" t="s">
        <v>141</v>
      </c>
      <c r="U2400" s="18"/>
      <c r="V2400" s="19" t="s">
        <v>29</v>
      </c>
      <c r="W2400" s="19"/>
      <c r="X2400" s="19"/>
      <c r="Y2400" s="20"/>
      <c r="Z2400" s="19"/>
      <c r="AA2400" s="18" t="str">
        <f aca="false">IF(OR(V2400="Aprobada"),R2400,IF(AND(OR(V2400="Aprobada con ajuste",V2400="Rechazada"),W2400&lt;&gt;""),W2400,""))</f>
        <v/>
      </c>
    </row>
    <row r="2401" customFormat="false" ht="32.8" hidden="false" customHeight="false" outlineLevel="0" collapsed="false">
      <c r="A2401" s="18" t="s">
        <v>10116</v>
      </c>
      <c r="B2401" s="18" t="s">
        <v>68</v>
      </c>
      <c r="C2401" s="18" t="s">
        <v>69</v>
      </c>
      <c r="D2401" s="18" t="s">
        <v>10105</v>
      </c>
      <c r="E2401" s="18" t="n">
        <v>70</v>
      </c>
      <c r="F2401" s="18" t="s">
        <v>10117</v>
      </c>
      <c r="G2401" s="18" t="s">
        <v>503</v>
      </c>
      <c r="H2401" s="18" t="s">
        <v>162</v>
      </c>
      <c r="I2401" s="18"/>
      <c r="J2401" s="18"/>
      <c r="K2401" s="18"/>
      <c r="L2401" s="18" t="s">
        <v>129</v>
      </c>
      <c r="M2401" s="18" t="s">
        <v>129</v>
      </c>
      <c r="N2401" s="18"/>
      <c r="O2401" s="18"/>
      <c r="P2401" s="18" t="s">
        <v>10118</v>
      </c>
      <c r="Q2401" s="18" t="s">
        <v>149</v>
      </c>
      <c r="R2401" s="18" t="s">
        <v>5198</v>
      </c>
      <c r="S2401" s="18" t="s">
        <v>140</v>
      </c>
      <c r="T2401" s="18" t="s">
        <v>183</v>
      </c>
      <c r="U2401" s="18" t="s">
        <v>4247</v>
      </c>
      <c r="V2401" s="19" t="s">
        <v>29</v>
      </c>
      <c r="W2401" s="19"/>
      <c r="X2401" s="19"/>
      <c r="Y2401" s="20"/>
      <c r="Z2401" s="19"/>
      <c r="AA2401" s="18" t="str">
        <f aca="false">IF(OR(V2401="Aprobada"),R2401,IF(AND(OR(V2401="Aprobada con ajuste",V2401="Rechazada"),W2401&lt;&gt;""),W2401,""))</f>
        <v/>
      </c>
    </row>
    <row r="2402" customFormat="false" ht="32.8" hidden="false" customHeight="false" outlineLevel="0" collapsed="false">
      <c r="A2402" s="18" t="s">
        <v>10119</v>
      </c>
      <c r="B2402" s="18" t="s">
        <v>68</v>
      </c>
      <c r="C2402" s="18" t="s">
        <v>69</v>
      </c>
      <c r="D2402" s="18" t="s">
        <v>10105</v>
      </c>
      <c r="E2402" s="18" t="n">
        <v>70</v>
      </c>
      <c r="F2402" s="18" t="s">
        <v>10120</v>
      </c>
      <c r="G2402" s="18" t="s">
        <v>180</v>
      </c>
      <c r="H2402" s="18" t="s">
        <v>162</v>
      </c>
      <c r="I2402" s="18"/>
      <c r="J2402" s="18"/>
      <c r="K2402" s="18"/>
      <c r="L2402" s="18" t="s">
        <v>129</v>
      </c>
      <c r="M2402" s="18" t="s">
        <v>129</v>
      </c>
      <c r="N2402" s="18"/>
      <c r="O2402" s="18"/>
      <c r="P2402" s="18" t="s">
        <v>10121</v>
      </c>
      <c r="Q2402" s="18" t="s">
        <v>149</v>
      </c>
      <c r="R2402" s="18" t="s">
        <v>10122</v>
      </c>
      <c r="S2402" s="18" t="s">
        <v>140</v>
      </c>
      <c r="T2402" s="18" t="s">
        <v>183</v>
      </c>
      <c r="U2402" s="18" t="s">
        <v>10123</v>
      </c>
      <c r="V2402" s="19" t="s">
        <v>29</v>
      </c>
      <c r="W2402" s="19"/>
      <c r="X2402" s="19"/>
      <c r="Y2402" s="20"/>
      <c r="Z2402" s="19"/>
      <c r="AA2402" s="18" t="str">
        <f aca="false">IF(OR(V2402="Aprobada"),R2402,IF(AND(OR(V2402="Aprobada con ajuste",V2402="Rechazada"),W2402&lt;&gt;""),W2402,""))</f>
        <v/>
      </c>
    </row>
    <row r="2403" customFormat="false" ht="32.8" hidden="false" customHeight="false" outlineLevel="0" collapsed="false">
      <c r="A2403" s="18" t="s">
        <v>10124</v>
      </c>
      <c r="B2403" s="18" t="s">
        <v>68</v>
      </c>
      <c r="C2403" s="18" t="s">
        <v>69</v>
      </c>
      <c r="D2403" s="18" t="s">
        <v>10105</v>
      </c>
      <c r="E2403" s="18" t="n">
        <v>70</v>
      </c>
      <c r="F2403" s="18" t="s">
        <v>10125</v>
      </c>
      <c r="G2403" s="18" t="s">
        <v>145</v>
      </c>
      <c r="H2403" s="18" t="s">
        <v>162</v>
      </c>
      <c r="I2403" s="18"/>
      <c r="J2403" s="18"/>
      <c r="K2403" s="18"/>
      <c r="L2403" s="18" t="s">
        <v>129</v>
      </c>
      <c r="M2403" s="18" t="s">
        <v>129</v>
      </c>
      <c r="N2403" s="18"/>
      <c r="O2403" s="18" t="s">
        <v>10126</v>
      </c>
      <c r="P2403" s="18" t="s">
        <v>10127</v>
      </c>
      <c r="Q2403" s="18" t="s">
        <v>149</v>
      </c>
      <c r="R2403" s="18" t="s">
        <v>10128</v>
      </c>
      <c r="S2403" s="18" t="s">
        <v>140</v>
      </c>
      <c r="T2403" s="18" t="s">
        <v>183</v>
      </c>
      <c r="U2403" s="18" t="s">
        <v>10129</v>
      </c>
      <c r="V2403" s="19" t="s">
        <v>29</v>
      </c>
      <c r="W2403" s="19"/>
      <c r="X2403" s="19"/>
      <c r="Y2403" s="20"/>
      <c r="Z2403" s="19"/>
      <c r="AA2403" s="18" t="str">
        <f aca="false">IF(OR(V2403="Aprobada"),R2403,IF(AND(OR(V2403="Aprobada con ajuste",V2403="Rechazada"),W2403&lt;&gt;""),W2403,""))</f>
        <v/>
      </c>
    </row>
    <row r="2404" customFormat="false" ht="43.25" hidden="false" customHeight="false" outlineLevel="0" collapsed="false">
      <c r="A2404" s="18" t="s">
        <v>10130</v>
      </c>
      <c r="B2404" s="18" t="s">
        <v>68</v>
      </c>
      <c r="C2404" s="18" t="s">
        <v>69</v>
      </c>
      <c r="D2404" s="18" t="s">
        <v>10105</v>
      </c>
      <c r="E2404" s="18" t="n">
        <v>70</v>
      </c>
      <c r="F2404" s="18" t="s">
        <v>3361</v>
      </c>
      <c r="G2404" s="18" t="s">
        <v>486</v>
      </c>
      <c r="H2404" s="18" t="s">
        <v>162</v>
      </c>
      <c r="I2404" s="18"/>
      <c r="J2404" s="18"/>
      <c r="K2404" s="18"/>
      <c r="L2404" s="18" t="s">
        <v>129</v>
      </c>
      <c r="M2404" s="18" t="s">
        <v>129</v>
      </c>
      <c r="N2404" s="18"/>
      <c r="O2404" s="18"/>
      <c r="P2404" s="18" t="s">
        <v>10131</v>
      </c>
      <c r="Q2404" s="18" t="s">
        <v>149</v>
      </c>
      <c r="R2404" s="18" t="s">
        <v>10132</v>
      </c>
      <c r="S2404" s="18" t="s">
        <v>133</v>
      </c>
      <c r="T2404" s="18" t="s">
        <v>10133</v>
      </c>
      <c r="U2404" s="18"/>
      <c r="V2404" s="19" t="s">
        <v>29</v>
      </c>
      <c r="W2404" s="19"/>
      <c r="X2404" s="19"/>
      <c r="Y2404" s="20"/>
      <c r="Z2404" s="19"/>
      <c r="AA2404" s="18" t="str">
        <f aca="false">IF(OR(V2404="Aprobada"),R2404,IF(AND(OR(V2404="Aprobada con ajuste",V2404="Rechazada"),W2404&lt;&gt;""),W2404,""))</f>
        <v/>
      </c>
    </row>
    <row r="2405" customFormat="false" ht="32.8" hidden="false" customHeight="false" outlineLevel="0" collapsed="false">
      <c r="A2405" s="18" t="s">
        <v>10134</v>
      </c>
      <c r="B2405" s="18" t="s">
        <v>68</v>
      </c>
      <c r="C2405" s="18" t="s">
        <v>69</v>
      </c>
      <c r="D2405" s="18" t="s">
        <v>10105</v>
      </c>
      <c r="E2405" s="18" t="n">
        <v>70</v>
      </c>
      <c r="F2405" s="18" t="s">
        <v>10135</v>
      </c>
      <c r="G2405" s="18" t="s">
        <v>180</v>
      </c>
      <c r="H2405" s="18" t="s">
        <v>162</v>
      </c>
      <c r="I2405" s="18"/>
      <c r="J2405" s="18"/>
      <c r="K2405" s="18"/>
      <c r="L2405" s="18" t="s">
        <v>129</v>
      </c>
      <c r="M2405" s="18" t="s">
        <v>129</v>
      </c>
      <c r="N2405" s="18"/>
      <c r="O2405" s="18"/>
      <c r="P2405" s="18" t="s">
        <v>10136</v>
      </c>
      <c r="Q2405" s="18" t="s">
        <v>149</v>
      </c>
      <c r="R2405" s="18" t="s">
        <v>5777</v>
      </c>
      <c r="S2405" s="18" t="s">
        <v>140</v>
      </c>
      <c r="T2405" s="18" t="s">
        <v>183</v>
      </c>
      <c r="U2405" s="18" t="s">
        <v>4673</v>
      </c>
      <c r="V2405" s="19" t="s">
        <v>29</v>
      </c>
      <c r="W2405" s="19"/>
      <c r="X2405" s="19"/>
      <c r="Y2405" s="20"/>
      <c r="Z2405" s="19"/>
      <c r="AA2405" s="18" t="str">
        <f aca="false">IF(OR(V2405="Aprobada"),R2405,IF(AND(OR(V2405="Aprobada con ajuste",V2405="Rechazada"),W2405&lt;&gt;""),W2405,""))</f>
        <v/>
      </c>
    </row>
    <row r="2406" customFormat="false" ht="32.8" hidden="false" customHeight="false" outlineLevel="0" collapsed="false">
      <c r="A2406" s="18" t="s">
        <v>10137</v>
      </c>
      <c r="B2406" s="18" t="s">
        <v>68</v>
      </c>
      <c r="C2406" s="18" t="s">
        <v>69</v>
      </c>
      <c r="D2406" s="18" t="s">
        <v>10105</v>
      </c>
      <c r="E2406" s="18" t="n">
        <v>70</v>
      </c>
      <c r="F2406" s="18" t="s">
        <v>281</v>
      </c>
      <c r="G2406" s="18" t="s">
        <v>145</v>
      </c>
      <c r="H2406" s="18" t="s">
        <v>162</v>
      </c>
      <c r="I2406" s="18"/>
      <c r="J2406" s="18"/>
      <c r="K2406" s="18"/>
      <c r="L2406" s="18" t="s">
        <v>129</v>
      </c>
      <c r="M2406" s="18" t="s">
        <v>129</v>
      </c>
      <c r="N2406" s="18"/>
      <c r="O2406" s="18"/>
      <c r="P2406" s="18" t="s">
        <v>10138</v>
      </c>
      <c r="Q2406" s="18" t="s">
        <v>149</v>
      </c>
      <c r="R2406" s="18" t="s">
        <v>2807</v>
      </c>
      <c r="S2406" s="18" t="s">
        <v>242</v>
      </c>
      <c r="T2406" s="18" t="s">
        <v>183</v>
      </c>
      <c r="U2406" s="18" t="s">
        <v>10139</v>
      </c>
      <c r="V2406" s="19" t="s">
        <v>29</v>
      </c>
      <c r="W2406" s="19"/>
      <c r="X2406" s="19"/>
      <c r="Y2406" s="20"/>
      <c r="Z2406" s="19"/>
      <c r="AA2406" s="18" t="str">
        <f aca="false">IF(OR(V2406="Aprobada"),R2406,IF(AND(OR(V2406="Aprobada con ajuste",V2406="Rechazada"),W2406&lt;&gt;""),W2406,""))</f>
        <v/>
      </c>
    </row>
    <row r="2407" customFormat="false" ht="32.8" hidden="false" customHeight="false" outlineLevel="0" collapsed="false">
      <c r="A2407" s="18" t="s">
        <v>10140</v>
      </c>
      <c r="B2407" s="18" t="s">
        <v>68</v>
      </c>
      <c r="C2407" s="18" t="s">
        <v>69</v>
      </c>
      <c r="D2407" s="18" t="s">
        <v>10105</v>
      </c>
      <c r="E2407" s="18" t="n">
        <v>70</v>
      </c>
      <c r="F2407" s="18" t="s">
        <v>5569</v>
      </c>
      <c r="G2407" s="18" t="s">
        <v>180</v>
      </c>
      <c r="H2407" s="18" t="s">
        <v>162</v>
      </c>
      <c r="I2407" s="18"/>
      <c r="J2407" s="18"/>
      <c r="K2407" s="18"/>
      <c r="L2407" s="18" t="s">
        <v>129</v>
      </c>
      <c r="M2407" s="18" t="s">
        <v>129</v>
      </c>
      <c r="N2407" s="18"/>
      <c r="O2407" s="18"/>
      <c r="P2407" s="18" t="s">
        <v>10141</v>
      </c>
      <c r="Q2407" s="18" t="s">
        <v>149</v>
      </c>
      <c r="R2407" s="18" t="s">
        <v>10142</v>
      </c>
      <c r="S2407" s="18" t="s">
        <v>140</v>
      </c>
      <c r="T2407" s="18" t="s">
        <v>10143</v>
      </c>
      <c r="U2407" s="18" t="s">
        <v>10144</v>
      </c>
      <c r="V2407" s="19" t="s">
        <v>29</v>
      </c>
      <c r="W2407" s="19"/>
      <c r="X2407" s="19"/>
      <c r="Y2407" s="20"/>
      <c r="Z2407" s="19"/>
      <c r="AA2407" s="18" t="str">
        <f aca="false">IF(OR(V2407="Aprobada"),R2407,IF(AND(OR(V2407="Aprobada con ajuste",V2407="Rechazada"),W2407&lt;&gt;""),W2407,""))</f>
        <v/>
      </c>
    </row>
    <row r="2408" customFormat="false" ht="32.8" hidden="false" customHeight="false" outlineLevel="0" collapsed="false">
      <c r="A2408" s="18" t="s">
        <v>10145</v>
      </c>
      <c r="B2408" s="18" t="s">
        <v>68</v>
      </c>
      <c r="C2408" s="18" t="s">
        <v>69</v>
      </c>
      <c r="D2408" s="18" t="s">
        <v>10105</v>
      </c>
      <c r="E2408" s="18" t="n">
        <v>70</v>
      </c>
      <c r="F2408" s="18" t="s">
        <v>4478</v>
      </c>
      <c r="G2408" s="18" t="s">
        <v>180</v>
      </c>
      <c r="H2408" s="18" t="s">
        <v>162</v>
      </c>
      <c r="I2408" s="18"/>
      <c r="J2408" s="18"/>
      <c r="K2408" s="18"/>
      <c r="L2408" s="18" t="s">
        <v>129</v>
      </c>
      <c r="M2408" s="18" t="s">
        <v>129</v>
      </c>
      <c r="N2408" s="18"/>
      <c r="O2408" s="18"/>
      <c r="P2408" s="18" t="s">
        <v>10146</v>
      </c>
      <c r="Q2408" s="18" t="s">
        <v>149</v>
      </c>
      <c r="R2408" s="18" t="s">
        <v>10147</v>
      </c>
      <c r="S2408" s="18" t="s">
        <v>140</v>
      </c>
      <c r="T2408" s="18" t="s">
        <v>10148</v>
      </c>
      <c r="U2408" s="18" t="s">
        <v>10144</v>
      </c>
      <c r="V2408" s="19" t="s">
        <v>29</v>
      </c>
      <c r="W2408" s="19"/>
      <c r="X2408" s="19"/>
      <c r="Y2408" s="20"/>
      <c r="Z2408" s="19"/>
      <c r="AA2408" s="18" t="str">
        <f aca="false">IF(OR(V2408="Aprobada"),R2408,IF(AND(OR(V2408="Aprobada con ajuste",V2408="Rechazada"),W2408&lt;&gt;""),W2408,""))</f>
        <v/>
      </c>
    </row>
    <row r="2409" customFormat="false" ht="32.8" hidden="false" customHeight="false" outlineLevel="0" collapsed="false">
      <c r="A2409" s="18" t="s">
        <v>10149</v>
      </c>
      <c r="B2409" s="18" t="s">
        <v>68</v>
      </c>
      <c r="C2409" s="18" t="s">
        <v>69</v>
      </c>
      <c r="D2409" s="18" t="s">
        <v>10105</v>
      </c>
      <c r="E2409" s="18" t="n">
        <v>70</v>
      </c>
      <c r="F2409" s="18" t="s">
        <v>4218</v>
      </c>
      <c r="G2409" s="18" t="s">
        <v>503</v>
      </c>
      <c r="H2409" s="18" t="s">
        <v>162</v>
      </c>
      <c r="I2409" s="18"/>
      <c r="J2409" s="18"/>
      <c r="K2409" s="18"/>
      <c r="L2409" s="18" t="s">
        <v>129</v>
      </c>
      <c r="M2409" s="18" t="s">
        <v>129</v>
      </c>
      <c r="N2409" s="18"/>
      <c r="O2409" s="18"/>
      <c r="P2409" s="18" t="s">
        <v>10150</v>
      </c>
      <c r="Q2409" s="18" t="s">
        <v>149</v>
      </c>
      <c r="R2409" s="18" t="s">
        <v>10151</v>
      </c>
      <c r="S2409" s="18" t="s">
        <v>242</v>
      </c>
      <c r="T2409" s="18" t="s">
        <v>183</v>
      </c>
      <c r="U2409" s="18" t="s">
        <v>10152</v>
      </c>
      <c r="V2409" s="19" t="s">
        <v>29</v>
      </c>
      <c r="W2409" s="19"/>
      <c r="X2409" s="19"/>
      <c r="Y2409" s="20"/>
      <c r="Z2409" s="19"/>
      <c r="AA2409" s="18" t="str">
        <f aca="false">IF(OR(V2409="Aprobada"),R2409,IF(AND(OR(V2409="Aprobada con ajuste",V2409="Rechazada"),W2409&lt;&gt;""),W2409,""))</f>
        <v/>
      </c>
    </row>
    <row r="2410" customFormat="false" ht="64.15" hidden="false" customHeight="false" outlineLevel="0" collapsed="false">
      <c r="A2410" s="18" t="s">
        <v>10153</v>
      </c>
      <c r="B2410" s="18" t="s">
        <v>68</v>
      </c>
      <c r="C2410" s="18" t="s">
        <v>69</v>
      </c>
      <c r="D2410" s="18" t="s">
        <v>10105</v>
      </c>
      <c r="E2410" s="18" t="n">
        <v>70</v>
      </c>
      <c r="F2410" s="18" t="s">
        <v>10154</v>
      </c>
      <c r="G2410" s="18" t="s">
        <v>4418</v>
      </c>
      <c r="H2410" s="18" t="s">
        <v>162</v>
      </c>
      <c r="I2410" s="18"/>
      <c r="J2410" s="18"/>
      <c r="K2410" s="18"/>
      <c r="L2410" s="18" t="s">
        <v>129</v>
      </c>
      <c r="M2410" s="18" t="s">
        <v>129</v>
      </c>
      <c r="N2410" s="18"/>
      <c r="O2410" s="18"/>
      <c r="P2410" s="18" t="s">
        <v>10155</v>
      </c>
      <c r="Q2410" s="18" t="s">
        <v>131</v>
      </c>
      <c r="R2410" s="18" t="s">
        <v>10156</v>
      </c>
      <c r="S2410" s="18" t="s">
        <v>140</v>
      </c>
      <c r="T2410" s="18" t="s">
        <v>10157</v>
      </c>
      <c r="U2410" s="18" t="s">
        <v>10158</v>
      </c>
      <c r="V2410" s="19" t="s">
        <v>29</v>
      </c>
      <c r="W2410" s="19"/>
      <c r="X2410" s="19"/>
      <c r="Y2410" s="20"/>
      <c r="Z2410" s="19"/>
      <c r="AA2410" s="18" t="str">
        <f aca="false">IF(OR(V2410="Aprobada"),R2410,IF(AND(OR(V2410="Aprobada con ajuste",V2410="Rechazada"),W2410&lt;&gt;""),W2410,""))</f>
        <v/>
      </c>
    </row>
    <row r="2411" customFormat="false" ht="64.15" hidden="false" customHeight="false" outlineLevel="0" collapsed="false">
      <c r="A2411" s="18" t="s">
        <v>10159</v>
      </c>
      <c r="B2411" s="18" t="s">
        <v>68</v>
      </c>
      <c r="C2411" s="18" t="s">
        <v>69</v>
      </c>
      <c r="D2411" s="18" t="s">
        <v>10105</v>
      </c>
      <c r="E2411" s="18" t="n">
        <v>70</v>
      </c>
      <c r="F2411" s="18" t="s">
        <v>10160</v>
      </c>
      <c r="G2411" s="18" t="s">
        <v>4418</v>
      </c>
      <c r="H2411" s="18" t="s">
        <v>162</v>
      </c>
      <c r="I2411" s="18"/>
      <c r="J2411" s="18"/>
      <c r="K2411" s="18"/>
      <c r="L2411" s="18" t="s">
        <v>129</v>
      </c>
      <c r="M2411" s="18" t="s">
        <v>129</v>
      </c>
      <c r="N2411" s="18"/>
      <c r="O2411" s="18"/>
      <c r="P2411" s="18" t="s">
        <v>10161</v>
      </c>
      <c r="Q2411" s="18" t="s">
        <v>131</v>
      </c>
      <c r="R2411" s="18" t="s">
        <v>10162</v>
      </c>
      <c r="S2411" s="18" t="s">
        <v>140</v>
      </c>
      <c r="T2411" s="18" t="s">
        <v>10163</v>
      </c>
      <c r="U2411" s="18" t="s">
        <v>10164</v>
      </c>
      <c r="V2411" s="19" t="s">
        <v>29</v>
      </c>
      <c r="W2411" s="19"/>
      <c r="X2411" s="19"/>
      <c r="Y2411" s="20"/>
      <c r="Z2411" s="19"/>
      <c r="AA2411" s="18" t="str">
        <f aca="false">IF(OR(V2411="Aprobada"),R2411,IF(AND(OR(V2411="Aprobada con ajuste",V2411="Rechazada"),W2411&lt;&gt;""),W2411,""))</f>
        <v/>
      </c>
    </row>
    <row r="2412" customFormat="false" ht="53.7" hidden="false" customHeight="false" outlineLevel="0" collapsed="false">
      <c r="A2412" s="18" t="s">
        <v>10165</v>
      </c>
      <c r="B2412" s="18" t="s">
        <v>68</v>
      </c>
      <c r="C2412" s="18" t="s">
        <v>69</v>
      </c>
      <c r="D2412" s="18" t="s">
        <v>10105</v>
      </c>
      <c r="E2412" s="18" t="n">
        <v>70</v>
      </c>
      <c r="F2412" s="18" t="s">
        <v>127</v>
      </c>
      <c r="G2412" s="18" t="s">
        <v>4418</v>
      </c>
      <c r="H2412" s="18" t="s">
        <v>162</v>
      </c>
      <c r="I2412" s="18"/>
      <c r="J2412" s="18"/>
      <c r="K2412" s="18"/>
      <c r="L2412" s="18" t="s">
        <v>129</v>
      </c>
      <c r="M2412" s="18" t="s">
        <v>129</v>
      </c>
      <c r="N2412" s="18"/>
      <c r="O2412" s="18"/>
      <c r="P2412" s="18" t="s">
        <v>10166</v>
      </c>
      <c r="Q2412" s="18" t="s">
        <v>131</v>
      </c>
      <c r="R2412" s="18" t="s">
        <v>10167</v>
      </c>
      <c r="S2412" s="18" t="s">
        <v>140</v>
      </c>
      <c r="T2412" s="18" t="s">
        <v>10168</v>
      </c>
      <c r="U2412" s="18" t="s">
        <v>10169</v>
      </c>
      <c r="V2412" s="19" t="s">
        <v>29</v>
      </c>
      <c r="W2412" s="19"/>
      <c r="X2412" s="19"/>
      <c r="Y2412" s="20"/>
      <c r="Z2412" s="19"/>
      <c r="AA2412" s="18" t="str">
        <f aca="false">IF(OR(V2412="Aprobada"),R2412,IF(AND(OR(V2412="Aprobada con ajuste",V2412="Rechazada"),W2412&lt;&gt;""),W2412,""))</f>
        <v/>
      </c>
    </row>
    <row r="2413" customFormat="false" ht="64.15" hidden="false" customHeight="false" outlineLevel="0" collapsed="false">
      <c r="A2413" s="18" t="s">
        <v>10170</v>
      </c>
      <c r="B2413" s="18" t="s">
        <v>68</v>
      </c>
      <c r="C2413" s="18" t="s">
        <v>69</v>
      </c>
      <c r="D2413" s="18" t="s">
        <v>10171</v>
      </c>
      <c r="E2413" s="18" t="n">
        <v>95</v>
      </c>
      <c r="F2413" s="18" t="s">
        <v>185</v>
      </c>
      <c r="G2413" s="18" t="s">
        <v>10172</v>
      </c>
      <c r="H2413" s="18" t="s">
        <v>129</v>
      </c>
      <c r="I2413" s="18" t="s">
        <v>5921</v>
      </c>
      <c r="J2413" s="18" t="s">
        <v>10173</v>
      </c>
      <c r="K2413" s="18"/>
      <c r="L2413" s="18" t="s">
        <v>162</v>
      </c>
      <c r="M2413" s="18" t="s">
        <v>129</v>
      </c>
      <c r="N2413" s="18"/>
      <c r="O2413" s="18" t="s">
        <v>10174</v>
      </c>
      <c r="P2413" s="18" t="s">
        <v>10175</v>
      </c>
      <c r="Q2413" s="18" t="s">
        <v>138</v>
      </c>
      <c r="R2413" s="18" t="s">
        <v>10176</v>
      </c>
      <c r="S2413" s="18" t="s">
        <v>140</v>
      </c>
      <c r="T2413" s="18" t="s">
        <v>141</v>
      </c>
      <c r="U2413" s="18"/>
      <c r="V2413" s="19" t="s">
        <v>29</v>
      </c>
      <c r="W2413" s="19"/>
      <c r="X2413" s="19"/>
      <c r="Y2413" s="20"/>
      <c r="Z2413" s="19"/>
      <c r="AA2413" s="18" t="str">
        <f aca="false">IF(OR(V2413="Aprobada"),R2413,IF(AND(OR(V2413="Aprobada con ajuste",V2413="Rechazada"),W2413&lt;&gt;""),W2413,""))</f>
        <v/>
      </c>
    </row>
    <row r="2414" customFormat="false" ht="32.8" hidden="false" customHeight="false" outlineLevel="0" collapsed="false">
      <c r="A2414" s="18" t="s">
        <v>10177</v>
      </c>
      <c r="B2414" s="18" t="s">
        <v>68</v>
      </c>
      <c r="C2414" s="18" t="s">
        <v>69</v>
      </c>
      <c r="D2414" s="18" t="s">
        <v>10171</v>
      </c>
      <c r="E2414" s="18" t="n">
        <v>95</v>
      </c>
      <c r="F2414" s="18" t="s">
        <v>10178</v>
      </c>
      <c r="G2414" s="18" t="s">
        <v>503</v>
      </c>
      <c r="H2414" s="18" t="s">
        <v>162</v>
      </c>
      <c r="I2414" s="18"/>
      <c r="J2414" s="18"/>
      <c r="K2414" s="18"/>
      <c r="L2414" s="18" t="s">
        <v>129</v>
      </c>
      <c r="M2414" s="18" t="s">
        <v>129</v>
      </c>
      <c r="N2414" s="18"/>
      <c r="O2414" s="18"/>
      <c r="P2414" s="18" t="s">
        <v>10179</v>
      </c>
      <c r="Q2414" s="18" t="s">
        <v>149</v>
      </c>
      <c r="R2414" s="18" t="s">
        <v>10180</v>
      </c>
      <c r="S2414" s="18" t="s">
        <v>133</v>
      </c>
      <c r="T2414" s="18" t="s">
        <v>169</v>
      </c>
      <c r="U2414" s="18"/>
      <c r="V2414" s="19" t="s">
        <v>29</v>
      </c>
      <c r="W2414" s="19"/>
      <c r="X2414" s="19"/>
      <c r="Y2414" s="20"/>
      <c r="Z2414" s="19"/>
      <c r="AA2414" s="18" t="str">
        <f aca="false">IF(OR(V2414="Aprobada"),R2414,IF(AND(OR(V2414="Aprobada con ajuste",V2414="Rechazada"),W2414&lt;&gt;""),W2414,""))</f>
        <v/>
      </c>
    </row>
    <row r="2415" customFormat="false" ht="32.8" hidden="false" customHeight="false" outlineLevel="0" collapsed="false">
      <c r="A2415" s="18" t="s">
        <v>10181</v>
      </c>
      <c r="B2415" s="18" t="s">
        <v>68</v>
      </c>
      <c r="C2415" s="18" t="s">
        <v>69</v>
      </c>
      <c r="D2415" s="18" t="s">
        <v>10171</v>
      </c>
      <c r="E2415" s="18" t="n">
        <v>95</v>
      </c>
      <c r="F2415" s="18" t="s">
        <v>9516</v>
      </c>
      <c r="G2415" s="18" t="s">
        <v>317</v>
      </c>
      <c r="H2415" s="18" t="s">
        <v>162</v>
      </c>
      <c r="I2415" s="18"/>
      <c r="J2415" s="18"/>
      <c r="K2415" s="18"/>
      <c r="L2415" s="18" t="s">
        <v>129</v>
      </c>
      <c r="M2415" s="18" t="s">
        <v>129</v>
      </c>
      <c r="N2415" s="18"/>
      <c r="O2415" s="18"/>
      <c r="P2415" s="18" t="s">
        <v>10182</v>
      </c>
      <c r="Q2415" s="18" t="s">
        <v>149</v>
      </c>
      <c r="R2415" s="18" t="s">
        <v>10183</v>
      </c>
      <c r="S2415" s="18" t="s">
        <v>133</v>
      </c>
      <c r="T2415" s="18" t="s">
        <v>183</v>
      </c>
      <c r="U2415" s="18"/>
      <c r="V2415" s="19" t="s">
        <v>29</v>
      </c>
      <c r="W2415" s="19"/>
      <c r="X2415" s="19"/>
      <c r="Y2415" s="20"/>
      <c r="Z2415" s="19"/>
      <c r="AA2415" s="18" t="str">
        <f aca="false">IF(OR(V2415="Aprobada"),R2415,IF(AND(OR(V2415="Aprobada con ajuste",V2415="Rechazada"),W2415&lt;&gt;""),W2415,""))</f>
        <v/>
      </c>
    </row>
    <row r="2416" customFormat="false" ht="32.8" hidden="false" customHeight="false" outlineLevel="0" collapsed="false">
      <c r="A2416" s="18" t="s">
        <v>10184</v>
      </c>
      <c r="B2416" s="18" t="s">
        <v>68</v>
      </c>
      <c r="C2416" s="18" t="s">
        <v>69</v>
      </c>
      <c r="D2416" s="18" t="s">
        <v>10171</v>
      </c>
      <c r="E2416" s="18" t="n">
        <v>95</v>
      </c>
      <c r="F2416" s="18" t="s">
        <v>10185</v>
      </c>
      <c r="G2416" s="18" t="s">
        <v>8100</v>
      </c>
      <c r="H2416" s="18" t="s">
        <v>162</v>
      </c>
      <c r="I2416" s="18"/>
      <c r="J2416" s="18"/>
      <c r="K2416" s="18"/>
      <c r="L2416" s="18" t="s">
        <v>129</v>
      </c>
      <c r="M2416" s="18" t="s">
        <v>129</v>
      </c>
      <c r="N2416" s="18"/>
      <c r="O2416" s="18"/>
      <c r="P2416" s="18" t="s">
        <v>10186</v>
      </c>
      <c r="Q2416" s="18" t="s">
        <v>149</v>
      </c>
      <c r="R2416" s="18" t="s">
        <v>10187</v>
      </c>
      <c r="S2416" s="18" t="s">
        <v>133</v>
      </c>
      <c r="T2416" s="18" t="s">
        <v>10188</v>
      </c>
      <c r="U2416" s="18"/>
      <c r="V2416" s="19" t="s">
        <v>29</v>
      </c>
      <c r="W2416" s="19"/>
      <c r="X2416" s="19"/>
      <c r="Y2416" s="20"/>
      <c r="Z2416" s="19"/>
      <c r="AA2416" s="18" t="str">
        <f aca="false">IF(OR(V2416="Aprobada"),R2416,IF(AND(OR(V2416="Aprobada con ajuste",V2416="Rechazada"),W2416&lt;&gt;""),W2416,""))</f>
        <v/>
      </c>
    </row>
    <row r="2417" customFormat="false" ht="32.8" hidden="false" customHeight="false" outlineLevel="0" collapsed="false">
      <c r="A2417" s="18" t="s">
        <v>10189</v>
      </c>
      <c r="B2417" s="18" t="s">
        <v>68</v>
      </c>
      <c r="C2417" s="18" t="s">
        <v>69</v>
      </c>
      <c r="D2417" s="18" t="s">
        <v>10171</v>
      </c>
      <c r="E2417" s="18" t="n">
        <v>95</v>
      </c>
      <c r="F2417" s="18" t="s">
        <v>10190</v>
      </c>
      <c r="G2417" s="18" t="s">
        <v>173</v>
      </c>
      <c r="H2417" s="18" t="s">
        <v>162</v>
      </c>
      <c r="I2417" s="18"/>
      <c r="J2417" s="18"/>
      <c r="K2417" s="18"/>
      <c r="L2417" s="18" t="s">
        <v>129</v>
      </c>
      <c r="M2417" s="18" t="s">
        <v>129</v>
      </c>
      <c r="N2417" s="18"/>
      <c r="O2417" s="18"/>
      <c r="P2417" s="18" t="s">
        <v>10191</v>
      </c>
      <c r="Q2417" s="18" t="s">
        <v>138</v>
      </c>
      <c r="R2417" s="18" t="s">
        <v>10192</v>
      </c>
      <c r="S2417" s="18" t="s">
        <v>140</v>
      </c>
      <c r="T2417" s="18" t="s">
        <v>141</v>
      </c>
      <c r="U2417" s="18"/>
      <c r="V2417" s="19" t="s">
        <v>29</v>
      </c>
      <c r="W2417" s="19"/>
      <c r="X2417" s="19"/>
      <c r="Y2417" s="20"/>
      <c r="Z2417" s="19"/>
      <c r="AA2417" s="18" t="str">
        <f aca="false">IF(OR(V2417="Aprobada"),R2417,IF(AND(OR(V2417="Aprobada con ajuste",V2417="Rechazada"),W2417&lt;&gt;""),W2417,""))</f>
        <v/>
      </c>
    </row>
    <row r="2418" customFormat="false" ht="22.35" hidden="false" customHeight="false" outlineLevel="0" collapsed="false">
      <c r="A2418" s="18" t="s">
        <v>10193</v>
      </c>
      <c r="B2418" s="18" t="s">
        <v>68</v>
      </c>
      <c r="C2418" s="18" t="s">
        <v>69</v>
      </c>
      <c r="D2418" s="18" t="s">
        <v>10194</v>
      </c>
      <c r="E2418" s="18" t="n">
        <v>218</v>
      </c>
      <c r="F2418" s="18" t="s">
        <v>3176</v>
      </c>
      <c r="G2418" s="18" t="s">
        <v>128</v>
      </c>
      <c r="H2418" s="18" t="s">
        <v>129</v>
      </c>
      <c r="I2418" s="18"/>
      <c r="J2418" s="18"/>
      <c r="K2418" s="18"/>
      <c r="L2418" s="18" t="s">
        <v>129</v>
      </c>
      <c r="M2418" s="18" t="s">
        <v>129</v>
      </c>
      <c r="N2418" s="18"/>
      <c r="O2418" s="18"/>
      <c r="P2418" s="18" t="s">
        <v>10195</v>
      </c>
      <c r="Q2418" s="18" t="s">
        <v>131</v>
      </c>
      <c r="R2418" s="18" t="s">
        <v>10196</v>
      </c>
      <c r="S2418" s="18" t="s">
        <v>133</v>
      </c>
      <c r="T2418" s="18" t="s">
        <v>10197</v>
      </c>
      <c r="U2418" s="18"/>
      <c r="V2418" s="19" t="s">
        <v>29</v>
      </c>
      <c r="W2418" s="19"/>
      <c r="X2418" s="19"/>
      <c r="Y2418" s="20"/>
      <c r="Z2418" s="19"/>
      <c r="AA2418" s="18" t="str">
        <f aca="false">IF(OR(V2418="Aprobada"),R2418,IF(AND(OR(V2418="Aprobada con ajuste",V2418="Rechazada"),W2418&lt;&gt;""),W2418,""))</f>
        <v/>
      </c>
    </row>
    <row r="2419" customFormat="false" ht="22.35" hidden="false" customHeight="false" outlineLevel="0" collapsed="false">
      <c r="A2419" s="18" t="s">
        <v>10198</v>
      </c>
      <c r="B2419" s="18" t="s">
        <v>68</v>
      </c>
      <c r="C2419" s="18" t="s">
        <v>69</v>
      </c>
      <c r="D2419" s="18" t="s">
        <v>10194</v>
      </c>
      <c r="E2419" s="18" t="n">
        <v>218</v>
      </c>
      <c r="F2419" s="18" t="s">
        <v>10199</v>
      </c>
      <c r="G2419" s="18" t="s">
        <v>128</v>
      </c>
      <c r="H2419" s="18" t="s">
        <v>162</v>
      </c>
      <c r="I2419" s="18"/>
      <c r="J2419" s="18"/>
      <c r="K2419" s="18"/>
      <c r="L2419" s="18" t="s">
        <v>129</v>
      </c>
      <c r="M2419" s="18" t="s">
        <v>129</v>
      </c>
      <c r="N2419" s="18"/>
      <c r="O2419" s="18"/>
      <c r="P2419" s="18" t="s">
        <v>10200</v>
      </c>
      <c r="Q2419" s="18" t="s">
        <v>131</v>
      </c>
      <c r="R2419" s="18" t="s">
        <v>10201</v>
      </c>
      <c r="S2419" s="18" t="s">
        <v>133</v>
      </c>
      <c r="T2419" s="18" t="s">
        <v>10202</v>
      </c>
      <c r="U2419" s="18"/>
      <c r="V2419" s="19" t="s">
        <v>29</v>
      </c>
      <c r="W2419" s="19"/>
      <c r="X2419" s="19"/>
      <c r="Y2419" s="20"/>
      <c r="Z2419" s="19"/>
      <c r="AA2419" s="18" t="str">
        <f aca="false">IF(OR(V2419="Aprobada"),R2419,IF(AND(OR(V2419="Aprobada con ajuste",V2419="Rechazada"),W2419&lt;&gt;""),W2419,""))</f>
        <v/>
      </c>
    </row>
    <row r="2420" customFormat="false" ht="32.8" hidden="false" customHeight="false" outlineLevel="0" collapsed="false">
      <c r="A2420" s="18" t="s">
        <v>10203</v>
      </c>
      <c r="B2420" s="18" t="s">
        <v>68</v>
      </c>
      <c r="C2420" s="18" t="s">
        <v>69</v>
      </c>
      <c r="D2420" s="18" t="s">
        <v>10194</v>
      </c>
      <c r="E2420" s="18" t="n">
        <v>218</v>
      </c>
      <c r="F2420" s="18" t="s">
        <v>305</v>
      </c>
      <c r="G2420" s="18" t="s">
        <v>128</v>
      </c>
      <c r="H2420" s="18" t="s">
        <v>162</v>
      </c>
      <c r="I2420" s="18"/>
      <c r="J2420" s="18"/>
      <c r="K2420" s="18"/>
      <c r="L2420" s="18" t="s">
        <v>129</v>
      </c>
      <c r="M2420" s="18" t="s">
        <v>129</v>
      </c>
      <c r="N2420" s="18"/>
      <c r="O2420" s="18"/>
      <c r="P2420" s="18" t="s">
        <v>10204</v>
      </c>
      <c r="Q2420" s="18" t="s">
        <v>149</v>
      </c>
      <c r="R2420" s="18" t="s">
        <v>10205</v>
      </c>
      <c r="S2420" s="18" t="s">
        <v>140</v>
      </c>
      <c r="T2420" s="18" t="s">
        <v>6893</v>
      </c>
      <c r="U2420" s="18" t="s">
        <v>10206</v>
      </c>
      <c r="V2420" s="19" t="s">
        <v>29</v>
      </c>
      <c r="W2420" s="19"/>
      <c r="X2420" s="19"/>
      <c r="Y2420" s="20"/>
      <c r="Z2420" s="19"/>
      <c r="AA2420" s="18" t="str">
        <f aca="false">IF(OR(V2420="Aprobada"),R2420,IF(AND(OR(V2420="Aprobada con ajuste",V2420="Rechazada"),W2420&lt;&gt;""),W2420,""))</f>
        <v/>
      </c>
    </row>
    <row r="2421" customFormat="false" ht="22.35" hidden="false" customHeight="false" outlineLevel="0" collapsed="false">
      <c r="A2421" s="18" t="s">
        <v>10207</v>
      </c>
      <c r="B2421" s="18" t="s">
        <v>68</v>
      </c>
      <c r="C2421" s="18" t="s">
        <v>69</v>
      </c>
      <c r="D2421" s="18" t="s">
        <v>10194</v>
      </c>
      <c r="E2421" s="18" t="n">
        <v>218</v>
      </c>
      <c r="F2421" s="18" t="s">
        <v>2293</v>
      </c>
      <c r="G2421" s="18" t="s">
        <v>312</v>
      </c>
      <c r="H2421" s="18" t="s">
        <v>162</v>
      </c>
      <c r="I2421" s="18"/>
      <c r="J2421" s="18"/>
      <c r="K2421" s="18"/>
      <c r="L2421" s="18" t="s">
        <v>129</v>
      </c>
      <c r="M2421" s="18" t="s">
        <v>129</v>
      </c>
      <c r="N2421" s="18"/>
      <c r="O2421" s="18"/>
      <c r="P2421" s="18" t="s">
        <v>10208</v>
      </c>
      <c r="Q2421" s="18" t="s">
        <v>131</v>
      </c>
      <c r="R2421" s="18" t="s">
        <v>10209</v>
      </c>
      <c r="S2421" s="18" t="s">
        <v>133</v>
      </c>
      <c r="T2421" s="18" t="s">
        <v>10210</v>
      </c>
      <c r="U2421" s="18"/>
      <c r="V2421" s="19" t="s">
        <v>29</v>
      </c>
      <c r="W2421" s="19"/>
      <c r="X2421" s="19"/>
      <c r="Y2421" s="20"/>
      <c r="Z2421" s="19"/>
      <c r="AA2421" s="18" t="str">
        <f aca="false">IF(OR(V2421="Aprobada"),R2421,IF(AND(OR(V2421="Aprobada con ajuste",V2421="Rechazada"),W2421&lt;&gt;""),W2421,""))</f>
        <v/>
      </c>
    </row>
    <row r="2422" customFormat="false" ht="32.8" hidden="false" customHeight="false" outlineLevel="0" collapsed="false">
      <c r="A2422" s="18" t="s">
        <v>10211</v>
      </c>
      <c r="B2422" s="18" t="s">
        <v>68</v>
      </c>
      <c r="C2422" s="18" t="s">
        <v>69</v>
      </c>
      <c r="D2422" s="18" t="s">
        <v>10194</v>
      </c>
      <c r="E2422" s="18" t="n">
        <v>218</v>
      </c>
      <c r="F2422" s="18" t="s">
        <v>10212</v>
      </c>
      <c r="G2422" s="18" t="s">
        <v>584</v>
      </c>
      <c r="H2422" s="18" t="s">
        <v>162</v>
      </c>
      <c r="I2422" s="18"/>
      <c r="J2422" s="18"/>
      <c r="K2422" s="18"/>
      <c r="L2422" s="18" t="s">
        <v>129</v>
      </c>
      <c r="M2422" s="18" t="s">
        <v>129</v>
      </c>
      <c r="N2422" s="18"/>
      <c r="O2422" s="18"/>
      <c r="P2422" s="18" t="s">
        <v>10213</v>
      </c>
      <c r="Q2422" s="18" t="s">
        <v>149</v>
      </c>
      <c r="R2422" s="18" t="s">
        <v>10214</v>
      </c>
      <c r="S2422" s="18" t="s">
        <v>133</v>
      </c>
      <c r="T2422" s="18" t="s">
        <v>10215</v>
      </c>
      <c r="U2422" s="18"/>
      <c r="V2422" s="19" t="s">
        <v>29</v>
      </c>
      <c r="W2422" s="19"/>
      <c r="X2422" s="19"/>
      <c r="Y2422" s="20"/>
      <c r="Z2422" s="19"/>
      <c r="AA2422" s="18" t="str">
        <f aca="false">IF(OR(V2422="Aprobada"),R2422,IF(AND(OR(V2422="Aprobada con ajuste",V2422="Rechazada"),W2422&lt;&gt;""),W2422,""))</f>
        <v/>
      </c>
    </row>
    <row r="2423" customFormat="false" ht="32.8" hidden="false" customHeight="false" outlineLevel="0" collapsed="false">
      <c r="A2423" s="18" t="s">
        <v>10216</v>
      </c>
      <c r="B2423" s="18" t="s">
        <v>68</v>
      </c>
      <c r="C2423" s="18" t="s">
        <v>69</v>
      </c>
      <c r="D2423" s="18" t="s">
        <v>10194</v>
      </c>
      <c r="E2423" s="18" t="n">
        <v>218</v>
      </c>
      <c r="F2423" s="18" t="s">
        <v>10217</v>
      </c>
      <c r="G2423" s="18" t="s">
        <v>128</v>
      </c>
      <c r="H2423" s="18" t="s">
        <v>162</v>
      </c>
      <c r="I2423" s="18"/>
      <c r="J2423" s="18"/>
      <c r="K2423" s="18"/>
      <c r="L2423" s="18" t="s">
        <v>129</v>
      </c>
      <c r="M2423" s="18" t="s">
        <v>129</v>
      </c>
      <c r="N2423" s="18"/>
      <c r="O2423" s="18"/>
      <c r="P2423" s="18" t="s">
        <v>10218</v>
      </c>
      <c r="Q2423" s="18" t="s">
        <v>131</v>
      </c>
      <c r="R2423" s="18" t="s">
        <v>10219</v>
      </c>
      <c r="S2423" s="18" t="s">
        <v>133</v>
      </c>
      <c r="T2423" s="18" t="s">
        <v>10220</v>
      </c>
      <c r="U2423" s="18"/>
      <c r="V2423" s="19" t="s">
        <v>29</v>
      </c>
      <c r="W2423" s="19"/>
      <c r="X2423" s="19"/>
      <c r="Y2423" s="20"/>
      <c r="Z2423" s="19"/>
      <c r="AA2423" s="18" t="str">
        <f aca="false">IF(OR(V2423="Aprobada"),R2423,IF(AND(OR(V2423="Aprobada con ajuste",V2423="Rechazada"),W2423&lt;&gt;""),W2423,""))</f>
        <v/>
      </c>
    </row>
    <row r="2424" customFormat="false" ht="22.35" hidden="false" customHeight="false" outlineLevel="0" collapsed="false">
      <c r="A2424" s="18" t="s">
        <v>10221</v>
      </c>
      <c r="B2424" s="18" t="s">
        <v>68</v>
      </c>
      <c r="C2424" s="18" t="s">
        <v>69</v>
      </c>
      <c r="D2424" s="18" t="s">
        <v>10194</v>
      </c>
      <c r="E2424" s="18" t="n">
        <v>218</v>
      </c>
      <c r="F2424" s="18" t="s">
        <v>10222</v>
      </c>
      <c r="G2424" s="18" t="s">
        <v>128</v>
      </c>
      <c r="H2424" s="18" t="s">
        <v>162</v>
      </c>
      <c r="I2424" s="18"/>
      <c r="J2424" s="18"/>
      <c r="K2424" s="18"/>
      <c r="L2424" s="18" t="s">
        <v>129</v>
      </c>
      <c r="M2424" s="18" t="s">
        <v>129</v>
      </c>
      <c r="N2424" s="18"/>
      <c r="O2424" s="18"/>
      <c r="P2424" s="18" t="s">
        <v>10223</v>
      </c>
      <c r="Q2424" s="18" t="s">
        <v>149</v>
      </c>
      <c r="R2424" s="18" t="s">
        <v>10224</v>
      </c>
      <c r="S2424" s="18" t="s">
        <v>133</v>
      </c>
      <c r="T2424" s="18" t="s">
        <v>183</v>
      </c>
      <c r="U2424" s="18"/>
      <c r="V2424" s="19" t="s">
        <v>29</v>
      </c>
      <c r="W2424" s="19"/>
      <c r="X2424" s="19"/>
      <c r="Y2424" s="20"/>
      <c r="Z2424" s="19"/>
      <c r="AA2424" s="18" t="str">
        <f aca="false">IF(OR(V2424="Aprobada"),R2424,IF(AND(OR(V2424="Aprobada con ajuste",V2424="Rechazada"),W2424&lt;&gt;""),W2424,""))</f>
        <v/>
      </c>
    </row>
    <row r="2425" customFormat="false" ht="22.35" hidden="false" customHeight="false" outlineLevel="0" collapsed="false">
      <c r="A2425" s="18" t="s">
        <v>10225</v>
      </c>
      <c r="B2425" s="18" t="s">
        <v>68</v>
      </c>
      <c r="C2425" s="18" t="s">
        <v>69</v>
      </c>
      <c r="D2425" s="18" t="s">
        <v>10194</v>
      </c>
      <c r="E2425" s="18" t="n">
        <v>218</v>
      </c>
      <c r="F2425" s="18" t="s">
        <v>10226</v>
      </c>
      <c r="G2425" s="18" t="s">
        <v>503</v>
      </c>
      <c r="H2425" s="18" t="s">
        <v>162</v>
      </c>
      <c r="I2425" s="18"/>
      <c r="J2425" s="18"/>
      <c r="K2425" s="18"/>
      <c r="L2425" s="18" t="s">
        <v>129</v>
      </c>
      <c r="M2425" s="18" t="s">
        <v>129</v>
      </c>
      <c r="N2425" s="18"/>
      <c r="O2425" s="18"/>
      <c r="P2425" s="18" t="s">
        <v>10227</v>
      </c>
      <c r="Q2425" s="18" t="s">
        <v>149</v>
      </c>
      <c r="R2425" s="18" t="s">
        <v>10228</v>
      </c>
      <c r="S2425" s="18" t="s">
        <v>133</v>
      </c>
      <c r="T2425" s="18" t="s">
        <v>169</v>
      </c>
      <c r="U2425" s="18"/>
      <c r="V2425" s="19" t="s">
        <v>29</v>
      </c>
      <c r="W2425" s="19"/>
      <c r="X2425" s="19"/>
      <c r="Y2425" s="20"/>
      <c r="Z2425" s="19"/>
      <c r="AA2425" s="18" t="str">
        <f aca="false">IF(OR(V2425="Aprobada"),R2425,IF(AND(OR(V2425="Aprobada con ajuste",V2425="Rechazada"),W2425&lt;&gt;""),W2425,""))</f>
        <v/>
      </c>
    </row>
    <row r="2426" customFormat="false" ht="32.8" hidden="false" customHeight="false" outlineLevel="0" collapsed="false">
      <c r="A2426" s="18" t="s">
        <v>10229</v>
      </c>
      <c r="B2426" s="18" t="s">
        <v>68</v>
      </c>
      <c r="C2426" s="18" t="s">
        <v>69</v>
      </c>
      <c r="D2426" s="18" t="s">
        <v>10194</v>
      </c>
      <c r="E2426" s="18" t="n">
        <v>218</v>
      </c>
      <c r="F2426" s="18" t="s">
        <v>676</v>
      </c>
      <c r="G2426" s="18" t="s">
        <v>337</v>
      </c>
      <c r="H2426" s="18" t="s">
        <v>162</v>
      </c>
      <c r="I2426" s="18"/>
      <c r="J2426" s="18"/>
      <c r="K2426" s="18"/>
      <c r="L2426" s="18" t="s">
        <v>129</v>
      </c>
      <c r="M2426" s="18" t="s">
        <v>129</v>
      </c>
      <c r="N2426" s="18"/>
      <c r="O2426" s="18"/>
      <c r="P2426" s="18" t="s">
        <v>10230</v>
      </c>
      <c r="Q2426" s="18" t="s">
        <v>138</v>
      </c>
      <c r="R2426" s="18" t="s">
        <v>677</v>
      </c>
      <c r="S2426" s="18" t="s">
        <v>140</v>
      </c>
      <c r="T2426" s="18" t="s">
        <v>141</v>
      </c>
      <c r="U2426" s="18"/>
      <c r="V2426" s="19" t="s">
        <v>29</v>
      </c>
      <c r="W2426" s="19"/>
      <c r="X2426" s="19"/>
      <c r="Y2426" s="20"/>
      <c r="Z2426" s="19"/>
      <c r="AA2426" s="18" t="str">
        <f aca="false">IF(OR(V2426="Aprobada"),R2426,IF(AND(OR(V2426="Aprobada con ajuste",V2426="Rechazada"),W2426&lt;&gt;""),W2426,""))</f>
        <v/>
      </c>
    </row>
    <row r="2427" customFormat="false" ht="32.8" hidden="false" customHeight="false" outlineLevel="0" collapsed="false">
      <c r="A2427" s="18" t="s">
        <v>10231</v>
      </c>
      <c r="B2427" s="18" t="s">
        <v>68</v>
      </c>
      <c r="C2427" s="18" t="s">
        <v>69</v>
      </c>
      <c r="D2427" s="18" t="s">
        <v>10194</v>
      </c>
      <c r="E2427" s="18" t="n">
        <v>218</v>
      </c>
      <c r="F2427" s="18" t="s">
        <v>10232</v>
      </c>
      <c r="G2427" s="18" t="s">
        <v>128</v>
      </c>
      <c r="H2427" s="18" t="s">
        <v>162</v>
      </c>
      <c r="I2427" s="18"/>
      <c r="J2427" s="18"/>
      <c r="K2427" s="18"/>
      <c r="L2427" s="18" t="s">
        <v>129</v>
      </c>
      <c r="M2427" s="18" t="s">
        <v>129</v>
      </c>
      <c r="N2427" s="18"/>
      <c r="O2427" s="18"/>
      <c r="P2427" s="18" t="s">
        <v>10233</v>
      </c>
      <c r="Q2427" s="18" t="s">
        <v>149</v>
      </c>
      <c r="R2427" s="18" t="s">
        <v>10234</v>
      </c>
      <c r="S2427" s="18" t="s">
        <v>140</v>
      </c>
      <c r="T2427" s="18" t="s">
        <v>183</v>
      </c>
      <c r="U2427" s="18" t="s">
        <v>10235</v>
      </c>
      <c r="V2427" s="19" t="s">
        <v>29</v>
      </c>
      <c r="W2427" s="19"/>
      <c r="X2427" s="19"/>
      <c r="Y2427" s="20"/>
      <c r="Z2427" s="19"/>
      <c r="AA2427" s="18" t="str">
        <f aca="false">IF(OR(V2427="Aprobada"),R2427,IF(AND(OR(V2427="Aprobada con ajuste",V2427="Rechazada"),W2427&lt;&gt;""),W2427,""))</f>
        <v/>
      </c>
    </row>
    <row r="2428" customFormat="false" ht="32.8" hidden="false" customHeight="false" outlineLevel="0" collapsed="false">
      <c r="A2428" s="18" t="s">
        <v>10236</v>
      </c>
      <c r="B2428" s="18" t="s">
        <v>68</v>
      </c>
      <c r="C2428" s="18" t="s">
        <v>69</v>
      </c>
      <c r="D2428" s="18" t="s">
        <v>10194</v>
      </c>
      <c r="E2428" s="18" t="n">
        <v>218</v>
      </c>
      <c r="F2428" s="18" t="s">
        <v>10237</v>
      </c>
      <c r="G2428" s="18" t="s">
        <v>128</v>
      </c>
      <c r="H2428" s="18" t="s">
        <v>162</v>
      </c>
      <c r="I2428" s="18"/>
      <c r="J2428" s="18"/>
      <c r="K2428" s="18"/>
      <c r="L2428" s="18" t="s">
        <v>129</v>
      </c>
      <c r="M2428" s="18" t="s">
        <v>129</v>
      </c>
      <c r="N2428" s="18"/>
      <c r="O2428" s="18"/>
      <c r="P2428" s="18" t="s">
        <v>10238</v>
      </c>
      <c r="Q2428" s="18" t="s">
        <v>149</v>
      </c>
      <c r="R2428" s="18" t="s">
        <v>10239</v>
      </c>
      <c r="S2428" s="18" t="s">
        <v>133</v>
      </c>
      <c r="T2428" s="18" t="s">
        <v>10240</v>
      </c>
      <c r="U2428" s="18"/>
      <c r="V2428" s="19" t="s">
        <v>29</v>
      </c>
      <c r="W2428" s="19"/>
      <c r="X2428" s="19"/>
      <c r="Y2428" s="20"/>
      <c r="Z2428" s="19"/>
      <c r="AA2428" s="18" t="str">
        <f aca="false">IF(OR(V2428="Aprobada"),R2428,IF(AND(OR(V2428="Aprobada con ajuste",V2428="Rechazada"),W2428&lt;&gt;""),W2428,""))</f>
        <v/>
      </c>
    </row>
    <row r="2429" customFormat="false" ht="32.8" hidden="false" customHeight="false" outlineLevel="0" collapsed="false">
      <c r="A2429" s="18" t="s">
        <v>10241</v>
      </c>
      <c r="B2429" s="18" t="s">
        <v>68</v>
      </c>
      <c r="C2429" s="18" t="s">
        <v>69</v>
      </c>
      <c r="D2429" s="18" t="s">
        <v>10194</v>
      </c>
      <c r="E2429" s="18" t="n">
        <v>218</v>
      </c>
      <c r="F2429" s="18" t="s">
        <v>10242</v>
      </c>
      <c r="G2429" s="18" t="s">
        <v>128</v>
      </c>
      <c r="H2429" s="18" t="s">
        <v>162</v>
      </c>
      <c r="I2429" s="18"/>
      <c r="J2429" s="18"/>
      <c r="K2429" s="18"/>
      <c r="L2429" s="18" t="s">
        <v>129</v>
      </c>
      <c r="M2429" s="18" t="s">
        <v>129</v>
      </c>
      <c r="N2429" s="18"/>
      <c r="O2429" s="18"/>
      <c r="P2429" s="18" t="s">
        <v>10243</v>
      </c>
      <c r="Q2429" s="18" t="s">
        <v>149</v>
      </c>
      <c r="R2429" s="18" t="s">
        <v>10244</v>
      </c>
      <c r="S2429" s="18" t="s">
        <v>140</v>
      </c>
      <c r="T2429" s="18" t="s">
        <v>183</v>
      </c>
      <c r="U2429" s="18" t="s">
        <v>5774</v>
      </c>
      <c r="V2429" s="19" t="s">
        <v>29</v>
      </c>
      <c r="W2429" s="19"/>
      <c r="X2429" s="19"/>
      <c r="Y2429" s="20"/>
      <c r="Z2429" s="19"/>
      <c r="AA2429" s="18" t="str">
        <f aca="false">IF(OR(V2429="Aprobada"),R2429,IF(AND(OR(V2429="Aprobada con ajuste",V2429="Rechazada"),W2429&lt;&gt;""),W2429,""))</f>
        <v/>
      </c>
    </row>
    <row r="2430" customFormat="false" ht="32.8" hidden="false" customHeight="false" outlineLevel="0" collapsed="false">
      <c r="A2430" s="18" t="s">
        <v>10245</v>
      </c>
      <c r="B2430" s="18" t="s">
        <v>68</v>
      </c>
      <c r="C2430" s="18" t="s">
        <v>69</v>
      </c>
      <c r="D2430" s="18" t="s">
        <v>10194</v>
      </c>
      <c r="E2430" s="18" t="n">
        <v>218</v>
      </c>
      <c r="F2430" s="18" t="s">
        <v>10246</v>
      </c>
      <c r="G2430" s="18" t="s">
        <v>503</v>
      </c>
      <c r="H2430" s="18" t="s">
        <v>162</v>
      </c>
      <c r="I2430" s="18"/>
      <c r="J2430" s="18"/>
      <c r="K2430" s="18"/>
      <c r="L2430" s="18" t="s">
        <v>129</v>
      </c>
      <c r="M2430" s="18" t="s">
        <v>129</v>
      </c>
      <c r="N2430" s="18"/>
      <c r="O2430" s="18"/>
      <c r="P2430" s="18" t="s">
        <v>10247</v>
      </c>
      <c r="Q2430" s="18" t="s">
        <v>149</v>
      </c>
      <c r="R2430" s="18" t="s">
        <v>10248</v>
      </c>
      <c r="S2430" s="18" t="s">
        <v>140</v>
      </c>
      <c r="T2430" s="18" t="s">
        <v>183</v>
      </c>
      <c r="U2430" s="18" t="s">
        <v>4247</v>
      </c>
      <c r="V2430" s="19" t="s">
        <v>29</v>
      </c>
      <c r="W2430" s="19"/>
      <c r="X2430" s="19"/>
      <c r="Y2430" s="20"/>
      <c r="Z2430" s="19"/>
      <c r="AA2430" s="18" t="str">
        <f aca="false">IF(OR(V2430="Aprobada"),R2430,IF(AND(OR(V2430="Aprobada con ajuste",V2430="Rechazada"),W2430&lt;&gt;""),W2430,""))</f>
        <v/>
      </c>
    </row>
    <row r="2431" customFormat="false" ht="32.8" hidden="false" customHeight="false" outlineLevel="0" collapsed="false">
      <c r="A2431" s="18" t="s">
        <v>10249</v>
      </c>
      <c r="B2431" s="18" t="s">
        <v>68</v>
      </c>
      <c r="C2431" s="18" t="s">
        <v>69</v>
      </c>
      <c r="D2431" s="18" t="s">
        <v>10194</v>
      </c>
      <c r="E2431" s="18" t="n">
        <v>218</v>
      </c>
      <c r="F2431" s="18" t="s">
        <v>10250</v>
      </c>
      <c r="G2431" s="18" t="s">
        <v>145</v>
      </c>
      <c r="H2431" s="18" t="s">
        <v>162</v>
      </c>
      <c r="I2431" s="18"/>
      <c r="J2431" s="18"/>
      <c r="K2431" s="18"/>
      <c r="L2431" s="18" t="s">
        <v>129</v>
      </c>
      <c r="M2431" s="18" t="s">
        <v>129</v>
      </c>
      <c r="N2431" s="18"/>
      <c r="O2431" s="18"/>
      <c r="P2431" s="18" t="s">
        <v>10251</v>
      </c>
      <c r="Q2431" s="18" t="s">
        <v>149</v>
      </c>
      <c r="R2431" s="18" t="s">
        <v>10252</v>
      </c>
      <c r="S2431" s="18" t="s">
        <v>140</v>
      </c>
      <c r="T2431" s="18" t="s">
        <v>183</v>
      </c>
      <c r="U2431" s="18" t="s">
        <v>10253</v>
      </c>
      <c r="V2431" s="19" t="s">
        <v>29</v>
      </c>
      <c r="W2431" s="19"/>
      <c r="X2431" s="19"/>
      <c r="Y2431" s="20"/>
      <c r="Z2431" s="19"/>
      <c r="AA2431" s="18" t="str">
        <f aca="false">IF(OR(V2431="Aprobada"),R2431,IF(AND(OR(V2431="Aprobada con ajuste",V2431="Rechazada"),W2431&lt;&gt;""),W2431,""))</f>
        <v/>
      </c>
    </row>
    <row r="2432" customFormat="false" ht="32.8" hidden="false" customHeight="false" outlineLevel="0" collapsed="false">
      <c r="A2432" s="18" t="s">
        <v>10254</v>
      </c>
      <c r="B2432" s="18" t="s">
        <v>68</v>
      </c>
      <c r="C2432" s="18" t="s">
        <v>69</v>
      </c>
      <c r="D2432" s="18" t="s">
        <v>10194</v>
      </c>
      <c r="E2432" s="18" t="n">
        <v>218</v>
      </c>
      <c r="F2432" s="18" t="s">
        <v>10255</v>
      </c>
      <c r="G2432" s="18" t="s">
        <v>503</v>
      </c>
      <c r="H2432" s="18" t="s">
        <v>162</v>
      </c>
      <c r="I2432" s="18" t="s">
        <v>298</v>
      </c>
      <c r="J2432" s="18"/>
      <c r="K2432" s="18"/>
      <c r="L2432" s="18" t="s">
        <v>129</v>
      </c>
      <c r="M2432" s="18" t="s">
        <v>129</v>
      </c>
      <c r="N2432" s="18"/>
      <c r="O2432" s="18"/>
      <c r="P2432" s="18" t="s">
        <v>10256</v>
      </c>
      <c r="Q2432" s="18" t="s">
        <v>131</v>
      </c>
      <c r="R2432" s="18" t="s">
        <v>10257</v>
      </c>
      <c r="S2432" s="18" t="s">
        <v>133</v>
      </c>
      <c r="T2432" s="18" t="s">
        <v>10258</v>
      </c>
      <c r="U2432" s="18"/>
      <c r="V2432" s="19" t="s">
        <v>29</v>
      </c>
      <c r="W2432" s="19"/>
      <c r="X2432" s="19"/>
      <c r="Y2432" s="20"/>
      <c r="Z2432" s="19"/>
      <c r="AA2432" s="18" t="str">
        <f aca="false">IF(OR(V2432="Aprobada"),R2432,IF(AND(OR(V2432="Aprobada con ajuste",V2432="Rechazada"),W2432&lt;&gt;""),W2432,""))</f>
        <v/>
      </c>
    </row>
    <row r="2433" customFormat="false" ht="22.35" hidden="false" customHeight="false" outlineLevel="0" collapsed="false">
      <c r="A2433" s="18" t="s">
        <v>10259</v>
      </c>
      <c r="B2433" s="18" t="s">
        <v>68</v>
      </c>
      <c r="C2433" s="18" t="s">
        <v>69</v>
      </c>
      <c r="D2433" s="18" t="s">
        <v>10194</v>
      </c>
      <c r="E2433" s="18" t="n">
        <v>218</v>
      </c>
      <c r="F2433" s="18" t="s">
        <v>10260</v>
      </c>
      <c r="G2433" s="18" t="s">
        <v>584</v>
      </c>
      <c r="H2433" s="18" t="s">
        <v>162</v>
      </c>
      <c r="I2433" s="18"/>
      <c r="J2433" s="18"/>
      <c r="K2433" s="18"/>
      <c r="L2433" s="18" t="s">
        <v>129</v>
      </c>
      <c r="M2433" s="18" t="s">
        <v>129</v>
      </c>
      <c r="N2433" s="18"/>
      <c r="O2433" s="18"/>
      <c r="P2433" s="18" t="s">
        <v>10261</v>
      </c>
      <c r="Q2433" s="18" t="s">
        <v>131</v>
      </c>
      <c r="R2433" s="18" t="s">
        <v>10262</v>
      </c>
      <c r="S2433" s="18" t="s">
        <v>133</v>
      </c>
      <c r="T2433" s="18" t="s">
        <v>10263</v>
      </c>
      <c r="U2433" s="18"/>
      <c r="V2433" s="19" t="s">
        <v>29</v>
      </c>
      <c r="W2433" s="19"/>
      <c r="X2433" s="19"/>
      <c r="Y2433" s="20"/>
      <c r="Z2433" s="19"/>
      <c r="AA2433" s="18" t="str">
        <f aca="false">IF(OR(V2433="Aprobada"),R2433,IF(AND(OR(V2433="Aprobada con ajuste",V2433="Rechazada"),W2433&lt;&gt;""),W2433,""))</f>
        <v/>
      </c>
    </row>
    <row r="2434" customFormat="false" ht="43.25" hidden="false" customHeight="false" outlineLevel="0" collapsed="false">
      <c r="A2434" s="18" t="s">
        <v>10264</v>
      </c>
      <c r="B2434" s="18" t="s">
        <v>68</v>
      </c>
      <c r="C2434" s="18" t="s">
        <v>69</v>
      </c>
      <c r="D2434" s="18" t="s">
        <v>10194</v>
      </c>
      <c r="E2434" s="18" t="n">
        <v>218</v>
      </c>
      <c r="F2434" s="18" t="s">
        <v>10265</v>
      </c>
      <c r="G2434" s="18" t="s">
        <v>584</v>
      </c>
      <c r="H2434" s="18" t="s">
        <v>162</v>
      </c>
      <c r="I2434" s="18"/>
      <c r="J2434" s="18"/>
      <c r="K2434" s="18"/>
      <c r="L2434" s="18" t="s">
        <v>129</v>
      </c>
      <c r="M2434" s="18" t="s">
        <v>129</v>
      </c>
      <c r="N2434" s="18"/>
      <c r="O2434" s="18"/>
      <c r="P2434" s="18" t="s">
        <v>10266</v>
      </c>
      <c r="Q2434" s="18" t="s">
        <v>131</v>
      </c>
      <c r="R2434" s="18" t="s">
        <v>10267</v>
      </c>
      <c r="S2434" s="18" t="s">
        <v>140</v>
      </c>
      <c r="T2434" s="18" t="s">
        <v>10268</v>
      </c>
      <c r="U2434" s="18" t="s">
        <v>10269</v>
      </c>
      <c r="V2434" s="19" t="s">
        <v>29</v>
      </c>
      <c r="W2434" s="19"/>
      <c r="X2434" s="19"/>
      <c r="Y2434" s="20"/>
      <c r="Z2434" s="19"/>
      <c r="AA2434" s="18" t="str">
        <f aca="false">IF(OR(V2434="Aprobada"),R2434,IF(AND(OR(V2434="Aprobada con ajuste",V2434="Rechazada"),W2434&lt;&gt;""),W2434,""))</f>
        <v/>
      </c>
    </row>
    <row r="2435" customFormat="false" ht="32.8" hidden="false" customHeight="false" outlineLevel="0" collapsed="false">
      <c r="A2435" s="18" t="s">
        <v>10270</v>
      </c>
      <c r="B2435" s="18" t="s">
        <v>68</v>
      </c>
      <c r="C2435" s="18" t="s">
        <v>69</v>
      </c>
      <c r="D2435" s="18" t="s">
        <v>10194</v>
      </c>
      <c r="E2435" s="18" t="n">
        <v>218</v>
      </c>
      <c r="F2435" s="18" t="s">
        <v>10271</v>
      </c>
      <c r="G2435" s="18" t="s">
        <v>312</v>
      </c>
      <c r="H2435" s="18" t="s">
        <v>162</v>
      </c>
      <c r="I2435" s="18"/>
      <c r="J2435" s="18"/>
      <c r="K2435" s="18"/>
      <c r="L2435" s="18" t="s">
        <v>129</v>
      </c>
      <c r="M2435" s="18" t="s">
        <v>129</v>
      </c>
      <c r="N2435" s="18"/>
      <c r="O2435" s="18" t="s">
        <v>10272</v>
      </c>
      <c r="P2435" s="18" t="s">
        <v>10273</v>
      </c>
      <c r="Q2435" s="18" t="s">
        <v>131</v>
      </c>
      <c r="R2435" s="18" t="s">
        <v>10274</v>
      </c>
      <c r="S2435" s="18" t="s">
        <v>133</v>
      </c>
      <c r="T2435" s="18" t="s">
        <v>10275</v>
      </c>
      <c r="U2435" s="18"/>
      <c r="V2435" s="19" t="s">
        <v>29</v>
      </c>
      <c r="W2435" s="19"/>
      <c r="X2435" s="19"/>
      <c r="Y2435" s="20"/>
      <c r="Z2435" s="19"/>
      <c r="AA2435" s="18" t="str">
        <f aca="false">IF(OR(V2435="Aprobada"),R2435,IF(AND(OR(V2435="Aprobada con ajuste",V2435="Rechazada"),W2435&lt;&gt;""),W2435,""))</f>
        <v/>
      </c>
    </row>
    <row r="2436" customFormat="false" ht="53.7" hidden="false" customHeight="false" outlineLevel="0" collapsed="false">
      <c r="A2436" s="18" t="s">
        <v>10276</v>
      </c>
      <c r="B2436" s="18" t="s">
        <v>68</v>
      </c>
      <c r="C2436" s="18" t="s">
        <v>69</v>
      </c>
      <c r="D2436" s="18" t="s">
        <v>10194</v>
      </c>
      <c r="E2436" s="18" t="n">
        <v>218</v>
      </c>
      <c r="F2436" s="18" t="s">
        <v>10277</v>
      </c>
      <c r="G2436" s="18" t="s">
        <v>486</v>
      </c>
      <c r="H2436" s="18" t="s">
        <v>162</v>
      </c>
      <c r="I2436" s="18"/>
      <c r="J2436" s="18"/>
      <c r="K2436" s="18"/>
      <c r="L2436" s="18" t="s">
        <v>129</v>
      </c>
      <c r="M2436" s="18" t="s">
        <v>129</v>
      </c>
      <c r="N2436" s="18"/>
      <c r="O2436" s="18"/>
      <c r="P2436" s="18" t="s">
        <v>10278</v>
      </c>
      <c r="Q2436" s="18" t="s">
        <v>131</v>
      </c>
      <c r="R2436" s="18" t="s">
        <v>10279</v>
      </c>
      <c r="S2436" s="18" t="s">
        <v>133</v>
      </c>
      <c r="T2436" s="18" t="s">
        <v>10280</v>
      </c>
      <c r="U2436" s="18"/>
      <c r="V2436" s="19" t="s">
        <v>29</v>
      </c>
      <c r="W2436" s="19"/>
      <c r="X2436" s="19"/>
      <c r="Y2436" s="20"/>
      <c r="Z2436" s="19"/>
      <c r="AA2436" s="18" t="str">
        <f aca="false">IF(OR(V2436="Aprobada"),R2436,IF(AND(OR(V2436="Aprobada con ajuste",V2436="Rechazada"),W2436&lt;&gt;""),W2436,""))</f>
        <v/>
      </c>
    </row>
    <row r="2437" customFormat="false" ht="32.8" hidden="false" customHeight="false" outlineLevel="0" collapsed="false">
      <c r="A2437" s="18" t="s">
        <v>10281</v>
      </c>
      <c r="B2437" s="18" t="s">
        <v>68</v>
      </c>
      <c r="C2437" s="18" t="s">
        <v>69</v>
      </c>
      <c r="D2437" s="18" t="s">
        <v>10194</v>
      </c>
      <c r="E2437" s="18" t="n">
        <v>218</v>
      </c>
      <c r="F2437" s="18" t="s">
        <v>10282</v>
      </c>
      <c r="G2437" s="18" t="s">
        <v>128</v>
      </c>
      <c r="H2437" s="18" t="s">
        <v>162</v>
      </c>
      <c r="I2437" s="18"/>
      <c r="J2437" s="18"/>
      <c r="K2437" s="18"/>
      <c r="L2437" s="18" t="s">
        <v>129</v>
      </c>
      <c r="M2437" s="18" t="s">
        <v>129</v>
      </c>
      <c r="N2437" s="18"/>
      <c r="O2437" s="18"/>
      <c r="P2437" s="18" t="s">
        <v>10283</v>
      </c>
      <c r="Q2437" s="18" t="s">
        <v>131</v>
      </c>
      <c r="R2437" s="18" t="s">
        <v>10284</v>
      </c>
      <c r="S2437" s="18" t="s">
        <v>133</v>
      </c>
      <c r="T2437" s="18" t="s">
        <v>10285</v>
      </c>
      <c r="U2437" s="18"/>
      <c r="V2437" s="19" t="s">
        <v>29</v>
      </c>
      <c r="W2437" s="19"/>
      <c r="X2437" s="19"/>
      <c r="Y2437" s="20"/>
      <c r="Z2437" s="19"/>
      <c r="AA2437" s="18" t="str">
        <f aca="false">IF(OR(V2437="Aprobada"),R2437,IF(AND(OR(V2437="Aprobada con ajuste",V2437="Rechazada"),W2437&lt;&gt;""),W2437,""))</f>
        <v/>
      </c>
    </row>
    <row r="2438" customFormat="false" ht="22.35" hidden="false" customHeight="false" outlineLevel="0" collapsed="false">
      <c r="A2438" s="18" t="s">
        <v>10286</v>
      </c>
      <c r="B2438" s="18" t="s">
        <v>68</v>
      </c>
      <c r="C2438" s="18" t="s">
        <v>69</v>
      </c>
      <c r="D2438" s="18" t="s">
        <v>10194</v>
      </c>
      <c r="E2438" s="18" t="n">
        <v>218</v>
      </c>
      <c r="F2438" s="18" t="s">
        <v>10287</v>
      </c>
      <c r="G2438" s="18" t="s">
        <v>128</v>
      </c>
      <c r="H2438" s="18" t="s">
        <v>162</v>
      </c>
      <c r="I2438" s="18"/>
      <c r="J2438" s="18"/>
      <c r="K2438" s="18"/>
      <c r="L2438" s="18" t="s">
        <v>129</v>
      </c>
      <c r="M2438" s="18" t="s">
        <v>129</v>
      </c>
      <c r="N2438" s="18"/>
      <c r="O2438" s="18"/>
      <c r="P2438" s="18" t="s">
        <v>10288</v>
      </c>
      <c r="Q2438" s="18" t="s">
        <v>149</v>
      </c>
      <c r="R2438" s="18" t="s">
        <v>10289</v>
      </c>
      <c r="S2438" s="18" t="s">
        <v>140</v>
      </c>
      <c r="T2438" s="18" t="s">
        <v>10290</v>
      </c>
      <c r="U2438" s="18" t="s">
        <v>10291</v>
      </c>
      <c r="V2438" s="19" t="s">
        <v>29</v>
      </c>
      <c r="W2438" s="19"/>
      <c r="X2438" s="19"/>
      <c r="Y2438" s="20"/>
      <c r="Z2438" s="19"/>
      <c r="AA2438" s="18" t="str">
        <f aca="false">IF(OR(V2438="Aprobada"),R2438,IF(AND(OR(V2438="Aprobada con ajuste",V2438="Rechazada"),W2438&lt;&gt;""),W2438,""))</f>
        <v/>
      </c>
    </row>
    <row r="2439" customFormat="false" ht="32.8" hidden="false" customHeight="false" outlineLevel="0" collapsed="false">
      <c r="A2439" s="18" t="s">
        <v>10292</v>
      </c>
      <c r="B2439" s="18" t="s">
        <v>68</v>
      </c>
      <c r="C2439" s="18" t="s">
        <v>69</v>
      </c>
      <c r="D2439" s="18" t="s">
        <v>10194</v>
      </c>
      <c r="E2439" s="18" t="n">
        <v>218</v>
      </c>
      <c r="F2439" s="18" t="s">
        <v>8282</v>
      </c>
      <c r="G2439" s="18" t="s">
        <v>180</v>
      </c>
      <c r="H2439" s="18" t="s">
        <v>162</v>
      </c>
      <c r="I2439" s="18"/>
      <c r="J2439" s="18"/>
      <c r="K2439" s="18"/>
      <c r="L2439" s="18" t="s">
        <v>129</v>
      </c>
      <c r="M2439" s="18" t="s">
        <v>129</v>
      </c>
      <c r="N2439" s="18"/>
      <c r="O2439" s="18"/>
      <c r="P2439" s="18" t="s">
        <v>10293</v>
      </c>
      <c r="Q2439" s="18" t="s">
        <v>149</v>
      </c>
      <c r="R2439" s="18" t="s">
        <v>10294</v>
      </c>
      <c r="S2439" s="18" t="s">
        <v>140</v>
      </c>
      <c r="T2439" s="18" t="s">
        <v>10295</v>
      </c>
      <c r="U2439" s="18" t="s">
        <v>10296</v>
      </c>
      <c r="V2439" s="19" t="s">
        <v>29</v>
      </c>
      <c r="W2439" s="19"/>
      <c r="X2439" s="19"/>
      <c r="Y2439" s="20"/>
      <c r="Z2439" s="19"/>
      <c r="AA2439" s="18" t="str">
        <f aca="false">IF(OR(V2439="Aprobada"),R2439,IF(AND(OR(V2439="Aprobada con ajuste",V2439="Rechazada"),W2439&lt;&gt;""),W2439,""))</f>
        <v/>
      </c>
    </row>
    <row r="2440" customFormat="false" ht="32.8" hidden="false" customHeight="false" outlineLevel="0" collapsed="false">
      <c r="A2440" s="18" t="s">
        <v>10297</v>
      </c>
      <c r="B2440" s="18" t="s">
        <v>68</v>
      </c>
      <c r="C2440" s="18" t="s">
        <v>69</v>
      </c>
      <c r="D2440" s="18" t="s">
        <v>10194</v>
      </c>
      <c r="E2440" s="18" t="n">
        <v>218</v>
      </c>
      <c r="F2440" s="18" t="s">
        <v>10298</v>
      </c>
      <c r="G2440" s="18" t="s">
        <v>180</v>
      </c>
      <c r="H2440" s="18" t="s">
        <v>162</v>
      </c>
      <c r="I2440" s="18"/>
      <c r="J2440" s="18"/>
      <c r="K2440" s="18"/>
      <c r="L2440" s="18" t="s">
        <v>129</v>
      </c>
      <c r="M2440" s="18" t="s">
        <v>129</v>
      </c>
      <c r="N2440" s="18"/>
      <c r="O2440" s="18"/>
      <c r="P2440" s="18" t="s">
        <v>10299</v>
      </c>
      <c r="Q2440" s="18" t="s">
        <v>149</v>
      </c>
      <c r="R2440" s="18" t="s">
        <v>10300</v>
      </c>
      <c r="S2440" s="18" t="s">
        <v>133</v>
      </c>
      <c r="T2440" s="18" t="s">
        <v>10301</v>
      </c>
      <c r="U2440" s="18"/>
      <c r="V2440" s="19" t="s">
        <v>29</v>
      </c>
      <c r="W2440" s="19"/>
      <c r="X2440" s="19"/>
      <c r="Y2440" s="20"/>
      <c r="Z2440" s="19"/>
      <c r="AA2440" s="18" t="str">
        <f aca="false">IF(OR(V2440="Aprobada"),R2440,IF(AND(OR(V2440="Aprobada con ajuste",V2440="Rechazada"),W2440&lt;&gt;""),W2440,""))</f>
        <v/>
      </c>
    </row>
    <row r="2441" customFormat="false" ht="43.25" hidden="false" customHeight="false" outlineLevel="0" collapsed="false">
      <c r="A2441" s="18" t="s">
        <v>10302</v>
      </c>
      <c r="B2441" s="18" t="s">
        <v>68</v>
      </c>
      <c r="C2441" s="18" t="s">
        <v>69</v>
      </c>
      <c r="D2441" s="18" t="s">
        <v>10303</v>
      </c>
      <c r="E2441" s="18" t="n">
        <v>14</v>
      </c>
      <c r="F2441" s="18" t="s">
        <v>127</v>
      </c>
      <c r="G2441" s="18" t="s">
        <v>486</v>
      </c>
      <c r="H2441" s="18" t="s">
        <v>129</v>
      </c>
      <c r="I2441" s="18" t="s">
        <v>146</v>
      </c>
      <c r="J2441" s="18"/>
      <c r="K2441" s="18"/>
      <c r="L2441" s="18" t="s">
        <v>129</v>
      </c>
      <c r="M2441" s="18" t="s">
        <v>129</v>
      </c>
      <c r="N2441" s="18"/>
      <c r="O2441" s="18" t="s">
        <v>10304</v>
      </c>
      <c r="P2441" s="18" t="s">
        <v>10305</v>
      </c>
      <c r="Q2441" s="18" t="s">
        <v>138</v>
      </c>
      <c r="R2441" s="18" t="s">
        <v>10306</v>
      </c>
      <c r="S2441" s="18" t="s">
        <v>140</v>
      </c>
      <c r="T2441" s="18" t="s">
        <v>141</v>
      </c>
      <c r="U2441" s="18"/>
      <c r="V2441" s="19" t="s">
        <v>29</v>
      </c>
      <c r="W2441" s="19"/>
      <c r="X2441" s="19"/>
      <c r="Y2441" s="20"/>
      <c r="Z2441" s="19"/>
      <c r="AA2441" s="18" t="str">
        <f aca="false">IF(OR(V2441="Aprobada"),R2441,IF(AND(OR(V2441="Aprobada con ajuste",V2441="Rechazada"),W2441&lt;&gt;""),W2441,""))</f>
        <v/>
      </c>
    </row>
    <row r="2442" customFormat="false" ht="32.8" hidden="false" customHeight="false" outlineLevel="0" collapsed="false">
      <c r="A2442" s="18" t="s">
        <v>10307</v>
      </c>
      <c r="B2442" s="18" t="s">
        <v>68</v>
      </c>
      <c r="C2442" s="18" t="s">
        <v>69</v>
      </c>
      <c r="D2442" s="18" t="s">
        <v>10303</v>
      </c>
      <c r="E2442" s="18" t="n">
        <v>14</v>
      </c>
      <c r="F2442" s="18" t="s">
        <v>275</v>
      </c>
      <c r="G2442" s="18" t="s">
        <v>454</v>
      </c>
      <c r="H2442" s="18" t="s">
        <v>129</v>
      </c>
      <c r="I2442" s="18"/>
      <c r="J2442" s="18"/>
      <c r="K2442" s="18"/>
      <c r="L2442" s="18" t="s">
        <v>129</v>
      </c>
      <c r="M2442" s="18" t="s">
        <v>129</v>
      </c>
      <c r="N2442" s="18"/>
      <c r="O2442" s="18"/>
      <c r="P2442" s="18" t="s">
        <v>10308</v>
      </c>
      <c r="Q2442" s="18" t="s">
        <v>138</v>
      </c>
      <c r="R2442" s="18" t="s">
        <v>10309</v>
      </c>
      <c r="S2442" s="18" t="s">
        <v>140</v>
      </c>
      <c r="T2442" s="18" t="s">
        <v>141</v>
      </c>
      <c r="U2442" s="18"/>
      <c r="V2442" s="19" t="s">
        <v>29</v>
      </c>
      <c r="W2442" s="19"/>
      <c r="X2442" s="19"/>
      <c r="Y2442" s="20"/>
      <c r="Z2442" s="19"/>
      <c r="AA2442" s="18" t="str">
        <f aca="false">IF(OR(V2442="Aprobada"),R2442,IF(AND(OR(V2442="Aprobada con ajuste",V2442="Rechazada"),W2442&lt;&gt;""),W2442,""))</f>
        <v/>
      </c>
    </row>
    <row r="2443" customFormat="false" ht="32.8" hidden="false" customHeight="false" outlineLevel="0" collapsed="false">
      <c r="A2443" s="18" t="s">
        <v>10310</v>
      </c>
      <c r="B2443" s="18" t="s">
        <v>68</v>
      </c>
      <c r="C2443" s="18" t="s">
        <v>69</v>
      </c>
      <c r="D2443" s="18" t="s">
        <v>10303</v>
      </c>
      <c r="E2443" s="18" t="n">
        <v>14</v>
      </c>
      <c r="F2443" s="18" t="s">
        <v>611</v>
      </c>
      <c r="G2443" s="18" t="s">
        <v>145</v>
      </c>
      <c r="H2443" s="18" t="s">
        <v>162</v>
      </c>
      <c r="I2443" s="18"/>
      <c r="J2443" s="18"/>
      <c r="K2443" s="18"/>
      <c r="L2443" s="18" t="s">
        <v>129</v>
      </c>
      <c r="M2443" s="18" t="s">
        <v>129</v>
      </c>
      <c r="N2443" s="18"/>
      <c r="O2443" s="18"/>
      <c r="P2443" s="18" t="s">
        <v>10311</v>
      </c>
      <c r="Q2443" s="18" t="s">
        <v>138</v>
      </c>
      <c r="R2443" s="18" t="s">
        <v>10312</v>
      </c>
      <c r="S2443" s="18" t="s">
        <v>140</v>
      </c>
      <c r="T2443" s="18" t="s">
        <v>141</v>
      </c>
      <c r="U2443" s="18"/>
      <c r="V2443" s="19" t="s">
        <v>29</v>
      </c>
      <c r="W2443" s="19"/>
      <c r="X2443" s="19"/>
      <c r="Y2443" s="20"/>
      <c r="Z2443" s="19"/>
      <c r="AA2443" s="18" t="str">
        <f aca="false">IF(OR(V2443="Aprobada"),R2443,IF(AND(OR(V2443="Aprobada con ajuste",V2443="Rechazada"),W2443&lt;&gt;""),W2443,""))</f>
        <v/>
      </c>
    </row>
    <row r="2444" customFormat="false" ht="32.8" hidden="false" customHeight="false" outlineLevel="0" collapsed="false">
      <c r="A2444" s="18" t="s">
        <v>10313</v>
      </c>
      <c r="B2444" s="18" t="s">
        <v>68</v>
      </c>
      <c r="C2444" s="18" t="s">
        <v>69</v>
      </c>
      <c r="D2444" s="18" t="s">
        <v>10303</v>
      </c>
      <c r="E2444" s="18" t="n">
        <v>14</v>
      </c>
      <c r="F2444" s="18" t="s">
        <v>160</v>
      </c>
      <c r="G2444" s="18" t="s">
        <v>128</v>
      </c>
      <c r="H2444" s="18" t="s">
        <v>162</v>
      </c>
      <c r="I2444" s="18"/>
      <c r="J2444" s="18"/>
      <c r="K2444" s="18"/>
      <c r="L2444" s="18" t="s">
        <v>129</v>
      </c>
      <c r="M2444" s="18" t="s">
        <v>129</v>
      </c>
      <c r="N2444" s="18"/>
      <c r="O2444" s="18"/>
      <c r="P2444" s="18" t="s">
        <v>10314</v>
      </c>
      <c r="Q2444" s="18" t="s">
        <v>138</v>
      </c>
      <c r="R2444" s="18" t="s">
        <v>10315</v>
      </c>
      <c r="S2444" s="18" t="s">
        <v>140</v>
      </c>
      <c r="T2444" s="18" t="s">
        <v>141</v>
      </c>
      <c r="U2444" s="18"/>
      <c r="V2444" s="19" t="s">
        <v>29</v>
      </c>
      <c r="W2444" s="19"/>
      <c r="X2444" s="19"/>
      <c r="Y2444" s="20"/>
      <c r="Z2444" s="19"/>
      <c r="AA2444" s="18" t="str">
        <f aca="false">IF(OR(V2444="Aprobada"),R2444,IF(AND(OR(V2444="Aprobada con ajuste",V2444="Rechazada"),W2444&lt;&gt;""),W2444,""))</f>
        <v/>
      </c>
    </row>
    <row r="2445" customFormat="false" ht="43.25" hidden="false" customHeight="false" outlineLevel="0" collapsed="false">
      <c r="A2445" s="18" t="s">
        <v>10316</v>
      </c>
      <c r="B2445" s="18" t="s">
        <v>68</v>
      </c>
      <c r="C2445" s="18" t="s">
        <v>69</v>
      </c>
      <c r="D2445" s="18" t="s">
        <v>10303</v>
      </c>
      <c r="E2445" s="18" t="n">
        <v>14</v>
      </c>
      <c r="F2445" s="18" t="s">
        <v>185</v>
      </c>
      <c r="G2445" s="18" t="s">
        <v>145</v>
      </c>
      <c r="H2445" s="18" t="s">
        <v>129</v>
      </c>
      <c r="I2445" s="18"/>
      <c r="J2445" s="18"/>
      <c r="K2445" s="18"/>
      <c r="L2445" s="18" t="s">
        <v>129</v>
      </c>
      <c r="M2445" s="18" t="s">
        <v>129</v>
      </c>
      <c r="N2445" s="18"/>
      <c r="O2445" s="18" t="s">
        <v>10317</v>
      </c>
      <c r="P2445" s="18" t="s">
        <v>10318</v>
      </c>
      <c r="Q2445" s="18" t="s">
        <v>138</v>
      </c>
      <c r="R2445" s="18" t="s">
        <v>10319</v>
      </c>
      <c r="S2445" s="18" t="s">
        <v>140</v>
      </c>
      <c r="T2445" s="18" t="s">
        <v>141</v>
      </c>
      <c r="U2445" s="18"/>
      <c r="V2445" s="19" t="s">
        <v>29</v>
      </c>
      <c r="W2445" s="19"/>
      <c r="X2445" s="19"/>
      <c r="Y2445" s="20"/>
      <c r="Z2445" s="19"/>
      <c r="AA2445" s="18" t="str">
        <f aca="false">IF(OR(V2445="Aprobada"),R2445,IF(AND(OR(V2445="Aprobada con ajuste",V2445="Rechazada"),W2445&lt;&gt;""),W2445,""))</f>
        <v/>
      </c>
    </row>
    <row r="2446" customFormat="false" ht="32.8" hidden="false" customHeight="false" outlineLevel="0" collapsed="false">
      <c r="A2446" s="18" t="s">
        <v>10320</v>
      </c>
      <c r="B2446" s="18" t="s">
        <v>68</v>
      </c>
      <c r="C2446" s="18" t="s">
        <v>69</v>
      </c>
      <c r="D2446" s="18" t="s">
        <v>10303</v>
      </c>
      <c r="E2446" s="18" t="n">
        <v>14</v>
      </c>
      <c r="F2446" s="18" t="s">
        <v>5590</v>
      </c>
      <c r="G2446" s="18" t="s">
        <v>128</v>
      </c>
      <c r="H2446" s="18" t="s">
        <v>162</v>
      </c>
      <c r="I2446" s="18"/>
      <c r="J2446" s="18"/>
      <c r="K2446" s="18"/>
      <c r="L2446" s="18" t="s">
        <v>129</v>
      </c>
      <c r="M2446" s="18" t="s">
        <v>129</v>
      </c>
      <c r="N2446" s="18"/>
      <c r="O2446" s="18"/>
      <c r="P2446" s="18" t="s">
        <v>10321</v>
      </c>
      <c r="Q2446" s="18" t="s">
        <v>149</v>
      </c>
      <c r="R2446" s="18" t="s">
        <v>10322</v>
      </c>
      <c r="S2446" s="18" t="s">
        <v>140</v>
      </c>
      <c r="T2446" s="18" t="s">
        <v>183</v>
      </c>
      <c r="U2446" s="18" t="s">
        <v>10323</v>
      </c>
      <c r="V2446" s="19" t="s">
        <v>29</v>
      </c>
      <c r="W2446" s="19"/>
      <c r="X2446" s="19"/>
      <c r="Y2446" s="20"/>
      <c r="Z2446" s="19"/>
      <c r="AA2446" s="18" t="str">
        <f aca="false">IF(OR(V2446="Aprobada"),R2446,IF(AND(OR(V2446="Aprobada con ajuste",V2446="Rechazada"),W2446&lt;&gt;""),W2446,""))</f>
        <v/>
      </c>
    </row>
    <row r="2447" customFormat="false" ht="32.8" hidden="false" customHeight="false" outlineLevel="0" collapsed="false">
      <c r="A2447" s="18" t="s">
        <v>10324</v>
      </c>
      <c r="B2447" s="18" t="s">
        <v>68</v>
      </c>
      <c r="C2447" s="18" t="s">
        <v>69</v>
      </c>
      <c r="D2447" s="18" t="s">
        <v>10303</v>
      </c>
      <c r="E2447" s="18" t="n">
        <v>14</v>
      </c>
      <c r="F2447" s="18" t="s">
        <v>10325</v>
      </c>
      <c r="G2447" s="18" t="s">
        <v>180</v>
      </c>
      <c r="H2447" s="18" t="s">
        <v>162</v>
      </c>
      <c r="I2447" s="18"/>
      <c r="J2447" s="18"/>
      <c r="K2447" s="18"/>
      <c r="L2447" s="18" t="s">
        <v>129</v>
      </c>
      <c r="M2447" s="18" t="s">
        <v>129</v>
      </c>
      <c r="N2447" s="18"/>
      <c r="O2447" s="18"/>
      <c r="P2447" s="18" t="s">
        <v>10326</v>
      </c>
      <c r="Q2447" s="18" t="s">
        <v>131</v>
      </c>
      <c r="R2447" s="18" t="s">
        <v>10327</v>
      </c>
      <c r="S2447" s="18" t="s">
        <v>133</v>
      </c>
      <c r="T2447" s="18" t="s">
        <v>10328</v>
      </c>
      <c r="U2447" s="18"/>
      <c r="V2447" s="19" t="s">
        <v>29</v>
      </c>
      <c r="W2447" s="19"/>
      <c r="X2447" s="19"/>
      <c r="Y2447" s="20"/>
      <c r="Z2447" s="19"/>
      <c r="AA2447" s="18" t="str">
        <f aca="false">IF(OR(V2447="Aprobada"),R2447,IF(AND(OR(V2447="Aprobada con ajuste",V2447="Rechazada"),W2447&lt;&gt;""),W2447,""))</f>
        <v/>
      </c>
    </row>
    <row r="2448" customFormat="false" ht="32.8" hidden="false" customHeight="false" outlineLevel="0" collapsed="false">
      <c r="A2448" s="18" t="s">
        <v>10329</v>
      </c>
      <c r="B2448" s="18" t="s">
        <v>68</v>
      </c>
      <c r="C2448" s="18" t="s">
        <v>69</v>
      </c>
      <c r="D2448" s="18" t="s">
        <v>10303</v>
      </c>
      <c r="E2448" s="18" t="n">
        <v>14</v>
      </c>
      <c r="F2448" s="18" t="s">
        <v>10330</v>
      </c>
      <c r="G2448" s="18" t="s">
        <v>128</v>
      </c>
      <c r="H2448" s="18" t="s">
        <v>162</v>
      </c>
      <c r="I2448" s="18"/>
      <c r="J2448" s="18"/>
      <c r="K2448" s="18"/>
      <c r="L2448" s="18" t="s">
        <v>129</v>
      </c>
      <c r="M2448" s="18" t="s">
        <v>129</v>
      </c>
      <c r="N2448" s="18"/>
      <c r="O2448" s="18"/>
      <c r="P2448" s="18" t="s">
        <v>10331</v>
      </c>
      <c r="Q2448" s="18" t="s">
        <v>149</v>
      </c>
      <c r="R2448" s="18" t="s">
        <v>10332</v>
      </c>
      <c r="S2448" s="18" t="s">
        <v>133</v>
      </c>
      <c r="T2448" s="18" t="s">
        <v>183</v>
      </c>
      <c r="U2448" s="18"/>
      <c r="V2448" s="19" t="s">
        <v>29</v>
      </c>
      <c r="W2448" s="19"/>
      <c r="X2448" s="19"/>
      <c r="Y2448" s="20"/>
      <c r="Z2448" s="19"/>
      <c r="AA2448" s="18" t="str">
        <f aca="false">IF(OR(V2448="Aprobada"),R2448,IF(AND(OR(V2448="Aprobada con ajuste",V2448="Rechazada"),W2448&lt;&gt;""),W2448,""))</f>
        <v/>
      </c>
    </row>
    <row r="2449" customFormat="false" ht="32.8" hidden="false" customHeight="false" outlineLevel="0" collapsed="false">
      <c r="A2449" s="18" t="s">
        <v>10333</v>
      </c>
      <c r="B2449" s="18" t="s">
        <v>68</v>
      </c>
      <c r="C2449" s="18" t="s">
        <v>69</v>
      </c>
      <c r="D2449" s="18" t="s">
        <v>10303</v>
      </c>
      <c r="E2449" s="18" t="n">
        <v>14</v>
      </c>
      <c r="F2449" s="18" t="s">
        <v>7681</v>
      </c>
      <c r="G2449" s="18" t="s">
        <v>145</v>
      </c>
      <c r="H2449" s="18" t="s">
        <v>162</v>
      </c>
      <c r="I2449" s="18"/>
      <c r="J2449" s="18"/>
      <c r="K2449" s="18"/>
      <c r="L2449" s="18" t="s">
        <v>129</v>
      </c>
      <c r="M2449" s="18" t="s">
        <v>129</v>
      </c>
      <c r="N2449" s="18"/>
      <c r="O2449" s="18"/>
      <c r="P2449" s="18" t="s">
        <v>10334</v>
      </c>
      <c r="Q2449" s="18" t="s">
        <v>149</v>
      </c>
      <c r="R2449" s="18" t="s">
        <v>10335</v>
      </c>
      <c r="S2449" s="18" t="s">
        <v>133</v>
      </c>
      <c r="T2449" s="18" t="s">
        <v>169</v>
      </c>
      <c r="U2449" s="18"/>
      <c r="V2449" s="19" t="s">
        <v>29</v>
      </c>
      <c r="W2449" s="19"/>
      <c r="X2449" s="19"/>
      <c r="Y2449" s="20"/>
      <c r="Z2449" s="19"/>
      <c r="AA2449" s="18" t="str">
        <f aca="false">IF(OR(V2449="Aprobada"),R2449,IF(AND(OR(V2449="Aprobada con ajuste",V2449="Rechazada"),W2449&lt;&gt;""),W2449,""))</f>
        <v/>
      </c>
    </row>
    <row r="2450" customFormat="false" ht="32.8" hidden="false" customHeight="false" outlineLevel="0" collapsed="false">
      <c r="A2450" s="18" t="s">
        <v>10336</v>
      </c>
      <c r="B2450" s="18" t="s">
        <v>68</v>
      </c>
      <c r="C2450" s="18" t="s">
        <v>69</v>
      </c>
      <c r="D2450" s="18" t="s">
        <v>10303</v>
      </c>
      <c r="E2450" s="18" t="n">
        <v>14</v>
      </c>
      <c r="F2450" s="18" t="s">
        <v>10337</v>
      </c>
      <c r="G2450" s="18" t="s">
        <v>145</v>
      </c>
      <c r="H2450" s="18" t="s">
        <v>162</v>
      </c>
      <c r="I2450" s="18"/>
      <c r="J2450" s="18"/>
      <c r="K2450" s="18"/>
      <c r="L2450" s="18" t="s">
        <v>129</v>
      </c>
      <c r="M2450" s="18" t="s">
        <v>129</v>
      </c>
      <c r="N2450" s="18"/>
      <c r="O2450" s="18"/>
      <c r="P2450" s="18" t="s">
        <v>10338</v>
      </c>
      <c r="Q2450" s="18" t="s">
        <v>149</v>
      </c>
      <c r="R2450" s="18" t="s">
        <v>10339</v>
      </c>
      <c r="S2450" s="18" t="s">
        <v>133</v>
      </c>
      <c r="T2450" s="18" t="s">
        <v>9862</v>
      </c>
      <c r="U2450" s="18"/>
      <c r="V2450" s="19" t="s">
        <v>29</v>
      </c>
      <c r="W2450" s="19"/>
      <c r="X2450" s="19"/>
      <c r="Y2450" s="20"/>
      <c r="Z2450" s="19"/>
      <c r="AA2450" s="18" t="str">
        <f aca="false">IF(OR(V2450="Aprobada"),R2450,IF(AND(OR(V2450="Aprobada con ajuste",V2450="Rechazada"),W2450&lt;&gt;""),W2450,""))</f>
        <v/>
      </c>
    </row>
    <row r="2451" customFormat="false" ht="32.8" hidden="false" customHeight="false" outlineLevel="0" collapsed="false">
      <c r="A2451" s="18" t="s">
        <v>10340</v>
      </c>
      <c r="B2451" s="18" t="s">
        <v>68</v>
      </c>
      <c r="C2451" s="18" t="s">
        <v>69</v>
      </c>
      <c r="D2451" s="18" t="s">
        <v>10303</v>
      </c>
      <c r="E2451" s="18" t="n">
        <v>14</v>
      </c>
      <c r="F2451" s="18" t="s">
        <v>9666</v>
      </c>
      <c r="G2451" s="18" t="s">
        <v>145</v>
      </c>
      <c r="H2451" s="18" t="s">
        <v>162</v>
      </c>
      <c r="I2451" s="18"/>
      <c r="J2451" s="18"/>
      <c r="K2451" s="18"/>
      <c r="L2451" s="18" t="s">
        <v>129</v>
      </c>
      <c r="M2451" s="18" t="s">
        <v>129</v>
      </c>
      <c r="N2451" s="18"/>
      <c r="O2451" s="18"/>
      <c r="P2451" s="18" t="s">
        <v>10341</v>
      </c>
      <c r="Q2451" s="18" t="s">
        <v>131</v>
      </c>
      <c r="R2451" s="18" t="s">
        <v>10342</v>
      </c>
      <c r="S2451" s="18" t="s">
        <v>133</v>
      </c>
      <c r="T2451" s="18" t="s">
        <v>10343</v>
      </c>
      <c r="U2451" s="18"/>
      <c r="V2451" s="19" t="s">
        <v>29</v>
      </c>
      <c r="W2451" s="19"/>
      <c r="X2451" s="19"/>
      <c r="Y2451" s="20"/>
      <c r="Z2451" s="19"/>
      <c r="AA2451" s="18" t="str">
        <f aca="false">IF(OR(V2451="Aprobada"),R2451,IF(AND(OR(V2451="Aprobada con ajuste",V2451="Rechazada"),W2451&lt;&gt;""),W2451,""))</f>
        <v/>
      </c>
    </row>
    <row r="2452" customFormat="false" ht="32.8" hidden="false" customHeight="false" outlineLevel="0" collapsed="false">
      <c r="A2452" s="18" t="s">
        <v>10344</v>
      </c>
      <c r="B2452" s="18" t="s">
        <v>68</v>
      </c>
      <c r="C2452" s="18" t="s">
        <v>69</v>
      </c>
      <c r="D2452" s="18" t="s">
        <v>10303</v>
      </c>
      <c r="E2452" s="18" t="n">
        <v>14</v>
      </c>
      <c r="F2452" s="18" t="s">
        <v>937</v>
      </c>
      <c r="G2452" s="18" t="s">
        <v>503</v>
      </c>
      <c r="H2452" s="18" t="s">
        <v>162</v>
      </c>
      <c r="I2452" s="18"/>
      <c r="J2452" s="18"/>
      <c r="K2452" s="18"/>
      <c r="L2452" s="18" t="s">
        <v>129</v>
      </c>
      <c r="M2452" s="18" t="s">
        <v>129</v>
      </c>
      <c r="N2452" s="18"/>
      <c r="O2452" s="18" t="s">
        <v>10345</v>
      </c>
      <c r="P2452" s="18" t="s">
        <v>10346</v>
      </c>
      <c r="Q2452" s="18" t="s">
        <v>138</v>
      </c>
      <c r="R2452" s="18" t="s">
        <v>939</v>
      </c>
      <c r="S2452" s="18" t="s">
        <v>140</v>
      </c>
      <c r="T2452" s="18" t="s">
        <v>141</v>
      </c>
      <c r="U2452" s="18"/>
      <c r="V2452" s="19" t="s">
        <v>29</v>
      </c>
      <c r="W2452" s="19"/>
      <c r="X2452" s="19"/>
      <c r="Y2452" s="20"/>
      <c r="Z2452" s="19"/>
      <c r="AA2452" s="18" t="str">
        <f aca="false">IF(OR(V2452="Aprobada"),R2452,IF(AND(OR(V2452="Aprobada con ajuste",V2452="Rechazada"),W2452&lt;&gt;""),W2452,""))</f>
        <v/>
      </c>
    </row>
    <row r="2453" customFormat="false" ht="32.8" hidden="false" customHeight="false" outlineLevel="0" collapsed="false">
      <c r="A2453" s="18" t="s">
        <v>10347</v>
      </c>
      <c r="B2453" s="18" t="s">
        <v>68</v>
      </c>
      <c r="C2453" s="18" t="s">
        <v>69</v>
      </c>
      <c r="D2453" s="18" t="s">
        <v>10348</v>
      </c>
      <c r="E2453" s="18" t="n">
        <v>1</v>
      </c>
      <c r="F2453" s="18" t="s">
        <v>10349</v>
      </c>
      <c r="G2453" s="18" t="s">
        <v>128</v>
      </c>
      <c r="H2453" s="18" t="s">
        <v>129</v>
      </c>
      <c r="I2453" s="18"/>
      <c r="J2453" s="18"/>
      <c r="K2453" s="18"/>
      <c r="L2453" s="18" t="s">
        <v>129</v>
      </c>
      <c r="M2453" s="18" t="s">
        <v>129</v>
      </c>
      <c r="N2453" s="18"/>
      <c r="O2453" s="18"/>
      <c r="P2453" s="18" t="s">
        <v>10350</v>
      </c>
      <c r="Q2453" s="18" t="s">
        <v>149</v>
      </c>
      <c r="R2453" s="18" t="s">
        <v>10351</v>
      </c>
      <c r="S2453" s="18" t="s">
        <v>133</v>
      </c>
      <c r="T2453" s="18" t="s">
        <v>183</v>
      </c>
      <c r="U2453" s="18"/>
      <c r="V2453" s="19" t="s">
        <v>29</v>
      </c>
      <c r="W2453" s="19"/>
      <c r="X2453" s="19"/>
      <c r="Y2453" s="20"/>
      <c r="Z2453" s="19"/>
      <c r="AA2453" s="18" t="str">
        <f aca="false">IF(OR(V2453="Aprobada"),R2453,IF(AND(OR(V2453="Aprobada con ajuste",V2453="Rechazada"),W2453&lt;&gt;""),W2453,""))</f>
        <v/>
      </c>
    </row>
    <row r="2454" customFormat="false" ht="43.25" hidden="false" customHeight="false" outlineLevel="0" collapsed="false">
      <c r="A2454" s="18" t="s">
        <v>10352</v>
      </c>
      <c r="B2454" s="18" t="s">
        <v>68</v>
      </c>
      <c r="C2454" s="18" t="s">
        <v>69</v>
      </c>
      <c r="D2454" s="18" t="s">
        <v>10348</v>
      </c>
      <c r="E2454" s="18" t="n">
        <v>1</v>
      </c>
      <c r="F2454" s="18" t="s">
        <v>185</v>
      </c>
      <c r="G2454" s="18" t="s">
        <v>145</v>
      </c>
      <c r="H2454" s="18" t="s">
        <v>129</v>
      </c>
      <c r="I2454" s="18" t="s">
        <v>298</v>
      </c>
      <c r="J2454" s="18" t="s">
        <v>10353</v>
      </c>
      <c r="K2454" s="18"/>
      <c r="L2454" s="18" t="s">
        <v>162</v>
      </c>
      <c r="M2454" s="18" t="s">
        <v>129</v>
      </c>
      <c r="N2454" s="18"/>
      <c r="O2454" s="18" t="s">
        <v>10354</v>
      </c>
      <c r="P2454" s="18" t="s">
        <v>10355</v>
      </c>
      <c r="Q2454" s="18" t="s">
        <v>131</v>
      </c>
      <c r="R2454" s="18" t="s">
        <v>10356</v>
      </c>
      <c r="S2454" s="18" t="s">
        <v>133</v>
      </c>
      <c r="T2454" s="18" t="s">
        <v>10357</v>
      </c>
      <c r="U2454" s="18"/>
      <c r="V2454" s="19" t="s">
        <v>29</v>
      </c>
      <c r="W2454" s="19"/>
      <c r="X2454" s="19"/>
      <c r="Y2454" s="20"/>
      <c r="Z2454" s="19"/>
      <c r="AA2454" s="18" t="str">
        <f aca="false">IF(OR(V2454="Aprobada"),R2454,IF(AND(OR(V2454="Aprobada con ajuste",V2454="Rechazada"),W2454&lt;&gt;""),W2454,""))</f>
        <v/>
      </c>
    </row>
    <row r="2455" customFormat="false" ht="43.25" hidden="false" customHeight="false" outlineLevel="0" collapsed="false">
      <c r="A2455" s="18" t="s">
        <v>10358</v>
      </c>
      <c r="B2455" s="18" t="s">
        <v>68</v>
      </c>
      <c r="C2455" s="18" t="s">
        <v>69</v>
      </c>
      <c r="D2455" s="18" t="s">
        <v>10348</v>
      </c>
      <c r="E2455" s="18" t="n">
        <v>1</v>
      </c>
      <c r="F2455" s="18" t="s">
        <v>275</v>
      </c>
      <c r="G2455" s="18" t="s">
        <v>486</v>
      </c>
      <c r="H2455" s="18" t="s">
        <v>162</v>
      </c>
      <c r="I2455" s="18"/>
      <c r="J2455" s="18"/>
      <c r="K2455" s="18"/>
      <c r="L2455" s="18" t="s">
        <v>129</v>
      </c>
      <c r="M2455" s="18" t="s">
        <v>129</v>
      </c>
      <c r="N2455" s="18"/>
      <c r="O2455" s="18"/>
      <c r="P2455" s="18" t="s">
        <v>10359</v>
      </c>
      <c r="Q2455" s="18" t="s">
        <v>138</v>
      </c>
      <c r="R2455" s="18" t="s">
        <v>10360</v>
      </c>
      <c r="S2455" s="18" t="s">
        <v>140</v>
      </c>
      <c r="T2455" s="18" t="s">
        <v>141</v>
      </c>
      <c r="U2455" s="18"/>
      <c r="V2455" s="19" t="s">
        <v>29</v>
      </c>
      <c r="W2455" s="19"/>
      <c r="X2455" s="19"/>
      <c r="Y2455" s="20"/>
      <c r="Z2455" s="19"/>
      <c r="AA2455" s="18" t="str">
        <f aca="false">IF(OR(V2455="Aprobada"),R2455,IF(AND(OR(V2455="Aprobada con ajuste",V2455="Rechazada"),W2455&lt;&gt;""),W2455,""))</f>
        <v/>
      </c>
    </row>
    <row r="2456" customFormat="false" ht="43.25" hidden="false" customHeight="false" outlineLevel="0" collapsed="false">
      <c r="A2456" s="18" t="s">
        <v>10361</v>
      </c>
      <c r="B2456" s="18" t="s">
        <v>68</v>
      </c>
      <c r="C2456" s="18" t="s">
        <v>69</v>
      </c>
      <c r="D2456" s="18" t="s">
        <v>10348</v>
      </c>
      <c r="E2456" s="18" t="n">
        <v>1</v>
      </c>
      <c r="F2456" s="18" t="s">
        <v>160</v>
      </c>
      <c r="G2456" s="18" t="s">
        <v>128</v>
      </c>
      <c r="H2456" s="18" t="s">
        <v>162</v>
      </c>
      <c r="I2456" s="18"/>
      <c r="J2456" s="18"/>
      <c r="K2456" s="18"/>
      <c r="L2456" s="18" t="s">
        <v>129</v>
      </c>
      <c r="M2456" s="18" t="s">
        <v>129</v>
      </c>
      <c r="N2456" s="18"/>
      <c r="O2456" s="18"/>
      <c r="P2456" s="18" t="s">
        <v>10362</v>
      </c>
      <c r="Q2456" s="18" t="s">
        <v>138</v>
      </c>
      <c r="R2456" s="18" t="s">
        <v>10363</v>
      </c>
      <c r="S2456" s="18" t="s">
        <v>140</v>
      </c>
      <c r="T2456" s="18" t="s">
        <v>141</v>
      </c>
      <c r="U2456" s="18"/>
      <c r="V2456" s="19" t="s">
        <v>29</v>
      </c>
      <c r="W2456" s="19"/>
      <c r="X2456" s="19"/>
      <c r="Y2456" s="20"/>
      <c r="Z2456" s="19"/>
      <c r="AA2456" s="18" t="str">
        <f aca="false">IF(OR(V2456="Aprobada"),R2456,IF(AND(OR(V2456="Aprobada con ajuste",V2456="Rechazada"),W2456&lt;&gt;""),W2456,""))</f>
        <v/>
      </c>
    </row>
    <row r="2457" customFormat="false" ht="32.8" hidden="false" customHeight="false" outlineLevel="0" collapsed="false">
      <c r="A2457" s="18" t="s">
        <v>10364</v>
      </c>
      <c r="B2457" s="18" t="s">
        <v>68</v>
      </c>
      <c r="C2457" s="18" t="s">
        <v>69</v>
      </c>
      <c r="D2457" s="18" t="s">
        <v>10365</v>
      </c>
      <c r="E2457" s="18" t="n">
        <v>7</v>
      </c>
      <c r="F2457" s="18" t="s">
        <v>275</v>
      </c>
      <c r="G2457" s="18" t="s">
        <v>454</v>
      </c>
      <c r="H2457" s="18" t="s">
        <v>129</v>
      </c>
      <c r="I2457" s="18" t="s">
        <v>146</v>
      </c>
      <c r="J2457" s="18"/>
      <c r="K2457" s="18"/>
      <c r="L2457" s="18" t="s">
        <v>129</v>
      </c>
      <c r="M2457" s="18" t="s">
        <v>129</v>
      </c>
      <c r="N2457" s="18"/>
      <c r="O2457" s="18" t="s">
        <v>10366</v>
      </c>
      <c r="P2457" s="18" t="s">
        <v>10367</v>
      </c>
      <c r="Q2457" s="18" t="s">
        <v>138</v>
      </c>
      <c r="R2457" s="18" t="s">
        <v>10368</v>
      </c>
      <c r="S2457" s="18" t="s">
        <v>140</v>
      </c>
      <c r="T2457" s="18" t="s">
        <v>141</v>
      </c>
      <c r="U2457" s="18"/>
      <c r="V2457" s="19" t="s">
        <v>29</v>
      </c>
      <c r="W2457" s="19"/>
      <c r="X2457" s="19"/>
      <c r="Y2457" s="20"/>
      <c r="Z2457" s="19"/>
      <c r="AA2457" s="18" t="str">
        <f aca="false">IF(OR(V2457="Aprobada"),R2457,IF(AND(OR(V2457="Aprobada con ajuste",V2457="Rechazada"),W2457&lt;&gt;""),W2457,""))</f>
        <v/>
      </c>
    </row>
    <row r="2458" customFormat="false" ht="32.8" hidden="false" customHeight="false" outlineLevel="0" collapsed="false">
      <c r="A2458" s="18" t="s">
        <v>10369</v>
      </c>
      <c r="B2458" s="18" t="s">
        <v>68</v>
      </c>
      <c r="C2458" s="18" t="s">
        <v>69</v>
      </c>
      <c r="D2458" s="18" t="s">
        <v>10365</v>
      </c>
      <c r="E2458" s="18" t="n">
        <v>7</v>
      </c>
      <c r="F2458" s="18" t="s">
        <v>10370</v>
      </c>
      <c r="G2458" s="18" t="s">
        <v>503</v>
      </c>
      <c r="H2458" s="18" t="s">
        <v>129</v>
      </c>
      <c r="I2458" s="18" t="s">
        <v>298</v>
      </c>
      <c r="J2458" s="18"/>
      <c r="K2458" s="18"/>
      <c r="L2458" s="18" t="s">
        <v>129</v>
      </c>
      <c r="M2458" s="18" t="s">
        <v>129</v>
      </c>
      <c r="N2458" s="18"/>
      <c r="O2458" s="18"/>
      <c r="P2458" s="18" t="s">
        <v>10371</v>
      </c>
      <c r="Q2458" s="18" t="s">
        <v>131</v>
      </c>
      <c r="R2458" s="18" t="s">
        <v>10372</v>
      </c>
      <c r="S2458" s="18" t="s">
        <v>140</v>
      </c>
      <c r="T2458" s="18" t="s">
        <v>10373</v>
      </c>
      <c r="U2458" s="18" t="s">
        <v>10374</v>
      </c>
      <c r="V2458" s="19" t="s">
        <v>29</v>
      </c>
      <c r="W2458" s="19"/>
      <c r="X2458" s="19"/>
      <c r="Y2458" s="20"/>
      <c r="Z2458" s="19"/>
      <c r="AA2458" s="18" t="str">
        <f aca="false">IF(OR(V2458="Aprobada"),R2458,IF(AND(OR(V2458="Aprobada con ajuste",V2458="Rechazada"),W2458&lt;&gt;""),W2458,""))</f>
        <v/>
      </c>
    </row>
    <row r="2459" customFormat="false" ht="32.8" hidden="false" customHeight="false" outlineLevel="0" collapsed="false">
      <c r="A2459" s="18" t="s">
        <v>10375</v>
      </c>
      <c r="B2459" s="18" t="s">
        <v>68</v>
      </c>
      <c r="C2459" s="18" t="s">
        <v>69</v>
      </c>
      <c r="D2459" s="18" t="s">
        <v>10365</v>
      </c>
      <c r="E2459" s="18" t="n">
        <v>7</v>
      </c>
      <c r="F2459" s="18" t="s">
        <v>1688</v>
      </c>
      <c r="G2459" s="18" t="s">
        <v>173</v>
      </c>
      <c r="H2459" s="18" t="s">
        <v>129</v>
      </c>
      <c r="I2459" s="18"/>
      <c r="J2459" s="18"/>
      <c r="K2459" s="18"/>
      <c r="L2459" s="18" t="s">
        <v>129</v>
      </c>
      <c r="M2459" s="18" t="s">
        <v>129</v>
      </c>
      <c r="N2459" s="18"/>
      <c r="O2459" s="18" t="s">
        <v>10376</v>
      </c>
      <c r="P2459" s="18" t="s">
        <v>10377</v>
      </c>
      <c r="Q2459" s="18" t="s">
        <v>138</v>
      </c>
      <c r="R2459" s="18" t="s">
        <v>176</v>
      </c>
      <c r="S2459" s="18" t="s">
        <v>140</v>
      </c>
      <c r="T2459" s="18" t="s">
        <v>141</v>
      </c>
      <c r="U2459" s="18"/>
      <c r="V2459" s="19" t="s">
        <v>29</v>
      </c>
      <c r="W2459" s="19"/>
      <c r="X2459" s="19"/>
      <c r="Y2459" s="20"/>
      <c r="Z2459" s="19"/>
      <c r="AA2459" s="18" t="str">
        <f aca="false">IF(OR(V2459="Aprobada"),R2459,IF(AND(OR(V2459="Aprobada con ajuste",V2459="Rechazada"),W2459&lt;&gt;""),W2459,""))</f>
        <v/>
      </c>
    </row>
    <row r="2460" customFormat="false" ht="32.8" hidden="false" customHeight="false" outlineLevel="0" collapsed="false">
      <c r="A2460" s="18" t="s">
        <v>10378</v>
      </c>
      <c r="B2460" s="18" t="s">
        <v>68</v>
      </c>
      <c r="C2460" s="18" t="s">
        <v>69</v>
      </c>
      <c r="D2460" s="18" t="s">
        <v>10365</v>
      </c>
      <c r="E2460" s="18" t="n">
        <v>7</v>
      </c>
      <c r="F2460" s="18" t="s">
        <v>6489</v>
      </c>
      <c r="G2460" s="18" t="s">
        <v>173</v>
      </c>
      <c r="H2460" s="18" t="s">
        <v>129</v>
      </c>
      <c r="I2460" s="18"/>
      <c r="J2460" s="18"/>
      <c r="K2460" s="18"/>
      <c r="L2460" s="18" t="s">
        <v>129</v>
      </c>
      <c r="M2460" s="18" t="s">
        <v>129</v>
      </c>
      <c r="N2460" s="18"/>
      <c r="O2460" s="18"/>
      <c r="P2460" s="18" t="s">
        <v>10379</v>
      </c>
      <c r="Q2460" s="18" t="s">
        <v>138</v>
      </c>
      <c r="R2460" s="18" t="s">
        <v>6491</v>
      </c>
      <c r="S2460" s="18" t="s">
        <v>140</v>
      </c>
      <c r="T2460" s="18" t="s">
        <v>141</v>
      </c>
      <c r="U2460" s="18"/>
      <c r="V2460" s="19" t="s">
        <v>29</v>
      </c>
      <c r="W2460" s="19"/>
      <c r="X2460" s="19"/>
      <c r="Y2460" s="20"/>
      <c r="Z2460" s="19"/>
      <c r="AA2460" s="18" t="str">
        <f aca="false">IF(OR(V2460="Aprobada"),R2460,IF(AND(OR(V2460="Aprobada con ajuste",V2460="Rechazada"),W2460&lt;&gt;""),W2460,""))</f>
        <v/>
      </c>
    </row>
    <row r="2461" customFormat="false" ht="32.8" hidden="false" customHeight="false" outlineLevel="0" collapsed="false">
      <c r="A2461" s="18" t="s">
        <v>10380</v>
      </c>
      <c r="B2461" s="18" t="s">
        <v>68</v>
      </c>
      <c r="C2461" s="18" t="s">
        <v>69</v>
      </c>
      <c r="D2461" s="18" t="s">
        <v>10365</v>
      </c>
      <c r="E2461" s="18" t="n">
        <v>7</v>
      </c>
      <c r="F2461" s="18" t="s">
        <v>10381</v>
      </c>
      <c r="G2461" s="18" t="s">
        <v>173</v>
      </c>
      <c r="H2461" s="18" t="s">
        <v>129</v>
      </c>
      <c r="I2461" s="18"/>
      <c r="J2461" s="18"/>
      <c r="K2461" s="18"/>
      <c r="L2461" s="18" t="s">
        <v>129</v>
      </c>
      <c r="M2461" s="18" t="s">
        <v>129</v>
      </c>
      <c r="N2461" s="18"/>
      <c r="O2461" s="18"/>
      <c r="P2461" s="18" t="s">
        <v>10382</v>
      </c>
      <c r="Q2461" s="18" t="s">
        <v>138</v>
      </c>
      <c r="R2461" s="18" t="s">
        <v>10383</v>
      </c>
      <c r="S2461" s="18" t="s">
        <v>140</v>
      </c>
      <c r="T2461" s="18" t="s">
        <v>141</v>
      </c>
      <c r="U2461" s="18"/>
      <c r="V2461" s="19" t="s">
        <v>29</v>
      </c>
      <c r="W2461" s="19"/>
      <c r="X2461" s="19"/>
      <c r="Y2461" s="20"/>
      <c r="Z2461" s="19"/>
      <c r="AA2461" s="18" t="str">
        <f aca="false">IF(OR(V2461="Aprobada"),R2461,IF(AND(OR(V2461="Aprobada con ajuste",V2461="Rechazada"),W2461&lt;&gt;""),W2461,""))</f>
        <v/>
      </c>
    </row>
    <row r="2462" customFormat="false" ht="32.8" hidden="false" customHeight="false" outlineLevel="0" collapsed="false">
      <c r="A2462" s="18" t="s">
        <v>10384</v>
      </c>
      <c r="B2462" s="18" t="s">
        <v>68</v>
      </c>
      <c r="C2462" s="18" t="s">
        <v>69</v>
      </c>
      <c r="D2462" s="18" t="s">
        <v>10365</v>
      </c>
      <c r="E2462" s="18" t="n">
        <v>7</v>
      </c>
      <c r="F2462" s="18" t="s">
        <v>160</v>
      </c>
      <c r="G2462" s="18" t="s">
        <v>128</v>
      </c>
      <c r="H2462" s="18" t="s">
        <v>162</v>
      </c>
      <c r="I2462" s="18"/>
      <c r="J2462" s="18"/>
      <c r="K2462" s="18"/>
      <c r="L2462" s="18" t="s">
        <v>129</v>
      </c>
      <c r="M2462" s="18" t="s">
        <v>129</v>
      </c>
      <c r="N2462" s="18"/>
      <c r="O2462" s="18"/>
      <c r="P2462" s="18" t="s">
        <v>10385</v>
      </c>
      <c r="Q2462" s="18" t="s">
        <v>138</v>
      </c>
      <c r="R2462" s="18" t="s">
        <v>10386</v>
      </c>
      <c r="S2462" s="18" t="s">
        <v>140</v>
      </c>
      <c r="T2462" s="18" t="s">
        <v>141</v>
      </c>
      <c r="U2462" s="18"/>
      <c r="V2462" s="19" t="s">
        <v>29</v>
      </c>
      <c r="W2462" s="19"/>
      <c r="X2462" s="19"/>
      <c r="Y2462" s="20"/>
      <c r="Z2462" s="19"/>
      <c r="AA2462" s="18" t="str">
        <f aca="false">IF(OR(V2462="Aprobada"),R2462,IF(AND(OR(V2462="Aprobada con ajuste",V2462="Rechazada"),W2462&lt;&gt;""),W2462,""))</f>
        <v/>
      </c>
    </row>
    <row r="2463" customFormat="false" ht="32.8" hidden="false" customHeight="false" outlineLevel="0" collapsed="false">
      <c r="A2463" s="18" t="s">
        <v>10387</v>
      </c>
      <c r="B2463" s="18" t="s">
        <v>68</v>
      </c>
      <c r="C2463" s="18" t="s">
        <v>69</v>
      </c>
      <c r="D2463" s="18" t="s">
        <v>10365</v>
      </c>
      <c r="E2463" s="18" t="n">
        <v>7</v>
      </c>
      <c r="F2463" s="18" t="s">
        <v>9617</v>
      </c>
      <c r="G2463" s="18" t="s">
        <v>312</v>
      </c>
      <c r="H2463" s="18" t="s">
        <v>162</v>
      </c>
      <c r="I2463" s="18"/>
      <c r="J2463" s="18"/>
      <c r="K2463" s="18"/>
      <c r="L2463" s="18" t="s">
        <v>129</v>
      </c>
      <c r="M2463" s="18" t="s">
        <v>129</v>
      </c>
      <c r="N2463" s="18"/>
      <c r="O2463" s="18"/>
      <c r="P2463" s="18" t="s">
        <v>10388</v>
      </c>
      <c r="Q2463" s="18" t="s">
        <v>131</v>
      </c>
      <c r="R2463" s="18" t="s">
        <v>10389</v>
      </c>
      <c r="S2463" s="18" t="s">
        <v>133</v>
      </c>
      <c r="T2463" s="18" t="s">
        <v>10390</v>
      </c>
      <c r="U2463" s="18"/>
      <c r="V2463" s="19" t="s">
        <v>29</v>
      </c>
      <c r="W2463" s="19"/>
      <c r="X2463" s="19"/>
      <c r="Y2463" s="20"/>
      <c r="Z2463" s="19"/>
      <c r="AA2463" s="18" t="str">
        <f aca="false">IF(OR(V2463="Aprobada"),R2463,IF(AND(OR(V2463="Aprobada con ajuste",V2463="Rechazada"),W2463&lt;&gt;""),W2463,""))</f>
        <v/>
      </c>
    </row>
    <row r="2464" customFormat="false" ht="32.8" hidden="false" customHeight="false" outlineLevel="0" collapsed="false">
      <c r="A2464" s="18" t="s">
        <v>10391</v>
      </c>
      <c r="B2464" s="18" t="s">
        <v>68</v>
      </c>
      <c r="C2464" s="18" t="s">
        <v>69</v>
      </c>
      <c r="D2464" s="18" t="s">
        <v>6248</v>
      </c>
      <c r="E2464" s="18" t="n">
        <v>7</v>
      </c>
      <c r="F2464" s="18" t="s">
        <v>10392</v>
      </c>
      <c r="G2464" s="18" t="s">
        <v>503</v>
      </c>
      <c r="H2464" s="18" t="s">
        <v>162</v>
      </c>
      <c r="I2464" s="18"/>
      <c r="J2464" s="18"/>
      <c r="K2464" s="18"/>
      <c r="L2464" s="18" t="s">
        <v>162</v>
      </c>
      <c r="M2464" s="18" t="s">
        <v>129</v>
      </c>
      <c r="N2464" s="18"/>
      <c r="O2464" s="18"/>
      <c r="P2464" s="18" t="s">
        <v>10393</v>
      </c>
      <c r="Q2464" s="18" t="s">
        <v>149</v>
      </c>
      <c r="R2464" s="18" t="s">
        <v>10394</v>
      </c>
      <c r="S2464" s="18" t="s">
        <v>140</v>
      </c>
      <c r="T2464" s="18" t="s">
        <v>3165</v>
      </c>
      <c r="U2464" s="18" t="s">
        <v>10395</v>
      </c>
      <c r="V2464" s="19" t="s">
        <v>29</v>
      </c>
      <c r="W2464" s="19"/>
      <c r="X2464" s="19"/>
      <c r="Y2464" s="20"/>
      <c r="Z2464" s="19"/>
      <c r="AA2464" s="18" t="str">
        <f aca="false">IF(OR(V2464="Aprobada"),R2464,IF(AND(OR(V2464="Aprobada con ajuste",V2464="Rechazada"),W2464&lt;&gt;""),W2464,""))</f>
        <v/>
      </c>
    </row>
    <row r="2465" customFormat="false" ht="32.8" hidden="false" customHeight="false" outlineLevel="0" collapsed="false">
      <c r="A2465" s="18" t="s">
        <v>10396</v>
      </c>
      <c r="B2465" s="18" t="s">
        <v>68</v>
      </c>
      <c r="C2465" s="18" t="s">
        <v>69</v>
      </c>
      <c r="D2465" s="18" t="s">
        <v>10397</v>
      </c>
      <c r="E2465" s="18" t="n">
        <v>7</v>
      </c>
      <c r="F2465" s="18" t="s">
        <v>3361</v>
      </c>
      <c r="G2465" s="18" t="s">
        <v>180</v>
      </c>
      <c r="H2465" s="18" t="s">
        <v>129</v>
      </c>
      <c r="I2465" s="18"/>
      <c r="J2465" s="18"/>
      <c r="K2465" s="18"/>
      <c r="L2465" s="18" t="s">
        <v>129</v>
      </c>
      <c r="M2465" s="18" t="s">
        <v>129</v>
      </c>
      <c r="N2465" s="18"/>
      <c r="O2465" s="18"/>
      <c r="P2465" s="18" t="s">
        <v>10398</v>
      </c>
      <c r="Q2465" s="18" t="s">
        <v>149</v>
      </c>
      <c r="R2465" s="18" t="s">
        <v>10399</v>
      </c>
      <c r="S2465" s="18" t="s">
        <v>133</v>
      </c>
      <c r="T2465" s="18" t="s">
        <v>10133</v>
      </c>
      <c r="U2465" s="18"/>
      <c r="V2465" s="19" t="s">
        <v>29</v>
      </c>
      <c r="W2465" s="19"/>
      <c r="X2465" s="19"/>
      <c r="Y2465" s="20"/>
      <c r="Z2465" s="19"/>
      <c r="AA2465" s="18" t="str">
        <f aca="false">IF(OR(V2465="Aprobada"),R2465,IF(AND(OR(V2465="Aprobada con ajuste",V2465="Rechazada"),W2465&lt;&gt;""),W2465,""))</f>
        <v/>
      </c>
    </row>
    <row r="2466" customFormat="false" ht="32.8" hidden="false" customHeight="false" outlineLevel="0" collapsed="false">
      <c r="A2466" s="18" t="s">
        <v>10400</v>
      </c>
      <c r="B2466" s="18" t="s">
        <v>68</v>
      </c>
      <c r="C2466" s="18" t="s">
        <v>69</v>
      </c>
      <c r="D2466" s="18" t="s">
        <v>10397</v>
      </c>
      <c r="E2466" s="18" t="n">
        <v>7</v>
      </c>
      <c r="F2466" s="18" t="s">
        <v>10401</v>
      </c>
      <c r="G2466" s="18" t="s">
        <v>503</v>
      </c>
      <c r="H2466" s="18" t="s">
        <v>129</v>
      </c>
      <c r="I2466" s="18"/>
      <c r="J2466" s="18"/>
      <c r="K2466" s="18"/>
      <c r="L2466" s="18" t="s">
        <v>129</v>
      </c>
      <c r="M2466" s="18" t="s">
        <v>129</v>
      </c>
      <c r="N2466" s="18"/>
      <c r="O2466" s="18"/>
      <c r="P2466" s="18" t="s">
        <v>10402</v>
      </c>
      <c r="Q2466" s="18" t="s">
        <v>149</v>
      </c>
      <c r="R2466" s="18" t="s">
        <v>10403</v>
      </c>
      <c r="S2466" s="18" t="s">
        <v>133</v>
      </c>
      <c r="T2466" s="18" t="s">
        <v>10404</v>
      </c>
      <c r="U2466" s="18"/>
      <c r="V2466" s="19" t="s">
        <v>29</v>
      </c>
      <c r="W2466" s="19"/>
      <c r="X2466" s="19"/>
      <c r="Y2466" s="20"/>
      <c r="Z2466" s="19"/>
      <c r="AA2466" s="18" t="str">
        <f aca="false">IF(OR(V2466="Aprobada"),R2466,IF(AND(OR(V2466="Aprobada con ajuste",V2466="Rechazada"),W2466&lt;&gt;""),W2466,""))</f>
        <v/>
      </c>
    </row>
    <row r="2467" customFormat="false" ht="32.8" hidden="false" customHeight="false" outlineLevel="0" collapsed="false">
      <c r="A2467" s="18" t="s">
        <v>10405</v>
      </c>
      <c r="B2467" s="18" t="s">
        <v>68</v>
      </c>
      <c r="C2467" s="18" t="s">
        <v>69</v>
      </c>
      <c r="D2467" s="18" t="s">
        <v>10397</v>
      </c>
      <c r="E2467" s="18" t="n">
        <v>7</v>
      </c>
      <c r="F2467" s="18" t="s">
        <v>160</v>
      </c>
      <c r="G2467" s="18" t="s">
        <v>128</v>
      </c>
      <c r="H2467" s="18" t="s">
        <v>162</v>
      </c>
      <c r="I2467" s="18"/>
      <c r="J2467" s="18"/>
      <c r="K2467" s="18"/>
      <c r="L2467" s="18" t="s">
        <v>129</v>
      </c>
      <c r="M2467" s="18" t="s">
        <v>129</v>
      </c>
      <c r="N2467" s="18"/>
      <c r="O2467" s="18"/>
      <c r="P2467" s="18" t="s">
        <v>10406</v>
      </c>
      <c r="Q2467" s="18" t="s">
        <v>138</v>
      </c>
      <c r="R2467" s="18" t="s">
        <v>10407</v>
      </c>
      <c r="S2467" s="18" t="s">
        <v>140</v>
      </c>
      <c r="T2467" s="18" t="s">
        <v>141</v>
      </c>
      <c r="U2467" s="18"/>
      <c r="V2467" s="19" t="s">
        <v>29</v>
      </c>
      <c r="W2467" s="19"/>
      <c r="X2467" s="19"/>
      <c r="Y2467" s="20"/>
      <c r="Z2467" s="19"/>
      <c r="AA2467" s="18" t="str">
        <f aca="false">IF(OR(V2467="Aprobada"),R2467,IF(AND(OR(V2467="Aprobada con ajuste",V2467="Rechazada"),W2467&lt;&gt;""),W2467,""))</f>
        <v/>
      </c>
    </row>
    <row r="2468" customFormat="false" ht="32.8" hidden="false" customHeight="false" outlineLevel="0" collapsed="false">
      <c r="A2468" s="18" t="s">
        <v>10408</v>
      </c>
      <c r="B2468" s="18" t="s">
        <v>68</v>
      </c>
      <c r="C2468" s="18" t="s">
        <v>69</v>
      </c>
      <c r="D2468" s="18" t="s">
        <v>10397</v>
      </c>
      <c r="E2468" s="18" t="n">
        <v>7</v>
      </c>
      <c r="F2468" s="18" t="s">
        <v>172</v>
      </c>
      <c r="G2468" s="18" t="s">
        <v>173</v>
      </c>
      <c r="H2468" s="18" t="s">
        <v>162</v>
      </c>
      <c r="I2468" s="18"/>
      <c r="J2468" s="18"/>
      <c r="K2468" s="18"/>
      <c r="L2468" s="18" t="s">
        <v>129</v>
      </c>
      <c r="M2468" s="18" t="s">
        <v>129</v>
      </c>
      <c r="N2468" s="18"/>
      <c r="O2468" s="18"/>
      <c r="P2468" s="18" t="s">
        <v>10409</v>
      </c>
      <c r="Q2468" s="18" t="s">
        <v>138</v>
      </c>
      <c r="R2468" s="18" t="s">
        <v>176</v>
      </c>
      <c r="S2468" s="18" t="s">
        <v>140</v>
      </c>
      <c r="T2468" s="18" t="s">
        <v>141</v>
      </c>
      <c r="U2468" s="18"/>
      <c r="V2468" s="19" t="s">
        <v>29</v>
      </c>
      <c r="W2468" s="19"/>
      <c r="X2468" s="19"/>
      <c r="Y2468" s="20"/>
      <c r="Z2468" s="19"/>
      <c r="AA2468" s="18" t="str">
        <f aca="false">IF(OR(V2468="Aprobada"),R2468,IF(AND(OR(V2468="Aprobada con ajuste",V2468="Rechazada"),W2468&lt;&gt;""),W2468,""))</f>
        <v/>
      </c>
    </row>
    <row r="2469" customFormat="false" ht="22.35" hidden="false" customHeight="false" outlineLevel="0" collapsed="false">
      <c r="A2469" s="18" t="s">
        <v>10410</v>
      </c>
      <c r="B2469" s="18" t="s">
        <v>68</v>
      </c>
      <c r="C2469" s="18" t="s">
        <v>69</v>
      </c>
      <c r="D2469" s="18" t="s">
        <v>10397</v>
      </c>
      <c r="E2469" s="18" t="n">
        <v>7</v>
      </c>
      <c r="F2469" s="18" t="s">
        <v>498</v>
      </c>
      <c r="G2469" s="18" t="s">
        <v>145</v>
      </c>
      <c r="H2469" s="18" t="s">
        <v>162</v>
      </c>
      <c r="I2469" s="18"/>
      <c r="J2469" s="18"/>
      <c r="K2469" s="18"/>
      <c r="L2469" s="18" t="s">
        <v>129</v>
      </c>
      <c r="M2469" s="18" t="s">
        <v>129</v>
      </c>
      <c r="N2469" s="18"/>
      <c r="O2469" s="18"/>
      <c r="P2469" s="18" t="s">
        <v>10411</v>
      </c>
      <c r="Q2469" s="18" t="s">
        <v>149</v>
      </c>
      <c r="R2469" s="18" t="s">
        <v>10412</v>
      </c>
      <c r="S2469" s="18" t="s">
        <v>140</v>
      </c>
      <c r="T2469" s="18" t="s">
        <v>183</v>
      </c>
      <c r="U2469" s="18" t="s">
        <v>10413</v>
      </c>
      <c r="V2469" s="19" t="s">
        <v>29</v>
      </c>
      <c r="W2469" s="19"/>
      <c r="X2469" s="19"/>
      <c r="Y2469" s="20"/>
      <c r="Z2469" s="19"/>
      <c r="AA2469" s="18" t="str">
        <f aca="false">IF(OR(V2469="Aprobada"),R2469,IF(AND(OR(V2469="Aprobada con ajuste",V2469="Rechazada"),W2469&lt;&gt;""),W2469,""))</f>
        <v/>
      </c>
    </row>
    <row r="2470" customFormat="false" ht="32.8" hidden="false" customHeight="false" outlineLevel="0" collapsed="false">
      <c r="A2470" s="18" t="s">
        <v>10414</v>
      </c>
      <c r="B2470" s="18" t="s">
        <v>68</v>
      </c>
      <c r="C2470" s="18" t="s">
        <v>69</v>
      </c>
      <c r="D2470" s="18" t="s">
        <v>10397</v>
      </c>
      <c r="E2470" s="18" t="n">
        <v>7</v>
      </c>
      <c r="F2470" s="18" t="s">
        <v>937</v>
      </c>
      <c r="G2470" s="18" t="s">
        <v>503</v>
      </c>
      <c r="H2470" s="18" t="s">
        <v>162</v>
      </c>
      <c r="I2470" s="18"/>
      <c r="J2470" s="18"/>
      <c r="K2470" s="18"/>
      <c r="L2470" s="18" t="s">
        <v>129</v>
      </c>
      <c r="M2470" s="18" t="s">
        <v>129</v>
      </c>
      <c r="N2470" s="18"/>
      <c r="O2470" s="18"/>
      <c r="P2470" s="18" t="s">
        <v>10415</v>
      </c>
      <c r="Q2470" s="18" t="s">
        <v>138</v>
      </c>
      <c r="R2470" s="18" t="s">
        <v>939</v>
      </c>
      <c r="S2470" s="18" t="s">
        <v>140</v>
      </c>
      <c r="T2470" s="18" t="s">
        <v>141</v>
      </c>
      <c r="U2470" s="18"/>
      <c r="V2470" s="19" t="s">
        <v>29</v>
      </c>
      <c r="W2470" s="19"/>
      <c r="X2470" s="19"/>
      <c r="Y2470" s="20"/>
      <c r="Z2470" s="19"/>
      <c r="AA2470" s="18" t="str">
        <f aca="false">IF(OR(V2470="Aprobada"),R2470,IF(AND(OR(V2470="Aprobada con ajuste",V2470="Rechazada"),W2470&lt;&gt;""),W2470,""))</f>
        <v/>
      </c>
    </row>
    <row r="2471" customFormat="false" ht="32.8" hidden="false" customHeight="false" outlineLevel="0" collapsed="false">
      <c r="A2471" s="18" t="s">
        <v>10416</v>
      </c>
      <c r="B2471" s="18" t="s">
        <v>68</v>
      </c>
      <c r="C2471" s="18" t="s">
        <v>69</v>
      </c>
      <c r="D2471" s="18" t="s">
        <v>10417</v>
      </c>
      <c r="E2471" s="18" t="n">
        <v>1</v>
      </c>
      <c r="F2471" s="18" t="s">
        <v>10418</v>
      </c>
      <c r="G2471" s="18" t="s">
        <v>192</v>
      </c>
      <c r="H2471" s="18" t="s">
        <v>162</v>
      </c>
      <c r="I2471" s="18"/>
      <c r="J2471" s="18"/>
      <c r="K2471" s="18"/>
      <c r="L2471" s="18" t="s">
        <v>162</v>
      </c>
      <c r="M2471" s="18" t="s">
        <v>129</v>
      </c>
      <c r="N2471" s="18"/>
      <c r="O2471" s="18"/>
      <c r="P2471" s="18" t="s">
        <v>10419</v>
      </c>
      <c r="Q2471" s="18" t="s">
        <v>131</v>
      </c>
      <c r="R2471" s="18" t="s">
        <v>10420</v>
      </c>
      <c r="S2471" s="18" t="s">
        <v>140</v>
      </c>
      <c r="T2471" s="18" t="s">
        <v>10421</v>
      </c>
      <c r="U2471" s="18" t="s">
        <v>10422</v>
      </c>
      <c r="V2471" s="19" t="s">
        <v>29</v>
      </c>
      <c r="W2471" s="19"/>
      <c r="X2471" s="19"/>
      <c r="Y2471" s="20"/>
      <c r="Z2471" s="19"/>
      <c r="AA2471" s="18" t="str">
        <f aca="false">IF(OR(V2471="Aprobada"),R2471,IF(AND(OR(V2471="Aprobada con ajuste",V2471="Rechazada"),W2471&lt;&gt;""),W2471,""))</f>
        <v/>
      </c>
    </row>
    <row r="2472" customFormat="false" ht="43.25" hidden="false" customHeight="false" outlineLevel="0" collapsed="false">
      <c r="A2472" s="18" t="s">
        <v>10423</v>
      </c>
      <c r="B2472" s="18" t="s">
        <v>68</v>
      </c>
      <c r="C2472" s="18" t="s">
        <v>69</v>
      </c>
      <c r="D2472" s="18" t="s">
        <v>10417</v>
      </c>
      <c r="E2472" s="18" t="n">
        <v>1</v>
      </c>
      <c r="F2472" s="18" t="s">
        <v>10424</v>
      </c>
      <c r="G2472" s="18" t="s">
        <v>192</v>
      </c>
      <c r="H2472" s="18" t="s">
        <v>162</v>
      </c>
      <c r="I2472" s="18"/>
      <c r="J2472" s="18"/>
      <c r="K2472" s="18"/>
      <c r="L2472" s="18" t="s">
        <v>162</v>
      </c>
      <c r="M2472" s="18" t="s">
        <v>129</v>
      </c>
      <c r="N2472" s="18"/>
      <c r="O2472" s="18"/>
      <c r="P2472" s="18" t="s">
        <v>10425</v>
      </c>
      <c r="Q2472" s="18" t="s">
        <v>131</v>
      </c>
      <c r="R2472" s="18" t="s">
        <v>10426</v>
      </c>
      <c r="S2472" s="18" t="s">
        <v>133</v>
      </c>
      <c r="T2472" s="18" t="s">
        <v>10427</v>
      </c>
      <c r="U2472" s="18"/>
      <c r="V2472" s="19" t="s">
        <v>29</v>
      </c>
      <c r="W2472" s="19"/>
      <c r="X2472" s="19"/>
      <c r="Y2472" s="20"/>
      <c r="Z2472" s="19"/>
      <c r="AA2472" s="18" t="str">
        <f aca="false">IF(OR(V2472="Aprobada"),R2472,IF(AND(OR(V2472="Aprobada con ajuste",V2472="Rechazada"),W2472&lt;&gt;""),W2472,""))</f>
        <v/>
      </c>
    </row>
    <row r="2473" customFormat="false" ht="43.25" hidden="false" customHeight="false" outlineLevel="0" collapsed="false">
      <c r="A2473" s="18" t="s">
        <v>10428</v>
      </c>
      <c r="B2473" s="18" t="s">
        <v>68</v>
      </c>
      <c r="C2473" s="18" t="s">
        <v>69</v>
      </c>
      <c r="D2473" s="18" t="s">
        <v>10417</v>
      </c>
      <c r="E2473" s="18" t="n">
        <v>1</v>
      </c>
      <c r="F2473" s="18" t="s">
        <v>10429</v>
      </c>
      <c r="G2473" s="18" t="s">
        <v>192</v>
      </c>
      <c r="H2473" s="18" t="s">
        <v>162</v>
      </c>
      <c r="I2473" s="18"/>
      <c r="J2473" s="18"/>
      <c r="K2473" s="18"/>
      <c r="L2473" s="18" t="s">
        <v>162</v>
      </c>
      <c r="M2473" s="18" t="s">
        <v>129</v>
      </c>
      <c r="N2473" s="18"/>
      <c r="O2473" s="18"/>
      <c r="P2473" s="18" t="s">
        <v>10430</v>
      </c>
      <c r="Q2473" s="18" t="s">
        <v>131</v>
      </c>
      <c r="R2473" s="18" t="s">
        <v>10431</v>
      </c>
      <c r="S2473" s="18" t="s">
        <v>133</v>
      </c>
      <c r="T2473" s="18" t="s">
        <v>10432</v>
      </c>
      <c r="U2473" s="18"/>
      <c r="V2473" s="19" t="s">
        <v>29</v>
      </c>
      <c r="W2473" s="19"/>
      <c r="X2473" s="19"/>
      <c r="Y2473" s="20"/>
      <c r="Z2473" s="19"/>
      <c r="AA2473" s="18" t="str">
        <f aca="false">IF(OR(V2473="Aprobada"),R2473,IF(AND(OR(V2473="Aprobada con ajuste",V2473="Rechazada"),W2473&lt;&gt;""),W2473,""))</f>
        <v/>
      </c>
    </row>
    <row r="2474" customFormat="false" ht="32.8" hidden="false" customHeight="false" outlineLevel="0" collapsed="false">
      <c r="A2474" s="18" t="s">
        <v>10433</v>
      </c>
      <c r="B2474" s="18" t="s">
        <v>68</v>
      </c>
      <c r="C2474" s="18" t="s">
        <v>69</v>
      </c>
      <c r="D2474" s="18" t="s">
        <v>10417</v>
      </c>
      <c r="E2474" s="18" t="n">
        <v>1</v>
      </c>
      <c r="F2474" s="18" t="s">
        <v>10434</v>
      </c>
      <c r="G2474" s="18" t="s">
        <v>192</v>
      </c>
      <c r="H2474" s="18" t="s">
        <v>162</v>
      </c>
      <c r="I2474" s="18"/>
      <c r="J2474" s="18"/>
      <c r="K2474" s="18"/>
      <c r="L2474" s="18" t="s">
        <v>162</v>
      </c>
      <c r="M2474" s="18" t="s">
        <v>129</v>
      </c>
      <c r="N2474" s="18"/>
      <c r="O2474" s="18"/>
      <c r="P2474" s="18" t="s">
        <v>10435</v>
      </c>
      <c r="Q2474" s="18" t="s">
        <v>131</v>
      </c>
      <c r="R2474" s="18" t="s">
        <v>10436</v>
      </c>
      <c r="S2474" s="18" t="s">
        <v>133</v>
      </c>
      <c r="T2474" s="18" t="s">
        <v>10437</v>
      </c>
      <c r="U2474" s="18"/>
      <c r="V2474" s="19" t="s">
        <v>29</v>
      </c>
      <c r="W2474" s="19"/>
      <c r="X2474" s="19"/>
      <c r="Y2474" s="20"/>
      <c r="Z2474" s="19"/>
      <c r="AA2474" s="18" t="str">
        <f aca="false">IF(OR(V2474="Aprobada"),R2474,IF(AND(OR(V2474="Aprobada con ajuste",V2474="Rechazada"),W2474&lt;&gt;""),W2474,""))</f>
        <v/>
      </c>
    </row>
    <row r="2475" customFormat="false" ht="32.8" hidden="false" customHeight="false" outlineLevel="0" collapsed="false">
      <c r="A2475" s="18" t="s">
        <v>10438</v>
      </c>
      <c r="B2475" s="18" t="s">
        <v>68</v>
      </c>
      <c r="C2475" s="18" t="s">
        <v>69</v>
      </c>
      <c r="D2475" s="18" t="s">
        <v>10417</v>
      </c>
      <c r="E2475" s="18" t="n">
        <v>1</v>
      </c>
      <c r="F2475" s="18" t="s">
        <v>10439</v>
      </c>
      <c r="G2475" s="18" t="s">
        <v>192</v>
      </c>
      <c r="H2475" s="18" t="s">
        <v>162</v>
      </c>
      <c r="I2475" s="18"/>
      <c r="J2475" s="18"/>
      <c r="K2475" s="18"/>
      <c r="L2475" s="18" t="s">
        <v>162</v>
      </c>
      <c r="M2475" s="18" t="s">
        <v>129</v>
      </c>
      <c r="N2475" s="18"/>
      <c r="O2475" s="18"/>
      <c r="P2475" s="18" t="s">
        <v>10440</v>
      </c>
      <c r="Q2475" s="18" t="s">
        <v>131</v>
      </c>
      <c r="R2475" s="18" t="s">
        <v>10441</v>
      </c>
      <c r="S2475" s="18" t="s">
        <v>133</v>
      </c>
      <c r="T2475" s="18" t="s">
        <v>10442</v>
      </c>
      <c r="U2475" s="18"/>
      <c r="V2475" s="19" t="s">
        <v>29</v>
      </c>
      <c r="W2475" s="19"/>
      <c r="X2475" s="19"/>
      <c r="Y2475" s="20"/>
      <c r="Z2475" s="19"/>
      <c r="AA2475" s="18" t="str">
        <f aca="false">IF(OR(V2475="Aprobada"),R2475,IF(AND(OR(V2475="Aprobada con ajuste",V2475="Rechazada"),W2475&lt;&gt;""),W2475,""))</f>
        <v/>
      </c>
    </row>
    <row r="2476" customFormat="false" ht="95.5" hidden="false" customHeight="false" outlineLevel="0" collapsed="false">
      <c r="A2476" s="18" t="s">
        <v>10443</v>
      </c>
      <c r="B2476" s="18" t="s">
        <v>68</v>
      </c>
      <c r="C2476" s="18" t="s">
        <v>69</v>
      </c>
      <c r="D2476" s="18" t="s">
        <v>6368</v>
      </c>
      <c r="E2476" s="18" t="n">
        <v>23</v>
      </c>
      <c r="F2476" s="18" t="s">
        <v>10444</v>
      </c>
      <c r="G2476" s="18" t="s">
        <v>312</v>
      </c>
      <c r="H2476" s="18" t="s">
        <v>129</v>
      </c>
      <c r="I2476" s="18"/>
      <c r="J2476" s="18"/>
      <c r="K2476" s="18"/>
      <c r="L2476" s="18" t="s">
        <v>129</v>
      </c>
      <c r="M2476" s="18" t="s">
        <v>129</v>
      </c>
      <c r="N2476" s="18"/>
      <c r="O2476" s="18" t="s">
        <v>10445</v>
      </c>
      <c r="P2476" s="18" t="s">
        <v>10446</v>
      </c>
      <c r="Q2476" s="18" t="s">
        <v>149</v>
      </c>
      <c r="R2476" s="18" t="s">
        <v>10447</v>
      </c>
      <c r="S2476" s="18" t="s">
        <v>140</v>
      </c>
      <c r="T2476" s="18" t="s">
        <v>10448</v>
      </c>
      <c r="U2476" s="18" t="s">
        <v>10449</v>
      </c>
      <c r="V2476" s="19" t="s">
        <v>29</v>
      </c>
      <c r="W2476" s="19"/>
      <c r="X2476" s="19"/>
      <c r="Y2476" s="20"/>
      <c r="Z2476" s="19"/>
      <c r="AA2476" s="18" t="str">
        <f aca="false">IF(OR(V2476="Aprobada"),R2476,IF(AND(OR(V2476="Aprobada con ajuste",V2476="Rechazada"),W2476&lt;&gt;""),W2476,""))</f>
        <v/>
      </c>
    </row>
    <row r="2477" customFormat="false" ht="32.8" hidden="false" customHeight="false" outlineLevel="0" collapsed="false">
      <c r="A2477" s="18" t="s">
        <v>10450</v>
      </c>
      <c r="B2477" s="18" t="s">
        <v>68</v>
      </c>
      <c r="C2477" s="18" t="s">
        <v>69</v>
      </c>
      <c r="D2477" s="18" t="s">
        <v>6368</v>
      </c>
      <c r="E2477" s="18" t="n">
        <v>23</v>
      </c>
      <c r="F2477" s="18" t="s">
        <v>10451</v>
      </c>
      <c r="G2477" s="18" t="s">
        <v>205</v>
      </c>
      <c r="H2477" s="18" t="s">
        <v>162</v>
      </c>
      <c r="I2477" s="18"/>
      <c r="J2477" s="18"/>
      <c r="K2477" s="18"/>
      <c r="L2477" s="18" t="s">
        <v>129</v>
      </c>
      <c r="M2477" s="18" t="s">
        <v>129</v>
      </c>
      <c r="N2477" s="18"/>
      <c r="O2477" s="18"/>
      <c r="P2477" s="18" t="s">
        <v>10452</v>
      </c>
      <c r="Q2477" s="18" t="s">
        <v>131</v>
      </c>
      <c r="R2477" s="18" t="s">
        <v>10453</v>
      </c>
      <c r="S2477" s="18" t="s">
        <v>133</v>
      </c>
      <c r="T2477" s="18" t="s">
        <v>10454</v>
      </c>
      <c r="U2477" s="18"/>
      <c r="V2477" s="19" t="s">
        <v>29</v>
      </c>
      <c r="W2477" s="19"/>
      <c r="X2477" s="19"/>
      <c r="Y2477" s="20"/>
      <c r="Z2477" s="19"/>
      <c r="AA2477" s="18" t="str">
        <f aca="false">IF(OR(V2477="Aprobada"),R2477,IF(AND(OR(V2477="Aprobada con ajuste",V2477="Rechazada"),W2477&lt;&gt;""),W2477,""))</f>
        <v/>
      </c>
    </row>
    <row r="2478" customFormat="false" ht="32.8" hidden="false" customHeight="false" outlineLevel="0" collapsed="false">
      <c r="A2478" s="18" t="s">
        <v>10455</v>
      </c>
      <c r="B2478" s="18" t="s">
        <v>68</v>
      </c>
      <c r="C2478" s="18" t="s">
        <v>69</v>
      </c>
      <c r="D2478" s="18" t="s">
        <v>6368</v>
      </c>
      <c r="E2478" s="18" t="n">
        <v>23</v>
      </c>
      <c r="F2478" s="18" t="s">
        <v>10456</v>
      </c>
      <c r="G2478" s="18" t="s">
        <v>454</v>
      </c>
      <c r="H2478" s="18" t="s">
        <v>129</v>
      </c>
      <c r="I2478" s="18"/>
      <c r="J2478" s="18"/>
      <c r="K2478" s="18"/>
      <c r="L2478" s="18" t="s">
        <v>129</v>
      </c>
      <c r="M2478" s="18" t="s">
        <v>129</v>
      </c>
      <c r="N2478" s="18"/>
      <c r="O2478" s="18"/>
      <c r="P2478" s="18" t="s">
        <v>10457</v>
      </c>
      <c r="Q2478" s="18" t="s">
        <v>131</v>
      </c>
      <c r="R2478" s="18" t="s">
        <v>10458</v>
      </c>
      <c r="S2478" s="18" t="s">
        <v>133</v>
      </c>
      <c r="T2478" s="18" t="s">
        <v>10459</v>
      </c>
      <c r="U2478" s="18"/>
      <c r="V2478" s="19" t="s">
        <v>29</v>
      </c>
      <c r="W2478" s="19"/>
      <c r="X2478" s="19"/>
      <c r="Y2478" s="20"/>
      <c r="Z2478" s="19"/>
      <c r="AA2478" s="18" t="str">
        <f aca="false">IF(OR(V2478="Aprobada"),R2478,IF(AND(OR(V2478="Aprobada con ajuste",V2478="Rechazada"),W2478&lt;&gt;""),W2478,""))</f>
        <v/>
      </c>
    </row>
    <row r="2479" customFormat="false" ht="85.05" hidden="false" customHeight="false" outlineLevel="0" collapsed="false">
      <c r="A2479" s="18" t="s">
        <v>10460</v>
      </c>
      <c r="B2479" s="18" t="s">
        <v>68</v>
      </c>
      <c r="C2479" s="18" t="s">
        <v>69</v>
      </c>
      <c r="D2479" s="18" t="s">
        <v>6368</v>
      </c>
      <c r="E2479" s="18" t="n">
        <v>23</v>
      </c>
      <c r="F2479" s="18" t="s">
        <v>4337</v>
      </c>
      <c r="G2479" s="18" t="s">
        <v>312</v>
      </c>
      <c r="H2479" s="18" t="s">
        <v>129</v>
      </c>
      <c r="I2479" s="18"/>
      <c r="J2479" s="18"/>
      <c r="K2479" s="18"/>
      <c r="L2479" s="18" t="s">
        <v>129</v>
      </c>
      <c r="M2479" s="18" t="s">
        <v>129</v>
      </c>
      <c r="N2479" s="18"/>
      <c r="O2479" s="18" t="s">
        <v>10461</v>
      </c>
      <c r="P2479" s="18" t="s">
        <v>10462</v>
      </c>
      <c r="Q2479" s="18" t="s">
        <v>131</v>
      </c>
      <c r="R2479" s="18" t="s">
        <v>10463</v>
      </c>
      <c r="S2479" s="18" t="s">
        <v>133</v>
      </c>
      <c r="T2479" s="18" t="s">
        <v>10464</v>
      </c>
      <c r="U2479" s="18"/>
      <c r="V2479" s="19" t="s">
        <v>29</v>
      </c>
      <c r="W2479" s="19"/>
      <c r="X2479" s="19"/>
      <c r="Y2479" s="20"/>
      <c r="Z2479" s="19"/>
      <c r="AA2479" s="18" t="str">
        <f aca="false">IF(OR(V2479="Aprobada"),R2479,IF(AND(OR(V2479="Aprobada con ajuste",V2479="Rechazada"),W2479&lt;&gt;""),W2479,""))</f>
        <v/>
      </c>
    </row>
    <row r="2480" customFormat="false" ht="32.8" hidden="false" customHeight="false" outlineLevel="0" collapsed="false">
      <c r="A2480" s="18" t="s">
        <v>10465</v>
      </c>
      <c r="B2480" s="18" t="s">
        <v>68</v>
      </c>
      <c r="C2480" s="18" t="s">
        <v>69</v>
      </c>
      <c r="D2480" s="18" t="s">
        <v>6368</v>
      </c>
      <c r="E2480" s="18" t="n">
        <v>23</v>
      </c>
      <c r="F2480" s="18" t="s">
        <v>5700</v>
      </c>
      <c r="G2480" s="18" t="s">
        <v>454</v>
      </c>
      <c r="H2480" s="18" t="s">
        <v>129</v>
      </c>
      <c r="I2480" s="18"/>
      <c r="J2480" s="18"/>
      <c r="K2480" s="18"/>
      <c r="L2480" s="18" t="s">
        <v>129</v>
      </c>
      <c r="M2480" s="18" t="s">
        <v>129</v>
      </c>
      <c r="N2480" s="18"/>
      <c r="O2480" s="18"/>
      <c r="P2480" s="18" t="s">
        <v>10466</v>
      </c>
      <c r="Q2480" s="18" t="s">
        <v>131</v>
      </c>
      <c r="R2480" s="18" t="s">
        <v>10467</v>
      </c>
      <c r="S2480" s="18" t="s">
        <v>133</v>
      </c>
      <c r="T2480" s="18" t="s">
        <v>10468</v>
      </c>
      <c r="U2480" s="18"/>
      <c r="V2480" s="19" t="s">
        <v>29</v>
      </c>
      <c r="W2480" s="19"/>
      <c r="X2480" s="19"/>
      <c r="Y2480" s="20"/>
      <c r="Z2480" s="19"/>
      <c r="AA2480" s="18" t="str">
        <f aca="false">IF(OR(V2480="Aprobada"),R2480,IF(AND(OR(V2480="Aprobada con ajuste",V2480="Rechazada"),W2480&lt;&gt;""),W2480,""))</f>
        <v/>
      </c>
    </row>
    <row r="2481" customFormat="false" ht="32.8" hidden="false" customHeight="false" outlineLevel="0" collapsed="false">
      <c r="A2481" s="18" t="s">
        <v>10469</v>
      </c>
      <c r="B2481" s="18" t="s">
        <v>68</v>
      </c>
      <c r="C2481" s="18" t="s">
        <v>69</v>
      </c>
      <c r="D2481" s="18" t="s">
        <v>6368</v>
      </c>
      <c r="E2481" s="18" t="n">
        <v>23</v>
      </c>
      <c r="F2481" s="18" t="s">
        <v>10470</v>
      </c>
      <c r="G2481" s="18" t="s">
        <v>486</v>
      </c>
      <c r="H2481" s="18" t="s">
        <v>129</v>
      </c>
      <c r="I2481" s="18"/>
      <c r="J2481" s="18"/>
      <c r="K2481" s="18"/>
      <c r="L2481" s="18" t="s">
        <v>129</v>
      </c>
      <c r="M2481" s="18" t="s">
        <v>129</v>
      </c>
      <c r="N2481" s="18"/>
      <c r="O2481" s="18"/>
      <c r="P2481" s="18" t="s">
        <v>10471</v>
      </c>
      <c r="Q2481" s="18" t="s">
        <v>149</v>
      </c>
      <c r="R2481" s="18" t="s">
        <v>10472</v>
      </c>
      <c r="S2481" s="18" t="s">
        <v>133</v>
      </c>
      <c r="T2481" s="18" t="s">
        <v>10473</v>
      </c>
      <c r="U2481" s="18"/>
      <c r="V2481" s="19" t="s">
        <v>29</v>
      </c>
      <c r="W2481" s="19"/>
      <c r="X2481" s="19"/>
      <c r="Y2481" s="20"/>
      <c r="Z2481" s="19"/>
      <c r="AA2481" s="18" t="str">
        <f aca="false">IF(OR(V2481="Aprobada"),R2481,IF(AND(OR(V2481="Aprobada con ajuste",V2481="Rechazada"),W2481&lt;&gt;""),W2481,""))</f>
        <v/>
      </c>
    </row>
    <row r="2482" customFormat="false" ht="43.25" hidden="false" customHeight="false" outlineLevel="0" collapsed="false">
      <c r="A2482" s="18" t="s">
        <v>10474</v>
      </c>
      <c r="B2482" s="18" t="s">
        <v>68</v>
      </c>
      <c r="C2482" s="18" t="s">
        <v>69</v>
      </c>
      <c r="D2482" s="18" t="s">
        <v>6368</v>
      </c>
      <c r="E2482" s="18" t="n">
        <v>23</v>
      </c>
      <c r="F2482" s="18" t="s">
        <v>2414</v>
      </c>
      <c r="G2482" s="18" t="s">
        <v>137</v>
      </c>
      <c r="H2482" s="18" t="s">
        <v>129</v>
      </c>
      <c r="I2482" s="18"/>
      <c r="J2482" s="18"/>
      <c r="K2482" s="18"/>
      <c r="L2482" s="18" t="s">
        <v>129</v>
      </c>
      <c r="M2482" s="18" t="s">
        <v>129</v>
      </c>
      <c r="N2482" s="18"/>
      <c r="O2482" s="18"/>
      <c r="P2482" s="18" t="s">
        <v>10475</v>
      </c>
      <c r="Q2482" s="18" t="s">
        <v>138</v>
      </c>
      <c r="R2482" s="18" t="s">
        <v>2416</v>
      </c>
      <c r="S2482" s="18" t="s">
        <v>140</v>
      </c>
      <c r="T2482" s="18" t="s">
        <v>141</v>
      </c>
      <c r="U2482" s="18"/>
      <c r="V2482" s="19" t="s">
        <v>29</v>
      </c>
      <c r="W2482" s="19"/>
      <c r="X2482" s="19"/>
      <c r="Y2482" s="20"/>
      <c r="Z2482" s="19"/>
      <c r="AA2482" s="18" t="str">
        <f aca="false">IF(OR(V2482="Aprobada"),R2482,IF(AND(OR(V2482="Aprobada con ajuste",V2482="Rechazada"),W2482&lt;&gt;""),W2482,""))</f>
        <v/>
      </c>
    </row>
    <row r="2483" customFormat="false" ht="32.8" hidden="false" customHeight="false" outlineLevel="0" collapsed="false">
      <c r="A2483" s="18" t="s">
        <v>10476</v>
      </c>
      <c r="B2483" s="18" t="s">
        <v>68</v>
      </c>
      <c r="C2483" s="18" t="s">
        <v>69</v>
      </c>
      <c r="D2483" s="18" t="s">
        <v>6368</v>
      </c>
      <c r="E2483" s="18" t="n">
        <v>23</v>
      </c>
      <c r="F2483" s="18" t="s">
        <v>10477</v>
      </c>
      <c r="G2483" s="18" t="s">
        <v>503</v>
      </c>
      <c r="H2483" s="18" t="s">
        <v>129</v>
      </c>
      <c r="I2483" s="18"/>
      <c r="J2483" s="18"/>
      <c r="K2483" s="18"/>
      <c r="L2483" s="18" t="s">
        <v>129</v>
      </c>
      <c r="M2483" s="18" t="s">
        <v>129</v>
      </c>
      <c r="N2483" s="18"/>
      <c r="O2483" s="18"/>
      <c r="P2483" s="18" t="s">
        <v>10478</v>
      </c>
      <c r="Q2483" s="18" t="s">
        <v>131</v>
      </c>
      <c r="R2483" s="18" t="s">
        <v>10479</v>
      </c>
      <c r="S2483" s="18" t="s">
        <v>133</v>
      </c>
      <c r="T2483" s="18" t="s">
        <v>10480</v>
      </c>
      <c r="U2483" s="18"/>
      <c r="V2483" s="19" t="s">
        <v>29</v>
      </c>
      <c r="W2483" s="19"/>
      <c r="X2483" s="19"/>
      <c r="Y2483" s="20"/>
      <c r="Z2483" s="19"/>
      <c r="AA2483" s="18" t="str">
        <f aca="false">IF(OR(V2483="Aprobada"),R2483,IF(AND(OR(V2483="Aprobada con ajuste",V2483="Rechazada"),W2483&lt;&gt;""),W2483,""))</f>
        <v/>
      </c>
    </row>
    <row r="2484" customFormat="false" ht="43.25" hidden="false" customHeight="false" outlineLevel="0" collapsed="false">
      <c r="A2484" s="18" t="s">
        <v>10481</v>
      </c>
      <c r="B2484" s="18" t="s">
        <v>68</v>
      </c>
      <c r="C2484" s="18" t="s">
        <v>69</v>
      </c>
      <c r="D2484" s="18" t="s">
        <v>6368</v>
      </c>
      <c r="E2484" s="18" t="n">
        <v>23</v>
      </c>
      <c r="F2484" s="18" t="s">
        <v>326</v>
      </c>
      <c r="G2484" s="18" t="s">
        <v>137</v>
      </c>
      <c r="H2484" s="18" t="s">
        <v>129</v>
      </c>
      <c r="I2484" s="18"/>
      <c r="J2484" s="18"/>
      <c r="K2484" s="18"/>
      <c r="L2484" s="18" t="s">
        <v>129</v>
      </c>
      <c r="M2484" s="18" t="s">
        <v>129</v>
      </c>
      <c r="N2484" s="18"/>
      <c r="O2484" s="18" t="s">
        <v>10482</v>
      </c>
      <c r="P2484" s="18" t="s">
        <v>10483</v>
      </c>
      <c r="Q2484" s="18" t="s">
        <v>138</v>
      </c>
      <c r="R2484" s="18" t="s">
        <v>328</v>
      </c>
      <c r="S2484" s="18" t="s">
        <v>140</v>
      </c>
      <c r="T2484" s="18" t="s">
        <v>141</v>
      </c>
      <c r="U2484" s="18"/>
      <c r="V2484" s="19" t="s">
        <v>29</v>
      </c>
      <c r="W2484" s="19"/>
      <c r="X2484" s="19"/>
      <c r="Y2484" s="20"/>
      <c r="Z2484" s="19"/>
      <c r="AA2484" s="18" t="str">
        <f aca="false">IF(OR(V2484="Aprobada"),R2484,IF(AND(OR(V2484="Aprobada con ajuste",V2484="Rechazada"),W2484&lt;&gt;""),W2484,""))</f>
        <v/>
      </c>
    </row>
    <row r="2485" customFormat="false" ht="43.25" hidden="false" customHeight="false" outlineLevel="0" collapsed="false">
      <c r="A2485" s="18" t="s">
        <v>10484</v>
      </c>
      <c r="B2485" s="18" t="s">
        <v>68</v>
      </c>
      <c r="C2485" s="18" t="s">
        <v>69</v>
      </c>
      <c r="D2485" s="18" t="s">
        <v>6368</v>
      </c>
      <c r="E2485" s="18" t="n">
        <v>23</v>
      </c>
      <c r="F2485" s="18" t="s">
        <v>7055</v>
      </c>
      <c r="G2485" s="18" t="s">
        <v>503</v>
      </c>
      <c r="H2485" s="18" t="s">
        <v>129</v>
      </c>
      <c r="I2485" s="18"/>
      <c r="J2485" s="18"/>
      <c r="K2485" s="18"/>
      <c r="L2485" s="18" t="s">
        <v>129</v>
      </c>
      <c r="M2485" s="18" t="s">
        <v>129</v>
      </c>
      <c r="N2485" s="18"/>
      <c r="O2485" s="18" t="s">
        <v>10485</v>
      </c>
      <c r="P2485" s="18" t="s">
        <v>10486</v>
      </c>
      <c r="Q2485" s="18" t="s">
        <v>131</v>
      </c>
      <c r="R2485" s="18" t="s">
        <v>10487</v>
      </c>
      <c r="S2485" s="18" t="s">
        <v>133</v>
      </c>
      <c r="T2485" s="18" t="s">
        <v>10488</v>
      </c>
      <c r="U2485" s="18"/>
      <c r="V2485" s="19" t="s">
        <v>29</v>
      </c>
      <c r="W2485" s="19"/>
      <c r="X2485" s="19"/>
      <c r="Y2485" s="20"/>
      <c r="Z2485" s="19"/>
      <c r="AA2485" s="18" t="str">
        <f aca="false">IF(OR(V2485="Aprobada"),R2485,IF(AND(OR(V2485="Aprobada con ajuste",V2485="Rechazada"),W2485&lt;&gt;""),W2485,""))</f>
        <v/>
      </c>
    </row>
    <row r="2486" customFormat="false" ht="53.7" hidden="false" customHeight="false" outlineLevel="0" collapsed="false">
      <c r="A2486" s="18" t="s">
        <v>10489</v>
      </c>
      <c r="B2486" s="18" t="s">
        <v>68</v>
      </c>
      <c r="C2486" s="18" t="s">
        <v>69</v>
      </c>
      <c r="D2486" s="18" t="s">
        <v>6368</v>
      </c>
      <c r="E2486" s="18" t="n">
        <v>23</v>
      </c>
      <c r="F2486" s="18" t="s">
        <v>185</v>
      </c>
      <c r="G2486" s="18" t="s">
        <v>10490</v>
      </c>
      <c r="H2486" s="18" t="s">
        <v>129</v>
      </c>
      <c r="I2486" s="18" t="s">
        <v>5921</v>
      </c>
      <c r="J2486" s="18" t="s">
        <v>10491</v>
      </c>
      <c r="K2486" s="18"/>
      <c r="L2486" s="18" t="s">
        <v>162</v>
      </c>
      <c r="M2486" s="18" t="s">
        <v>129</v>
      </c>
      <c r="N2486" s="18"/>
      <c r="O2486" s="18" t="s">
        <v>10492</v>
      </c>
      <c r="P2486" s="18" t="s">
        <v>10493</v>
      </c>
      <c r="Q2486" s="18" t="s">
        <v>138</v>
      </c>
      <c r="R2486" s="18" t="s">
        <v>10494</v>
      </c>
      <c r="S2486" s="18" t="s">
        <v>140</v>
      </c>
      <c r="T2486" s="18" t="s">
        <v>141</v>
      </c>
      <c r="U2486" s="18"/>
      <c r="V2486" s="19" t="s">
        <v>29</v>
      </c>
      <c r="W2486" s="19"/>
      <c r="X2486" s="19"/>
      <c r="Y2486" s="20"/>
      <c r="Z2486" s="19"/>
      <c r="AA2486" s="18" t="str">
        <f aca="false">IF(OR(V2486="Aprobada"),R2486,IF(AND(OR(V2486="Aprobada con ajuste",V2486="Rechazada"),W2486&lt;&gt;""),W2486,""))</f>
        <v/>
      </c>
    </row>
    <row r="2487" customFormat="false" ht="32.8" hidden="false" customHeight="false" outlineLevel="0" collapsed="false">
      <c r="A2487" s="18" t="s">
        <v>10495</v>
      </c>
      <c r="B2487" s="18" t="s">
        <v>68</v>
      </c>
      <c r="C2487" s="18" t="s">
        <v>69</v>
      </c>
      <c r="D2487" s="18" t="s">
        <v>6368</v>
      </c>
      <c r="E2487" s="18" t="n">
        <v>23</v>
      </c>
      <c r="F2487" s="18" t="s">
        <v>10496</v>
      </c>
      <c r="G2487" s="18" t="s">
        <v>173</v>
      </c>
      <c r="H2487" s="18" t="s">
        <v>129</v>
      </c>
      <c r="I2487" s="18"/>
      <c r="J2487" s="18"/>
      <c r="K2487" s="18"/>
      <c r="L2487" s="18" t="s">
        <v>129</v>
      </c>
      <c r="M2487" s="18" t="s">
        <v>129</v>
      </c>
      <c r="N2487" s="18"/>
      <c r="O2487" s="18"/>
      <c r="P2487" s="18" t="s">
        <v>10497</v>
      </c>
      <c r="Q2487" s="18" t="s">
        <v>138</v>
      </c>
      <c r="R2487" s="18" t="s">
        <v>10498</v>
      </c>
      <c r="S2487" s="18" t="s">
        <v>140</v>
      </c>
      <c r="T2487" s="18" t="s">
        <v>141</v>
      </c>
      <c r="U2487" s="18"/>
      <c r="V2487" s="19" t="s">
        <v>29</v>
      </c>
      <c r="W2487" s="19"/>
      <c r="X2487" s="19"/>
      <c r="Y2487" s="20"/>
      <c r="Z2487" s="19"/>
      <c r="AA2487" s="18" t="str">
        <f aca="false">IF(OR(V2487="Aprobada"),R2487,IF(AND(OR(V2487="Aprobada con ajuste",V2487="Rechazada"),W2487&lt;&gt;""),W2487,""))</f>
        <v/>
      </c>
    </row>
    <row r="2488" customFormat="false" ht="43.25" hidden="false" customHeight="false" outlineLevel="0" collapsed="false">
      <c r="A2488" s="18" t="s">
        <v>10499</v>
      </c>
      <c r="B2488" s="18" t="s">
        <v>68</v>
      </c>
      <c r="C2488" s="18" t="s">
        <v>69</v>
      </c>
      <c r="D2488" s="18" t="s">
        <v>6368</v>
      </c>
      <c r="E2488" s="18" t="n">
        <v>23</v>
      </c>
      <c r="F2488" s="18" t="s">
        <v>10500</v>
      </c>
      <c r="G2488" s="18" t="s">
        <v>137</v>
      </c>
      <c r="H2488" s="18" t="s">
        <v>162</v>
      </c>
      <c r="I2488" s="18"/>
      <c r="J2488" s="18"/>
      <c r="K2488" s="18"/>
      <c r="L2488" s="18" t="s">
        <v>129</v>
      </c>
      <c r="M2488" s="18" t="s">
        <v>129</v>
      </c>
      <c r="N2488" s="18"/>
      <c r="O2488" s="18"/>
      <c r="P2488" s="18" t="s">
        <v>10501</v>
      </c>
      <c r="Q2488" s="18" t="s">
        <v>138</v>
      </c>
      <c r="R2488" s="18" t="s">
        <v>10502</v>
      </c>
      <c r="S2488" s="18" t="s">
        <v>140</v>
      </c>
      <c r="T2488" s="18" t="s">
        <v>141</v>
      </c>
      <c r="U2488" s="18"/>
      <c r="V2488" s="19" t="s">
        <v>29</v>
      </c>
      <c r="W2488" s="19"/>
      <c r="X2488" s="19"/>
      <c r="Y2488" s="20"/>
      <c r="Z2488" s="19"/>
      <c r="AA2488" s="18" t="str">
        <f aca="false">IF(OR(V2488="Aprobada"),R2488,IF(AND(OR(V2488="Aprobada con ajuste",V2488="Rechazada"),W2488&lt;&gt;""),W2488,""))</f>
        <v/>
      </c>
    </row>
    <row r="2489" customFormat="false" ht="43.25" hidden="false" customHeight="false" outlineLevel="0" collapsed="false">
      <c r="A2489" s="18" t="s">
        <v>10503</v>
      </c>
      <c r="B2489" s="18" t="s">
        <v>68</v>
      </c>
      <c r="C2489" s="18" t="s">
        <v>69</v>
      </c>
      <c r="D2489" s="18" t="s">
        <v>6368</v>
      </c>
      <c r="E2489" s="18" t="n">
        <v>23</v>
      </c>
      <c r="F2489" s="18" t="s">
        <v>886</v>
      </c>
      <c r="G2489" s="18" t="s">
        <v>128</v>
      </c>
      <c r="H2489" s="18" t="s">
        <v>162</v>
      </c>
      <c r="I2489" s="18"/>
      <c r="J2489" s="18"/>
      <c r="K2489" s="18"/>
      <c r="L2489" s="18" t="s">
        <v>129</v>
      </c>
      <c r="M2489" s="18" t="s">
        <v>129</v>
      </c>
      <c r="N2489" s="18"/>
      <c r="O2489" s="18"/>
      <c r="P2489" s="18" t="s">
        <v>10504</v>
      </c>
      <c r="Q2489" s="18" t="s">
        <v>138</v>
      </c>
      <c r="R2489" s="18" t="s">
        <v>1693</v>
      </c>
      <c r="S2489" s="18" t="s">
        <v>140</v>
      </c>
      <c r="T2489" s="18" t="s">
        <v>141</v>
      </c>
      <c r="U2489" s="18"/>
      <c r="V2489" s="19" t="s">
        <v>29</v>
      </c>
      <c r="W2489" s="19"/>
      <c r="X2489" s="19"/>
      <c r="Y2489" s="20"/>
      <c r="Z2489" s="19"/>
      <c r="AA2489" s="18" t="str">
        <f aca="false">IF(OR(V2489="Aprobada"),R2489,IF(AND(OR(V2489="Aprobada con ajuste",V2489="Rechazada"),W2489&lt;&gt;""),W2489,""))</f>
        <v/>
      </c>
    </row>
    <row r="2490" customFormat="false" ht="22.35" hidden="false" customHeight="false" outlineLevel="0" collapsed="false">
      <c r="A2490" s="18" t="s">
        <v>10505</v>
      </c>
      <c r="B2490" s="18" t="s">
        <v>68</v>
      </c>
      <c r="C2490" s="18" t="s">
        <v>69</v>
      </c>
      <c r="D2490" s="18" t="s">
        <v>6368</v>
      </c>
      <c r="E2490" s="18" t="n">
        <v>23</v>
      </c>
      <c r="F2490" s="18" t="s">
        <v>9617</v>
      </c>
      <c r="G2490" s="18" t="s">
        <v>312</v>
      </c>
      <c r="H2490" s="18" t="s">
        <v>129</v>
      </c>
      <c r="I2490" s="18"/>
      <c r="J2490" s="18"/>
      <c r="K2490" s="18"/>
      <c r="L2490" s="18" t="s">
        <v>129</v>
      </c>
      <c r="M2490" s="18" t="s">
        <v>129</v>
      </c>
      <c r="N2490" s="18"/>
      <c r="O2490" s="18"/>
      <c r="P2490" s="18" t="s">
        <v>10506</v>
      </c>
      <c r="Q2490" s="18" t="s">
        <v>131</v>
      </c>
      <c r="R2490" s="18" t="s">
        <v>10507</v>
      </c>
      <c r="S2490" s="18" t="s">
        <v>133</v>
      </c>
      <c r="T2490" s="18" t="s">
        <v>10508</v>
      </c>
      <c r="U2490" s="18"/>
      <c r="V2490" s="19" t="s">
        <v>29</v>
      </c>
      <c r="W2490" s="19"/>
      <c r="X2490" s="19"/>
      <c r="Y2490" s="20"/>
      <c r="Z2490" s="19"/>
      <c r="AA2490" s="18" t="str">
        <f aca="false">IF(OR(V2490="Aprobada"),R2490,IF(AND(OR(V2490="Aprobada con ajuste",V2490="Rechazada"),W2490&lt;&gt;""),W2490,""))</f>
        <v/>
      </c>
    </row>
    <row r="2491" customFormat="false" ht="22.35" hidden="false" customHeight="false" outlineLevel="0" collapsed="false">
      <c r="A2491" s="18" t="s">
        <v>10509</v>
      </c>
      <c r="B2491" s="18" t="s">
        <v>70</v>
      </c>
      <c r="C2491" s="18" t="s">
        <v>71</v>
      </c>
      <c r="D2491" s="18" t="s">
        <v>10510</v>
      </c>
      <c r="E2491" s="18" t="n">
        <v>0</v>
      </c>
      <c r="F2491" s="18" t="s">
        <v>5880</v>
      </c>
      <c r="G2491" s="18" t="s">
        <v>317</v>
      </c>
      <c r="H2491" s="18" t="s">
        <v>162</v>
      </c>
      <c r="I2491" s="18"/>
      <c r="J2491" s="18"/>
      <c r="K2491" s="18"/>
      <c r="L2491" s="18" t="s">
        <v>129</v>
      </c>
      <c r="M2491" s="18" t="s">
        <v>129</v>
      </c>
      <c r="N2491" s="18"/>
      <c r="O2491" s="18" t="s">
        <v>10511</v>
      </c>
      <c r="P2491" s="18"/>
      <c r="Q2491" s="18" t="s">
        <v>138</v>
      </c>
      <c r="R2491" s="18" t="s">
        <v>5882</v>
      </c>
      <c r="S2491" s="18" t="s">
        <v>140</v>
      </c>
      <c r="T2491" s="18" t="s">
        <v>141</v>
      </c>
      <c r="U2491" s="18"/>
      <c r="V2491" s="19" t="s">
        <v>29</v>
      </c>
      <c r="W2491" s="19"/>
      <c r="X2491" s="19"/>
      <c r="Y2491" s="20"/>
      <c r="Z2491" s="19"/>
      <c r="AA2491" s="18" t="str">
        <f aca="false">IF(OR(V2491="Aprobada"),R2491,IF(AND(OR(V2491="Aprobada con ajuste",V2491="Rechazada"),W2491&lt;&gt;""),W2491,""))</f>
        <v/>
      </c>
    </row>
    <row r="2492" customFormat="false" ht="22.35" hidden="false" customHeight="false" outlineLevel="0" collapsed="false">
      <c r="A2492" s="18" t="s">
        <v>10512</v>
      </c>
      <c r="B2492" s="18" t="s">
        <v>70</v>
      </c>
      <c r="C2492" s="18" t="s">
        <v>71</v>
      </c>
      <c r="D2492" s="18" t="s">
        <v>10510</v>
      </c>
      <c r="E2492" s="18" t="n">
        <v>0</v>
      </c>
      <c r="F2492" s="18" t="s">
        <v>5500</v>
      </c>
      <c r="G2492" s="18" t="s">
        <v>503</v>
      </c>
      <c r="H2492" s="18" t="s">
        <v>162</v>
      </c>
      <c r="I2492" s="18" t="s">
        <v>298</v>
      </c>
      <c r="J2492" s="18"/>
      <c r="K2492" s="18"/>
      <c r="L2492" s="18" t="s">
        <v>129</v>
      </c>
      <c r="M2492" s="18" t="s">
        <v>129</v>
      </c>
      <c r="N2492" s="18"/>
      <c r="O2492" s="18"/>
      <c r="P2492" s="18"/>
      <c r="Q2492" s="18" t="s">
        <v>149</v>
      </c>
      <c r="R2492" s="18" t="s">
        <v>10513</v>
      </c>
      <c r="S2492" s="18" t="s">
        <v>133</v>
      </c>
      <c r="T2492" s="18" t="s">
        <v>183</v>
      </c>
      <c r="U2492" s="18"/>
      <c r="V2492" s="19" t="s">
        <v>29</v>
      </c>
      <c r="W2492" s="19"/>
      <c r="X2492" s="19"/>
      <c r="Y2492" s="20"/>
      <c r="Z2492" s="19"/>
      <c r="AA2492" s="18" t="str">
        <f aca="false">IF(OR(V2492="Aprobada"),R2492,IF(AND(OR(V2492="Aprobada con ajuste",V2492="Rechazada"),W2492&lt;&gt;""),W2492,""))</f>
        <v/>
      </c>
    </row>
    <row r="2493" customFormat="false" ht="22.35" hidden="false" customHeight="false" outlineLevel="0" collapsed="false">
      <c r="A2493" s="18" t="s">
        <v>10514</v>
      </c>
      <c r="B2493" s="18" t="s">
        <v>70</v>
      </c>
      <c r="C2493" s="18" t="s">
        <v>71</v>
      </c>
      <c r="D2493" s="18" t="s">
        <v>10510</v>
      </c>
      <c r="E2493" s="18" t="n">
        <v>0</v>
      </c>
      <c r="F2493" s="18" t="s">
        <v>5871</v>
      </c>
      <c r="G2493" s="18" t="s">
        <v>128</v>
      </c>
      <c r="H2493" s="18" t="s">
        <v>129</v>
      </c>
      <c r="I2493" s="18"/>
      <c r="J2493" s="18"/>
      <c r="K2493" s="18"/>
      <c r="L2493" s="18" t="s">
        <v>129</v>
      </c>
      <c r="M2493" s="18" t="s">
        <v>129</v>
      </c>
      <c r="N2493" s="18"/>
      <c r="O2493" s="18"/>
      <c r="P2493" s="18"/>
      <c r="Q2493" s="18" t="s">
        <v>149</v>
      </c>
      <c r="R2493" s="18" t="s">
        <v>10515</v>
      </c>
      <c r="S2493" s="18" t="s">
        <v>133</v>
      </c>
      <c r="T2493" s="18" t="s">
        <v>858</v>
      </c>
      <c r="U2493" s="18"/>
      <c r="V2493" s="19" t="s">
        <v>29</v>
      </c>
      <c r="W2493" s="19"/>
      <c r="X2493" s="19"/>
      <c r="Y2493" s="20"/>
      <c r="Z2493" s="19"/>
      <c r="AA2493" s="18" t="str">
        <f aca="false">IF(OR(V2493="Aprobada"),R2493,IF(AND(OR(V2493="Aprobada con ajuste",V2493="Rechazada"),W2493&lt;&gt;""),W2493,""))</f>
        <v/>
      </c>
    </row>
    <row r="2494" customFormat="false" ht="22.35" hidden="false" customHeight="false" outlineLevel="0" collapsed="false">
      <c r="A2494" s="18" t="s">
        <v>10516</v>
      </c>
      <c r="B2494" s="18" t="s">
        <v>70</v>
      </c>
      <c r="C2494" s="18" t="s">
        <v>71</v>
      </c>
      <c r="D2494" s="18" t="s">
        <v>10510</v>
      </c>
      <c r="E2494" s="18" t="n">
        <v>0</v>
      </c>
      <c r="F2494" s="18" t="s">
        <v>10517</v>
      </c>
      <c r="G2494" s="18" t="s">
        <v>651</v>
      </c>
      <c r="H2494" s="18" t="s">
        <v>162</v>
      </c>
      <c r="I2494" s="18"/>
      <c r="J2494" s="18"/>
      <c r="K2494" s="18"/>
      <c r="L2494" s="18" t="s">
        <v>129</v>
      </c>
      <c r="M2494" s="18" t="s">
        <v>129</v>
      </c>
      <c r="N2494" s="18"/>
      <c r="O2494" s="18"/>
      <c r="P2494" s="18"/>
      <c r="Q2494" s="18" t="s">
        <v>149</v>
      </c>
      <c r="R2494" s="18" t="s">
        <v>10518</v>
      </c>
      <c r="S2494" s="18" t="s">
        <v>133</v>
      </c>
      <c r="T2494" s="18" t="s">
        <v>858</v>
      </c>
      <c r="U2494" s="18"/>
      <c r="V2494" s="19" t="s">
        <v>29</v>
      </c>
      <c r="W2494" s="19"/>
      <c r="X2494" s="19"/>
      <c r="Y2494" s="20"/>
      <c r="Z2494" s="19"/>
      <c r="AA2494" s="18" t="str">
        <f aca="false">IF(OR(V2494="Aprobada"),R2494,IF(AND(OR(V2494="Aprobada con ajuste",V2494="Rechazada"),W2494&lt;&gt;""),W2494,""))</f>
        <v/>
      </c>
    </row>
    <row r="2495" customFormat="false" ht="22.35" hidden="false" customHeight="false" outlineLevel="0" collapsed="false">
      <c r="A2495" s="18" t="s">
        <v>10519</v>
      </c>
      <c r="B2495" s="18" t="s">
        <v>70</v>
      </c>
      <c r="C2495" s="18" t="s">
        <v>71</v>
      </c>
      <c r="D2495" s="18" t="s">
        <v>10510</v>
      </c>
      <c r="E2495" s="18" t="n">
        <v>0</v>
      </c>
      <c r="F2495" s="18" t="s">
        <v>10520</v>
      </c>
      <c r="G2495" s="18" t="s">
        <v>173</v>
      </c>
      <c r="H2495" s="18" t="s">
        <v>162</v>
      </c>
      <c r="I2495" s="18"/>
      <c r="J2495" s="18"/>
      <c r="K2495" s="18"/>
      <c r="L2495" s="18" t="s">
        <v>129</v>
      </c>
      <c r="M2495" s="18" t="s">
        <v>129</v>
      </c>
      <c r="N2495" s="18"/>
      <c r="O2495" s="18"/>
      <c r="P2495" s="18"/>
      <c r="Q2495" s="18" t="s">
        <v>138</v>
      </c>
      <c r="R2495" s="18" t="s">
        <v>10521</v>
      </c>
      <c r="S2495" s="18" t="s">
        <v>140</v>
      </c>
      <c r="T2495" s="18" t="s">
        <v>141</v>
      </c>
      <c r="U2495" s="18"/>
      <c r="V2495" s="19" t="s">
        <v>29</v>
      </c>
      <c r="W2495" s="19"/>
      <c r="X2495" s="19"/>
      <c r="Y2495" s="20"/>
      <c r="Z2495" s="19"/>
      <c r="AA2495" s="18" t="str">
        <f aca="false">IF(OR(V2495="Aprobada"),R2495,IF(AND(OR(V2495="Aprobada con ajuste",V2495="Rechazada"),W2495&lt;&gt;""),W2495,""))</f>
        <v/>
      </c>
    </row>
    <row r="2496" customFormat="false" ht="22.35" hidden="false" customHeight="false" outlineLevel="0" collapsed="false">
      <c r="A2496" s="18" t="s">
        <v>10522</v>
      </c>
      <c r="B2496" s="18" t="s">
        <v>70</v>
      </c>
      <c r="C2496" s="18" t="s">
        <v>71</v>
      </c>
      <c r="D2496" s="18" t="s">
        <v>10510</v>
      </c>
      <c r="E2496" s="18" t="n">
        <v>0</v>
      </c>
      <c r="F2496" s="18" t="s">
        <v>10523</v>
      </c>
      <c r="G2496" s="18" t="s">
        <v>317</v>
      </c>
      <c r="H2496" s="18" t="s">
        <v>162</v>
      </c>
      <c r="I2496" s="18"/>
      <c r="J2496" s="18"/>
      <c r="K2496" s="18"/>
      <c r="L2496" s="18" t="s">
        <v>129</v>
      </c>
      <c r="M2496" s="18" t="s">
        <v>129</v>
      </c>
      <c r="N2496" s="18"/>
      <c r="O2496" s="18"/>
      <c r="P2496" s="18"/>
      <c r="Q2496" s="18" t="s">
        <v>138</v>
      </c>
      <c r="R2496" s="18" t="s">
        <v>10524</v>
      </c>
      <c r="S2496" s="18" t="s">
        <v>140</v>
      </c>
      <c r="T2496" s="18" t="s">
        <v>141</v>
      </c>
      <c r="U2496" s="18"/>
      <c r="V2496" s="19" t="s">
        <v>29</v>
      </c>
      <c r="W2496" s="19"/>
      <c r="X2496" s="19"/>
      <c r="Y2496" s="20"/>
      <c r="Z2496" s="19"/>
      <c r="AA2496" s="18" t="str">
        <f aca="false">IF(OR(V2496="Aprobada"),R2496,IF(AND(OR(V2496="Aprobada con ajuste",V2496="Rechazada"),W2496&lt;&gt;""),W2496,""))</f>
        <v/>
      </c>
    </row>
    <row r="2497" customFormat="false" ht="22.35" hidden="false" customHeight="false" outlineLevel="0" collapsed="false">
      <c r="A2497" s="18" t="s">
        <v>10525</v>
      </c>
      <c r="B2497" s="18" t="s">
        <v>70</v>
      </c>
      <c r="C2497" s="18" t="s">
        <v>71</v>
      </c>
      <c r="D2497" s="18" t="s">
        <v>10510</v>
      </c>
      <c r="E2497" s="18" t="n">
        <v>0</v>
      </c>
      <c r="F2497" s="18" t="s">
        <v>10526</v>
      </c>
      <c r="G2497" s="18" t="s">
        <v>337</v>
      </c>
      <c r="H2497" s="18" t="s">
        <v>162</v>
      </c>
      <c r="I2497" s="18"/>
      <c r="J2497" s="18"/>
      <c r="K2497" s="18"/>
      <c r="L2497" s="18" t="s">
        <v>129</v>
      </c>
      <c r="M2497" s="18" t="s">
        <v>129</v>
      </c>
      <c r="N2497" s="18"/>
      <c r="O2497" s="18"/>
      <c r="P2497" s="18"/>
      <c r="Q2497" s="18" t="s">
        <v>149</v>
      </c>
      <c r="R2497" s="18" t="s">
        <v>10527</v>
      </c>
      <c r="S2497" s="18" t="s">
        <v>140</v>
      </c>
      <c r="T2497" s="18" t="s">
        <v>858</v>
      </c>
      <c r="U2497" s="18" t="s">
        <v>4673</v>
      </c>
      <c r="V2497" s="19" t="s">
        <v>29</v>
      </c>
      <c r="W2497" s="19"/>
      <c r="X2497" s="19"/>
      <c r="Y2497" s="20"/>
      <c r="Z2497" s="19"/>
      <c r="AA2497" s="18" t="str">
        <f aca="false">IF(OR(V2497="Aprobada"),R2497,IF(AND(OR(V2497="Aprobada con ajuste",V2497="Rechazada"),W2497&lt;&gt;""),W2497,""))</f>
        <v/>
      </c>
    </row>
    <row r="2498" customFormat="false" ht="22.35" hidden="false" customHeight="false" outlineLevel="0" collapsed="false">
      <c r="A2498" s="18" t="s">
        <v>10528</v>
      </c>
      <c r="B2498" s="18" t="s">
        <v>70</v>
      </c>
      <c r="C2498" s="18" t="s">
        <v>71</v>
      </c>
      <c r="D2498" s="18" t="s">
        <v>10529</v>
      </c>
      <c r="E2498" s="18" t="n">
        <v>25</v>
      </c>
      <c r="F2498" s="18" t="s">
        <v>275</v>
      </c>
      <c r="G2498" s="18" t="s">
        <v>180</v>
      </c>
      <c r="H2498" s="18" t="s">
        <v>129</v>
      </c>
      <c r="I2498" s="18" t="s">
        <v>146</v>
      </c>
      <c r="J2498" s="18"/>
      <c r="K2498" s="18"/>
      <c r="L2498" s="18" t="s">
        <v>162</v>
      </c>
      <c r="M2498" s="18" t="s">
        <v>129</v>
      </c>
      <c r="N2498" s="18"/>
      <c r="O2498" s="18" t="s">
        <v>10530</v>
      </c>
      <c r="P2498" s="18" t="s">
        <v>10531</v>
      </c>
      <c r="Q2498" s="18" t="s">
        <v>138</v>
      </c>
      <c r="R2498" s="18" t="s">
        <v>10532</v>
      </c>
      <c r="S2498" s="18" t="s">
        <v>140</v>
      </c>
      <c r="T2498" s="18" t="s">
        <v>141</v>
      </c>
      <c r="U2498" s="18"/>
      <c r="V2498" s="19" t="s">
        <v>29</v>
      </c>
      <c r="W2498" s="19"/>
      <c r="X2498" s="19"/>
      <c r="Y2498" s="20"/>
      <c r="Z2498" s="19"/>
      <c r="AA2498" s="18" t="str">
        <f aca="false">IF(OR(V2498="Aprobada"),R2498,IF(AND(OR(V2498="Aprobada con ajuste",V2498="Rechazada"),W2498&lt;&gt;""),W2498,""))</f>
        <v/>
      </c>
    </row>
    <row r="2499" customFormat="false" ht="22.35" hidden="false" customHeight="false" outlineLevel="0" collapsed="false">
      <c r="A2499" s="18" t="s">
        <v>10533</v>
      </c>
      <c r="B2499" s="18" t="s">
        <v>70</v>
      </c>
      <c r="C2499" s="18" t="s">
        <v>71</v>
      </c>
      <c r="D2499" s="18" t="s">
        <v>10529</v>
      </c>
      <c r="E2499" s="18" t="n">
        <v>25</v>
      </c>
      <c r="F2499" s="18" t="s">
        <v>5611</v>
      </c>
      <c r="G2499" s="18" t="s">
        <v>145</v>
      </c>
      <c r="H2499" s="18" t="s">
        <v>129</v>
      </c>
      <c r="I2499" s="18"/>
      <c r="J2499" s="18"/>
      <c r="K2499" s="18"/>
      <c r="L2499" s="18" t="s">
        <v>162</v>
      </c>
      <c r="M2499" s="18" t="s">
        <v>129</v>
      </c>
      <c r="N2499" s="18"/>
      <c r="O2499" s="18"/>
      <c r="P2499" s="18" t="s">
        <v>10534</v>
      </c>
      <c r="Q2499" s="18" t="s">
        <v>149</v>
      </c>
      <c r="R2499" s="18" t="s">
        <v>10535</v>
      </c>
      <c r="S2499" s="18" t="s">
        <v>133</v>
      </c>
      <c r="T2499" s="18" t="s">
        <v>4074</v>
      </c>
      <c r="U2499" s="18"/>
      <c r="V2499" s="19" t="s">
        <v>29</v>
      </c>
      <c r="W2499" s="19"/>
      <c r="X2499" s="19"/>
      <c r="Y2499" s="20"/>
      <c r="Z2499" s="19"/>
      <c r="AA2499" s="18" t="str">
        <f aca="false">IF(OR(V2499="Aprobada"),R2499,IF(AND(OR(V2499="Aprobada con ajuste",V2499="Rechazada"),W2499&lt;&gt;""),W2499,""))</f>
        <v/>
      </c>
    </row>
    <row r="2500" customFormat="false" ht="53.7" hidden="false" customHeight="false" outlineLevel="0" collapsed="false">
      <c r="A2500" s="18" t="s">
        <v>10536</v>
      </c>
      <c r="B2500" s="18" t="s">
        <v>70</v>
      </c>
      <c r="C2500" s="18" t="s">
        <v>71</v>
      </c>
      <c r="D2500" s="18" t="s">
        <v>10529</v>
      </c>
      <c r="E2500" s="18" t="n">
        <v>25</v>
      </c>
      <c r="F2500" s="18" t="s">
        <v>127</v>
      </c>
      <c r="G2500" s="18" t="s">
        <v>145</v>
      </c>
      <c r="H2500" s="18" t="s">
        <v>129</v>
      </c>
      <c r="I2500" s="18"/>
      <c r="J2500" s="18"/>
      <c r="K2500" s="18"/>
      <c r="L2500" s="18" t="s">
        <v>162</v>
      </c>
      <c r="M2500" s="18" t="s">
        <v>129</v>
      </c>
      <c r="N2500" s="18"/>
      <c r="O2500" s="18"/>
      <c r="P2500" s="18" t="s">
        <v>10537</v>
      </c>
      <c r="Q2500" s="18" t="s">
        <v>131</v>
      </c>
      <c r="R2500" s="18" t="s">
        <v>10538</v>
      </c>
      <c r="S2500" s="18" t="s">
        <v>133</v>
      </c>
      <c r="T2500" s="18" t="s">
        <v>10539</v>
      </c>
      <c r="U2500" s="18"/>
      <c r="V2500" s="19" t="s">
        <v>29</v>
      </c>
      <c r="W2500" s="19"/>
      <c r="X2500" s="19"/>
      <c r="Y2500" s="20"/>
      <c r="Z2500" s="19"/>
      <c r="AA2500" s="18" t="str">
        <f aca="false">IF(OR(V2500="Aprobada"),R2500,IF(AND(OR(V2500="Aprobada con ajuste",V2500="Rechazada"),W2500&lt;&gt;""),W2500,""))</f>
        <v/>
      </c>
    </row>
    <row r="2501" customFormat="false" ht="43.25" hidden="false" customHeight="false" outlineLevel="0" collapsed="false">
      <c r="A2501" s="18" t="s">
        <v>10540</v>
      </c>
      <c r="B2501" s="18" t="s">
        <v>70</v>
      </c>
      <c r="C2501" s="18" t="s">
        <v>71</v>
      </c>
      <c r="D2501" s="18" t="s">
        <v>10529</v>
      </c>
      <c r="E2501" s="18" t="n">
        <v>25</v>
      </c>
      <c r="F2501" s="18" t="s">
        <v>1994</v>
      </c>
      <c r="G2501" s="18" t="s">
        <v>145</v>
      </c>
      <c r="H2501" s="18" t="s">
        <v>129</v>
      </c>
      <c r="I2501" s="18"/>
      <c r="J2501" s="18"/>
      <c r="K2501" s="18"/>
      <c r="L2501" s="18" t="s">
        <v>162</v>
      </c>
      <c r="M2501" s="18" t="s">
        <v>129</v>
      </c>
      <c r="N2501" s="18"/>
      <c r="O2501" s="18"/>
      <c r="P2501" s="18" t="s">
        <v>10541</v>
      </c>
      <c r="Q2501" s="18" t="s">
        <v>131</v>
      </c>
      <c r="R2501" s="18" t="s">
        <v>10542</v>
      </c>
      <c r="S2501" s="18" t="s">
        <v>133</v>
      </c>
      <c r="T2501" s="18" t="s">
        <v>10543</v>
      </c>
      <c r="U2501" s="18"/>
      <c r="V2501" s="19" t="s">
        <v>29</v>
      </c>
      <c r="W2501" s="19"/>
      <c r="X2501" s="19"/>
      <c r="Y2501" s="20"/>
      <c r="Z2501" s="19"/>
      <c r="AA2501" s="18" t="str">
        <f aca="false">IF(OR(V2501="Aprobada"),R2501,IF(AND(OR(V2501="Aprobada con ajuste",V2501="Rechazada"),W2501&lt;&gt;""),W2501,""))</f>
        <v/>
      </c>
    </row>
    <row r="2502" customFormat="false" ht="22.35" hidden="false" customHeight="false" outlineLevel="0" collapsed="false">
      <c r="A2502" s="18" t="s">
        <v>10544</v>
      </c>
      <c r="B2502" s="18" t="s">
        <v>70</v>
      </c>
      <c r="C2502" s="18" t="s">
        <v>71</v>
      </c>
      <c r="D2502" s="18" t="s">
        <v>10529</v>
      </c>
      <c r="E2502" s="18" t="n">
        <v>25</v>
      </c>
      <c r="F2502" s="18" t="s">
        <v>172</v>
      </c>
      <c r="G2502" s="18" t="s">
        <v>173</v>
      </c>
      <c r="H2502" s="18" t="s">
        <v>162</v>
      </c>
      <c r="I2502" s="18"/>
      <c r="J2502" s="18"/>
      <c r="K2502" s="18"/>
      <c r="L2502" s="18" t="s">
        <v>162</v>
      </c>
      <c r="M2502" s="18" t="s">
        <v>129</v>
      </c>
      <c r="N2502" s="18"/>
      <c r="O2502" s="18"/>
      <c r="P2502" s="18" t="s">
        <v>10545</v>
      </c>
      <c r="Q2502" s="18" t="s">
        <v>138</v>
      </c>
      <c r="R2502" s="18" t="s">
        <v>176</v>
      </c>
      <c r="S2502" s="18" t="s">
        <v>140</v>
      </c>
      <c r="T2502" s="18" t="s">
        <v>141</v>
      </c>
      <c r="U2502" s="18"/>
      <c r="V2502" s="19" t="s">
        <v>29</v>
      </c>
      <c r="W2502" s="19"/>
      <c r="X2502" s="19"/>
      <c r="Y2502" s="20"/>
      <c r="Z2502" s="19"/>
      <c r="AA2502" s="18" t="str">
        <f aca="false">IF(OR(V2502="Aprobada"),R2502,IF(AND(OR(V2502="Aprobada con ajuste",V2502="Rechazada"),W2502&lt;&gt;""),W2502,""))</f>
        <v/>
      </c>
    </row>
    <row r="2503" customFormat="false" ht="22.35" hidden="false" customHeight="false" outlineLevel="0" collapsed="false">
      <c r="A2503" s="18" t="s">
        <v>10546</v>
      </c>
      <c r="B2503" s="18" t="s">
        <v>70</v>
      </c>
      <c r="C2503" s="18" t="s">
        <v>71</v>
      </c>
      <c r="D2503" s="18" t="s">
        <v>5433</v>
      </c>
      <c r="E2503" s="18" t="n">
        <v>2</v>
      </c>
      <c r="F2503" s="18" t="s">
        <v>5434</v>
      </c>
      <c r="G2503" s="18" t="s">
        <v>145</v>
      </c>
      <c r="H2503" s="18" t="s">
        <v>129</v>
      </c>
      <c r="I2503" s="18" t="s">
        <v>146</v>
      </c>
      <c r="J2503" s="18"/>
      <c r="K2503" s="18"/>
      <c r="L2503" s="18" t="s">
        <v>129</v>
      </c>
      <c r="M2503" s="18" t="s">
        <v>129</v>
      </c>
      <c r="N2503" s="18"/>
      <c r="O2503" s="18" t="s">
        <v>5435</v>
      </c>
      <c r="P2503" s="18"/>
      <c r="Q2503" s="18" t="s">
        <v>149</v>
      </c>
      <c r="R2503" s="18" t="s">
        <v>5437</v>
      </c>
      <c r="S2503" s="18" t="s">
        <v>140</v>
      </c>
      <c r="T2503" s="18" t="s">
        <v>5438</v>
      </c>
      <c r="U2503" s="18" t="s">
        <v>5439</v>
      </c>
      <c r="V2503" s="19" t="s">
        <v>29</v>
      </c>
      <c r="W2503" s="19"/>
      <c r="X2503" s="19"/>
      <c r="Y2503" s="20"/>
      <c r="Z2503" s="19"/>
      <c r="AA2503" s="18" t="str">
        <f aca="false">IF(OR(V2503="Aprobada"),R2503,IF(AND(OR(V2503="Aprobada con ajuste",V2503="Rechazada"),W2503&lt;&gt;""),W2503,""))</f>
        <v/>
      </c>
    </row>
    <row r="2504" customFormat="false" ht="22.35" hidden="false" customHeight="false" outlineLevel="0" collapsed="false">
      <c r="A2504" s="18" t="s">
        <v>10547</v>
      </c>
      <c r="B2504" s="18" t="s">
        <v>70</v>
      </c>
      <c r="C2504" s="18" t="s">
        <v>71</v>
      </c>
      <c r="D2504" s="18" t="s">
        <v>5433</v>
      </c>
      <c r="E2504" s="18" t="n">
        <v>2</v>
      </c>
      <c r="F2504" s="18" t="s">
        <v>5441</v>
      </c>
      <c r="G2504" s="18" t="s">
        <v>145</v>
      </c>
      <c r="H2504" s="18" t="s">
        <v>162</v>
      </c>
      <c r="I2504" s="18"/>
      <c r="J2504" s="18"/>
      <c r="K2504" s="18"/>
      <c r="L2504" s="18" t="s">
        <v>129</v>
      </c>
      <c r="M2504" s="18" t="s">
        <v>129</v>
      </c>
      <c r="N2504" s="18"/>
      <c r="O2504" s="18"/>
      <c r="P2504" s="18"/>
      <c r="Q2504" s="18" t="s">
        <v>149</v>
      </c>
      <c r="R2504" s="18" t="s">
        <v>5443</v>
      </c>
      <c r="S2504" s="18" t="s">
        <v>140</v>
      </c>
      <c r="T2504" s="18" t="s">
        <v>183</v>
      </c>
      <c r="U2504" s="18" t="s">
        <v>5444</v>
      </c>
      <c r="V2504" s="19" t="s">
        <v>29</v>
      </c>
      <c r="W2504" s="19"/>
      <c r="X2504" s="19"/>
      <c r="Y2504" s="20"/>
      <c r="Z2504" s="19"/>
      <c r="AA2504" s="18" t="str">
        <f aca="false">IF(OR(V2504="Aprobada"),R2504,IF(AND(OR(V2504="Aprobada con ajuste",V2504="Rechazada"),W2504&lt;&gt;""),W2504,""))</f>
        <v/>
      </c>
    </row>
    <row r="2505" customFormat="false" ht="32.8" hidden="false" customHeight="false" outlineLevel="0" collapsed="false">
      <c r="A2505" s="18" t="s">
        <v>10548</v>
      </c>
      <c r="B2505" s="18" t="s">
        <v>70</v>
      </c>
      <c r="C2505" s="18" t="s">
        <v>71</v>
      </c>
      <c r="D2505" s="18" t="s">
        <v>5433</v>
      </c>
      <c r="E2505" s="18" t="n">
        <v>2</v>
      </c>
      <c r="F2505" s="18" t="s">
        <v>5446</v>
      </c>
      <c r="G2505" s="18" t="s">
        <v>186</v>
      </c>
      <c r="H2505" s="18" t="s">
        <v>162</v>
      </c>
      <c r="I2505" s="18" t="s">
        <v>298</v>
      </c>
      <c r="J2505" s="18" t="s">
        <v>5447</v>
      </c>
      <c r="K2505" s="18"/>
      <c r="L2505" s="18" t="s">
        <v>162</v>
      </c>
      <c r="M2505" s="18" t="s">
        <v>129</v>
      </c>
      <c r="N2505" s="18"/>
      <c r="O2505" s="18"/>
      <c r="P2505" s="18"/>
      <c r="Q2505" s="18" t="s">
        <v>149</v>
      </c>
      <c r="R2505" s="18" t="s">
        <v>5449</v>
      </c>
      <c r="S2505" s="18" t="s">
        <v>133</v>
      </c>
      <c r="T2505" s="18" t="s">
        <v>801</v>
      </c>
      <c r="U2505" s="18"/>
      <c r="V2505" s="19" t="s">
        <v>29</v>
      </c>
      <c r="W2505" s="19"/>
      <c r="X2505" s="19"/>
      <c r="Y2505" s="20"/>
      <c r="Z2505" s="19"/>
      <c r="AA2505" s="18" t="str">
        <f aca="false">IF(OR(V2505="Aprobada"),R2505,IF(AND(OR(V2505="Aprobada con ajuste",V2505="Rechazada"),W2505&lt;&gt;""),W2505,""))</f>
        <v/>
      </c>
    </row>
    <row r="2506" customFormat="false" ht="22.35" hidden="false" customHeight="false" outlineLevel="0" collapsed="false">
      <c r="A2506" s="18" t="s">
        <v>10549</v>
      </c>
      <c r="B2506" s="18" t="s">
        <v>70</v>
      </c>
      <c r="C2506" s="18" t="s">
        <v>71</v>
      </c>
      <c r="D2506" s="18" t="s">
        <v>5433</v>
      </c>
      <c r="E2506" s="18" t="n">
        <v>2</v>
      </c>
      <c r="F2506" s="18" t="s">
        <v>4369</v>
      </c>
      <c r="G2506" s="18" t="s">
        <v>4598</v>
      </c>
      <c r="H2506" s="18" t="s">
        <v>129</v>
      </c>
      <c r="I2506" s="18"/>
      <c r="J2506" s="18"/>
      <c r="K2506" s="18"/>
      <c r="L2506" s="18" t="s">
        <v>129</v>
      </c>
      <c r="M2506" s="18" t="s">
        <v>162</v>
      </c>
      <c r="N2506" s="18" t="s">
        <v>3663</v>
      </c>
      <c r="O2506" s="18"/>
      <c r="P2506" s="18"/>
      <c r="Q2506" s="18" t="s">
        <v>149</v>
      </c>
      <c r="R2506" s="18" t="s">
        <v>5452</v>
      </c>
      <c r="S2506" s="18" t="s">
        <v>133</v>
      </c>
      <c r="T2506" s="18" t="s">
        <v>858</v>
      </c>
      <c r="U2506" s="18"/>
      <c r="V2506" s="19" t="s">
        <v>29</v>
      </c>
      <c r="W2506" s="19"/>
      <c r="X2506" s="19"/>
      <c r="Y2506" s="20"/>
      <c r="Z2506" s="19"/>
      <c r="AA2506" s="18" t="str">
        <f aca="false">IF(OR(V2506="Aprobada"),R2506,IF(AND(OR(V2506="Aprobada con ajuste",V2506="Rechazada"),W2506&lt;&gt;""),W2506,""))</f>
        <v/>
      </c>
    </row>
    <row r="2507" customFormat="false" ht="22.35" hidden="false" customHeight="false" outlineLevel="0" collapsed="false">
      <c r="A2507" s="18" t="s">
        <v>10550</v>
      </c>
      <c r="B2507" s="18" t="s">
        <v>70</v>
      </c>
      <c r="C2507" s="18" t="s">
        <v>71</v>
      </c>
      <c r="D2507" s="18" t="s">
        <v>5433</v>
      </c>
      <c r="E2507" s="18" t="n">
        <v>2</v>
      </c>
      <c r="F2507" s="18" t="s">
        <v>160</v>
      </c>
      <c r="G2507" s="18" t="s">
        <v>128</v>
      </c>
      <c r="H2507" s="18" t="s">
        <v>129</v>
      </c>
      <c r="I2507" s="18"/>
      <c r="J2507" s="18"/>
      <c r="K2507" s="18"/>
      <c r="L2507" s="18" t="s">
        <v>129</v>
      </c>
      <c r="M2507" s="18" t="s">
        <v>162</v>
      </c>
      <c r="N2507" s="18" t="s">
        <v>3663</v>
      </c>
      <c r="O2507" s="18"/>
      <c r="P2507" s="18"/>
      <c r="Q2507" s="18" t="s">
        <v>138</v>
      </c>
      <c r="R2507" s="18" t="s">
        <v>5455</v>
      </c>
      <c r="S2507" s="18" t="s">
        <v>140</v>
      </c>
      <c r="T2507" s="18" t="s">
        <v>141</v>
      </c>
      <c r="U2507" s="18"/>
      <c r="V2507" s="19" t="s">
        <v>29</v>
      </c>
      <c r="W2507" s="19"/>
      <c r="X2507" s="19"/>
      <c r="Y2507" s="20"/>
      <c r="Z2507" s="19"/>
      <c r="AA2507" s="18" t="str">
        <f aca="false">IF(OR(V2507="Aprobada"),R2507,IF(AND(OR(V2507="Aprobada con ajuste",V2507="Rechazada"),W2507&lt;&gt;""),W2507,""))</f>
        <v/>
      </c>
    </row>
    <row r="2508" customFormat="false" ht="22.35" hidden="false" customHeight="false" outlineLevel="0" collapsed="false">
      <c r="A2508" s="18" t="s">
        <v>10551</v>
      </c>
      <c r="B2508" s="18" t="s">
        <v>70</v>
      </c>
      <c r="C2508" s="18" t="s">
        <v>71</v>
      </c>
      <c r="D2508" s="18" t="s">
        <v>5433</v>
      </c>
      <c r="E2508" s="18" t="n">
        <v>2</v>
      </c>
      <c r="F2508" s="18" t="s">
        <v>5457</v>
      </c>
      <c r="G2508" s="18" t="s">
        <v>128</v>
      </c>
      <c r="H2508" s="18" t="s">
        <v>162</v>
      </c>
      <c r="I2508" s="18"/>
      <c r="J2508" s="18"/>
      <c r="K2508" s="18"/>
      <c r="L2508" s="18" t="s">
        <v>129</v>
      </c>
      <c r="M2508" s="18" t="s">
        <v>129</v>
      </c>
      <c r="N2508" s="18"/>
      <c r="O2508" s="18"/>
      <c r="P2508" s="18"/>
      <c r="Q2508" s="18" t="s">
        <v>149</v>
      </c>
      <c r="R2508" s="18" t="s">
        <v>5459</v>
      </c>
      <c r="S2508" s="18" t="s">
        <v>133</v>
      </c>
      <c r="T2508" s="18" t="s">
        <v>183</v>
      </c>
      <c r="U2508" s="18"/>
      <c r="V2508" s="19" t="s">
        <v>29</v>
      </c>
      <c r="W2508" s="19"/>
      <c r="X2508" s="19"/>
      <c r="Y2508" s="20"/>
      <c r="Z2508" s="19"/>
      <c r="AA2508" s="18" t="str">
        <f aca="false">IF(OR(V2508="Aprobada"),R2508,IF(AND(OR(V2508="Aprobada con ajuste",V2508="Rechazada"),W2508&lt;&gt;""),W2508,""))</f>
        <v/>
      </c>
    </row>
    <row r="2509" customFormat="false" ht="22.35" hidden="false" customHeight="false" outlineLevel="0" collapsed="false">
      <c r="A2509" s="18" t="s">
        <v>10552</v>
      </c>
      <c r="B2509" s="18" t="s">
        <v>70</v>
      </c>
      <c r="C2509" s="18" t="s">
        <v>71</v>
      </c>
      <c r="D2509" s="18" t="s">
        <v>5433</v>
      </c>
      <c r="E2509" s="18" t="n">
        <v>2</v>
      </c>
      <c r="F2509" s="18" t="s">
        <v>5461</v>
      </c>
      <c r="G2509" s="18" t="s">
        <v>128</v>
      </c>
      <c r="H2509" s="18" t="s">
        <v>162</v>
      </c>
      <c r="I2509" s="18"/>
      <c r="J2509" s="18"/>
      <c r="K2509" s="18"/>
      <c r="L2509" s="18" t="s">
        <v>129</v>
      </c>
      <c r="M2509" s="18" t="s">
        <v>129</v>
      </c>
      <c r="N2509" s="18"/>
      <c r="O2509" s="18"/>
      <c r="P2509" s="18"/>
      <c r="Q2509" s="18" t="s">
        <v>149</v>
      </c>
      <c r="R2509" s="18" t="s">
        <v>5463</v>
      </c>
      <c r="S2509" s="18" t="s">
        <v>133</v>
      </c>
      <c r="T2509" s="18" t="s">
        <v>183</v>
      </c>
      <c r="U2509" s="18"/>
      <c r="V2509" s="19" t="s">
        <v>29</v>
      </c>
      <c r="W2509" s="19"/>
      <c r="X2509" s="19"/>
      <c r="Y2509" s="20"/>
      <c r="Z2509" s="19"/>
      <c r="AA2509" s="18" t="str">
        <f aca="false">IF(OR(V2509="Aprobada"),R2509,IF(AND(OR(V2509="Aprobada con ajuste",V2509="Rechazada"),W2509&lt;&gt;""),W2509,""))</f>
        <v/>
      </c>
    </row>
    <row r="2510" customFormat="false" ht="22.35" hidden="false" customHeight="false" outlineLevel="0" collapsed="false">
      <c r="A2510" s="18" t="s">
        <v>10553</v>
      </c>
      <c r="B2510" s="18" t="s">
        <v>70</v>
      </c>
      <c r="C2510" s="18" t="s">
        <v>71</v>
      </c>
      <c r="D2510" s="18" t="s">
        <v>5433</v>
      </c>
      <c r="E2510" s="18" t="n">
        <v>2</v>
      </c>
      <c r="F2510" s="18" t="s">
        <v>5465</v>
      </c>
      <c r="G2510" s="18" t="s">
        <v>486</v>
      </c>
      <c r="H2510" s="18" t="s">
        <v>162</v>
      </c>
      <c r="I2510" s="18"/>
      <c r="J2510" s="18"/>
      <c r="K2510" s="18"/>
      <c r="L2510" s="18" t="s">
        <v>129</v>
      </c>
      <c r="M2510" s="18" t="s">
        <v>129</v>
      </c>
      <c r="N2510" s="18"/>
      <c r="O2510" s="18"/>
      <c r="P2510" s="18"/>
      <c r="Q2510" s="18" t="s">
        <v>149</v>
      </c>
      <c r="R2510" s="18" t="s">
        <v>5467</v>
      </c>
      <c r="S2510" s="18" t="s">
        <v>140</v>
      </c>
      <c r="T2510" s="18" t="s">
        <v>183</v>
      </c>
      <c r="U2510" s="18" t="s">
        <v>5468</v>
      </c>
      <c r="V2510" s="19" t="s">
        <v>29</v>
      </c>
      <c r="W2510" s="19"/>
      <c r="X2510" s="19"/>
      <c r="Y2510" s="20"/>
      <c r="Z2510" s="19"/>
      <c r="AA2510" s="18" t="str">
        <f aca="false">IF(OR(V2510="Aprobada"),R2510,IF(AND(OR(V2510="Aprobada con ajuste",V2510="Rechazada"),W2510&lt;&gt;""),W2510,""))</f>
        <v/>
      </c>
    </row>
    <row r="2511" customFormat="false" ht="22.35" hidden="false" customHeight="false" outlineLevel="0" collapsed="false">
      <c r="A2511" s="18" t="s">
        <v>10554</v>
      </c>
      <c r="B2511" s="18" t="s">
        <v>70</v>
      </c>
      <c r="C2511" s="18" t="s">
        <v>71</v>
      </c>
      <c r="D2511" s="18" t="s">
        <v>5433</v>
      </c>
      <c r="E2511" s="18" t="n">
        <v>2</v>
      </c>
      <c r="F2511" s="18" t="s">
        <v>5470</v>
      </c>
      <c r="G2511" s="18" t="s">
        <v>337</v>
      </c>
      <c r="H2511" s="18" t="s">
        <v>162</v>
      </c>
      <c r="I2511" s="18"/>
      <c r="J2511" s="18"/>
      <c r="K2511" s="18"/>
      <c r="L2511" s="18" t="s">
        <v>129</v>
      </c>
      <c r="M2511" s="18" t="s">
        <v>129</v>
      </c>
      <c r="N2511" s="18"/>
      <c r="O2511" s="18"/>
      <c r="P2511" s="18"/>
      <c r="Q2511" s="18" t="s">
        <v>149</v>
      </c>
      <c r="R2511" s="18" t="s">
        <v>5472</v>
      </c>
      <c r="S2511" s="18" t="s">
        <v>140</v>
      </c>
      <c r="T2511" s="18" t="s">
        <v>183</v>
      </c>
      <c r="U2511" s="18" t="s">
        <v>5473</v>
      </c>
      <c r="V2511" s="19" t="s">
        <v>29</v>
      </c>
      <c r="W2511" s="19"/>
      <c r="X2511" s="19"/>
      <c r="Y2511" s="20"/>
      <c r="Z2511" s="19"/>
      <c r="AA2511" s="18" t="str">
        <f aca="false">IF(OR(V2511="Aprobada"),R2511,IF(AND(OR(V2511="Aprobada con ajuste",V2511="Rechazada"),W2511&lt;&gt;""),W2511,""))</f>
        <v/>
      </c>
    </row>
    <row r="2512" customFormat="false" ht="22.35" hidden="false" customHeight="false" outlineLevel="0" collapsed="false">
      <c r="A2512" s="18" t="s">
        <v>10555</v>
      </c>
      <c r="B2512" s="18" t="s">
        <v>70</v>
      </c>
      <c r="C2512" s="18" t="s">
        <v>71</v>
      </c>
      <c r="D2512" s="18" t="s">
        <v>5433</v>
      </c>
      <c r="E2512" s="18" t="n">
        <v>2</v>
      </c>
      <c r="F2512" s="18" t="s">
        <v>5475</v>
      </c>
      <c r="G2512" s="18" t="s">
        <v>128</v>
      </c>
      <c r="H2512" s="18" t="s">
        <v>129</v>
      </c>
      <c r="I2512" s="18"/>
      <c r="J2512" s="18"/>
      <c r="K2512" s="18"/>
      <c r="L2512" s="18" t="s">
        <v>129</v>
      </c>
      <c r="M2512" s="18" t="s">
        <v>129</v>
      </c>
      <c r="N2512" s="18"/>
      <c r="O2512" s="18"/>
      <c r="P2512" s="18"/>
      <c r="Q2512" s="18" t="s">
        <v>149</v>
      </c>
      <c r="R2512" s="18" t="s">
        <v>5477</v>
      </c>
      <c r="S2512" s="18" t="s">
        <v>133</v>
      </c>
      <c r="T2512" s="18" t="s">
        <v>183</v>
      </c>
      <c r="U2512" s="18"/>
      <c r="V2512" s="19" t="s">
        <v>29</v>
      </c>
      <c r="W2512" s="19"/>
      <c r="X2512" s="19"/>
      <c r="Y2512" s="20"/>
      <c r="Z2512" s="19"/>
      <c r="AA2512" s="18" t="str">
        <f aca="false">IF(OR(V2512="Aprobada"),R2512,IF(AND(OR(V2512="Aprobada con ajuste",V2512="Rechazada"),W2512&lt;&gt;""),W2512,""))</f>
        <v/>
      </c>
    </row>
    <row r="2513" customFormat="false" ht="22.35" hidden="false" customHeight="false" outlineLevel="0" collapsed="false">
      <c r="A2513" s="18" t="s">
        <v>10556</v>
      </c>
      <c r="B2513" s="18" t="s">
        <v>70</v>
      </c>
      <c r="C2513" s="18" t="s">
        <v>71</v>
      </c>
      <c r="D2513" s="18" t="s">
        <v>5433</v>
      </c>
      <c r="E2513" s="18" t="n">
        <v>2</v>
      </c>
      <c r="F2513" s="18" t="s">
        <v>5479</v>
      </c>
      <c r="G2513" s="18" t="s">
        <v>137</v>
      </c>
      <c r="H2513" s="18" t="s">
        <v>129</v>
      </c>
      <c r="I2513" s="18"/>
      <c r="J2513" s="18"/>
      <c r="K2513" s="18"/>
      <c r="L2513" s="18" t="s">
        <v>129</v>
      </c>
      <c r="M2513" s="18" t="s">
        <v>129</v>
      </c>
      <c r="N2513" s="18"/>
      <c r="O2513" s="18" t="s">
        <v>10557</v>
      </c>
      <c r="P2513" s="18"/>
      <c r="Q2513" s="18" t="s">
        <v>138</v>
      </c>
      <c r="R2513" s="18" t="s">
        <v>5482</v>
      </c>
      <c r="S2513" s="18" t="s">
        <v>140</v>
      </c>
      <c r="T2513" s="18" t="s">
        <v>141</v>
      </c>
      <c r="U2513" s="18"/>
      <c r="V2513" s="19" t="s">
        <v>29</v>
      </c>
      <c r="W2513" s="19"/>
      <c r="X2513" s="19"/>
      <c r="Y2513" s="20"/>
      <c r="Z2513" s="19"/>
      <c r="AA2513" s="18" t="str">
        <f aca="false">IF(OR(V2513="Aprobada"),R2513,IF(AND(OR(V2513="Aprobada con ajuste",V2513="Rechazada"),W2513&lt;&gt;""),W2513,""))</f>
        <v/>
      </c>
    </row>
    <row r="2514" customFormat="false" ht="22.35" hidden="false" customHeight="false" outlineLevel="0" collapsed="false">
      <c r="A2514" s="18" t="s">
        <v>10558</v>
      </c>
      <c r="B2514" s="18" t="s">
        <v>70</v>
      </c>
      <c r="C2514" s="18" t="s">
        <v>71</v>
      </c>
      <c r="D2514" s="18" t="s">
        <v>5433</v>
      </c>
      <c r="E2514" s="18" t="n">
        <v>2</v>
      </c>
      <c r="F2514" s="18" t="s">
        <v>5484</v>
      </c>
      <c r="G2514" s="18" t="s">
        <v>128</v>
      </c>
      <c r="H2514" s="18" t="s">
        <v>162</v>
      </c>
      <c r="I2514" s="18"/>
      <c r="J2514" s="18"/>
      <c r="K2514" s="18"/>
      <c r="L2514" s="18" t="s">
        <v>129</v>
      </c>
      <c r="M2514" s="18" t="s">
        <v>129</v>
      </c>
      <c r="N2514" s="18"/>
      <c r="O2514" s="18"/>
      <c r="P2514" s="18"/>
      <c r="Q2514" s="18" t="s">
        <v>149</v>
      </c>
      <c r="R2514" s="18" t="s">
        <v>5486</v>
      </c>
      <c r="S2514" s="18" t="s">
        <v>140</v>
      </c>
      <c r="T2514" s="18" t="s">
        <v>183</v>
      </c>
      <c r="U2514" s="18" t="s">
        <v>5487</v>
      </c>
      <c r="V2514" s="19" t="s">
        <v>29</v>
      </c>
      <c r="W2514" s="19"/>
      <c r="X2514" s="19"/>
      <c r="Y2514" s="20"/>
      <c r="Z2514" s="19"/>
      <c r="AA2514" s="18" t="str">
        <f aca="false">IF(OR(V2514="Aprobada"),R2514,IF(AND(OR(V2514="Aprobada con ajuste",V2514="Rechazada"),W2514&lt;&gt;""),W2514,""))</f>
        <v/>
      </c>
    </row>
    <row r="2515" customFormat="false" ht="22.35" hidden="false" customHeight="false" outlineLevel="0" collapsed="false">
      <c r="A2515" s="18" t="s">
        <v>10559</v>
      </c>
      <c r="B2515" s="18" t="s">
        <v>70</v>
      </c>
      <c r="C2515" s="18" t="s">
        <v>71</v>
      </c>
      <c r="D2515" s="18" t="s">
        <v>5433</v>
      </c>
      <c r="E2515" s="18" t="n">
        <v>2</v>
      </c>
      <c r="F2515" s="18" t="s">
        <v>5489</v>
      </c>
      <c r="G2515" s="18" t="s">
        <v>486</v>
      </c>
      <c r="H2515" s="18" t="s">
        <v>162</v>
      </c>
      <c r="I2515" s="18"/>
      <c r="J2515" s="18"/>
      <c r="K2515" s="18"/>
      <c r="L2515" s="18" t="s">
        <v>129</v>
      </c>
      <c r="M2515" s="18" t="s">
        <v>129</v>
      </c>
      <c r="N2515" s="18"/>
      <c r="O2515" s="18"/>
      <c r="P2515" s="18"/>
      <c r="Q2515" s="18" t="s">
        <v>149</v>
      </c>
      <c r="R2515" s="18" t="s">
        <v>5491</v>
      </c>
      <c r="S2515" s="18" t="s">
        <v>140</v>
      </c>
      <c r="T2515" s="18" t="s">
        <v>183</v>
      </c>
      <c r="U2515" s="18" t="s">
        <v>5492</v>
      </c>
      <c r="V2515" s="19" t="s">
        <v>29</v>
      </c>
      <c r="W2515" s="19"/>
      <c r="X2515" s="19"/>
      <c r="Y2515" s="20"/>
      <c r="Z2515" s="19"/>
      <c r="AA2515" s="18" t="str">
        <f aca="false">IF(OR(V2515="Aprobada"),R2515,IF(AND(OR(V2515="Aprobada con ajuste",V2515="Rechazada"),W2515&lt;&gt;""),W2515,""))</f>
        <v/>
      </c>
    </row>
    <row r="2516" customFormat="false" ht="32.8" hidden="false" customHeight="false" outlineLevel="0" collapsed="false">
      <c r="A2516" s="18" t="s">
        <v>10560</v>
      </c>
      <c r="B2516" s="18" t="s">
        <v>70</v>
      </c>
      <c r="C2516" s="18" t="s">
        <v>71</v>
      </c>
      <c r="D2516" s="18" t="s">
        <v>5433</v>
      </c>
      <c r="E2516" s="18" t="n">
        <v>2</v>
      </c>
      <c r="F2516" s="18" t="s">
        <v>185</v>
      </c>
      <c r="G2516" s="18" t="s">
        <v>186</v>
      </c>
      <c r="H2516" s="18" t="s">
        <v>162</v>
      </c>
      <c r="I2516" s="18" t="s">
        <v>298</v>
      </c>
      <c r="J2516" s="18" t="s">
        <v>5494</v>
      </c>
      <c r="K2516" s="18"/>
      <c r="L2516" s="18" t="s">
        <v>162</v>
      </c>
      <c r="M2516" s="18" t="s">
        <v>162</v>
      </c>
      <c r="N2516" s="18" t="s">
        <v>5495</v>
      </c>
      <c r="O2516" s="18" t="s">
        <v>5496</v>
      </c>
      <c r="P2516" s="18"/>
      <c r="Q2516" s="18" t="s">
        <v>138</v>
      </c>
      <c r="R2516" s="18" t="s">
        <v>5498</v>
      </c>
      <c r="S2516" s="18" t="s">
        <v>140</v>
      </c>
      <c r="T2516" s="18" t="s">
        <v>141</v>
      </c>
      <c r="U2516" s="18"/>
      <c r="V2516" s="19" t="s">
        <v>29</v>
      </c>
      <c r="W2516" s="19"/>
      <c r="X2516" s="19"/>
      <c r="Y2516" s="20"/>
      <c r="Z2516" s="19"/>
      <c r="AA2516" s="18" t="str">
        <f aca="false">IF(OR(V2516="Aprobada"),R2516,IF(AND(OR(V2516="Aprobada con ajuste",V2516="Rechazada"),W2516&lt;&gt;""),W2516,""))</f>
        <v/>
      </c>
    </row>
    <row r="2517" customFormat="false" ht="22.35" hidden="false" customHeight="false" outlineLevel="0" collapsed="false">
      <c r="A2517" s="18" t="s">
        <v>10561</v>
      </c>
      <c r="B2517" s="18" t="s">
        <v>70</v>
      </c>
      <c r="C2517" s="18" t="s">
        <v>71</v>
      </c>
      <c r="D2517" s="18" t="s">
        <v>5433</v>
      </c>
      <c r="E2517" s="18" t="n">
        <v>2</v>
      </c>
      <c r="F2517" s="18" t="s">
        <v>5500</v>
      </c>
      <c r="G2517" s="18" t="s">
        <v>503</v>
      </c>
      <c r="H2517" s="18" t="s">
        <v>162</v>
      </c>
      <c r="I2517" s="18" t="s">
        <v>298</v>
      </c>
      <c r="J2517" s="18"/>
      <c r="K2517" s="18"/>
      <c r="L2517" s="18" t="s">
        <v>129</v>
      </c>
      <c r="M2517" s="18" t="s">
        <v>129</v>
      </c>
      <c r="N2517" s="18"/>
      <c r="O2517" s="18"/>
      <c r="P2517" s="18"/>
      <c r="Q2517" s="18" t="s">
        <v>149</v>
      </c>
      <c r="R2517" s="18" t="s">
        <v>5502</v>
      </c>
      <c r="S2517" s="18" t="s">
        <v>140</v>
      </c>
      <c r="T2517" s="18" t="s">
        <v>5503</v>
      </c>
      <c r="U2517" s="18" t="s">
        <v>10562</v>
      </c>
      <c r="V2517" s="19" t="s">
        <v>29</v>
      </c>
      <c r="W2517" s="19"/>
      <c r="X2517" s="19"/>
      <c r="Y2517" s="20"/>
      <c r="Z2517" s="19"/>
      <c r="AA2517" s="18" t="str">
        <f aca="false">IF(OR(V2517="Aprobada"),R2517,IF(AND(OR(V2517="Aprobada con ajuste",V2517="Rechazada"),W2517&lt;&gt;""),W2517,""))</f>
        <v/>
      </c>
    </row>
    <row r="2518" customFormat="false" ht="22.35" hidden="false" customHeight="false" outlineLevel="0" collapsed="false">
      <c r="A2518" s="18" t="s">
        <v>10563</v>
      </c>
      <c r="B2518" s="18" t="s">
        <v>70</v>
      </c>
      <c r="C2518" s="18" t="s">
        <v>71</v>
      </c>
      <c r="D2518" s="18" t="s">
        <v>5433</v>
      </c>
      <c r="E2518" s="18" t="n">
        <v>2</v>
      </c>
      <c r="F2518" s="18" t="s">
        <v>5506</v>
      </c>
      <c r="G2518" s="18" t="s">
        <v>317</v>
      </c>
      <c r="H2518" s="18" t="s">
        <v>162</v>
      </c>
      <c r="I2518" s="18"/>
      <c r="J2518" s="18"/>
      <c r="K2518" s="18"/>
      <c r="L2518" s="18" t="s">
        <v>129</v>
      </c>
      <c r="M2518" s="18" t="s">
        <v>129</v>
      </c>
      <c r="N2518" s="18"/>
      <c r="O2518" s="18"/>
      <c r="P2518" s="18"/>
      <c r="Q2518" s="18" t="s">
        <v>138</v>
      </c>
      <c r="R2518" s="18" t="s">
        <v>5508</v>
      </c>
      <c r="S2518" s="18" t="s">
        <v>140</v>
      </c>
      <c r="T2518" s="18" t="s">
        <v>141</v>
      </c>
      <c r="U2518" s="18"/>
      <c r="V2518" s="19" t="s">
        <v>29</v>
      </c>
      <c r="W2518" s="19"/>
      <c r="X2518" s="19"/>
      <c r="Y2518" s="20"/>
      <c r="Z2518" s="19"/>
      <c r="AA2518" s="18" t="str">
        <f aca="false">IF(OR(V2518="Aprobada"),R2518,IF(AND(OR(V2518="Aprobada con ajuste",V2518="Rechazada"),W2518&lt;&gt;""),W2518,""))</f>
        <v/>
      </c>
    </row>
    <row r="2519" customFormat="false" ht="22.35" hidden="false" customHeight="false" outlineLevel="0" collapsed="false">
      <c r="A2519" s="18" t="s">
        <v>10564</v>
      </c>
      <c r="B2519" s="18" t="s">
        <v>70</v>
      </c>
      <c r="C2519" s="18" t="s">
        <v>71</v>
      </c>
      <c r="D2519" s="18" t="s">
        <v>5433</v>
      </c>
      <c r="E2519" s="18" t="n">
        <v>2</v>
      </c>
      <c r="F2519" s="18" t="s">
        <v>5510</v>
      </c>
      <c r="G2519" s="18" t="s">
        <v>137</v>
      </c>
      <c r="H2519" s="18" t="s">
        <v>162</v>
      </c>
      <c r="I2519" s="18"/>
      <c r="J2519" s="18"/>
      <c r="K2519" s="18"/>
      <c r="L2519" s="18" t="s">
        <v>129</v>
      </c>
      <c r="M2519" s="18" t="s">
        <v>129</v>
      </c>
      <c r="N2519" s="18"/>
      <c r="O2519" s="18"/>
      <c r="P2519" s="18"/>
      <c r="Q2519" s="18" t="s">
        <v>138</v>
      </c>
      <c r="R2519" s="18" t="s">
        <v>5512</v>
      </c>
      <c r="S2519" s="18" t="s">
        <v>140</v>
      </c>
      <c r="T2519" s="18" t="s">
        <v>141</v>
      </c>
      <c r="U2519" s="18"/>
      <c r="V2519" s="19" t="s">
        <v>29</v>
      </c>
      <c r="W2519" s="19"/>
      <c r="X2519" s="19"/>
      <c r="Y2519" s="20"/>
      <c r="Z2519" s="19"/>
      <c r="AA2519" s="18" t="str">
        <f aca="false">IF(OR(V2519="Aprobada"),R2519,IF(AND(OR(V2519="Aprobada con ajuste",V2519="Rechazada"),W2519&lt;&gt;""),W2519,""))</f>
        <v/>
      </c>
    </row>
    <row r="2520" customFormat="false" ht="32.8" hidden="false" customHeight="false" outlineLevel="0" collapsed="false">
      <c r="A2520" s="18" t="s">
        <v>10565</v>
      </c>
      <c r="B2520" s="18" t="s">
        <v>70</v>
      </c>
      <c r="C2520" s="18" t="s">
        <v>71</v>
      </c>
      <c r="D2520" s="18" t="s">
        <v>5433</v>
      </c>
      <c r="E2520" s="18" t="n">
        <v>2</v>
      </c>
      <c r="F2520" s="18" t="s">
        <v>5514</v>
      </c>
      <c r="G2520" s="18" t="s">
        <v>205</v>
      </c>
      <c r="H2520" s="18" t="s">
        <v>162</v>
      </c>
      <c r="I2520" s="18" t="s">
        <v>298</v>
      </c>
      <c r="J2520" s="18" t="s">
        <v>5515</v>
      </c>
      <c r="K2520" s="18"/>
      <c r="L2520" s="18" t="s">
        <v>162</v>
      </c>
      <c r="M2520" s="18" t="s">
        <v>129</v>
      </c>
      <c r="N2520" s="18"/>
      <c r="O2520" s="18"/>
      <c r="P2520" s="18"/>
      <c r="Q2520" s="18" t="s">
        <v>149</v>
      </c>
      <c r="R2520" s="18" t="s">
        <v>10566</v>
      </c>
      <c r="S2520" s="18" t="s">
        <v>133</v>
      </c>
      <c r="T2520" s="18" t="s">
        <v>801</v>
      </c>
      <c r="U2520" s="18"/>
      <c r="V2520" s="19" t="s">
        <v>29</v>
      </c>
      <c r="W2520" s="19"/>
      <c r="X2520" s="19"/>
      <c r="Y2520" s="20"/>
      <c r="Z2520" s="19"/>
      <c r="AA2520" s="18" t="str">
        <f aca="false">IF(OR(V2520="Aprobada"),R2520,IF(AND(OR(V2520="Aprobada con ajuste",V2520="Rechazada"),W2520&lt;&gt;""),W2520,""))</f>
        <v/>
      </c>
    </row>
    <row r="2521" customFormat="false" ht="22.35" hidden="false" customHeight="false" outlineLevel="0" collapsed="false">
      <c r="A2521" s="18" t="s">
        <v>10567</v>
      </c>
      <c r="B2521" s="18" t="s">
        <v>70</v>
      </c>
      <c r="C2521" s="18" t="s">
        <v>71</v>
      </c>
      <c r="D2521" s="18" t="s">
        <v>5433</v>
      </c>
      <c r="E2521" s="18" t="n">
        <v>2</v>
      </c>
      <c r="F2521" s="18" t="s">
        <v>5519</v>
      </c>
      <c r="G2521" s="18" t="s">
        <v>161</v>
      </c>
      <c r="H2521" s="18" t="s">
        <v>162</v>
      </c>
      <c r="I2521" s="18"/>
      <c r="J2521" s="18"/>
      <c r="K2521" s="18"/>
      <c r="L2521" s="18" t="s">
        <v>129</v>
      </c>
      <c r="M2521" s="18" t="s">
        <v>129</v>
      </c>
      <c r="N2521" s="18"/>
      <c r="O2521" s="18"/>
      <c r="P2521" s="18"/>
      <c r="Q2521" s="18" t="s">
        <v>149</v>
      </c>
      <c r="R2521" s="18" t="s">
        <v>5521</v>
      </c>
      <c r="S2521" s="18" t="s">
        <v>140</v>
      </c>
      <c r="T2521" s="18" t="s">
        <v>183</v>
      </c>
      <c r="U2521" s="18" t="s">
        <v>5522</v>
      </c>
      <c r="V2521" s="19" t="s">
        <v>29</v>
      </c>
      <c r="W2521" s="19"/>
      <c r="X2521" s="19"/>
      <c r="Y2521" s="20"/>
      <c r="Z2521" s="19"/>
      <c r="AA2521" s="18" t="str">
        <f aca="false">IF(OR(V2521="Aprobada"),R2521,IF(AND(OR(V2521="Aprobada con ajuste",V2521="Rechazada"),W2521&lt;&gt;""),W2521,""))</f>
        <v/>
      </c>
    </row>
    <row r="2522" customFormat="false" ht="22.35" hidden="false" customHeight="false" outlineLevel="0" collapsed="false">
      <c r="A2522" s="18" t="s">
        <v>10568</v>
      </c>
      <c r="B2522" s="18" t="s">
        <v>70</v>
      </c>
      <c r="C2522" s="18" t="s">
        <v>71</v>
      </c>
      <c r="D2522" s="18" t="s">
        <v>5433</v>
      </c>
      <c r="E2522" s="18" t="n">
        <v>2</v>
      </c>
      <c r="F2522" s="18" t="s">
        <v>10569</v>
      </c>
      <c r="G2522" s="18" t="s">
        <v>651</v>
      </c>
      <c r="H2522" s="18" t="s">
        <v>162</v>
      </c>
      <c r="I2522" s="18"/>
      <c r="J2522" s="18"/>
      <c r="K2522" s="18"/>
      <c r="L2522" s="18" t="s">
        <v>129</v>
      </c>
      <c r="M2522" s="18" t="s">
        <v>129</v>
      </c>
      <c r="N2522" s="18"/>
      <c r="O2522" s="18"/>
      <c r="P2522" s="18"/>
      <c r="Q2522" s="18" t="s">
        <v>149</v>
      </c>
      <c r="R2522" s="18" t="s">
        <v>10570</v>
      </c>
      <c r="S2522" s="18" t="s">
        <v>133</v>
      </c>
      <c r="T2522" s="18" t="s">
        <v>858</v>
      </c>
      <c r="U2522" s="18"/>
      <c r="V2522" s="19" t="s">
        <v>29</v>
      </c>
      <c r="W2522" s="19"/>
      <c r="X2522" s="19"/>
      <c r="Y2522" s="20"/>
      <c r="Z2522" s="19"/>
      <c r="AA2522" s="18" t="str">
        <f aca="false">IF(OR(V2522="Aprobada"),R2522,IF(AND(OR(V2522="Aprobada con ajuste",V2522="Rechazada"),W2522&lt;&gt;""),W2522,""))</f>
        <v/>
      </c>
    </row>
    <row r="2523" customFormat="false" ht="74.6" hidden="false" customHeight="false" outlineLevel="0" collapsed="false">
      <c r="A2523" s="18" t="s">
        <v>10571</v>
      </c>
      <c r="B2523" s="18" t="s">
        <v>70</v>
      </c>
      <c r="C2523" s="18" t="s">
        <v>71</v>
      </c>
      <c r="D2523" s="18" t="s">
        <v>10572</v>
      </c>
      <c r="E2523" s="18" t="n">
        <v>0</v>
      </c>
      <c r="F2523" s="18" t="s">
        <v>1744</v>
      </c>
      <c r="G2523" s="18" t="s">
        <v>145</v>
      </c>
      <c r="H2523" s="18" t="s">
        <v>129</v>
      </c>
      <c r="I2523" s="18"/>
      <c r="J2523" s="18"/>
      <c r="K2523" s="18"/>
      <c r="L2523" s="18" t="s">
        <v>129</v>
      </c>
      <c r="M2523" s="18" t="s">
        <v>162</v>
      </c>
      <c r="N2523" s="18" t="s">
        <v>10573</v>
      </c>
      <c r="O2523" s="18"/>
      <c r="P2523" s="18"/>
      <c r="Q2523" s="18" t="s">
        <v>149</v>
      </c>
      <c r="R2523" s="18" t="s">
        <v>10574</v>
      </c>
      <c r="S2523" s="18" t="s">
        <v>140</v>
      </c>
      <c r="T2523" s="18" t="s">
        <v>10575</v>
      </c>
      <c r="U2523" s="18" t="s">
        <v>10576</v>
      </c>
      <c r="V2523" s="19" t="s">
        <v>29</v>
      </c>
      <c r="W2523" s="19"/>
      <c r="X2523" s="19"/>
      <c r="Y2523" s="20"/>
      <c r="Z2523" s="19"/>
      <c r="AA2523" s="18" t="str">
        <f aca="false">IF(OR(V2523="Aprobada"),R2523,IF(AND(OR(V2523="Aprobada con ajuste",V2523="Rechazada"),W2523&lt;&gt;""),W2523,""))</f>
        <v/>
      </c>
    </row>
    <row r="2524" customFormat="false" ht="74.6" hidden="false" customHeight="false" outlineLevel="0" collapsed="false">
      <c r="A2524" s="18" t="s">
        <v>10577</v>
      </c>
      <c r="B2524" s="18" t="s">
        <v>70</v>
      </c>
      <c r="C2524" s="18" t="s">
        <v>71</v>
      </c>
      <c r="D2524" s="18" t="s">
        <v>10572</v>
      </c>
      <c r="E2524" s="18" t="n">
        <v>0</v>
      </c>
      <c r="F2524" s="18" t="s">
        <v>160</v>
      </c>
      <c r="G2524" s="18" t="s">
        <v>128</v>
      </c>
      <c r="H2524" s="18" t="s">
        <v>162</v>
      </c>
      <c r="I2524" s="18"/>
      <c r="J2524" s="18"/>
      <c r="K2524" s="18"/>
      <c r="L2524" s="18" t="s">
        <v>129</v>
      </c>
      <c r="M2524" s="18" t="s">
        <v>162</v>
      </c>
      <c r="N2524" s="18" t="s">
        <v>10573</v>
      </c>
      <c r="O2524" s="18"/>
      <c r="P2524" s="18"/>
      <c r="Q2524" s="18" t="s">
        <v>138</v>
      </c>
      <c r="R2524" s="18" t="s">
        <v>10578</v>
      </c>
      <c r="S2524" s="18" t="s">
        <v>140</v>
      </c>
      <c r="T2524" s="18" t="s">
        <v>141</v>
      </c>
      <c r="U2524" s="18"/>
      <c r="V2524" s="19" t="s">
        <v>29</v>
      </c>
      <c r="W2524" s="19"/>
      <c r="X2524" s="19"/>
      <c r="Y2524" s="20"/>
      <c r="Z2524" s="19"/>
      <c r="AA2524" s="18" t="str">
        <f aca="false">IF(OR(V2524="Aprobada"),R2524,IF(AND(OR(V2524="Aprobada con ajuste",V2524="Rechazada"),W2524&lt;&gt;""),W2524,""))</f>
        <v/>
      </c>
    </row>
    <row r="2525" customFormat="false" ht="74.6" hidden="false" customHeight="false" outlineLevel="0" collapsed="false">
      <c r="A2525" s="18" t="s">
        <v>10579</v>
      </c>
      <c r="B2525" s="18" t="s">
        <v>70</v>
      </c>
      <c r="C2525" s="18" t="s">
        <v>71</v>
      </c>
      <c r="D2525" s="18" t="s">
        <v>10572</v>
      </c>
      <c r="E2525" s="18" t="n">
        <v>0</v>
      </c>
      <c r="F2525" s="18" t="s">
        <v>5530</v>
      </c>
      <c r="G2525" s="18" t="s">
        <v>186</v>
      </c>
      <c r="H2525" s="18" t="s">
        <v>162</v>
      </c>
      <c r="I2525" s="18"/>
      <c r="J2525" s="18"/>
      <c r="K2525" s="18"/>
      <c r="L2525" s="18" t="s">
        <v>129</v>
      </c>
      <c r="M2525" s="18" t="s">
        <v>162</v>
      </c>
      <c r="N2525" s="18" t="s">
        <v>10573</v>
      </c>
      <c r="O2525" s="18"/>
      <c r="P2525" s="18"/>
      <c r="Q2525" s="18" t="s">
        <v>149</v>
      </c>
      <c r="R2525" s="18" t="s">
        <v>10580</v>
      </c>
      <c r="S2525" s="18" t="s">
        <v>133</v>
      </c>
      <c r="T2525" s="18" t="s">
        <v>10575</v>
      </c>
      <c r="U2525" s="18"/>
      <c r="V2525" s="19" t="s">
        <v>29</v>
      </c>
      <c r="W2525" s="19"/>
      <c r="X2525" s="19"/>
      <c r="Y2525" s="20"/>
      <c r="Z2525" s="19"/>
      <c r="AA2525" s="18" t="str">
        <f aca="false">IF(OR(V2525="Aprobada"),R2525,IF(AND(OR(V2525="Aprobada con ajuste",V2525="Rechazada"),W2525&lt;&gt;""),W2525,""))</f>
        <v/>
      </c>
    </row>
    <row r="2526" customFormat="false" ht="74.6" hidden="false" customHeight="false" outlineLevel="0" collapsed="false">
      <c r="A2526" s="18" t="s">
        <v>10581</v>
      </c>
      <c r="B2526" s="18" t="s">
        <v>70</v>
      </c>
      <c r="C2526" s="18" t="s">
        <v>71</v>
      </c>
      <c r="D2526" s="18" t="s">
        <v>10572</v>
      </c>
      <c r="E2526" s="18" t="n">
        <v>0</v>
      </c>
      <c r="F2526" s="18" t="s">
        <v>5533</v>
      </c>
      <c r="G2526" s="18" t="s">
        <v>186</v>
      </c>
      <c r="H2526" s="18" t="s">
        <v>162</v>
      </c>
      <c r="I2526" s="18"/>
      <c r="J2526" s="18"/>
      <c r="K2526" s="18"/>
      <c r="L2526" s="18" t="s">
        <v>129</v>
      </c>
      <c r="M2526" s="18" t="s">
        <v>162</v>
      </c>
      <c r="N2526" s="18" t="s">
        <v>10573</v>
      </c>
      <c r="O2526" s="18"/>
      <c r="P2526" s="18"/>
      <c r="Q2526" s="18" t="s">
        <v>149</v>
      </c>
      <c r="R2526" s="18" t="s">
        <v>10582</v>
      </c>
      <c r="S2526" s="18" t="s">
        <v>133</v>
      </c>
      <c r="T2526" s="18" t="s">
        <v>10575</v>
      </c>
      <c r="U2526" s="18"/>
      <c r="V2526" s="19" t="s">
        <v>29</v>
      </c>
      <c r="W2526" s="19"/>
      <c r="X2526" s="19"/>
      <c r="Y2526" s="20"/>
      <c r="Z2526" s="19"/>
      <c r="AA2526" s="18" t="str">
        <f aca="false">IF(OR(V2526="Aprobada"),R2526,IF(AND(OR(V2526="Aprobada con ajuste",V2526="Rechazada"),W2526&lt;&gt;""),W2526,""))</f>
        <v/>
      </c>
    </row>
    <row r="2527" customFormat="false" ht="22.35" hidden="false" customHeight="false" outlineLevel="0" collapsed="false">
      <c r="A2527" s="18" t="s">
        <v>10583</v>
      </c>
      <c r="B2527" s="18" t="s">
        <v>70</v>
      </c>
      <c r="C2527" s="18" t="s">
        <v>71</v>
      </c>
      <c r="D2527" s="18" t="s">
        <v>10572</v>
      </c>
      <c r="E2527" s="18" t="n">
        <v>0</v>
      </c>
      <c r="F2527" s="18" t="s">
        <v>1738</v>
      </c>
      <c r="G2527" s="18" t="s">
        <v>337</v>
      </c>
      <c r="H2527" s="18" t="s">
        <v>162</v>
      </c>
      <c r="I2527" s="18"/>
      <c r="J2527" s="18"/>
      <c r="K2527" s="18"/>
      <c r="L2527" s="18" t="s">
        <v>129</v>
      </c>
      <c r="M2527" s="18" t="s">
        <v>129</v>
      </c>
      <c r="N2527" s="18"/>
      <c r="O2527" s="18"/>
      <c r="P2527" s="18"/>
      <c r="Q2527" s="18" t="s">
        <v>149</v>
      </c>
      <c r="R2527" s="18" t="s">
        <v>1739</v>
      </c>
      <c r="S2527" s="18" t="s">
        <v>140</v>
      </c>
      <c r="T2527" s="18" t="s">
        <v>183</v>
      </c>
      <c r="U2527" s="18" t="s">
        <v>10584</v>
      </c>
      <c r="V2527" s="19" t="s">
        <v>29</v>
      </c>
      <c r="W2527" s="19"/>
      <c r="X2527" s="19"/>
      <c r="Y2527" s="20"/>
      <c r="Z2527" s="19"/>
      <c r="AA2527" s="18" t="str">
        <f aca="false">IF(OR(V2527="Aprobada"),R2527,IF(AND(OR(V2527="Aprobada con ajuste",V2527="Rechazada"),W2527&lt;&gt;""),W2527,""))</f>
        <v/>
      </c>
    </row>
    <row r="2528" customFormat="false" ht="22.35" hidden="false" customHeight="false" outlineLevel="0" collapsed="false">
      <c r="A2528" s="18" t="s">
        <v>10585</v>
      </c>
      <c r="B2528" s="18" t="s">
        <v>70</v>
      </c>
      <c r="C2528" s="18" t="s">
        <v>71</v>
      </c>
      <c r="D2528" s="18" t="s">
        <v>10572</v>
      </c>
      <c r="E2528" s="18" t="n">
        <v>0</v>
      </c>
      <c r="F2528" s="18" t="s">
        <v>10586</v>
      </c>
      <c r="G2528" s="18" t="s">
        <v>486</v>
      </c>
      <c r="H2528" s="18" t="s">
        <v>162</v>
      </c>
      <c r="I2528" s="18"/>
      <c r="J2528" s="18"/>
      <c r="K2528" s="18"/>
      <c r="L2528" s="18" t="s">
        <v>129</v>
      </c>
      <c r="M2528" s="18" t="s">
        <v>129</v>
      </c>
      <c r="N2528" s="18"/>
      <c r="O2528" s="18"/>
      <c r="P2528" s="18"/>
      <c r="Q2528" s="18" t="s">
        <v>149</v>
      </c>
      <c r="R2528" s="18" t="s">
        <v>10587</v>
      </c>
      <c r="S2528" s="18" t="s">
        <v>133</v>
      </c>
      <c r="T2528" s="18" t="s">
        <v>183</v>
      </c>
      <c r="U2528" s="18"/>
      <c r="V2528" s="19" t="s">
        <v>29</v>
      </c>
      <c r="W2528" s="19"/>
      <c r="X2528" s="19"/>
      <c r="Y2528" s="20"/>
      <c r="Z2528" s="19"/>
      <c r="AA2528" s="18" t="str">
        <f aca="false">IF(OR(V2528="Aprobada"),R2528,IF(AND(OR(V2528="Aprobada con ajuste",V2528="Rechazada"),W2528&lt;&gt;""),W2528,""))</f>
        <v/>
      </c>
    </row>
    <row r="2529" customFormat="false" ht="22.35" hidden="false" customHeight="false" outlineLevel="0" collapsed="false">
      <c r="A2529" s="18" t="s">
        <v>10588</v>
      </c>
      <c r="B2529" s="18" t="s">
        <v>70</v>
      </c>
      <c r="C2529" s="18" t="s">
        <v>71</v>
      </c>
      <c r="D2529" s="18" t="s">
        <v>10572</v>
      </c>
      <c r="E2529" s="18" t="n">
        <v>0</v>
      </c>
      <c r="F2529" s="18" t="s">
        <v>331</v>
      </c>
      <c r="G2529" s="18" t="s">
        <v>317</v>
      </c>
      <c r="H2529" s="18" t="s">
        <v>162</v>
      </c>
      <c r="I2529" s="18"/>
      <c r="J2529" s="18"/>
      <c r="K2529" s="18"/>
      <c r="L2529" s="18" t="s">
        <v>129</v>
      </c>
      <c r="M2529" s="18" t="s">
        <v>129</v>
      </c>
      <c r="N2529" s="18"/>
      <c r="O2529" s="18" t="s">
        <v>8072</v>
      </c>
      <c r="P2529" s="18"/>
      <c r="Q2529" s="18" t="s">
        <v>149</v>
      </c>
      <c r="R2529" s="18" t="s">
        <v>5537</v>
      </c>
      <c r="S2529" s="18" t="s">
        <v>133</v>
      </c>
      <c r="T2529" s="18" t="s">
        <v>5503</v>
      </c>
      <c r="U2529" s="18"/>
      <c r="V2529" s="19" t="s">
        <v>29</v>
      </c>
      <c r="W2529" s="19"/>
      <c r="X2529" s="19"/>
      <c r="Y2529" s="20"/>
      <c r="Z2529" s="19"/>
      <c r="AA2529" s="18" t="str">
        <f aca="false">IF(OR(V2529="Aprobada"),R2529,IF(AND(OR(V2529="Aprobada con ajuste",V2529="Rechazada"),W2529&lt;&gt;""),W2529,""))</f>
        <v/>
      </c>
    </row>
    <row r="2530" customFormat="false" ht="32.8" hidden="false" customHeight="false" outlineLevel="0" collapsed="false">
      <c r="A2530" s="18" t="s">
        <v>10589</v>
      </c>
      <c r="B2530" s="18" t="s">
        <v>70</v>
      </c>
      <c r="C2530" s="18" t="s">
        <v>71</v>
      </c>
      <c r="D2530" s="18" t="s">
        <v>10590</v>
      </c>
      <c r="E2530" s="18" t="n">
        <v>5</v>
      </c>
      <c r="F2530" s="18" t="s">
        <v>6008</v>
      </c>
      <c r="G2530" s="18" t="s">
        <v>145</v>
      </c>
      <c r="H2530" s="18" t="s">
        <v>129</v>
      </c>
      <c r="I2530" s="18"/>
      <c r="J2530" s="18"/>
      <c r="K2530" s="18"/>
      <c r="L2530" s="18" t="s">
        <v>129</v>
      </c>
      <c r="M2530" s="18" t="s">
        <v>129</v>
      </c>
      <c r="N2530" s="18"/>
      <c r="O2530" s="18"/>
      <c r="P2530" s="18" t="s">
        <v>10591</v>
      </c>
      <c r="Q2530" s="18" t="s">
        <v>149</v>
      </c>
      <c r="R2530" s="18" t="s">
        <v>6010</v>
      </c>
      <c r="S2530" s="18" t="s">
        <v>133</v>
      </c>
      <c r="T2530" s="18" t="s">
        <v>4074</v>
      </c>
      <c r="U2530" s="18"/>
      <c r="V2530" s="19" t="s">
        <v>29</v>
      </c>
      <c r="W2530" s="19"/>
      <c r="X2530" s="19"/>
      <c r="Y2530" s="20"/>
      <c r="Z2530" s="19"/>
      <c r="AA2530" s="18" t="str">
        <f aca="false">IF(OR(V2530="Aprobada"),R2530,IF(AND(OR(V2530="Aprobada con ajuste",V2530="Rechazada"),W2530&lt;&gt;""),W2530,""))</f>
        <v/>
      </c>
    </row>
    <row r="2531" customFormat="false" ht="32.8" hidden="false" customHeight="false" outlineLevel="0" collapsed="false">
      <c r="A2531" s="18" t="s">
        <v>10592</v>
      </c>
      <c r="B2531" s="18" t="s">
        <v>70</v>
      </c>
      <c r="C2531" s="18" t="s">
        <v>71</v>
      </c>
      <c r="D2531" s="18" t="s">
        <v>10590</v>
      </c>
      <c r="E2531" s="18" t="n">
        <v>5</v>
      </c>
      <c r="F2531" s="18" t="s">
        <v>4478</v>
      </c>
      <c r="G2531" s="18" t="s">
        <v>128</v>
      </c>
      <c r="H2531" s="18" t="s">
        <v>129</v>
      </c>
      <c r="I2531" s="18"/>
      <c r="J2531" s="18"/>
      <c r="K2531" s="18"/>
      <c r="L2531" s="18" t="s">
        <v>129</v>
      </c>
      <c r="M2531" s="18" t="s">
        <v>129</v>
      </c>
      <c r="N2531" s="18"/>
      <c r="O2531" s="18"/>
      <c r="P2531" s="18" t="s">
        <v>10593</v>
      </c>
      <c r="Q2531" s="18" t="s">
        <v>149</v>
      </c>
      <c r="R2531" s="18" t="s">
        <v>10594</v>
      </c>
      <c r="S2531" s="18" t="s">
        <v>133</v>
      </c>
      <c r="T2531" s="18" t="s">
        <v>858</v>
      </c>
      <c r="U2531" s="18"/>
      <c r="V2531" s="19" t="s">
        <v>29</v>
      </c>
      <c r="W2531" s="19"/>
      <c r="X2531" s="19"/>
      <c r="Y2531" s="20"/>
      <c r="Z2531" s="19"/>
      <c r="AA2531" s="18" t="str">
        <f aca="false">IF(OR(V2531="Aprobada"),R2531,IF(AND(OR(V2531="Aprobada con ajuste",V2531="Rechazada"),W2531&lt;&gt;""),W2531,""))</f>
        <v/>
      </c>
    </row>
    <row r="2532" customFormat="false" ht="32.8" hidden="false" customHeight="false" outlineLevel="0" collapsed="false">
      <c r="A2532" s="18" t="s">
        <v>10595</v>
      </c>
      <c r="B2532" s="18" t="s">
        <v>70</v>
      </c>
      <c r="C2532" s="18" t="s">
        <v>71</v>
      </c>
      <c r="D2532" s="18" t="s">
        <v>10590</v>
      </c>
      <c r="E2532" s="18" t="n">
        <v>5</v>
      </c>
      <c r="F2532" s="18" t="s">
        <v>6025</v>
      </c>
      <c r="G2532" s="18" t="s">
        <v>145</v>
      </c>
      <c r="H2532" s="18" t="s">
        <v>129</v>
      </c>
      <c r="I2532" s="18" t="s">
        <v>298</v>
      </c>
      <c r="J2532" s="18" t="s">
        <v>10596</v>
      </c>
      <c r="K2532" s="18"/>
      <c r="L2532" s="18" t="s">
        <v>162</v>
      </c>
      <c r="M2532" s="18" t="s">
        <v>129</v>
      </c>
      <c r="N2532" s="18"/>
      <c r="O2532" s="18"/>
      <c r="P2532" s="18" t="s">
        <v>10597</v>
      </c>
      <c r="Q2532" s="18" t="s">
        <v>131</v>
      </c>
      <c r="R2532" s="18" t="s">
        <v>10598</v>
      </c>
      <c r="S2532" s="18" t="s">
        <v>133</v>
      </c>
      <c r="T2532" s="18" t="s">
        <v>10599</v>
      </c>
      <c r="U2532" s="18"/>
      <c r="V2532" s="19" t="s">
        <v>29</v>
      </c>
      <c r="W2532" s="19"/>
      <c r="X2532" s="19"/>
      <c r="Y2532" s="20"/>
      <c r="Z2532" s="19"/>
      <c r="AA2532" s="18" t="str">
        <f aca="false">IF(OR(V2532="Aprobada"),R2532,IF(AND(OR(V2532="Aprobada con ajuste",V2532="Rechazada"),W2532&lt;&gt;""),W2532,""))</f>
        <v/>
      </c>
    </row>
    <row r="2533" customFormat="false" ht="32.8" hidden="false" customHeight="false" outlineLevel="0" collapsed="false">
      <c r="A2533" s="18" t="s">
        <v>10600</v>
      </c>
      <c r="B2533" s="18" t="s">
        <v>70</v>
      </c>
      <c r="C2533" s="18" t="s">
        <v>71</v>
      </c>
      <c r="D2533" s="18" t="s">
        <v>10590</v>
      </c>
      <c r="E2533" s="18" t="n">
        <v>5</v>
      </c>
      <c r="F2533" s="18" t="s">
        <v>4783</v>
      </c>
      <c r="G2533" s="18" t="s">
        <v>137</v>
      </c>
      <c r="H2533" s="18" t="s">
        <v>129</v>
      </c>
      <c r="I2533" s="18"/>
      <c r="J2533" s="18"/>
      <c r="K2533" s="18"/>
      <c r="L2533" s="18" t="s">
        <v>129</v>
      </c>
      <c r="M2533" s="18" t="s">
        <v>129</v>
      </c>
      <c r="N2533" s="18"/>
      <c r="O2533" s="18"/>
      <c r="P2533" s="18" t="s">
        <v>10601</v>
      </c>
      <c r="Q2533" s="18" t="s">
        <v>131</v>
      </c>
      <c r="R2533" s="18" t="s">
        <v>10602</v>
      </c>
      <c r="S2533" s="18" t="s">
        <v>133</v>
      </c>
      <c r="T2533" s="18" t="s">
        <v>10603</v>
      </c>
      <c r="U2533" s="18"/>
      <c r="V2533" s="19" t="s">
        <v>29</v>
      </c>
      <c r="W2533" s="19"/>
      <c r="X2533" s="19"/>
      <c r="Y2533" s="20"/>
      <c r="Z2533" s="19"/>
      <c r="AA2533" s="18" t="str">
        <f aca="false">IF(OR(V2533="Aprobada"),R2533,IF(AND(OR(V2533="Aprobada con ajuste",V2533="Rechazada"),W2533&lt;&gt;""),W2533,""))</f>
        <v/>
      </c>
    </row>
    <row r="2534" customFormat="false" ht="43.25" hidden="false" customHeight="false" outlineLevel="0" collapsed="false">
      <c r="A2534" s="18" t="s">
        <v>10604</v>
      </c>
      <c r="B2534" s="18" t="s">
        <v>70</v>
      </c>
      <c r="C2534" s="18" t="s">
        <v>71</v>
      </c>
      <c r="D2534" s="18" t="s">
        <v>10590</v>
      </c>
      <c r="E2534" s="18" t="n">
        <v>5</v>
      </c>
      <c r="F2534" s="18" t="s">
        <v>185</v>
      </c>
      <c r="G2534" s="18" t="s">
        <v>145</v>
      </c>
      <c r="H2534" s="18" t="s">
        <v>129</v>
      </c>
      <c r="I2534" s="18" t="s">
        <v>298</v>
      </c>
      <c r="J2534" s="18" t="s">
        <v>10605</v>
      </c>
      <c r="K2534" s="18"/>
      <c r="L2534" s="18" t="s">
        <v>162</v>
      </c>
      <c r="M2534" s="18" t="s">
        <v>129</v>
      </c>
      <c r="N2534" s="18"/>
      <c r="O2534" s="18" t="s">
        <v>10606</v>
      </c>
      <c r="P2534" s="18" t="s">
        <v>10607</v>
      </c>
      <c r="Q2534" s="18" t="s">
        <v>131</v>
      </c>
      <c r="R2534" s="18" t="s">
        <v>10608</v>
      </c>
      <c r="S2534" s="18" t="s">
        <v>133</v>
      </c>
      <c r="T2534" s="18" t="s">
        <v>10609</v>
      </c>
      <c r="U2534" s="18"/>
      <c r="V2534" s="19" t="s">
        <v>29</v>
      </c>
      <c r="W2534" s="19"/>
      <c r="X2534" s="19"/>
      <c r="Y2534" s="20"/>
      <c r="Z2534" s="19"/>
      <c r="AA2534" s="18" t="str">
        <f aca="false">IF(OR(V2534="Aprobada"),R2534,IF(AND(OR(V2534="Aprobada con ajuste",V2534="Rechazada"),W2534&lt;&gt;""),W2534,""))</f>
        <v/>
      </c>
    </row>
    <row r="2535" customFormat="false" ht="32.8" hidden="false" customHeight="false" outlineLevel="0" collapsed="false">
      <c r="A2535" s="18" t="s">
        <v>10610</v>
      </c>
      <c r="B2535" s="18" t="s">
        <v>70</v>
      </c>
      <c r="C2535" s="18" t="s">
        <v>71</v>
      </c>
      <c r="D2535" s="18" t="s">
        <v>10590</v>
      </c>
      <c r="E2535" s="18" t="n">
        <v>5</v>
      </c>
      <c r="F2535" s="18" t="s">
        <v>6087</v>
      </c>
      <c r="G2535" s="18" t="s">
        <v>161</v>
      </c>
      <c r="H2535" s="18" t="s">
        <v>162</v>
      </c>
      <c r="I2535" s="18"/>
      <c r="J2535" s="18"/>
      <c r="K2535" s="18"/>
      <c r="L2535" s="18" t="s">
        <v>129</v>
      </c>
      <c r="M2535" s="18" t="s">
        <v>129</v>
      </c>
      <c r="N2535" s="18"/>
      <c r="O2535" s="18"/>
      <c r="P2535" s="18" t="s">
        <v>10611</v>
      </c>
      <c r="Q2535" s="18" t="s">
        <v>149</v>
      </c>
      <c r="R2535" s="18" t="s">
        <v>10612</v>
      </c>
      <c r="S2535" s="18" t="s">
        <v>133</v>
      </c>
      <c r="T2535" s="18" t="s">
        <v>858</v>
      </c>
      <c r="U2535" s="18"/>
      <c r="V2535" s="19" t="s">
        <v>29</v>
      </c>
      <c r="W2535" s="19"/>
      <c r="X2535" s="19"/>
      <c r="Y2535" s="20"/>
      <c r="Z2535" s="19"/>
      <c r="AA2535" s="18" t="str">
        <f aca="false">IF(OR(V2535="Aprobada"),R2535,IF(AND(OR(V2535="Aprobada con ajuste",V2535="Rechazada"),W2535&lt;&gt;""),W2535,""))</f>
        <v/>
      </c>
    </row>
    <row r="2536" customFormat="false" ht="32.8" hidden="false" customHeight="false" outlineLevel="0" collapsed="false">
      <c r="A2536" s="18" t="s">
        <v>10613</v>
      </c>
      <c r="B2536" s="18" t="s">
        <v>70</v>
      </c>
      <c r="C2536" s="18" t="s">
        <v>71</v>
      </c>
      <c r="D2536" s="18" t="s">
        <v>10590</v>
      </c>
      <c r="E2536" s="18" t="n">
        <v>5</v>
      </c>
      <c r="F2536" s="18" t="s">
        <v>10614</v>
      </c>
      <c r="G2536" s="18" t="s">
        <v>503</v>
      </c>
      <c r="H2536" s="18" t="s">
        <v>162</v>
      </c>
      <c r="I2536" s="18"/>
      <c r="J2536" s="18"/>
      <c r="K2536" s="18"/>
      <c r="L2536" s="18" t="s">
        <v>129</v>
      </c>
      <c r="M2536" s="18" t="s">
        <v>129</v>
      </c>
      <c r="N2536" s="18"/>
      <c r="O2536" s="18" t="s">
        <v>10615</v>
      </c>
      <c r="P2536" s="18" t="s">
        <v>10616</v>
      </c>
      <c r="Q2536" s="18" t="s">
        <v>131</v>
      </c>
      <c r="R2536" s="18" t="s">
        <v>10617</v>
      </c>
      <c r="S2536" s="18" t="s">
        <v>140</v>
      </c>
      <c r="T2536" s="18" t="s">
        <v>10618</v>
      </c>
      <c r="U2536" s="18" t="s">
        <v>10619</v>
      </c>
      <c r="V2536" s="19" t="s">
        <v>29</v>
      </c>
      <c r="W2536" s="19"/>
      <c r="X2536" s="19"/>
      <c r="Y2536" s="20"/>
      <c r="Z2536" s="19"/>
      <c r="AA2536" s="18" t="str">
        <f aca="false">IF(OR(V2536="Aprobada"),R2536,IF(AND(OR(V2536="Aprobada con ajuste",V2536="Rechazada"),W2536&lt;&gt;""),W2536,""))</f>
        <v/>
      </c>
    </row>
    <row r="2537" customFormat="false" ht="32.8" hidden="false" customHeight="false" outlineLevel="0" collapsed="false">
      <c r="A2537" s="18" t="s">
        <v>10620</v>
      </c>
      <c r="B2537" s="18" t="s">
        <v>70</v>
      </c>
      <c r="C2537" s="18" t="s">
        <v>71</v>
      </c>
      <c r="D2537" s="18" t="s">
        <v>10590</v>
      </c>
      <c r="E2537" s="18" t="n">
        <v>5</v>
      </c>
      <c r="F2537" s="18" t="s">
        <v>10621</v>
      </c>
      <c r="G2537" s="18" t="s">
        <v>317</v>
      </c>
      <c r="H2537" s="18" t="s">
        <v>162</v>
      </c>
      <c r="I2537" s="18"/>
      <c r="J2537" s="18"/>
      <c r="K2537" s="18"/>
      <c r="L2537" s="18" t="s">
        <v>129</v>
      </c>
      <c r="M2537" s="18" t="s">
        <v>129</v>
      </c>
      <c r="N2537" s="18"/>
      <c r="O2537" s="18"/>
      <c r="P2537" s="18" t="s">
        <v>10622</v>
      </c>
      <c r="Q2537" s="18" t="s">
        <v>149</v>
      </c>
      <c r="R2537" s="18" t="s">
        <v>10623</v>
      </c>
      <c r="S2537" s="18" t="s">
        <v>133</v>
      </c>
      <c r="T2537" s="18" t="s">
        <v>5503</v>
      </c>
      <c r="U2537" s="18"/>
      <c r="V2537" s="19" t="s">
        <v>29</v>
      </c>
      <c r="W2537" s="19"/>
      <c r="X2537" s="19"/>
      <c r="Y2537" s="20"/>
      <c r="Z2537" s="19"/>
      <c r="AA2537" s="18" t="str">
        <f aca="false">IF(OR(V2537="Aprobada"),R2537,IF(AND(OR(V2537="Aprobada con ajuste",V2537="Rechazada"),W2537&lt;&gt;""),W2537,""))</f>
        <v/>
      </c>
    </row>
    <row r="2538" customFormat="false" ht="32.8" hidden="false" customHeight="false" outlineLevel="0" collapsed="false">
      <c r="A2538" s="18" t="s">
        <v>10624</v>
      </c>
      <c r="B2538" s="18" t="s">
        <v>70</v>
      </c>
      <c r="C2538" s="18" t="s">
        <v>71</v>
      </c>
      <c r="D2538" s="18" t="s">
        <v>10590</v>
      </c>
      <c r="E2538" s="18" t="n">
        <v>5</v>
      </c>
      <c r="F2538" s="18" t="s">
        <v>6043</v>
      </c>
      <c r="G2538" s="18" t="s">
        <v>205</v>
      </c>
      <c r="H2538" s="18" t="s">
        <v>162</v>
      </c>
      <c r="I2538" s="18" t="s">
        <v>298</v>
      </c>
      <c r="J2538" s="18" t="s">
        <v>6044</v>
      </c>
      <c r="K2538" s="18"/>
      <c r="L2538" s="18" t="s">
        <v>162</v>
      </c>
      <c r="M2538" s="18" t="s">
        <v>129</v>
      </c>
      <c r="N2538" s="18"/>
      <c r="O2538" s="18"/>
      <c r="P2538" s="18"/>
      <c r="Q2538" s="18" t="s">
        <v>149</v>
      </c>
      <c r="R2538" s="18" t="s">
        <v>10625</v>
      </c>
      <c r="S2538" s="18" t="s">
        <v>133</v>
      </c>
      <c r="T2538" s="18" t="s">
        <v>801</v>
      </c>
      <c r="U2538" s="18"/>
      <c r="V2538" s="19" t="s">
        <v>29</v>
      </c>
      <c r="W2538" s="19"/>
      <c r="X2538" s="19"/>
      <c r="Y2538" s="20"/>
      <c r="Z2538" s="19"/>
      <c r="AA2538" s="18" t="str">
        <f aca="false">IF(OR(V2538="Aprobada"),R2538,IF(AND(OR(V2538="Aprobada con ajuste",V2538="Rechazada"),W2538&lt;&gt;""),W2538,""))</f>
        <v/>
      </c>
    </row>
    <row r="2539" customFormat="false" ht="32.8" hidden="false" customHeight="false" outlineLevel="0" collapsed="false">
      <c r="A2539" s="18" t="s">
        <v>10626</v>
      </c>
      <c r="B2539" s="18" t="s">
        <v>70</v>
      </c>
      <c r="C2539" s="18" t="s">
        <v>71</v>
      </c>
      <c r="D2539" s="18" t="s">
        <v>10590</v>
      </c>
      <c r="E2539" s="18" t="n">
        <v>5</v>
      </c>
      <c r="F2539" s="18" t="s">
        <v>10627</v>
      </c>
      <c r="G2539" s="18" t="s">
        <v>503</v>
      </c>
      <c r="H2539" s="18" t="s">
        <v>162</v>
      </c>
      <c r="I2539" s="18"/>
      <c r="J2539" s="18"/>
      <c r="K2539" s="18"/>
      <c r="L2539" s="18" t="s">
        <v>129</v>
      </c>
      <c r="M2539" s="18" t="s">
        <v>129</v>
      </c>
      <c r="N2539" s="18"/>
      <c r="O2539" s="18"/>
      <c r="P2539" s="18"/>
      <c r="Q2539" s="18" t="s">
        <v>149</v>
      </c>
      <c r="R2539" s="18" t="s">
        <v>10628</v>
      </c>
      <c r="S2539" s="18" t="s">
        <v>140</v>
      </c>
      <c r="T2539" s="18" t="s">
        <v>183</v>
      </c>
      <c r="U2539" s="18" t="s">
        <v>10629</v>
      </c>
      <c r="V2539" s="19" t="s">
        <v>29</v>
      </c>
      <c r="W2539" s="19"/>
      <c r="X2539" s="19"/>
      <c r="Y2539" s="20"/>
      <c r="Z2539" s="19"/>
      <c r="AA2539" s="18" t="str">
        <f aca="false">IF(OR(V2539="Aprobada"),R2539,IF(AND(OR(V2539="Aprobada con ajuste",V2539="Rechazada"),W2539&lt;&gt;""),W2539,""))</f>
        <v/>
      </c>
    </row>
    <row r="2540" customFormat="false" ht="22.35" hidden="false" customHeight="false" outlineLevel="0" collapsed="false">
      <c r="A2540" s="18" t="s">
        <v>10630</v>
      </c>
      <c r="B2540" s="18" t="s">
        <v>70</v>
      </c>
      <c r="C2540" s="18" t="s">
        <v>71</v>
      </c>
      <c r="D2540" s="18" t="s">
        <v>10590</v>
      </c>
      <c r="E2540" s="18" t="n">
        <v>5</v>
      </c>
      <c r="F2540" s="18" t="s">
        <v>10631</v>
      </c>
      <c r="G2540" s="18" t="s">
        <v>486</v>
      </c>
      <c r="H2540" s="18" t="s">
        <v>162</v>
      </c>
      <c r="I2540" s="18"/>
      <c r="J2540" s="18"/>
      <c r="K2540" s="18"/>
      <c r="L2540" s="18" t="s">
        <v>129</v>
      </c>
      <c r="M2540" s="18" t="s">
        <v>129</v>
      </c>
      <c r="N2540" s="18"/>
      <c r="O2540" s="18"/>
      <c r="P2540" s="18"/>
      <c r="Q2540" s="18" t="s">
        <v>149</v>
      </c>
      <c r="R2540" s="18" t="s">
        <v>10632</v>
      </c>
      <c r="S2540" s="18" t="s">
        <v>242</v>
      </c>
      <c r="T2540" s="18" t="s">
        <v>858</v>
      </c>
      <c r="U2540" s="18" t="s">
        <v>10633</v>
      </c>
      <c r="V2540" s="19" t="s">
        <v>29</v>
      </c>
      <c r="W2540" s="19"/>
      <c r="X2540" s="19"/>
      <c r="Y2540" s="20"/>
      <c r="Z2540" s="19"/>
      <c r="AA2540" s="18" t="str">
        <f aca="false">IF(OR(V2540="Aprobada"),R2540,IF(AND(OR(V2540="Aprobada con ajuste",V2540="Rechazada"),W2540&lt;&gt;""),W2540,""))</f>
        <v/>
      </c>
    </row>
    <row r="2541" customFormat="false" ht="22.35" hidden="false" customHeight="false" outlineLevel="0" collapsed="false">
      <c r="A2541" s="18" t="s">
        <v>10634</v>
      </c>
      <c r="B2541" s="18" t="s">
        <v>70</v>
      </c>
      <c r="C2541" s="18" t="s">
        <v>71</v>
      </c>
      <c r="D2541" s="18" t="s">
        <v>10590</v>
      </c>
      <c r="E2541" s="18" t="n">
        <v>5</v>
      </c>
      <c r="F2541" s="18" t="s">
        <v>160</v>
      </c>
      <c r="G2541" s="18" t="s">
        <v>128</v>
      </c>
      <c r="H2541" s="18" t="s">
        <v>162</v>
      </c>
      <c r="I2541" s="18"/>
      <c r="J2541" s="18"/>
      <c r="K2541" s="18"/>
      <c r="L2541" s="18" t="s">
        <v>129</v>
      </c>
      <c r="M2541" s="18" t="s">
        <v>129</v>
      </c>
      <c r="N2541" s="18"/>
      <c r="O2541" s="18"/>
      <c r="P2541" s="18"/>
      <c r="Q2541" s="18" t="s">
        <v>138</v>
      </c>
      <c r="R2541" s="18" t="s">
        <v>10635</v>
      </c>
      <c r="S2541" s="18" t="s">
        <v>140</v>
      </c>
      <c r="T2541" s="18" t="s">
        <v>141</v>
      </c>
      <c r="U2541" s="18"/>
      <c r="V2541" s="19" t="s">
        <v>29</v>
      </c>
      <c r="W2541" s="19"/>
      <c r="X2541" s="19"/>
      <c r="Y2541" s="20"/>
      <c r="Z2541" s="19"/>
      <c r="AA2541" s="18" t="str">
        <f aca="false">IF(OR(V2541="Aprobada"),R2541,IF(AND(OR(V2541="Aprobada con ajuste",V2541="Rechazada"),W2541&lt;&gt;""),W2541,""))</f>
        <v/>
      </c>
    </row>
    <row r="2542" customFormat="false" ht="22.35" hidden="false" customHeight="false" outlineLevel="0" collapsed="false">
      <c r="A2542" s="18" t="s">
        <v>10636</v>
      </c>
      <c r="B2542" s="18" t="s">
        <v>70</v>
      </c>
      <c r="C2542" s="18" t="s">
        <v>71</v>
      </c>
      <c r="D2542" s="18" t="s">
        <v>10590</v>
      </c>
      <c r="E2542" s="18" t="n">
        <v>5</v>
      </c>
      <c r="F2542" s="18" t="s">
        <v>5470</v>
      </c>
      <c r="G2542" s="18" t="s">
        <v>337</v>
      </c>
      <c r="H2542" s="18" t="s">
        <v>162</v>
      </c>
      <c r="I2542" s="18"/>
      <c r="J2542" s="18"/>
      <c r="K2542" s="18"/>
      <c r="L2542" s="18" t="s">
        <v>129</v>
      </c>
      <c r="M2542" s="18" t="s">
        <v>129</v>
      </c>
      <c r="N2542" s="18"/>
      <c r="O2542" s="18"/>
      <c r="P2542" s="18"/>
      <c r="Q2542" s="18" t="s">
        <v>149</v>
      </c>
      <c r="R2542" s="18" t="s">
        <v>6061</v>
      </c>
      <c r="S2542" s="18" t="s">
        <v>140</v>
      </c>
      <c r="T2542" s="18" t="s">
        <v>858</v>
      </c>
      <c r="U2542" s="18" t="s">
        <v>10637</v>
      </c>
      <c r="V2542" s="19" t="s">
        <v>29</v>
      </c>
      <c r="W2542" s="19"/>
      <c r="X2542" s="19"/>
      <c r="Y2542" s="20"/>
      <c r="Z2542" s="19"/>
      <c r="AA2542" s="18" t="str">
        <f aca="false">IF(OR(V2542="Aprobada"),R2542,IF(AND(OR(V2542="Aprobada con ajuste",V2542="Rechazada"),W2542&lt;&gt;""),W2542,""))</f>
        <v/>
      </c>
    </row>
    <row r="2543" customFormat="false" ht="22.35" hidden="false" customHeight="false" outlineLevel="0" collapsed="false">
      <c r="A2543" s="18" t="s">
        <v>10638</v>
      </c>
      <c r="B2543" s="18" t="s">
        <v>70</v>
      </c>
      <c r="C2543" s="18" t="s">
        <v>71</v>
      </c>
      <c r="D2543" s="18" t="s">
        <v>10590</v>
      </c>
      <c r="E2543" s="18" t="n">
        <v>5</v>
      </c>
      <c r="F2543" s="18" t="s">
        <v>5465</v>
      </c>
      <c r="G2543" s="18" t="s">
        <v>486</v>
      </c>
      <c r="H2543" s="18" t="s">
        <v>162</v>
      </c>
      <c r="I2543" s="18"/>
      <c r="J2543" s="18"/>
      <c r="K2543" s="18"/>
      <c r="L2543" s="18" t="s">
        <v>129</v>
      </c>
      <c r="M2543" s="18" t="s">
        <v>129</v>
      </c>
      <c r="N2543" s="18"/>
      <c r="O2543" s="18"/>
      <c r="P2543" s="18"/>
      <c r="Q2543" s="18" t="s">
        <v>149</v>
      </c>
      <c r="R2543" s="18" t="s">
        <v>10639</v>
      </c>
      <c r="S2543" s="18" t="s">
        <v>140</v>
      </c>
      <c r="T2543" s="18" t="s">
        <v>858</v>
      </c>
      <c r="U2543" s="18" t="s">
        <v>10640</v>
      </c>
      <c r="V2543" s="19" t="s">
        <v>29</v>
      </c>
      <c r="W2543" s="19"/>
      <c r="X2543" s="19"/>
      <c r="Y2543" s="20"/>
      <c r="Z2543" s="19"/>
      <c r="AA2543" s="18" t="str">
        <f aca="false">IF(OR(V2543="Aprobada"),R2543,IF(AND(OR(V2543="Aprobada con ajuste",V2543="Rechazada"),W2543&lt;&gt;""),W2543,""))</f>
        <v/>
      </c>
    </row>
    <row r="2544" customFormat="false" ht="22.35" hidden="false" customHeight="false" outlineLevel="0" collapsed="false">
      <c r="A2544" s="18" t="s">
        <v>10641</v>
      </c>
      <c r="B2544" s="18" t="s">
        <v>70</v>
      </c>
      <c r="C2544" s="18" t="s">
        <v>71</v>
      </c>
      <c r="D2544" s="18" t="s">
        <v>10590</v>
      </c>
      <c r="E2544" s="18" t="n">
        <v>5</v>
      </c>
      <c r="F2544" s="18" t="s">
        <v>4792</v>
      </c>
      <c r="G2544" s="18" t="s">
        <v>317</v>
      </c>
      <c r="H2544" s="18" t="s">
        <v>162</v>
      </c>
      <c r="I2544" s="18"/>
      <c r="J2544" s="18"/>
      <c r="K2544" s="18"/>
      <c r="L2544" s="18" t="s">
        <v>129</v>
      </c>
      <c r="M2544" s="18" t="s">
        <v>129</v>
      </c>
      <c r="N2544" s="18"/>
      <c r="O2544" s="18"/>
      <c r="P2544" s="18"/>
      <c r="Q2544" s="18" t="s">
        <v>138</v>
      </c>
      <c r="R2544" s="18" t="s">
        <v>4794</v>
      </c>
      <c r="S2544" s="18" t="s">
        <v>140</v>
      </c>
      <c r="T2544" s="18" t="s">
        <v>141</v>
      </c>
      <c r="U2544" s="18"/>
      <c r="V2544" s="19" t="s">
        <v>29</v>
      </c>
      <c r="W2544" s="19"/>
      <c r="X2544" s="19"/>
      <c r="Y2544" s="20"/>
      <c r="Z2544" s="19"/>
      <c r="AA2544" s="18" t="str">
        <f aca="false">IF(OR(V2544="Aprobada"),R2544,IF(AND(OR(V2544="Aprobada con ajuste",V2544="Rechazada"),W2544&lt;&gt;""),W2544,""))</f>
        <v/>
      </c>
    </row>
    <row r="2545" customFormat="false" ht="22.35" hidden="false" customHeight="false" outlineLevel="0" collapsed="false">
      <c r="A2545" s="18" t="s">
        <v>10642</v>
      </c>
      <c r="B2545" s="18" t="s">
        <v>70</v>
      </c>
      <c r="C2545" s="18" t="s">
        <v>71</v>
      </c>
      <c r="D2545" s="18" t="s">
        <v>10590</v>
      </c>
      <c r="E2545" s="18" t="n">
        <v>5</v>
      </c>
      <c r="F2545" s="18" t="s">
        <v>6092</v>
      </c>
      <c r="G2545" s="18" t="s">
        <v>161</v>
      </c>
      <c r="H2545" s="18" t="s">
        <v>162</v>
      </c>
      <c r="I2545" s="18"/>
      <c r="J2545" s="18"/>
      <c r="K2545" s="18"/>
      <c r="L2545" s="18" t="s">
        <v>129</v>
      </c>
      <c r="M2545" s="18" t="s">
        <v>129</v>
      </c>
      <c r="N2545" s="18"/>
      <c r="O2545" s="18"/>
      <c r="P2545" s="18"/>
      <c r="Q2545" s="18" t="s">
        <v>149</v>
      </c>
      <c r="R2545" s="18" t="s">
        <v>6094</v>
      </c>
      <c r="S2545" s="18" t="s">
        <v>133</v>
      </c>
      <c r="T2545" s="18" t="s">
        <v>858</v>
      </c>
      <c r="U2545" s="18"/>
      <c r="V2545" s="19" t="s">
        <v>29</v>
      </c>
      <c r="W2545" s="19"/>
      <c r="X2545" s="19"/>
      <c r="Y2545" s="20"/>
      <c r="Z2545" s="19"/>
      <c r="AA2545" s="18" t="str">
        <f aca="false">IF(OR(V2545="Aprobada"),R2545,IF(AND(OR(V2545="Aprobada con ajuste",V2545="Rechazada"),W2545&lt;&gt;""),W2545,""))</f>
        <v/>
      </c>
    </row>
    <row r="2546" customFormat="false" ht="22.35" hidden="false" customHeight="false" outlineLevel="0" collapsed="false">
      <c r="A2546" s="18" t="s">
        <v>10643</v>
      </c>
      <c r="B2546" s="18" t="s">
        <v>70</v>
      </c>
      <c r="C2546" s="18" t="s">
        <v>71</v>
      </c>
      <c r="D2546" s="18" t="s">
        <v>10590</v>
      </c>
      <c r="E2546" s="18" t="n">
        <v>5</v>
      </c>
      <c r="F2546" s="18" t="s">
        <v>6097</v>
      </c>
      <c r="G2546" s="18" t="s">
        <v>161</v>
      </c>
      <c r="H2546" s="18" t="s">
        <v>162</v>
      </c>
      <c r="I2546" s="18"/>
      <c r="J2546" s="18"/>
      <c r="K2546" s="18"/>
      <c r="L2546" s="18" t="s">
        <v>129</v>
      </c>
      <c r="M2546" s="18" t="s">
        <v>129</v>
      </c>
      <c r="N2546" s="18"/>
      <c r="O2546" s="18"/>
      <c r="P2546" s="18"/>
      <c r="Q2546" s="18" t="s">
        <v>149</v>
      </c>
      <c r="R2546" s="18" t="s">
        <v>10644</v>
      </c>
      <c r="S2546" s="18" t="s">
        <v>133</v>
      </c>
      <c r="T2546" s="18" t="s">
        <v>183</v>
      </c>
      <c r="U2546" s="18"/>
      <c r="V2546" s="19" t="s">
        <v>29</v>
      </c>
      <c r="W2546" s="19"/>
      <c r="X2546" s="19"/>
      <c r="Y2546" s="20"/>
      <c r="Z2546" s="19"/>
      <c r="AA2546" s="18" t="str">
        <f aca="false">IF(OR(V2546="Aprobada"),R2546,IF(AND(OR(V2546="Aprobada con ajuste",V2546="Rechazada"),W2546&lt;&gt;""),W2546,""))</f>
        <v/>
      </c>
    </row>
    <row r="2547" customFormat="false" ht="22.35" hidden="false" customHeight="false" outlineLevel="0" collapsed="false">
      <c r="A2547" s="18" t="s">
        <v>10645</v>
      </c>
      <c r="B2547" s="18" t="s">
        <v>70</v>
      </c>
      <c r="C2547" s="18" t="s">
        <v>71</v>
      </c>
      <c r="D2547" s="18" t="s">
        <v>10590</v>
      </c>
      <c r="E2547" s="18" t="n">
        <v>5</v>
      </c>
      <c r="F2547" s="18" t="s">
        <v>886</v>
      </c>
      <c r="G2547" s="18" t="s">
        <v>128</v>
      </c>
      <c r="H2547" s="18" t="s">
        <v>162</v>
      </c>
      <c r="I2547" s="18"/>
      <c r="J2547" s="18"/>
      <c r="K2547" s="18"/>
      <c r="L2547" s="18" t="s">
        <v>129</v>
      </c>
      <c r="M2547" s="18" t="s">
        <v>129</v>
      </c>
      <c r="N2547" s="18"/>
      <c r="O2547" s="18"/>
      <c r="P2547" s="18"/>
      <c r="Q2547" s="18" t="s">
        <v>138</v>
      </c>
      <c r="R2547" s="18" t="s">
        <v>1693</v>
      </c>
      <c r="S2547" s="18" t="s">
        <v>140</v>
      </c>
      <c r="T2547" s="18" t="s">
        <v>141</v>
      </c>
      <c r="U2547" s="18"/>
      <c r="V2547" s="19" t="s">
        <v>29</v>
      </c>
      <c r="W2547" s="19"/>
      <c r="X2547" s="19"/>
      <c r="Y2547" s="20"/>
      <c r="Z2547" s="19"/>
      <c r="AA2547" s="18" t="str">
        <f aca="false">IF(OR(V2547="Aprobada"),R2547,IF(AND(OR(V2547="Aprobada con ajuste",V2547="Rechazada"),W2547&lt;&gt;""),W2547,""))</f>
        <v/>
      </c>
    </row>
    <row r="2548" customFormat="false" ht="22.35" hidden="false" customHeight="false" outlineLevel="0" collapsed="false">
      <c r="A2548" s="18" t="s">
        <v>10646</v>
      </c>
      <c r="B2548" s="18" t="s">
        <v>70</v>
      </c>
      <c r="C2548" s="18" t="s">
        <v>71</v>
      </c>
      <c r="D2548" s="18" t="s">
        <v>6255</v>
      </c>
      <c r="E2548" s="18" t="n">
        <v>0</v>
      </c>
      <c r="F2548" s="18" t="s">
        <v>6256</v>
      </c>
      <c r="G2548" s="18" t="s">
        <v>486</v>
      </c>
      <c r="H2548" s="18" t="s">
        <v>129</v>
      </c>
      <c r="I2548" s="18"/>
      <c r="J2548" s="18"/>
      <c r="K2548" s="18"/>
      <c r="L2548" s="18" t="s">
        <v>129</v>
      </c>
      <c r="M2548" s="18" t="s">
        <v>129</v>
      </c>
      <c r="N2548" s="18"/>
      <c r="O2548" s="18" t="s">
        <v>6257</v>
      </c>
      <c r="P2548" s="18"/>
      <c r="Q2548" s="18" t="s">
        <v>149</v>
      </c>
      <c r="R2548" s="18" t="s">
        <v>6259</v>
      </c>
      <c r="S2548" s="18" t="s">
        <v>133</v>
      </c>
      <c r="T2548" s="18" t="s">
        <v>183</v>
      </c>
      <c r="U2548" s="18"/>
      <c r="V2548" s="19" t="s">
        <v>29</v>
      </c>
      <c r="W2548" s="19"/>
      <c r="X2548" s="19"/>
      <c r="Y2548" s="20"/>
      <c r="Z2548" s="19"/>
      <c r="AA2548" s="18" t="str">
        <f aca="false">IF(OR(V2548="Aprobada"),R2548,IF(AND(OR(V2548="Aprobada con ajuste",V2548="Rechazada"),W2548&lt;&gt;""),W2548,""))</f>
        <v/>
      </c>
    </row>
    <row r="2549" customFormat="false" ht="22.35" hidden="false" customHeight="false" outlineLevel="0" collapsed="false">
      <c r="A2549" s="18" t="s">
        <v>10647</v>
      </c>
      <c r="B2549" s="18" t="s">
        <v>70</v>
      </c>
      <c r="C2549" s="18" t="s">
        <v>71</v>
      </c>
      <c r="D2549" s="18" t="s">
        <v>6255</v>
      </c>
      <c r="E2549" s="18" t="n">
        <v>0</v>
      </c>
      <c r="F2549" s="18" t="s">
        <v>6261</v>
      </c>
      <c r="G2549" s="18" t="s">
        <v>337</v>
      </c>
      <c r="H2549" s="18" t="s">
        <v>162</v>
      </c>
      <c r="I2549" s="18"/>
      <c r="J2549" s="18"/>
      <c r="K2549" s="18"/>
      <c r="L2549" s="18" t="s">
        <v>129</v>
      </c>
      <c r="M2549" s="18" t="s">
        <v>129</v>
      </c>
      <c r="N2549" s="18"/>
      <c r="O2549" s="18"/>
      <c r="P2549" s="18"/>
      <c r="Q2549" s="18" t="s">
        <v>149</v>
      </c>
      <c r="R2549" s="18" t="s">
        <v>6263</v>
      </c>
      <c r="S2549" s="18" t="s">
        <v>133</v>
      </c>
      <c r="T2549" s="18" t="s">
        <v>183</v>
      </c>
      <c r="U2549" s="18"/>
      <c r="V2549" s="19" t="s">
        <v>29</v>
      </c>
      <c r="W2549" s="19"/>
      <c r="X2549" s="19"/>
      <c r="Y2549" s="20"/>
      <c r="Z2549" s="19"/>
      <c r="AA2549" s="18" t="str">
        <f aca="false">IF(OR(V2549="Aprobada"),R2549,IF(AND(OR(V2549="Aprobada con ajuste",V2549="Rechazada"),W2549&lt;&gt;""),W2549,""))</f>
        <v/>
      </c>
    </row>
    <row r="2550" customFormat="false" ht="22.35" hidden="false" customHeight="false" outlineLevel="0" collapsed="false">
      <c r="A2550" s="18" t="s">
        <v>10648</v>
      </c>
      <c r="B2550" s="18" t="s">
        <v>70</v>
      </c>
      <c r="C2550" s="18" t="s">
        <v>71</v>
      </c>
      <c r="D2550" s="18" t="s">
        <v>6255</v>
      </c>
      <c r="E2550" s="18" t="n">
        <v>0</v>
      </c>
      <c r="F2550" s="18" t="s">
        <v>6265</v>
      </c>
      <c r="G2550" s="18" t="s">
        <v>337</v>
      </c>
      <c r="H2550" s="18" t="s">
        <v>162</v>
      </c>
      <c r="I2550" s="18"/>
      <c r="J2550" s="18"/>
      <c r="K2550" s="18"/>
      <c r="L2550" s="18" t="s">
        <v>129</v>
      </c>
      <c r="M2550" s="18" t="s">
        <v>129</v>
      </c>
      <c r="N2550" s="18"/>
      <c r="O2550" s="18"/>
      <c r="P2550" s="18"/>
      <c r="Q2550" s="18" t="s">
        <v>149</v>
      </c>
      <c r="R2550" s="18" t="s">
        <v>6267</v>
      </c>
      <c r="S2550" s="18" t="s">
        <v>133</v>
      </c>
      <c r="T2550" s="18" t="s">
        <v>183</v>
      </c>
      <c r="U2550" s="18"/>
      <c r="V2550" s="19" t="s">
        <v>29</v>
      </c>
      <c r="W2550" s="19"/>
      <c r="X2550" s="19"/>
      <c r="Y2550" s="20"/>
      <c r="Z2550" s="19"/>
      <c r="AA2550" s="18" t="str">
        <f aca="false">IF(OR(V2550="Aprobada"),R2550,IF(AND(OR(V2550="Aprobada con ajuste",V2550="Rechazada"),W2550&lt;&gt;""),W2550,""))</f>
        <v/>
      </c>
    </row>
    <row r="2551" customFormat="false" ht="22.35" hidden="false" customHeight="false" outlineLevel="0" collapsed="false">
      <c r="A2551" s="18" t="s">
        <v>10649</v>
      </c>
      <c r="B2551" s="18" t="s">
        <v>70</v>
      </c>
      <c r="C2551" s="18" t="s">
        <v>71</v>
      </c>
      <c r="D2551" s="18" t="s">
        <v>6255</v>
      </c>
      <c r="E2551" s="18" t="n">
        <v>0</v>
      </c>
      <c r="F2551" s="18" t="s">
        <v>6269</v>
      </c>
      <c r="G2551" s="18" t="s">
        <v>128</v>
      </c>
      <c r="H2551" s="18" t="s">
        <v>129</v>
      </c>
      <c r="I2551" s="18"/>
      <c r="J2551" s="18"/>
      <c r="K2551" s="18"/>
      <c r="L2551" s="18" t="s">
        <v>129</v>
      </c>
      <c r="M2551" s="18" t="s">
        <v>129</v>
      </c>
      <c r="N2551" s="18"/>
      <c r="O2551" s="18"/>
      <c r="P2551" s="18"/>
      <c r="Q2551" s="18" t="s">
        <v>149</v>
      </c>
      <c r="R2551" s="18" t="s">
        <v>6271</v>
      </c>
      <c r="S2551" s="18" t="s">
        <v>133</v>
      </c>
      <c r="T2551" s="18" t="s">
        <v>858</v>
      </c>
      <c r="U2551" s="18"/>
      <c r="V2551" s="19" t="s">
        <v>29</v>
      </c>
      <c r="W2551" s="19"/>
      <c r="X2551" s="19"/>
      <c r="Y2551" s="20"/>
      <c r="Z2551" s="19"/>
      <c r="AA2551" s="18" t="str">
        <f aca="false">IF(OR(V2551="Aprobada"),R2551,IF(AND(OR(V2551="Aprobada con ajuste",V2551="Rechazada"),W2551&lt;&gt;""),W2551,""))</f>
        <v/>
      </c>
    </row>
    <row r="2552" customFormat="false" ht="22.35" hidden="false" customHeight="false" outlineLevel="0" collapsed="false">
      <c r="A2552" s="18" t="s">
        <v>10650</v>
      </c>
      <c r="B2552" s="18" t="s">
        <v>70</v>
      </c>
      <c r="C2552" s="18" t="s">
        <v>71</v>
      </c>
      <c r="D2552" s="18" t="s">
        <v>6255</v>
      </c>
      <c r="E2552" s="18" t="n">
        <v>0</v>
      </c>
      <c r="F2552" s="18" t="s">
        <v>6273</v>
      </c>
      <c r="G2552" s="18" t="s">
        <v>128</v>
      </c>
      <c r="H2552" s="18" t="s">
        <v>162</v>
      </c>
      <c r="I2552" s="18"/>
      <c r="J2552" s="18"/>
      <c r="K2552" s="18"/>
      <c r="L2552" s="18" t="s">
        <v>129</v>
      </c>
      <c r="M2552" s="18" t="s">
        <v>129</v>
      </c>
      <c r="N2552" s="18"/>
      <c r="O2552" s="18"/>
      <c r="P2552" s="18"/>
      <c r="Q2552" s="18" t="s">
        <v>149</v>
      </c>
      <c r="R2552" s="18" t="s">
        <v>6275</v>
      </c>
      <c r="S2552" s="18" t="s">
        <v>140</v>
      </c>
      <c r="T2552" s="18" t="s">
        <v>858</v>
      </c>
      <c r="U2552" s="18" t="s">
        <v>10651</v>
      </c>
      <c r="V2552" s="19" t="s">
        <v>29</v>
      </c>
      <c r="W2552" s="19"/>
      <c r="X2552" s="19"/>
      <c r="Y2552" s="20"/>
      <c r="Z2552" s="19"/>
      <c r="AA2552" s="18" t="str">
        <f aca="false">IF(OR(V2552="Aprobada"),R2552,IF(AND(OR(V2552="Aprobada con ajuste",V2552="Rechazada"),W2552&lt;&gt;""),W2552,""))</f>
        <v/>
      </c>
    </row>
    <row r="2553" customFormat="false" ht="22.35" hidden="false" customHeight="false" outlineLevel="0" collapsed="false">
      <c r="A2553" s="18" t="s">
        <v>10652</v>
      </c>
      <c r="B2553" s="18" t="s">
        <v>70</v>
      </c>
      <c r="C2553" s="18" t="s">
        <v>71</v>
      </c>
      <c r="D2553" s="18" t="s">
        <v>6255</v>
      </c>
      <c r="E2553" s="18" t="n">
        <v>0</v>
      </c>
      <c r="F2553" s="18" t="s">
        <v>6278</v>
      </c>
      <c r="G2553" s="18" t="s">
        <v>317</v>
      </c>
      <c r="H2553" s="18" t="s">
        <v>162</v>
      </c>
      <c r="I2553" s="18"/>
      <c r="J2553" s="18"/>
      <c r="K2553" s="18"/>
      <c r="L2553" s="18" t="s">
        <v>129</v>
      </c>
      <c r="M2553" s="18" t="s">
        <v>129</v>
      </c>
      <c r="N2553" s="18"/>
      <c r="O2553" s="18"/>
      <c r="P2553" s="18"/>
      <c r="Q2553" s="18" t="s">
        <v>138</v>
      </c>
      <c r="R2553" s="18" t="s">
        <v>6280</v>
      </c>
      <c r="S2553" s="18" t="s">
        <v>140</v>
      </c>
      <c r="T2553" s="18" t="s">
        <v>141</v>
      </c>
      <c r="U2553" s="18"/>
      <c r="V2553" s="19" t="s">
        <v>29</v>
      </c>
      <c r="W2553" s="19"/>
      <c r="X2553" s="19"/>
      <c r="Y2553" s="20"/>
      <c r="Z2553" s="19"/>
      <c r="AA2553" s="18" t="str">
        <f aca="false">IF(OR(V2553="Aprobada"),R2553,IF(AND(OR(V2553="Aprobada con ajuste",V2553="Rechazada"),W2553&lt;&gt;""),W2553,""))</f>
        <v/>
      </c>
    </row>
    <row r="2554" customFormat="false" ht="22.35" hidden="false" customHeight="false" outlineLevel="0" collapsed="false">
      <c r="A2554" s="18" t="s">
        <v>10653</v>
      </c>
      <c r="B2554" s="18" t="s">
        <v>70</v>
      </c>
      <c r="C2554" s="18" t="s">
        <v>71</v>
      </c>
      <c r="D2554" s="18" t="s">
        <v>6255</v>
      </c>
      <c r="E2554" s="18" t="n">
        <v>0</v>
      </c>
      <c r="F2554" s="18" t="s">
        <v>326</v>
      </c>
      <c r="G2554" s="18" t="s">
        <v>317</v>
      </c>
      <c r="H2554" s="18" t="s">
        <v>129</v>
      </c>
      <c r="I2554" s="18"/>
      <c r="J2554" s="18"/>
      <c r="K2554" s="18"/>
      <c r="L2554" s="18" t="s">
        <v>129</v>
      </c>
      <c r="M2554" s="18" t="s">
        <v>129</v>
      </c>
      <c r="N2554" s="18"/>
      <c r="O2554" s="18"/>
      <c r="P2554" s="18"/>
      <c r="Q2554" s="18" t="s">
        <v>138</v>
      </c>
      <c r="R2554" s="18" t="s">
        <v>328</v>
      </c>
      <c r="S2554" s="18" t="s">
        <v>140</v>
      </c>
      <c r="T2554" s="18" t="s">
        <v>141</v>
      </c>
      <c r="U2554" s="18"/>
      <c r="V2554" s="19" t="s">
        <v>29</v>
      </c>
      <c r="W2554" s="19"/>
      <c r="X2554" s="19"/>
      <c r="Y2554" s="20"/>
      <c r="Z2554" s="19"/>
      <c r="AA2554" s="18" t="str">
        <f aca="false">IF(OR(V2554="Aprobada"),R2554,IF(AND(OR(V2554="Aprobada con ajuste",V2554="Rechazada"),W2554&lt;&gt;""),W2554,""))</f>
        <v/>
      </c>
    </row>
    <row r="2555" customFormat="false" ht="22.35" hidden="false" customHeight="false" outlineLevel="0" collapsed="false">
      <c r="A2555" s="18" t="s">
        <v>10654</v>
      </c>
      <c r="B2555" s="18" t="s">
        <v>70</v>
      </c>
      <c r="C2555" s="18" t="s">
        <v>71</v>
      </c>
      <c r="D2555" s="18" t="s">
        <v>6255</v>
      </c>
      <c r="E2555" s="18" t="n">
        <v>0</v>
      </c>
      <c r="F2555" s="18" t="s">
        <v>4792</v>
      </c>
      <c r="G2555" s="18" t="s">
        <v>317</v>
      </c>
      <c r="H2555" s="18" t="s">
        <v>162</v>
      </c>
      <c r="I2555" s="18"/>
      <c r="J2555" s="18"/>
      <c r="K2555" s="18"/>
      <c r="L2555" s="18" t="s">
        <v>129</v>
      </c>
      <c r="M2555" s="18" t="s">
        <v>129</v>
      </c>
      <c r="N2555" s="18"/>
      <c r="O2555" s="18"/>
      <c r="P2555" s="18"/>
      <c r="Q2555" s="18" t="s">
        <v>138</v>
      </c>
      <c r="R2555" s="18" t="s">
        <v>4794</v>
      </c>
      <c r="S2555" s="18" t="s">
        <v>140</v>
      </c>
      <c r="T2555" s="18" t="s">
        <v>141</v>
      </c>
      <c r="U2555" s="18"/>
      <c r="V2555" s="19" t="s">
        <v>29</v>
      </c>
      <c r="W2555" s="19"/>
      <c r="X2555" s="19"/>
      <c r="Y2555" s="20"/>
      <c r="Z2555" s="19"/>
      <c r="AA2555" s="18" t="str">
        <f aca="false">IF(OR(V2555="Aprobada"),R2555,IF(AND(OR(V2555="Aprobada con ajuste",V2555="Rechazada"),W2555&lt;&gt;""),W2555,""))</f>
        <v/>
      </c>
    </row>
    <row r="2556" customFormat="false" ht="32.8" hidden="false" customHeight="false" outlineLevel="0" collapsed="false">
      <c r="A2556" s="18" t="s">
        <v>10655</v>
      </c>
      <c r="B2556" s="18" t="s">
        <v>70</v>
      </c>
      <c r="C2556" s="18" t="s">
        <v>71</v>
      </c>
      <c r="D2556" s="18" t="s">
        <v>6255</v>
      </c>
      <c r="E2556" s="18" t="n">
        <v>0</v>
      </c>
      <c r="F2556" s="18" t="s">
        <v>185</v>
      </c>
      <c r="G2556" s="18" t="s">
        <v>205</v>
      </c>
      <c r="H2556" s="18" t="s">
        <v>162</v>
      </c>
      <c r="I2556" s="18" t="s">
        <v>298</v>
      </c>
      <c r="J2556" s="18" t="s">
        <v>6289</v>
      </c>
      <c r="K2556" s="18"/>
      <c r="L2556" s="18" t="s">
        <v>162</v>
      </c>
      <c r="M2556" s="18" t="s">
        <v>129</v>
      </c>
      <c r="N2556" s="18"/>
      <c r="O2556" s="18" t="s">
        <v>6290</v>
      </c>
      <c r="P2556" s="18"/>
      <c r="Q2556" s="18" t="s">
        <v>138</v>
      </c>
      <c r="R2556" s="18" t="s">
        <v>6292</v>
      </c>
      <c r="S2556" s="18" t="s">
        <v>140</v>
      </c>
      <c r="T2556" s="18" t="s">
        <v>141</v>
      </c>
      <c r="U2556" s="18"/>
      <c r="V2556" s="19" t="s">
        <v>29</v>
      </c>
      <c r="W2556" s="19"/>
      <c r="X2556" s="19"/>
      <c r="Y2556" s="20"/>
      <c r="Z2556" s="19"/>
      <c r="AA2556" s="18" t="str">
        <f aca="false">IF(OR(V2556="Aprobada"),R2556,IF(AND(OR(V2556="Aprobada con ajuste",V2556="Rechazada"),W2556&lt;&gt;""),W2556,""))</f>
        <v/>
      </c>
    </row>
    <row r="2557" customFormat="false" ht="22.35" hidden="false" customHeight="false" outlineLevel="0" collapsed="false">
      <c r="A2557" s="18" t="s">
        <v>10656</v>
      </c>
      <c r="B2557" s="18" t="s">
        <v>70</v>
      </c>
      <c r="C2557" s="18" t="s">
        <v>71</v>
      </c>
      <c r="D2557" s="18" t="s">
        <v>6255</v>
      </c>
      <c r="E2557" s="18" t="n">
        <v>0</v>
      </c>
      <c r="F2557" s="18" t="s">
        <v>10657</v>
      </c>
      <c r="G2557" s="18" t="s">
        <v>651</v>
      </c>
      <c r="H2557" s="18" t="s">
        <v>162</v>
      </c>
      <c r="I2557" s="18"/>
      <c r="J2557" s="18"/>
      <c r="K2557" s="18"/>
      <c r="L2557" s="18" t="s">
        <v>129</v>
      </c>
      <c r="M2557" s="18" t="s">
        <v>129</v>
      </c>
      <c r="N2557" s="18"/>
      <c r="O2557" s="18"/>
      <c r="P2557" s="18"/>
      <c r="Q2557" s="18" t="s">
        <v>149</v>
      </c>
      <c r="R2557" s="18" t="s">
        <v>10658</v>
      </c>
      <c r="S2557" s="18" t="s">
        <v>133</v>
      </c>
      <c r="T2557" s="18" t="s">
        <v>858</v>
      </c>
      <c r="U2557" s="18"/>
      <c r="V2557" s="19" t="s">
        <v>29</v>
      </c>
      <c r="W2557" s="19"/>
      <c r="X2557" s="19"/>
      <c r="Y2557" s="20"/>
      <c r="Z2557" s="19"/>
      <c r="AA2557" s="18" t="str">
        <f aca="false">IF(OR(V2557="Aprobada"),R2557,IF(AND(OR(V2557="Aprobada con ajuste",V2557="Rechazada"),W2557&lt;&gt;""),W2557,""))</f>
        <v/>
      </c>
    </row>
    <row r="2558" customFormat="false" ht="22.35" hidden="false" customHeight="false" outlineLevel="0" collapsed="false">
      <c r="A2558" s="18" t="s">
        <v>10659</v>
      </c>
      <c r="B2558" s="18" t="s">
        <v>70</v>
      </c>
      <c r="C2558" s="18" t="s">
        <v>71</v>
      </c>
      <c r="D2558" s="18" t="s">
        <v>6255</v>
      </c>
      <c r="E2558" s="18" t="n">
        <v>0</v>
      </c>
      <c r="F2558" s="18" t="s">
        <v>6299</v>
      </c>
      <c r="G2558" s="18" t="s">
        <v>128</v>
      </c>
      <c r="H2558" s="18" t="s">
        <v>162</v>
      </c>
      <c r="I2558" s="18"/>
      <c r="J2558" s="18"/>
      <c r="K2558" s="18"/>
      <c r="L2558" s="18" t="s">
        <v>129</v>
      </c>
      <c r="M2558" s="18" t="s">
        <v>129</v>
      </c>
      <c r="N2558" s="18"/>
      <c r="O2558" s="18"/>
      <c r="P2558" s="18"/>
      <c r="Q2558" s="18" t="s">
        <v>149</v>
      </c>
      <c r="R2558" s="18" t="s">
        <v>6301</v>
      </c>
      <c r="S2558" s="18" t="s">
        <v>133</v>
      </c>
      <c r="T2558" s="18" t="s">
        <v>183</v>
      </c>
      <c r="U2558" s="18"/>
      <c r="V2558" s="19" t="s">
        <v>29</v>
      </c>
      <c r="W2558" s="19"/>
      <c r="X2558" s="19"/>
      <c r="Y2558" s="20"/>
      <c r="Z2558" s="19"/>
      <c r="AA2558" s="18" t="str">
        <f aca="false">IF(OR(V2558="Aprobada"),R2558,IF(AND(OR(V2558="Aprobada con ajuste",V2558="Rechazada"),W2558&lt;&gt;""),W2558,""))</f>
        <v/>
      </c>
    </row>
    <row r="2559" customFormat="false" ht="22.35" hidden="false" customHeight="false" outlineLevel="0" collapsed="false">
      <c r="A2559" s="18" t="s">
        <v>10660</v>
      </c>
      <c r="B2559" s="18" t="s">
        <v>70</v>
      </c>
      <c r="C2559" s="18" t="s">
        <v>71</v>
      </c>
      <c r="D2559" s="18" t="s">
        <v>6255</v>
      </c>
      <c r="E2559" s="18" t="n">
        <v>0</v>
      </c>
      <c r="F2559" s="18" t="s">
        <v>6303</v>
      </c>
      <c r="G2559" s="18" t="s">
        <v>337</v>
      </c>
      <c r="H2559" s="18" t="s">
        <v>162</v>
      </c>
      <c r="I2559" s="18"/>
      <c r="J2559" s="18"/>
      <c r="K2559" s="18"/>
      <c r="L2559" s="18" t="s">
        <v>129</v>
      </c>
      <c r="M2559" s="18" t="s">
        <v>129</v>
      </c>
      <c r="N2559" s="18"/>
      <c r="O2559" s="18"/>
      <c r="P2559" s="18"/>
      <c r="Q2559" s="18" t="s">
        <v>138</v>
      </c>
      <c r="R2559" s="18" t="s">
        <v>6305</v>
      </c>
      <c r="S2559" s="18" t="s">
        <v>140</v>
      </c>
      <c r="T2559" s="18" t="s">
        <v>141</v>
      </c>
      <c r="U2559" s="18"/>
      <c r="V2559" s="19" t="s">
        <v>29</v>
      </c>
      <c r="W2559" s="19"/>
      <c r="X2559" s="19"/>
      <c r="Y2559" s="20"/>
      <c r="Z2559" s="19"/>
      <c r="AA2559" s="18" t="str">
        <f aca="false">IF(OR(V2559="Aprobada"),R2559,IF(AND(OR(V2559="Aprobada con ajuste",V2559="Rechazada"),W2559&lt;&gt;""),W2559,""))</f>
        <v/>
      </c>
    </row>
    <row r="2560" customFormat="false" ht="22.35" hidden="false" customHeight="false" outlineLevel="0" collapsed="false">
      <c r="A2560" s="18" t="s">
        <v>10661</v>
      </c>
      <c r="B2560" s="18" t="s">
        <v>70</v>
      </c>
      <c r="C2560" s="18" t="s">
        <v>71</v>
      </c>
      <c r="D2560" s="18" t="s">
        <v>6255</v>
      </c>
      <c r="E2560" s="18" t="n">
        <v>0</v>
      </c>
      <c r="F2560" s="18" t="s">
        <v>6307</v>
      </c>
      <c r="G2560" s="18" t="s">
        <v>337</v>
      </c>
      <c r="H2560" s="18" t="s">
        <v>162</v>
      </c>
      <c r="I2560" s="18"/>
      <c r="J2560" s="18"/>
      <c r="K2560" s="18"/>
      <c r="L2560" s="18" t="s">
        <v>129</v>
      </c>
      <c r="M2560" s="18" t="s">
        <v>129</v>
      </c>
      <c r="N2560" s="18"/>
      <c r="O2560" s="18"/>
      <c r="P2560" s="18"/>
      <c r="Q2560" s="18" t="s">
        <v>149</v>
      </c>
      <c r="R2560" s="18" t="s">
        <v>6309</v>
      </c>
      <c r="S2560" s="18" t="s">
        <v>140</v>
      </c>
      <c r="T2560" s="18" t="s">
        <v>183</v>
      </c>
      <c r="U2560" s="18" t="s">
        <v>4673</v>
      </c>
      <c r="V2560" s="19" t="s">
        <v>29</v>
      </c>
      <c r="W2560" s="19"/>
      <c r="X2560" s="19"/>
      <c r="Y2560" s="20"/>
      <c r="Z2560" s="19"/>
      <c r="AA2560" s="18" t="str">
        <f aca="false">IF(OR(V2560="Aprobada"),R2560,IF(AND(OR(V2560="Aprobada con ajuste",V2560="Rechazada"),W2560&lt;&gt;""),W2560,""))</f>
        <v/>
      </c>
    </row>
    <row r="2561" customFormat="false" ht="32.8" hidden="false" customHeight="false" outlineLevel="0" collapsed="false">
      <c r="A2561" s="18" t="s">
        <v>10662</v>
      </c>
      <c r="B2561" s="18" t="s">
        <v>72</v>
      </c>
      <c r="C2561" s="18" t="s">
        <v>73</v>
      </c>
      <c r="D2561" s="18" t="s">
        <v>8542</v>
      </c>
      <c r="E2561" s="18" t="n">
        <v>6345</v>
      </c>
      <c r="F2561" s="18" t="s">
        <v>10663</v>
      </c>
      <c r="G2561" s="18" t="s">
        <v>312</v>
      </c>
      <c r="H2561" s="18" t="s">
        <v>129</v>
      </c>
      <c r="I2561" s="18"/>
      <c r="J2561" s="18"/>
      <c r="K2561" s="18"/>
      <c r="L2561" s="18" t="s">
        <v>129</v>
      </c>
      <c r="M2561" s="18" t="s">
        <v>129</v>
      </c>
      <c r="N2561" s="18"/>
      <c r="O2561" s="18" t="s">
        <v>10664</v>
      </c>
      <c r="P2561" s="18" t="s">
        <v>10665</v>
      </c>
      <c r="Q2561" s="18" t="s">
        <v>149</v>
      </c>
      <c r="R2561" s="18" t="s">
        <v>8545</v>
      </c>
      <c r="S2561" s="18" t="s">
        <v>133</v>
      </c>
      <c r="T2561" s="18" t="s">
        <v>10666</v>
      </c>
      <c r="U2561" s="18"/>
      <c r="V2561" s="19" t="s">
        <v>29</v>
      </c>
      <c r="W2561" s="19"/>
      <c r="X2561" s="19"/>
      <c r="Y2561" s="20"/>
      <c r="Z2561" s="19"/>
      <c r="AA2561" s="18" t="str">
        <f aca="false">IF(OR(V2561="Aprobada"),R2561,IF(AND(OR(V2561="Aprobada con ajuste",V2561="Rechazada"),W2561&lt;&gt;""),W2561,""))</f>
        <v/>
      </c>
    </row>
    <row r="2562" customFormat="false" ht="32.8" hidden="false" customHeight="false" outlineLevel="0" collapsed="false">
      <c r="A2562" s="18" t="s">
        <v>10667</v>
      </c>
      <c r="B2562" s="18" t="s">
        <v>72</v>
      </c>
      <c r="C2562" s="18" t="s">
        <v>73</v>
      </c>
      <c r="D2562" s="18" t="s">
        <v>8542</v>
      </c>
      <c r="E2562" s="18" t="n">
        <v>6345</v>
      </c>
      <c r="F2562" s="18" t="s">
        <v>8549</v>
      </c>
      <c r="G2562" s="18" t="s">
        <v>486</v>
      </c>
      <c r="H2562" s="18" t="s">
        <v>129</v>
      </c>
      <c r="I2562" s="18"/>
      <c r="J2562" s="18"/>
      <c r="K2562" s="18"/>
      <c r="L2562" s="18" t="s">
        <v>129</v>
      </c>
      <c r="M2562" s="18" t="s">
        <v>129</v>
      </c>
      <c r="N2562" s="18"/>
      <c r="O2562" s="18"/>
      <c r="P2562" s="18" t="s">
        <v>10668</v>
      </c>
      <c r="Q2562" s="18" t="s">
        <v>149</v>
      </c>
      <c r="R2562" s="18" t="s">
        <v>10669</v>
      </c>
      <c r="S2562" s="18" t="s">
        <v>140</v>
      </c>
      <c r="T2562" s="18" t="s">
        <v>858</v>
      </c>
      <c r="U2562" s="18" t="s">
        <v>10670</v>
      </c>
      <c r="V2562" s="19" t="s">
        <v>29</v>
      </c>
      <c r="W2562" s="19"/>
      <c r="X2562" s="19"/>
      <c r="Y2562" s="20"/>
      <c r="Z2562" s="19"/>
      <c r="AA2562" s="18" t="str">
        <f aca="false">IF(OR(V2562="Aprobada"),R2562,IF(AND(OR(V2562="Aprobada con ajuste",V2562="Rechazada"),W2562&lt;&gt;""),W2562,""))</f>
        <v/>
      </c>
    </row>
    <row r="2563" customFormat="false" ht="32.8" hidden="false" customHeight="false" outlineLevel="0" collapsed="false">
      <c r="A2563" s="18" t="s">
        <v>10671</v>
      </c>
      <c r="B2563" s="18" t="s">
        <v>72</v>
      </c>
      <c r="C2563" s="18" t="s">
        <v>73</v>
      </c>
      <c r="D2563" s="18" t="s">
        <v>8542</v>
      </c>
      <c r="E2563" s="18" t="n">
        <v>6345</v>
      </c>
      <c r="F2563" s="18" t="s">
        <v>4369</v>
      </c>
      <c r="G2563" s="18" t="s">
        <v>180</v>
      </c>
      <c r="H2563" s="18" t="s">
        <v>129</v>
      </c>
      <c r="I2563" s="18"/>
      <c r="J2563" s="18"/>
      <c r="K2563" s="18"/>
      <c r="L2563" s="18" t="s">
        <v>129</v>
      </c>
      <c r="M2563" s="18" t="s">
        <v>129</v>
      </c>
      <c r="N2563" s="18"/>
      <c r="O2563" s="18"/>
      <c r="P2563" s="18" t="s">
        <v>10672</v>
      </c>
      <c r="Q2563" s="18" t="s">
        <v>149</v>
      </c>
      <c r="R2563" s="18" t="s">
        <v>8557</v>
      </c>
      <c r="S2563" s="18" t="s">
        <v>133</v>
      </c>
      <c r="T2563" s="18" t="s">
        <v>858</v>
      </c>
      <c r="U2563" s="18"/>
      <c r="V2563" s="19" t="s">
        <v>29</v>
      </c>
      <c r="W2563" s="19"/>
      <c r="X2563" s="19"/>
      <c r="Y2563" s="20"/>
      <c r="Z2563" s="19"/>
      <c r="AA2563" s="18" t="str">
        <f aca="false">IF(OR(V2563="Aprobada"),R2563,IF(AND(OR(V2563="Aprobada con ajuste",V2563="Rechazada"),W2563&lt;&gt;""),W2563,""))</f>
        <v/>
      </c>
    </row>
    <row r="2564" customFormat="false" ht="32.8" hidden="false" customHeight="false" outlineLevel="0" collapsed="false">
      <c r="A2564" s="18" t="s">
        <v>10673</v>
      </c>
      <c r="B2564" s="18" t="s">
        <v>72</v>
      </c>
      <c r="C2564" s="18" t="s">
        <v>73</v>
      </c>
      <c r="D2564" s="18" t="s">
        <v>8542</v>
      </c>
      <c r="E2564" s="18" t="n">
        <v>6345</v>
      </c>
      <c r="F2564" s="18" t="s">
        <v>1918</v>
      </c>
      <c r="G2564" s="18" t="s">
        <v>128</v>
      </c>
      <c r="H2564" s="18" t="s">
        <v>129</v>
      </c>
      <c r="I2564" s="18"/>
      <c r="J2564" s="18"/>
      <c r="K2564" s="18"/>
      <c r="L2564" s="18" t="s">
        <v>129</v>
      </c>
      <c r="M2564" s="18" t="s">
        <v>129</v>
      </c>
      <c r="N2564" s="18"/>
      <c r="O2564" s="18"/>
      <c r="P2564" s="18" t="s">
        <v>10674</v>
      </c>
      <c r="Q2564" s="18" t="s">
        <v>149</v>
      </c>
      <c r="R2564" s="18" t="s">
        <v>8560</v>
      </c>
      <c r="S2564" s="18" t="s">
        <v>133</v>
      </c>
      <c r="T2564" s="18" t="s">
        <v>858</v>
      </c>
      <c r="U2564" s="18"/>
      <c r="V2564" s="19" t="s">
        <v>29</v>
      </c>
      <c r="W2564" s="19"/>
      <c r="X2564" s="19"/>
      <c r="Y2564" s="20"/>
      <c r="Z2564" s="19"/>
      <c r="AA2564" s="18" t="str">
        <f aca="false">IF(OR(V2564="Aprobada"),R2564,IF(AND(OR(V2564="Aprobada con ajuste",V2564="Rechazada"),W2564&lt;&gt;""),W2564,""))</f>
        <v/>
      </c>
    </row>
    <row r="2565" customFormat="false" ht="32.8" hidden="false" customHeight="false" outlineLevel="0" collapsed="false">
      <c r="A2565" s="18" t="s">
        <v>10675</v>
      </c>
      <c r="B2565" s="18" t="s">
        <v>72</v>
      </c>
      <c r="C2565" s="18" t="s">
        <v>73</v>
      </c>
      <c r="D2565" s="18" t="s">
        <v>8542</v>
      </c>
      <c r="E2565" s="18" t="n">
        <v>6345</v>
      </c>
      <c r="F2565" s="18" t="s">
        <v>10676</v>
      </c>
      <c r="G2565" s="18" t="s">
        <v>180</v>
      </c>
      <c r="H2565" s="18" t="s">
        <v>162</v>
      </c>
      <c r="I2565" s="18"/>
      <c r="J2565" s="18"/>
      <c r="K2565" s="18"/>
      <c r="L2565" s="18" t="s">
        <v>129</v>
      </c>
      <c r="M2565" s="18" t="s">
        <v>129</v>
      </c>
      <c r="N2565" s="18"/>
      <c r="O2565" s="18"/>
      <c r="P2565" s="18" t="s">
        <v>10677</v>
      </c>
      <c r="Q2565" s="18" t="s">
        <v>149</v>
      </c>
      <c r="R2565" s="18" t="s">
        <v>10678</v>
      </c>
      <c r="S2565" s="18" t="s">
        <v>133</v>
      </c>
      <c r="T2565" s="18" t="s">
        <v>858</v>
      </c>
      <c r="U2565" s="18"/>
      <c r="V2565" s="19" t="s">
        <v>29</v>
      </c>
      <c r="W2565" s="19"/>
      <c r="X2565" s="19"/>
      <c r="Y2565" s="20"/>
      <c r="Z2565" s="19"/>
      <c r="AA2565" s="18" t="str">
        <f aca="false">IF(OR(V2565="Aprobada"),R2565,IF(AND(OR(V2565="Aprobada con ajuste",V2565="Rechazada"),W2565&lt;&gt;""),W2565,""))</f>
        <v/>
      </c>
    </row>
    <row r="2566" customFormat="false" ht="32.8" hidden="false" customHeight="false" outlineLevel="0" collapsed="false">
      <c r="A2566" s="18" t="s">
        <v>10679</v>
      </c>
      <c r="B2566" s="18" t="s">
        <v>72</v>
      </c>
      <c r="C2566" s="18" t="s">
        <v>73</v>
      </c>
      <c r="D2566" s="18" t="s">
        <v>8542</v>
      </c>
      <c r="E2566" s="18" t="n">
        <v>6345</v>
      </c>
      <c r="F2566" s="18" t="s">
        <v>900</v>
      </c>
      <c r="G2566" s="18" t="s">
        <v>486</v>
      </c>
      <c r="H2566" s="18" t="s">
        <v>162</v>
      </c>
      <c r="I2566" s="18"/>
      <c r="J2566" s="18"/>
      <c r="K2566" s="18"/>
      <c r="L2566" s="18" t="s">
        <v>129</v>
      </c>
      <c r="M2566" s="18" t="s">
        <v>129</v>
      </c>
      <c r="N2566" s="18"/>
      <c r="O2566" s="18"/>
      <c r="P2566" s="18" t="s">
        <v>10680</v>
      </c>
      <c r="Q2566" s="18" t="s">
        <v>149</v>
      </c>
      <c r="R2566" s="18" t="s">
        <v>10681</v>
      </c>
      <c r="S2566" s="18" t="s">
        <v>140</v>
      </c>
      <c r="T2566" s="18" t="s">
        <v>858</v>
      </c>
      <c r="U2566" s="18" t="s">
        <v>10682</v>
      </c>
      <c r="V2566" s="19" t="s">
        <v>29</v>
      </c>
      <c r="W2566" s="19"/>
      <c r="X2566" s="19"/>
      <c r="Y2566" s="20"/>
      <c r="Z2566" s="19"/>
      <c r="AA2566" s="18" t="str">
        <f aca="false">IF(OR(V2566="Aprobada"),R2566,IF(AND(OR(V2566="Aprobada con ajuste",V2566="Rechazada"),W2566&lt;&gt;""),W2566,""))</f>
        <v/>
      </c>
    </row>
    <row r="2567" customFormat="false" ht="32.8" hidden="false" customHeight="false" outlineLevel="0" collapsed="false">
      <c r="A2567" s="18" t="s">
        <v>10683</v>
      </c>
      <c r="B2567" s="18" t="s">
        <v>72</v>
      </c>
      <c r="C2567" s="18" t="s">
        <v>73</v>
      </c>
      <c r="D2567" s="18" t="s">
        <v>8542</v>
      </c>
      <c r="E2567" s="18" t="n">
        <v>6345</v>
      </c>
      <c r="F2567" s="18" t="s">
        <v>498</v>
      </c>
      <c r="G2567" s="18" t="s">
        <v>145</v>
      </c>
      <c r="H2567" s="18" t="s">
        <v>162</v>
      </c>
      <c r="I2567" s="18"/>
      <c r="J2567" s="18"/>
      <c r="K2567" s="18"/>
      <c r="L2567" s="18" t="s">
        <v>129</v>
      </c>
      <c r="M2567" s="18" t="s">
        <v>129</v>
      </c>
      <c r="N2567" s="18"/>
      <c r="O2567" s="18"/>
      <c r="P2567" s="18" t="s">
        <v>10684</v>
      </c>
      <c r="Q2567" s="18" t="s">
        <v>149</v>
      </c>
      <c r="R2567" s="18" t="s">
        <v>10685</v>
      </c>
      <c r="S2567" s="18" t="s">
        <v>140</v>
      </c>
      <c r="T2567" s="18" t="s">
        <v>858</v>
      </c>
      <c r="U2567" s="18" t="s">
        <v>10686</v>
      </c>
      <c r="V2567" s="19" t="s">
        <v>29</v>
      </c>
      <c r="W2567" s="19"/>
      <c r="X2567" s="19"/>
      <c r="Y2567" s="20"/>
      <c r="Z2567" s="19"/>
      <c r="AA2567" s="18" t="str">
        <f aca="false">IF(OR(V2567="Aprobada"),R2567,IF(AND(OR(V2567="Aprobada con ajuste",V2567="Rechazada"),W2567&lt;&gt;""),W2567,""))</f>
        <v/>
      </c>
    </row>
    <row r="2568" customFormat="false" ht="43.25" hidden="false" customHeight="false" outlineLevel="0" collapsed="false">
      <c r="A2568" s="18" t="s">
        <v>10687</v>
      </c>
      <c r="B2568" s="18" t="s">
        <v>72</v>
      </c>
      <c r="C2568" s="18" t="s">
        <v>73</v>
      </c>
      <c r="D2568" s="18" t="s">
        <v>8542</v>
      </c>
      <c r="E2568" s="18" t="n">
        <v>6345</v>
      </c>
      <c r="F2568" s="18" t="s">
        <v>4777</v>
      </c>
      <c r="G2568" s="18" t="s">
        <v>205</v>
      </c>
      <c r="H2568" s="18" t="s">
        <v>129</v>
      </c>
      <c r="I2568" s="18"/>
      <c r="J2568" s="18"/>
      <c r="K2568" s="18"/>
      <c r="L2568" s="18" t="s">
        <v>129</v>
      </c>
      <c r="M2568" s="18" t="s">
        <v>129</v>
      </c>
      <c r="N2568" s="18"/>
      <c r="O2568" s="18"/>
      <c r="P2568" s="18" t="s">
        <v>10688</v>
      </c>
      <c r="Q2568" s="18" t="s">
        <v>149</v>
      </c>
      <c r="R2568" s="18" t="s">
        <v>10689</v>
      </c>
      <c r="S2568" s="18" t="s">
        <v>133</v>
      </c>
      <c r="T2568" s="18" t="s">
        <v>9862</v>
      </c>
      <c r="U2568" s="18"/>
      <c r="V2568" s="19" t="s">
        <v>29</v>
      </c>
      <c r="W2568" s="19"/>
      <c r="X2568" s="19"/>
      <c r="Y2568" s="20"/>
      <c r="Z2568" s="19"/>
      <c r="AA2568" s="18" t="str">
        <f aca="false">IF(OR(V2568="Aprobada"),R2568,IF(AND(OR(V2568="Aprobada con ajuste",V2568="Rechazada"),W2568&lt;&gt;""),W2568,""))</f>
        <v/>
      </c>
    </row>
    <row r="2569" customFormat="false" ht="32.8" hidden="false" customHeight="false" outlineLevel="0" collapsed="false">
      <c r="A2569" s="18" t="s">
        <v>10690</v>
      </c>
      <c r="B2569" s="18" t="s">
        <v>72</v>
      </c>
      <c r="C2569" s="18" t="s">
        <v>73</v>
      </c>
      <c r="D2569" s="18" t="s">
        <v>8542</v>
      </c>
      <c r="E2569" s="18" t="n">
        <v>6345</v>
      </c>
      <c r="F2569" s="18" t="s">
        <v>281</v>
      </c>
      <c r="G2569" s="18" t="s">
        <v>486</v>
      </c>
      <c r="H2569" s="18" t="s">
        <v>162</v>
      </c>
      <c r="I2569" s="18"/>
      <c r="J2569" s="18"/>
      <c r="K2569" s="18"/>
      <c r="L2569" s="18" t="s">
        <v>129</v>
      </c>
      <c r="M2569" s="18" t="s">
        <v>129</v>
      </c>
      <c r="N2569" s="18"/>
      <c r="O2569" s="18"/>
      <c r="P2569" s="18" t="s">
        <v>10691</v>
      </c>
      <c r="Q2569" s="18" t="s">
        <v>149</v>
      </c>
      <c r="R2569" s="18" t="s">
        <v>10692</v>
      </c>
      <c r="S2569" s="18" t="s">
        <v>140</v>
      </c>
      <c r="T2569" s="18" t="s">
        <v>858</v>
      </c>
      <c r="U2569" s="18" t="s">
        <v>10693</v>
      </c>
      <c r="V2569" s="19" t="s">
        <v>29</v>
      </c>
      <c r="W2569" s="19"/>
      <c r="X2569" s="19"/>
      <c r="Y2569" s="20"/>
      <c r="Z2569" s="19"/>
      <c r="AA2569" s="18" t="str">
        <f aca="false">IF(OR(V2569="Aprobada"),R2569,IF(AND(OR(V2569="Aprobada con ajuste",V2569="Rechazada"),W2569&lt;&gt;""),W2569,""))</f>
        <v/>
      </c>
    </row>
    <row r="2570" customFormat="false" ht="32.8" hidden="false" customHeight="false" outlineLevel="0" collapsed="false">
      <c r="A2570" s="18" t="s">
        <v>10694</v>
      </c>
      <c r="B2570" s="18" t="s">
        <v>72</v>
      </c>
      <c r="C2570" s="18" t="s">
        <v>73</v>
      </c>
      <c r="D2570" s="18" t="s">
        <v>8542</v>
      </c>
      <c r="E2570" s="18" t="n">
        <v>6345</v>
      </c>
      <c r="F2570" s="18" t="s">
        <v>8572</v>
      </c>
      <c r="G2570" s="18" t="s">
        <v>173</v>
      </c>
      <c r="H2570" s="18" t="s">
        <v>129</v>
      </c>
      <c r="I2570" s="18"/>
      <c r="J2570" s="18"/>
      <c r="K2570" s="18"/>
      <c r="L2570" s="18" t="s">
        <v>129</v>
      </c>
      <c r="M2570" s="18" t="s">
        <v>129</v>
      </c>
      <c r="N2570" s="18"/>
      <c r="O2570" s="18" t="s">
        <v>10695</v>
      </c>
      <c r="P2570" s="18" t="s">
        <v>10696</v>
      </c>
      <c r="Q2570" s="18" t="s">
        <v>138</v>
      </c>
      <c r="R2570" s="18" t="s">
        <v>8574</v>
      </c>
      <c r="S2570" s="18" t="s">
        <v>140</v>
      </c>
      <c r="T2570" s="18" t="s">
        <v>141</v>
      </c>
      <c r="U2570" s="18"/>
      <c r="V2570" s="19" t="s">
        <v>29</v>
      </c>
      <c r="W2570" s="19"/>
      <c r="X2570" s="19"/>
      <c r="Y2570" s="20"/>
      <c r="Z2570" s="19"/>
      <c r="AA2570" s="18" t="str">
        <f aca="false">IF(OR(V2570="Aprobada"),R2570,IF(AND(OR(V2570="Aprobada con ajuste",V2570="Rechazada"),W2570&lt;&gt;""),W2570,""))</f>
        <v/>
      </c>
    </row>
    <row r="2571" customFormat="false" ht="32.8" hidden="false" customHeight="false" outlineLevel="0" collapsed="false">
      <c r="A2571" s="18" t="s">
        <v>10697</v>
      </c>
      <c r="B2571" s="18" t="s">
        <v>72</v>
      </c>
      <c r="C2571" s="18" t="s">
        <v>73</v>
      </c>
      <c r="D2571" s="18" t="s">
        <v>8542</v>
      </c>
      <c r="E2571" s="18" t="n">
        <v>6345</v>
      </c>
      <c r="F2571" s="18" t="s">
        <v>7027</v>
      </c>
      <c r="G2571" s="18" t="s">
        <v>173</v>
      </c>
      <c r="H2571" s="18" t="s">
        <v>129</v>
      </c>
      <c r="I2571" s="18"/>
      <c r="J2571" s="18"/>
      <c r="K2571" s="18"/>
      <c r="L2571" s="18" t="s">
        <v>129</v>
      </c>
      <c r="M2571" s="18" t="s">
        <v>129</v>
      </c>
      <c r="N2571" s="18"/>
      <c r="O2571" s="18" t="s">
        <v>10695</v>
      </c>
      <c r="P2571" s="18" t="s">
        <v>10698</v>
      </c>
      <c r="Q2571" s="18" t="s">
        <v>138</v>
      </c>
      <c r="R2571" s="18" t="s">
        <v>10699</v>
      </c>
      <c r="S2571" s="18" t="s">
        <v>140</v>
      </c>
      <c r="T2571" s="18" t="s">
        <v>141</v>
      </c>
      <c r="U2571" s="18"/>
      <c r="V2571" s="19" t="s">
        <v>29</v>
      </c>
      <c r="W2571" s="19"/>
      <c r="X2571" s="19"/>
      <c r="Y2571" s="20"/>
      <c r="Z2571" s="19"/>
      <c r="AA2571" s="18" t="str">
        <f aca="false">IF(OR(V2571="Aprobada"),R2571,IF(AND(OR(V2571="Aprobada con ajuste",V2571="Rechazada"),W2571&lt;&gt;""),W2571,""))</f>
        <v/>
      </c>
    </row>
    <row r="2572" customFormat="false" ht="32.8" hidden="false" customHeight="false" outlineLevel="0" collapsed="false">
      <c r="A2572" s="18" t="s">
        <v>10700</v>
      </c>
      <c r="B2572" s="18" t="s">
        <v>72</v>
      </c>
      <c r="C2572" s="18" t="s">
        <v>73</v>
      </c>
      <c r="D2572" s="18" t="s">
        <v>8542</v>
      </c>
      <c r="E2572" s="18" t="n">
        <v>6345</v>
      </c>
      <c r="F2572" s="18" t="s">
        <v>8576</v>
      </c>
      <c r="G2572" s="18" t="s">
        <v>584</v>
      </c>
      <c r="H2572" s="18" t="s">
        <v>162</v>
      </c>
      <c r="I2572" s="18"/>
      <c r="J2572" s="18"/>
      <c r="K2572" s="18"/>
      <c r="L2572" s="18" t="s">
        <v>129</v>
      </c>
      <c r="M2572" s="18" t="s">
        <v>129</v>
      </c>
      <c r="N2572" s="18"/>
      <c r="O2572" s="18"/>
      <c r="P2572" s="18" t="s">
        <v>10701</v>
      </c>
      <c r="Q2572" s="18" t="s">
        <v>138</v>
      </c>
      <c r="R2572" s="18" t="s">
        <v>8578</v>
      </c>
      <c r="S2572" s="18" t="s">
        <v>140</v>
      </c>
      <c r="T2572" s="18" t="s">
        <v>141</v>
      </c>
      <c r="U2572" s="18"/>
      <c r="V2572" s="19" t="s">
        <v>29</v>
      </c>
      <c r="W2572" s="19"/>
      <c r="X2572" s="19"/>
      <c r="Y2572" s="20"/>
      <c r="Z2572" s="19"/>
      <c r="AA2572" s="18" t="str">
        <f aca="false">IF(OR(V2572="Aprobada"),R2572,IF(AND(OR(V2572="Aprobada con ajuste",V2572="Rechazada"),W2572&lt;&gt;""),W2572,""))</f>
        <v/>
      </c>
    </row>
    <row r="2573" customFormat="false" ht="32.8" hidden="false" customHeight="false" outlineLevel="0" collapsed="false">
      <c r="A2573" s="18" t="s">
        <v>10702</v>
      </c>
      <c r="B2573" s="18" t="s">
        <v>72</v>
      </c>
      <c r="C2573" s="18" t="s">
        <v>73</v>
      </c>
      <c r="D2573" s="18" t="s">
        <v>8542</v>
      </c>
      <c r="E2573" s="18" t="n">
        <v>6345</v>
      </c>
      <c r="F2573" s="18" t="s">
        <v>10703</v>
      </c>
      <c r="G2573" s="18" t="s">
        <v>584</v>
      </c>
      <c r="H2573" s="18" t="s">
        <v>162</v>
      </c>
      <c r="I2573" s="18"/>
      <c r="J2573" s="18"/>
      <c r="K2573" s="18"/>
      <c r="L2573" s="18" t="s">
        <v>129</v>
      </c>
      <c r="M2573" s="18" t="s">
        <v>129</v>
      </c>
      <c r="N2573" s="18"/>
      <c r="O2573" s="18"/>
      <c r="P2573" s="18" t="s">
        <v>10704</v>
      </c>
      <c r="Q2573" s="18" t="s">
        <v>138</v>
      </c>
      <c r="R2573" s="18" t="s">
        <v>10705</v>
      </c>
      <c r="S2573" s="18" t="s">
        <v>140</v>
      </c>
      <c r="T2573" s="18" t="s">
        <v>141</v>
      </c>
      <c r="U2573" s="18"/>
      <c r="V2573" s="19" t="s">
        <v>29</v>
      </c>
      <c r="W2573" s="19"/>
      <c r="X2573" s="19"/>
      <c r="Y2573" s="20"/>
      <c r="Z2573" s="19"/>
      <c r="AA2573" s="18" t="str">
        <f aca="false">IF(OR(V2573="Aprobada"),R2573,IF(AND(OR(V2573="Aprobada con ajuste",V2573="Rechazada"),W2573&lt;&gt;""),W2573,""))</f>
        <v/>
      </c>
    </row>
    <row r="2574" customFormat="false" ht="32.8" hidden="false" customHeight="false" outlineLevel="0" collapsed="false">
      <c r="A2574" s="18" t="s">
        <v>10706</v>
      </c>
      <c r="B2574" s="18" t="s">
        <v>72</v>
      </c>
      <c r="C2574" s="18" t="s">
        <v>73</v>
      </c>
      <c r="D2574" s="18" t="s">
        <v>8542</v>
      </c>
      <c r="E2574" s="18" t="n">
        <v>6345</v>
      </c>
      <c r="F2574" s="18" t="s">
        <v>10707</v>
      </c>
      <c r="G2574" s="18" t="s">
        <v>173</v>
      </c>
      <c r="H2574" s="18" t="s">
        <v>129</v>
      </c>
      <c r="I2574" s="18"/>
      <c r="J2574" s="18"/>
      <c r="K2574" s="18"/>
      <c r="L2574" s="18" t="s">
        <v>129</v>
      </c>
      <c r="M2574" s="18" t="s">
        <v>129</v>
      </c>
      <c r="N2574" s="18"/>
      <c r="O2574" s="18"/>
      <c r="P2574" s="18" t="s">
        <v>10708</v>
      </c>
      <c r="Q2574" s="18" t="s">
        <v>138</v>
      </c>
      <c r="R2574" s="18" t="s">
        <v>10709</v>
      </c>
      <c r="S2574" s="18" t="s">
        <v>140</v>
      </c>
      <c r="T2574" s="18" t="s">
        <v>141</v>
      </c>
      <c r="U2574" s="18"/>
      <c r="V2574" s="19" t="s">
        <v>29</v>
      </c>
      <c r="W2574" s="19"/>
      <c r="X2574" s="19"/>
      <c r="Y2574" s="20"/>
      <c r="Z2574" s="19"/>
      <c r="AA2574" s="18" t="str">
        <f aca="false">IF(OR(V2574="Aprobada"),R2574,IF(AND(OR(V2574="Aprobada con ajuste",V2574="Rechazada"),W2574&lt;&gt;""),W2574,""))</f>
        <v/>
      </c>
    </row>
    <row r="2575" customFormat="false" ht="32.8" hidden="false" customHeight="false" outlineLevel="0" collapsed="false">
      <c r="A2575" s="18" t="s">
        <v>10710</v>
      </c>
      <c r="B2575" s="18" t="s">
        <v>72</v>
      </c>
      <c r="C2575" s="18" t="s">
        <v>73</v>
      </c>
      <c r="D2575" s="18" t="s">
        <v>8542</v>
      </c>
      <c r="E2575" s="18" t="n">
        <v>6345</v>
      </c>
      <c r="F2575" s="18" t="s">
        <v>10711</v>
      </c>
      <c r="G2575" s="18" t="s">
        <v>486</v>
      </c>
      <c r="H2575" s="18" t="s">
        <v>162</v>
      </c>
      <c r="I2575" s="18"/>
      <c r="J2575" s="18"/>
      <c r="K2575" s="18"/>
      <c r="L2575" s="18" t="s">
        <v>129</v>
      </c>
      <c r="M2575" s="18" t="s">
        <v>129</v>
      </c>
      <c r="N2575" s="18"/>
      <c r="O2575" s="18"/>
      <c r="P2575" s="18" t="s">
        <v>10712</v>
      </c>
      <c r="Q2575" s="18" t="s">
        <v>149</v>
      </c>
      <c r="R2575" s="18" t="s">
        <v>10713</v>
      </c>
      <c r="S2575" s="18" t="s">
        <v>133</v>
      </c>
      <c r="T2575" s="18" t="s">
        <v>183</v>
      </c>
      <c r="U2575" s="18"/>
      <c r="V2575" s="19" t="s">
        <v>29</v>
      </c>
      <c r="W2575" s="19"/>
      <c r="X2575" s="19"/>
      <c r="Y2575" s="20"/>
      <c r="Z2575" s="19"/>
      <c r="AA2575" s="18" t="str">
        <f aca="false">IF(OR(V2575="Aprobada"),R2575,IF(AND(OR(V2575="Aprobada con ajuste",V2575="Rechazada"),W2575&lt;&gt;""),W2575,""))</f>
        <v/>
      </c>
    </row>
    <row r="2576" customFormat="false" ht="32.8" hidden="false" customHeight="false" outlineLevel="0" collapsed="false">
      <c r="A2576" s="18" t="s">
        <v>10714</v>
      </c>
      <c r="B2576" s="18" t="s">
        <v>72</v>
      </c>
      <c r="C2576" s="18" t="s">
        <v>73</v>
      </c>
      <c r="D2576" s="18" t="s">
        <v>8542</v>
      </c>
      <c r="E2576" s="18" t="n">
        <v>6345</v>
      </c>
      <c r="F2576" s="18" t="s">
        <v>10715</v>
      </c>
      <c r="G2576" s="18" t="s">
        <v>161</v>
      </c>
      <c r="H2576" s="18" t="s">
        <v>162</v>
      </c>
      <c r="I2576" s="18"/>
      <c r="J2576" s="18"/>
      <c r="K2576" s="18"/>
      <c r="L2576" s="18" t="s">
        <v>129</v>
      </c>
      <c r="M2576" s="18" t="s">
        <v>129</v>
      </c>
      <c r="N2576" s="18"/>
      <c r="O2576" s="18"/>
      <c r="P2576" s="18" t="s">
        <v>10716</v>
      </c>
      <c r="Q2576" s="18" t="s">
        <v>149</v>
      </c>
      <c r="R2576" s="18" t="s">
        <v>10717</v>
      </c>
      <c r="S2576" s="18" t="s">
        <v>133</v>
      </c>
      <c r="T2576" s="18" t="s">
        <v>183</v>
      </c>
      <c r="U2576" s="18"/>
      <c r="V2576" s="19" t="s">
        <v>29</v>
      </c>
      <c r="W2576" s="19"/>
      <c r="X2576" s="19"/>
      <c r="Y2576" s="20"/>
      <c r="Z2576" s="19"/>
      <c r="AA2576" s="18" t="str">
        <f aca="false">IF(OR(V2576="Aprobada"),R2576,IF(AND(OR(V2576="Aprobada con ajuste",V2576="Rechazada"),W2576&lt;&gt;""),W2576,""))</f>
        <v/>
      </c>
    </row>
    <row r="2577" customFormat="false" ht="32.8" hidden="false" customHeight="false" outlineLevel="0" collapsed="false">
      <c r="A2577" s="18" t="s">
        <v>10718</v>
      </c>
      <c r="B2577" s="18" t="s">
        <v>72</v>
      </c>
      <c r="C2577" s="18" t="s">
        <v>73</v>
      </c>
      <c r="D2577" s="18" t="s">
        <v>8542</v>
      </c>
      <c r="E2577" s="18" t="n">
        <v>6345</v>
      </c>
      <c r="F2577" s="18" t="s">
        <v>10719</v>
      </c>
      <c r="G2577" s="18" t="s">
        <v>192</v>
      </c>
      <c r="H2577" s="18" t="s">
        <v>162</v>
      </c>
      <c r="I2577" s="18"/>
      <c r="J2577" s="18"/>
      <c r="K2577" s="18"/>
      <c r="L2577" s="18" t="s">
        <v>129</v>
      </c>
      <c r="M2577" s="18" t="s">
        <v>129</v>
      </c>
      <c r="N2577" s="18"/>
      <c r="O2577" s="18"/>
      <c r="P2577" s="18" t="s">
        <v>10720</v>
      </c>
      <c r="Q2577" s="18" t="s">
        <v>149</v>
      </c>
      <c r="R2577" s="18" t="s">
        <v>10721</v>
      </c>
      <c r="S2577" s="18" t="s">
        <v>140</v>
      </c>
      <c r="T2577" s="18" t="s">
        <v>10722</v>
      </c>
      <c r="U2577" s="18" t="s">
        <v>10723</v>
      </c>
      <c r="V2577" s="19" t="s">
        <v>29</v>
      </c>
      <c r="W2577" s="19"/>
      <c r="X2577" s="19"/>
      <c r="Y2577" s="20"/>
      <c r="Z2577" s="19"/>
      <c r="AA2577" s="18" t="str">
        <f aca="false">IF(OR(V2577="Aprobada"),R2577,IF(AND(OR(V2577="Aprobada con ajuste",V2577="Rechazada"),W2577&lt;&gt;""),W2577,""))</f>
        <v/>
      </c>
    </row>
    <row r="2578" customFormat="false" ht="32.8" hidden="false" customHeight="false" outlineLevel="0" collapsed="false">
      <c r="A2578" s="18" t="s">
        <v>10724</v>
      </c>
      <c r="B2578" s="18" t="s">
        <v>72</v>
      </c>
      <c r="C2578" s="18" t="s">
        <v>73</v>
      </c>
      <c r="D2578" s="18" t="s">
        <v>8542</v>
      </c>
      <c r="E2578" s="18" t="n">
        <v>6345</v>
      </c>
      <c r="F2578" s="18" t="s">
        <v>10725</v>
      </c>
      <c r="G2578" s="18" t="s">
        <v>173</v>
      </c>
      <c r="H2578" s="18" t="s">
        <v>129</v>
      </c>
      <c r="I2578" s="18"/>
      <c r="J2578" s="18"/>
      <c r="K2578" s="18"/>
      <c r="L2578" s="18" t="s">
        <v>129</v>
      </c>
      <c r="M2578" s="18" t="s">
        <v>129</v>
      </c>
      <c r="N2578" s="18"/>
      <c r="O2578" s="18"/>
      <c r="P2578" s="18" t="s">
        <v>10726</v>
      </c>
      <c r="Q2578" s="18" t="s">
        <v>138</v>
      </c>
      <c r="R2578" s="18" t="s">
        <v>10727</v>
      </c>
      <c r="S2578" s="18" t="s">
        <v>140</v>
      </c>
      <c r="T2578" s="18" t="s">
        <v>141</v>
      </c>
      <c r="U2578" s="18"/>
      <c r="V2578" s="19" t="s">
        <v>29</v>
      </c>
      <c r="W2578" s="19"/>
      <c r="X2578" s="19"/>
      <c r="Y2578" s="20"/>
      <c r="Z2578" s="19"/>
      <c r="AA2578" s="18" t="str">
        <f aca="false">IF(OR(V2578="Aprobada"),R2578,IF(AND(OR(V2578="Aprobada con ajuste",V2578="Rechazada"),W2578&lt;&gt;""),W2578,""))</f>
        <v/>
      </c>
    </row>
    <row r="2579" customFormat="false" ht="32.8" hidden="false" customHeight="false" outlineLevel="0" collapsed="false">
      <c r="A2579" s="18" t="s">
        <v>10728</v>
      </c>
      <c r="B2579" s="18" t="s">
        <v>72</v>
      </c>
      <c r="C2579" s="18" t="s">
        <v>73</v>
      </c>
      <c r="D2579" s="18" t="s">
        <v>8542</v>
      </c>
      <c r="E2579" s="18" t="n">
        <v>6345</v>
      </c>
      <c r="F2579" s="18" t="s">
        <v>10729</v>
      </c>
      <c r="G2579" s="18" t="s">
        <v>173</v>
      </c>
      <c r="H2579" s="18" t="s">
        <v>129</v>
      </c>
      <c r="I2579" s="18"/>
      <c r="J2579" s="18"/>
      <c r="K2579" s="18"/>
      <c r="L2579" s="18" t="s">
        <v>129</v>
      </c>
      <c r="M2579" s="18" t="s">
        <v>129</v>
      </c>
      <c r="N2579" s="18"/>
      <c r="O2579" s="18"/>
      <c r="P2579" s="18" t="s">
        <v>10730</v>
      </c>
      <c r="Q2579" s="18" t="s">
        <v>138</v>
      </c>
      <c r="R2579" s="18" t="s">
        <v>10731</v>
      </c>
      <c r="S2579" s="18" t="s">
        <v>140</v>
      </c>
      <c r="T2579" s="18" t="s">
        <v>141</v>
      </c>
      <c r="U2579" s="18"/>
      <c r="V2579" s="19" t="s">
        <v>29</v>
      </c>
      <c r="W2579" s="19"/>
      <c r="X2579" s="19"/>
      <c r="Y2579" s="20"/>
      <c r="Z2579" s="19"/>
      <c r="AA2579" s="18" t="str">
        <f aca="false">IF(OR(V2579="Aprobada"),R2579,IF(AND(OR(V2579="Aprobada con ajuste",V2579="Rechazada"),W2579&lt;&gt;""),W2579,""))</f>
        <v/>
      </c>
    </row>
    <row r="2580" customFormat="false" ht="32.8" hidden="false" customHeight="false" outlineLevel="0" collapsed="false">
      <c r="A2580" s="18" t="s">
        <v>10732</v>
      </c>
      <c r="B2580" s="18" t="s">
        <v>72</v>
      </c>
      <c r="C2580" s="18" t="s">
        <v>73</v>
      </c>
      <c r="D2580" s="18" t="s">
        <v>8542</v>
      </c>
      <c r="E2580" s="18" t="n">
        <v>6345</v>
      </c>
      <c r="F2580" s="18" t="s">
        <v>10733</v>
      </c>
      <c r="G2580" s="18" t="s">
        <v>173</v>
      </c>
      <c r="H2580" s="18" t="s">
        <v>129</v>
      </c>
      <c r="I2580" s="18"/>
      <c r="J2580" s="18"/>
      <c r="K2580" s="18"/>
      <c r="L2580" s="18" t="s">
        <v>129</v>
      </c>
      <c r="M2580" s="18" t="s">
        <v>129</v>
      </c>
      <c r="N2580" s="18"/>
      <c r="O2580" s="18"/>
      <c r="P2580" s="18" t="s">
        <v>10734</v>
      </c>
      <c r="Q2580" s="18" t="s">
        <v>138</v>
      </c>
      <c r="R2580" s="18" t="s">
        <v>10735</v>
      </c>
      <c r="S2580" s="18" t="s">
        <v>140</v>
      </c>
      <c r="T2580" s="18" t="s">
        <v>141</v>
      </c>
      <c r="U2580" s="18"/>
      <c r="V2580" s="19" t="s">
        <v>29</v>
      </c>
      <c r="W2580" s="19"/>
      <c r="X2580" s="19"/>
      <c r="Y2580" s="20"/>
      <c r="Z2580" s="19"/>
      <c r="AA2580" s="18" t="str">
        <f aca="false">IF(OR(V2580="Aprobada"),R2580,IF(AND(OR(V2580="Aprobada con ajuste",V2580="Rechazada"),W2580&lt;&gt;""),W2580,""))</f>
        <v/>
      </c>
    </row>
    <row r="2581" customFormat="false" ht="32.8" hidden="false" customHeight="false" outlineLevel="0" collapsed="false">
      <c r="A2581" s="18" t="s">
        <v>10736</v>
      </c>
      <c r="B2581" s="18" t="s">
        <v>72</v>
      </c>
      <c r="C2581" s="18" t="s">
        <v>73</v>
      </c>
      <c r="D2581" s="18" t="s">
        <v>8542</v>
      </c>
      <c r="E2581" s="18" t="n">
        <v>6345</v>
      </c>
      <c r="F2581" s="18" t="s">
        <v>10737</v>
      </c>
      <c r="G2581" s="18" t="s">
        <v>173</v>
      </c>
      <c r="H2581" s="18" t="s">
        <v>129</v>
      </c>
      <c r="I2581" s="18"/>
      <c r="J2581" s="18"/>
      <c r="K2581" s="18"/>
      <c r="L2581" s="18" t="s">
        <v>129</v>
      </c>
      <c r="M2581" s="18" t="s">
        <v>129</v>
      </c>
      <c r="N2581" s="18"/>
      <c r="O2581" s="18"/>
      <c r="P2581" s="18" t="s">
        <v>10738</v>
      </c>
      <c r="Q2581" s="18" t="s">
        <v>138</v>
      </c>
      <c r="R2581" s="18" t="s">
        <v>10739</v>
      </c>
      <c r="S2581" s="18" t="s">
        <v>140</v>
      </c>
      <c r="T2581" s="18" t="s">
        <v>141</v>
      </c>
      <c r="U2581" s="18"/>
      <c r="V2581" s="19" t="s">
        <v>29</v>
      </c>
      <c r="W2581" s="19"/>
      <c r="X2581" s="19"/>
      <c r="Y2581" s="20"/>
      <c r="Z2581" s="19"/>
      <c r="AA2581" s="18" t="str">
        <f aca="false">IF(OR(V2581="Aprobada"),R2581,IF(AND(OR(V2581="Aprobada con ajuste",V2581="Rechazada"),W2581&lt;&gt;""),W2581,""))</f>
        <v/>
      </c>
    </row>
    <row r="2582" customFormat="false" ht="32.8" hidden="false" customHeight="false" outlineLevel="0" collapsed="false">
      <c r="A2582" s="18" t="s">
        <v>10740</v>
      </c>
      <c r="B2582" s="18" t="s">
        <v>72</v>
      </c>
      <c r="C2582" s="18" t="s">
        <v>73</v>
      </c>
      <c r="D2582" s="18" t="s">
        <v>8542</v>
      </c>
      <c r="E2582" s="18" t="n">
        <v>6345</v>
      </c>
      <c r="F2582" s="18" t="s">
        <v>8584</v>
      </c>
      <c r="G2582" s="18" t="s">
        <v>584</v>
      </c>
      <c r="H2582" s="18" t="s">
        <v>162</v>
      </c>
      <c r="I2582" s="18"/>
      <c r="J2582" s="18"/>
      <c r="K2582" s="18"/>
      <c r="L2582" s="18" t="s">
        <v>129</v>
      </c>
      <c r="M2582" s="18" t="s">
        <v>129</v>
      </c>
      <c r="N2582" s="18"/>
      <c r="O2582" s="18"/>
      <c r="P2582" s="18" t="s">
        <v>10741</v>
      </c>
      <c r="Q2582" s="18" t="s">
        <v>138</v>
      </c>
      <c r="R2582" s="18" t="s">
        <v>8586</v>
      </c>
      <c r="S2582" s="18" t="s">
        <v>140</v>
      </c>
      <c r="T2582" s="18" t="s">
        <v>141</v>
      </c>
      <c r="U2582" s="18"/>
      <c r="V2582" s="19" t="s">
        <v>29</v>
      </c>
      <c r="W2582" s="19"/>
      <c r="X2582" s="19"/>
      <c r="Y2582" s="20"/>
      <c r="Z2582" s="19"/>
      <c r="AA2582" s="18" t="str">
        <f aca="false">IF(OR(V2582="Aprobada"),R2582,IF(AND(OR(V2582="Aprobada con ajuste",V2582="Rechazada"),W2582&lt;&gt;""),W2582,""))</f>
        <v/>
      </c>
    </row>
    <row r="2583" customFormat="false" ht="32.8" hidden="false" customHeight="false" outlineLevel="0" collapsed="false">
      <c r="A2583" s="18" t="s">
        <v>10742</v>
      </c>
      <c r="B2583" s="18" t="s">
        <v>72</v>
      </c>
      <c r="C2583" s="18" t="s">
        <v>73</v>
      </c>
      <c r="D2583" s="18" t="s">
        <v>8542</v>
      </c>
      <c r="E2583" s="18" t="n">
        <v>6345</v>
      </c>
      <c r="F2583" s="18" t="s">
        <v>10743</v>
      </c>
      <c r="G2583" s="18" t="s">
        <v>584</v>
      </c>
      <c r="H2583" s="18" t="s">
        <v>162</v>
      </c>
      <c r="I2583" s="18"/>
      <c r="J2583" s="18"/>
      <c r="K2583" s="18"/>
      <c r="L2583" s="18" t="s">
        <v>129</v>
      </c>
      <c r="M2583" s="18" t="s">
        <v>129</v>
      </c>
      <c r="N2583" s="18"/>
      <c r="O2583" s="18"/>
      <c r="P2583" s="18" t="s">
        <v>10744</v>
      </c>
      <c r="Q2583" s="18" t="s">
        <v>138</v>
      </c>
      <c r="R2583" s="18" t="s">
        <v>10745</v>
      </c>
      <c r="S2583" s="18" t="s">
        <v>140</v>
      </c>
      <c r="T2583" s="18" t="s">
        <v>141</v>
      </c>
      <c r="U2583" s="18"/>
      <c r="V2583" s="19" t="s">
        <v>29</v>
      </c>
      <c r="W2583" s="19"/>
      <c r="X2583" s="19"/>
      <c r="Y2583" s="20"/>
      <c r="Z2583" s="19"/>
      <c r="AA2583" s="18" t="str">
        <f aca="false">IF(OR(V2583="Aprobada"),R2583,IF(AND(OR(V2583="Aprobada con ajuste",V2583="Rechazada"),W2583&lt;&gt;""),W2583,""))</f>
        <v/>
      </c>
    </row>
    <row r="2584" customFormat="false" ht="32.8" hidden="false" customHeight="false" outlineLevel="0" collapsed="false">
      <c r="A2584" s="18" t="s">
        <v>10746</v>
      </c>
      <c r="B2584" s="18" t="s">
        <v>72</v>
      </c>
      <c r="C2584" s="18" t="s">
        <v>73</v>
      </c>
      <c r="D2584" s="18" t="s">
        <v>8542</v>
      </c>
      <c r="E2584" s="18" t="n">
        <v>6345</v>
      </c>
      <c r="F2584" s="18" t="s">
        <v>10747</v>
      </c>
      <c r="G2584" s="18" t="s">
        <v>173</v>
      </c>
      <c r="H2584" s="18" t="s">
        <v>129</v>
      </c>
      <c r="I2584" s="18"/>
      <c r="J2584" s="18"/>
      <c r="K2584" s="18"/>
      <c r="L2584" s="18" t="s">
        <v>129</v>
      </c>
      <c r="M2584" s="18" t="s">
        <v>129</v>
      </c>
      <c r="N2584" s="18"/>
      <c r="O2584" s="18"/>
      <c r="P2584" s="18" t="s">
        <v>10748</v>
      </c>
      <c r="Q2584" s="18" t="s">
        <v>138</v>
      </c>
      <c r="R2584" s="18" t="s">
        <v>10749</v>
      </c>
      <c r="S2584" s="18" t="s">
        <v>140</v>
      </c>
      <c r="T2584" s="18" t="s">
        <v>141</v>
      </c>
      <c r="U2584" s="18"/>
      <c r="V2584" s="19" t="s">
        <v>29</v>
      </c>
      <c r="W2584" s="19"/>
      <c r="X2584" s="19"/>
      <c r="Y2584" s="20"/>
      <c r="Z2584" s="19"/>
      <c r="AA2584" s="18" t="str">
        <f aca="false">IF(OR(V2584="Aprobada"),R2584,IF(AND(OR(V2584="Aprobada con ajuste",V2584="Rechazada"),W2584&lt;&gt;""),W2584,""))</f>
        <v/>
      </c>
    </row>
    <row r="2585" customFormat="false" ht="32.8" hidden="false" customHeight="false" outlineLevel="0" collapsed="false">
      <c r="A2585" s="18" t="s">
        <v>10750</v>
      </c>
      <c r="B2585" s="18" t="s">
        <v>74</v>
      </c>
      <c r="C2585" s="18" t="s">
        <v>75</v>
      </c>
      <c r="D2585" s="18" t="s">
        <v>10751</v>
      </c>
      <c r="E2585" s="18" t="n">
        <v>74668</v>
      </c>
      <c r="F2585" s="18" t="s">
        <v>10752</v>
      </c>
      <c r="G2585" s="18" t="s">
        <v>828</v>
      </c>
      <c r="H2585" s="18" t="s">
        <v>129</v>
      </c>
      <c r="I2585" s="18"/>
      <c r="J2585" s="18"/>
      <c r="K2585" s="18"/>
      <c r="L2585" s="18" t="s">
        <v>129</v>
      </c>
      <c r="M2585" s="18" t="s">
        <v>162</v>
      </c>
      <c r="N2585" s="18" t="s">
        <v>10753</v>
      </c>
      <c r="O2585" s="18" t="s">
        <v>10754</v>
      </c>
      <c r="P2585" s="18" t="s">
        <v>10755</v>
      </c>
      <c r="Q2585" s="18" t="s">
        <v>131</v>
      </c>
      <c r="R2585" s="18" t="s">
        <v>10756</v>
      </c>
      <c r="S2585" s="18" t="s">
        <v>133</v>
      </c>
      <c r="T2585" s="18" t="s">
        <v>10757</v>
      </c>
      <c r="U2585" s="18"/>
      <c r="V2585" s="19" t="s">
        <v>29</v>
      </c>
      <c r="W2585" s="19"/>
      <c r="X2585" s="19"/>
      <c r="Y2585" s="20"/>
      <c r="Z2585" s="19"/>
      <c r="AA2585" s="18" t="str">
        <f aca="false">IF(OR(V2585="Aprobada"),R2585,IF(AND(OR(V2585="Aprobada con ajuste",V2585="Rechazada"),W2585&lt;&gt;""),W2585,""))</f>
        <v/>
      </c>
    </row>
    <row r="2586" customFormat="false" ht="22.35" hidden="false" customHeight="false" outlineLevel="0" collapsed="false">
      <c r="A2586" s="18" t="s">
        <v>10758</v>
      </c>
      <c r="B2586" s="18" t="s">
        <v>74</v>
      </c>
      <c r="C2586" s="18" t="s">
        <v>75</v>
      </c>
      <c r="D2586" s="18" t="s">
        <v>10751</v>
      </c>
      <c r="E2586" s="18" t="n">
        <v>74668</v>
      </c>
      <c r="F2586" s="18" t="s">
        <v>2269</v>
      </c>
      <c r="G2586" s="18" t="s">
        <v>128</v>
      </c>
      <c r="H2586" s="18" t="s">
        <v>129</v>
      </c>
      <c r="I2586" s="18"/>
      <c r="J2586" s="18"/>
      <c r="K2586" s="18"/>
      <c r="L2586" s="18" t="s">
        <v>129</v>
      </c>
      <c r="M2586" s="18" t="s">
        <v>129</v>
      </c>
      <c r="N2586" s="18"/>
      <c r="O2586" s="18"/>
      <c r="P2586" s="18" t="s">
        <v>10759</v>
      </c>
      <c r="Q2586" s="18" t="s">
        <v>138</v>
      </c>
      <c r="R2586" s="18" t="s">
        <v>2270</v>
      </c>
      <c r="S2586" s="18" t="s">
        <v>140</v>
      </c>
      <c r="T2586" s="18" t="s">
        <v>141</v>
      </c>
      <c r="U2586" s="18"/>
      <c r="V2586" s="19" t="s">
        <v>29</v>
      </c>
      <c r="W2586" s="19"/>
      <c r="X2586" s="19"/>
      <c r="Y2586" s="20"/>
      <c r="Z2586" s="19"/>
      <c r="AA2586" s="18" t="str">
        <f aca="false">IF(OR(V2586="Aprobada"),R2586,IF(AND(OR(V2586="Aprobada con ajuste",V2586="Rechazada"),W2586&lt;&gt;""),W2586,""))</f>
        <v/>
      </c>
    </row>
    <row r="2587" customFormat="false" ht="22.35" hidden="false" customHeight="false" outlineLevel="0" collapsed="false">
      <c r="A2587" s="18" t="s">
        <v>10760</v>
      </c>
      <c r="B2587" s="18" t="s">
        <v>74</v>
      </c>
      <c r="C2587" s="18" t="s">
        <v>75</v>
      </c>
      <c r="D2587" s="18" t="s">
        <v>10751</v>
      </c>
      <c r="E2587" s="18" t="n">
        <v>74668</v>
      </c>
      <c r="F2587" s="18" t="s">
        <v>10761</v>
      </c>
      <c r="G2587" s="18" t="s">
        <v>128</v>
      </c>
      <c r="H2587" s="18" t="s">
        <v>129</v>
      </c>
      <c r="I2587" s="18"/>
      <c r="J2587" s="18"/>
      <c r="K2587" s="18"/>
      <c r="L2587" s="18" t="s">
        <v>129</v>
      </c>
      <c r="M2587" s="18" t="s">
        <v>129</v>
      </c>
      <c r="N2587" s="18"/>
      <c r="O2587" s="18"/>
      <c r="P2587" s="18" t="s">
        <v>10762</v>
      </c>
      <c r="Q2587" s="18" t="s">
        <v>149</v>
      </c>
      <c r="R2587" s="18" t="s">
        <v>10763</v>
      </c>
      <c r="S2587" s="18" t="s">
        <v>133</v>
      </c>
      <c r="T2587" s="18" t="s">
        <v>10764</v>
      </c>
      <c r="U2587" s="18"/>
      <c r="V2587" s="19" t="s">
        <v>29</v>
      </c>
      <c r="W2587" s="19"/>
      <c r="X2587" s="19"/>
      <c r="Y2587" s="20"/>
      <c r="Z2587" s="19"/>
      <c r="AA2587" s="18" t="str">
        <f aca="false">IF(OR(V2587="Aprobada"),R2587,IF(AND(OR(V2587="Aprobada con ajuste",V2587="Rechazada"),W2587&lt;&gt;""),W2587,""))</f>
        <v/>
      </c>
    </row>
    <row r="2588" customFormat="false" ht="22.35" hidden="false" customHeight="false" outlineLevel="0" collapsed="false">
      <c r="A2588" s="18" t="s">
        <v>10765</v>
      </c>
      <c r="B2588" s="18" t="s">
        <v>74</v>
      </c>
      <c r="C2588" s="18" t="s">
        <v>75</v>
      </c>
      <c r="D2588" s="18" t="s">
        <v>10751</v>
      </c>
      <c r="E2588" s="18" t="n">
        <v>74668</v>
      </c>
      <c r="F2588" s="18" t="s">
        <v>10766</v>
      </c>
      <c r="G2588" s="18" t="s">
        <v>192</v>
      </c>
      <c r="H2588" s="18" t="s">
        <v>162</v>
      </c>
      <c r="I2588" s="18"/>
      <c r="J2588" s="18"/>
      <c r="K2588" s="18"/>
      <c r="L2588" s="18" t="s">
        <v>129</v>
      </c>
      <c r="M2588" s="18" t="s">
        <v>129</v>
      </c>
      <c r="N2588" s="18"/>
      <c r="O2588" s="18" t="s">
        <v>10767</v>
      </c>
      <c r="P2588" s="18" t="s">
        <v>10768</v>
      </c>
      <c r="Q2588" s="18" t="s">
        <v>149</v>
      </c>
      <c r="R2588" s="18" t="s">
        <v>10769</v>
      </c>
      <c r="S2588" s="18" t="s">
        <v>133</v>
      </c>
      <c r="T2588" s="18" t="s">
        <v>183</v>
      </c>
      <c r="U2588" s="18"/>
      <c r="V2588" s="19" t="s">
        <v>29</v>
      </c>
      <c r="W2588" s="19"/>
      <c r="X2588" s="19"/>
      <c r="Y2588" s="20"/>
      <c r="Z2588" s="19"/>
      <c r="AA2588" s="18" t="str">
        <f aca="false">IF(OR(V2588="Aprobada"),R2588,IF(AND(OR(V2588="Aprobada con ajuste",V2588="Rechazada"),W2588&lt;&gt;""),W2588,""))</f>
        <v/>
      </c>
    </row>
    <row r="2589" customFormat="false" ht="22.35" hidden="false" customHeight="false" outlineLevel="0" collapsed="false">
      <c r="A2589" s="18" t="s">
        <v>10770</v>
      </c>
      <c r="B2589" s="18" t="s">
        <v>74</v>
      </c>
      <c r="C2589" s="18" t="s">
        <v>75</v>
      </c>
      <c r="D2589" s="18" t="s">
        <v>10751</v>
      </c>
      <c r="E2589" s="18" t="n">
        <v>74668</v>
      </c>
      <c r="F2589" s="18" t="s">
        <v>1018</v>
      </c>
      <c r="G2589" s="18" t="s">
        <v>828</v>
      </c>
      <c r="H2589" s="18" t="s">
        <v>162</v>
      </c>
      <c r="I2589" s="18"/>
      <c r="J2589" s="18"/>
      <c r="K2589" s="18"/>
      <c r="L2589" s="18" t="s">
        <v>129</v>
      </c>
      <c r="M2589" s="18" t="s">
        <v>129</v>
      </c>
      <c r="N2589" s="18"/>
      <c r="O2589" s="18"/>
      <c r="P2589" s="18" t="s">
        <v>10771</v>
      </c>
      <c r="Q2589" s="18" t="s">
        <v>138</v>
      </c>
      <c r="R2589" s="18" t="s">
        <v>2302</v>
      </c>
      <c r="S2589" s="18" t="s">
        <v>140</v>
      </c>
      <c r="T2589" s="18" t="s">
        <v>141</v>
      </c>
      <c r="U2589" s="18"/>
      <c r="V2589" s="19" t="s">
        <v>29</v>
      </c>
      <c r="W2589" s="19"/>
      <c r="X2589" s="19"/>
      <c r="Y2589" s="20"/>
      <c r="Z2589" s="19"/>
      <c r="AA2589" s="18" t="str">
        <f aca="false">IF(OR(V2589="Aprobada"),R2589,IF(AND(OR(V2589="Aprobada con ajuste",V2589="Rechazada"),W2589&lt;&gt;""),W2589,""))</f>
        <v/>
      </c>
    </row>
    <row r="2590" customFormat="false" ht="22.35" hidden="false" customHeight="false" outlineLevel="0" collapsed="false">
      <c r="A2590" s="18" t="s">
        <v>10772</v>
      </c>
      <c r="B2590" s="18" t="s">
        <v>74</v>
      </c>
      <c r="C2590" s="18" t="s">
        <v>75</v>
      </c>
      <c r="D2590" s="18" t="s">
        <v>10751</v>
      </c>
      <c r="E2590" s="18" t="n">
        <v>74668</v>
      </c>
      <c r="F2590" s="18" t="s">
        <v>1049</v>
      </c>
      <c r="G2590" s="18" t="s">
        <v>8100</v>
      </c>
      <c r="H2590" s="18" t="s">
        <v>162</v>
      </c>
      <c r="I2590" s="18"/>
      <c r="J2590" s="18"/>
      <c r="K2590" s="18"/>
      <c r="L2590" s="18" t="s">
        <v>129</v>
      </c>
      <c r="M2590" s="18" t="s">
        <v>129</v>
      </c>
      <c r="N2590" s="18"/>
      <c r="O2590" s="18" t="s">
        <v>10773</v>
      </c>
      <c r="P2590" s="18" t="s">
        <v>10774</v>
      </c>
      <c r="Q2590" s="18" t="s">
        <v>149</v>
      </c>
      <c r="R2590" s="18" t="s">
        <v>10775</v>
      </c>
      <c r="S2590" s="18" t="s">
        <v>133</v>
      </c>
      <c r="T2590" s="18" t="s">
        <v>10776</v>
      </c>
      <c r="U2590" s="18"/>
      <c r="V2590" s="19" t="s">
        <v>29</v>
      </c>
      <c r="W2590" s="19"/>
      <c r="X2590" s="19"/>
      <c r="Y2590" s="20"/>
      <c r="Z2590" s="19"/>
      <c r="AA2590" s="18" t="str">
        <f aca="false">IF(OR(V2590="Aprobada"),R2590,IF(AND(OR(V2590="Aprobada con ajuste",V2590="Rechazada"),W2590&lt;&gt;""),W2590,""))</f>
        <v/>
      </c>
    </row>
    <row r="2591" customFormat="false" ht="22.35" hidden="false" customHeight="false" outlineLevel="0" collapsed="false">
      <c r="A2591" s="18" t="s">
        <v>10777</v>
      </c>
      <c r="B2591" s="18" t="s">
        <v>74</v>
      </c>
      <c r="C2591" s="18" t="s">
        <v>75</v>
      </c>
      <c r="D2591" s="18" t="s">
        <v>10751</v>
      </c>
      <c r="E2591" s="18" t="n">
        <v>74668</v>
      </c>
      <c r="F2591" s="18" t="s">
        <v>1054</v>
      </c>
      <c r="G2591" s="18" t="s">
        <v>128</v>
      </c>
      <c r="H2591" s="18" t="s">
        <v>162</v>
      </c>
      <c r="I2591" s="18"/>
      <c r="J2591" s="18"/>
      <c r="K2591" s="18"/>
      <c r="L2591" s="18" t="s">
        <v>129</v>
      </c>
      <c r="M2591" s="18" t="s">
        <v>129</v>
      </c>
      <c r="N2591" s="18"/>
      <c r="O2591" s="18"/>
      <c r="P2591" s="18" t="s">
        <v>10778</v>
      </c>
      <c r="Q2591" s="18" t="s">
        <v>138</v>
      </c>
      <c r="R2591" s="18" t="s">
        <v>1056</v>
      </c>
      <c r="S2591" s="18" t="s">
        <v>140</v>
      </c>
      <c r="T2591" s="18" t="s">
        <v>141</v>
      </c>
      <c r="U2591" s="18"/>
      <c r="V2591" s="19" t="s">
        <v>29</v>
      </c>
      <c r="W2591" s="19"/>
      <c r="X2591" s="19"/>
      <c r="Y2591" s="20"/>
      <c r="Z2591" s="19"/>
      <c r="AA2591" s="18" t="str">
        <f aca="false">IF(OR(V2591="Aprobada"),R2591,IF(AND(OR(V2591="Aprobada con ajuste",V2591="Rechazada"),W2591&lt;&gt;""),W2591,""))</f>
        <v/>
      </c>
    </row>
    <row r="2592" customFormat="false" ht="22.35" hidden="false" customHeight="false" outlineLevel="0" collapsed="false">
      <c r="A2592" s="18" t="s">
        <v>10779</v>
      </c>
      <c r="B2592" s="18" t="s">
        <v>74</v>
      </c>
      <c r="C2592" s="18" t="s">
        <v>75</v>
      </c>
      <c r="D2592" s="18" t="s">
        <v>10751</v>
      </c>
      <c r="E2592" s="18" t="n">
        <v>74668</v>
      </c>
      <c r="F2592" s="18" t="s">
        <v>10780</v>
      </c>
      <c r="G2592" s="18" t="s">
        <v>128</v>
      </c>
      <c r="H2592" s="18" t="s">
        <v>162</v>
      </c>
      <c r="I2592" s="18"/>
      <c r="J2592" s="18"/>
      <c r="K2592" s="18"/>
      <c r="L2592" s="18" t="s">
        <v>129</v>
      </c>
      <c r="M2592" s="18" t="s">
        <v>129</v>
      </c>
      <c r="N2592" s="18"/>
      <c r="O2592" s="18"/>
      <c r="P2592" s="18" t="s">
        <v>10781</v>
      </c>
      <c r="Q2592" s="18" t="s">
        <v>149</v>
      </c>
      <c r="R2592" s="18" t="s">
        <v>10782</v>
      </c>
      <c r="S2592" s="18" t="s">
        <v>133</v>
      </c>
      <c r="T2592" s="18" t="s">
        <v>183</v>
      </c>
      <c r="U2592" s="18"/>
      <c r="V2592" s="19" t="s">
        <v>29</v>
      </c>
      <c r="W2592" s="19"/>
      <c r="X2592" s="19"/>
      <c r="Y2592" s="20"/>
      <c r="Z2592" s="19"/>
      <c r="AA2592" s="18" t="str">
        <f aca="false">IF(OR(V2592="Aprobada"),R2592,IF(AND(OR(V2592="Aprobada con ajuste",V2592="Rechazada"),W2592&lt;&gt;""),W2592,""))</f>
        <v/>
      </c>
    </row>
    <row r="2593" customFormat="false" ht="22.35" hidden="false" customHeight="false" outlineLevel="0" collapsed="false">
      <c r="A2593" s="18" t="s">
        <v>10783</v>
      </c>
      <c r="B2593" s="18" t="s">
        <v>74</v>
      </c>
      <c r="C2593" s="18" t="s">
        <v>75</v>
      </c>
      <c r="D2593" s="18" t="s">
        <v>10751</v>
      </c>
      <c r="E2593" s="18" t="n">
        <v>74668</v>
      </c>
      <c r="F2593" s="18" t="s">
        <v>10784</v>
      </c>
      <c r="G2593" s="18" t="s">
        <v>128</v>
      </c>
      <c r="H2593" s="18" t="s">
        <v>162</v>
      </c>
      <c r="I2593" s="18"/>
      <c r="J2593" s="18"/>
      <c r="K2593" s="18"/>
      <c r="L2593" s="18" t="s">
        <v>129</v>
      </c>
      <c r="M2593" s="18" t="s">
        <v>129</v>
      </c>
      <c r="N2593" s="18"/>
      <c r="O2593" s="18"/>
      <c r="P2593" s="18" t="s">
        <v>10785</v>
      </c>
      <c r="Q2593" s="18" t="s">
        <v>149</v>
      </c>
      <c r="R2593" s="18" t="s">
        <v>10786</v>
      </c>
      <c r="S2593" s="18" t="s">
        <v>133</v>
      </c>
      <c r="T2593" s="18" t="s">
        <v>183</v>
      </c>
      <c r="U2593" s="18"/>
      <c r="V2593" s="19" t="s">
        <v>29</v>
      </c>
      <c r="W2593" s="19"/>
      <c r="X2593" s="19"/>
      <c r="Y2593" s="20"/>
      <c r="Z2593" s="19"/>
      <c r="AA2593" s="18" t="str">
        <f aca="false">IF(OR(V2593="Aprobada"),R2593,IF(AND(OR(V2593="Aprobada con ajuste",V2593="Rechazada"),W2593&lt;&gt;""),W2593,""))</f>
        <v/>
      </c>
    </row>
    <row r="2594" customFormat="false" ht="32.8" hidden="false" customHeight="false" outlineLevel="0" collapsed="false">
      <c r="A2594" s="18" t="s">
        <v>10787</v>
      </c>
      <c r="B2594" s="18" t="s">
        <v>74</v>
      </c>
      <c r="C2594" s="18" t="s">
        <v>75</v>
      </c>
      <c r="D2594" s="18" t="s">
        <v>10751</v>
      </c>
      <c r="E2594" s="18" t="n">
        <v>74668</v>
      </c>
      <c r="F2594" s="18" t="s">
        <v>10788</v>
      </c>
      <c r="G2594" s="18" t="s">
        <v>294</v>
      </c>
      <c r="H2594" s="18" t="s">
        <v>162</v>
      </c>
      <c r="I2594" s="18"/>
      <c r="J2594" s="18"/>
      <c r="K2594" s="18"/>
      <c r="L2594" s="18" t="s">
        <v>129</v>
      </c>
      <c r="M2594" s="18" t="s">
        <v>129</v>
      </c>
      <c r="N2594" s="18"/>
      <c r="O2594" s="18" t="s">
        <v>10789</v>
      </c>
      <c r="P2594" s="18" t="s">
        <v>10790</v>
      </c>
      <c r="Q2594" s="18" t="s">
        <v>149</v>
      </c>
      <c r="R2594" s="18" t="s">
        <v>10791</v>
      </c>
      <c r="S2594" s="18" t="s">
        <v>140</v>
      </c>
      <c r="T2594" s="18" t="s">
        <v>158</v>
      </c>
      <c r="U2594" s="18" t="s">
        <v>10792</v>
      </c>
      <c r="V2594" s="19" t="s">
        <v>29</v>
      </c>
      <c r="W2594" s="19"/>
      <c r="X2594" s="19"/>
      <c r="Y2594" s="20"/>
      <c r="Z2594" s="19"/>
      <c r="AA2594" s="18" t="str">
        <f aca="false">IF(OR(V2594="Aprobada"),R2594,IF(AND(OR(V2594="Aprobada con ajuste",V2594="Rechazada"),W2594&lt;&gt;""),W2594,""))</f>
        <v/>
      </c>
    </row>
    <row r="2595" customFormat="false" ht="22.35" hidden="false" customHeight="false" outlineLevel="0" collapsed="false">
      <c r="A2595" s="18" t="s">
        <v>10793</v>
      </c>
      <c r="B2595" s="18" t="s">
        <v>74</v>
      </c>
      <c r="C2595" s="18" t="s">
        <v>75</v>
      </c>
      <c r="D2595" s="18" t="s">
        <v>10751</v>
      </c>
      <c r="E2595" s="18" t="n">
        <v>74668</v>
      </c>
      <c r="F2595" s="18" t="s">
        <v>10794</v>
      </c>
      <c r="G2595" s="18" t="s">
        <v>180</v>
      </c>
      <c r="H2595" s="18" t="s">
        <v>162</v>
      </c>
      <c r="I2595" s="18"/>
      <c r="J2595" s="18"/>
      <c r="K2595" s="18"/>
      <c r="L2595" s="18" t="s">
        <v>129</v>
      </c>
      <c r="M2595" s="18" t="s">
        <v>129</v>
      </c>
      <c r="N2595" s="18"/>
      <c r="O2595" s="18"/>
      <c r="P2595" s="18" t="s">
        <v>10795</v>
      </c>
      <c r="Q2595" s="18" t="s">
        <v>149</v>
      </c>
      <c r="R2595" s="18" t="s">
        <v>10796</v>
      </c>
      <c r="S2595" s="18" t="s">
        <v>133</v>
      </c>
      <c r="T2595" s="18" t="s">
        <v>183</v>
      </c>
      <c r="U2595" s="18"/>
      <c r="V2595" s="19" t="s">
        <v>29</v>
      </c>
      <c r="W2595" s="19"/>
      <c r="X2595" s="19"/>
      <c r="Y2595" s="20"/>
      <c r="Z2595" s="19"/>
      <c r="AA2595" s="18" t="str">
        <f aca="false">IF(OR(V2595="Aprobada"),R2595,IF(AND(OR(V2595="Aprobada con ajuste",V2595="Rechazada"),W2595&lt;&gt;""),W2595,""))</f>
        <v/>
      </c>
    </row>
    <row r="2596" customFormat="false" ht="22.35" hidden="false" customHeight="false" outlineLevel="0" collapsed="false">
      <c r="A2596" s="18" t="s">
        <v>10797</v>
      </c>
      <c r="B2596" s="18" t="s">
        <v>74</v>
      </c>
      <c r="C2596" s="18" t="s">
        <v>75</v>
      </c>
      <c r="D2596" s="18" t="s">
        <v>10751</v>
      </c>
      <c r="E2596" s="18" t="n">
        <v>74668</v>
      </c>
      <c r="F2596" s="18" t="s">
        <v>10798</v>
      </c>
      <c r="G2596" s="18" t="s">
        <v>486</v>
      </c>
      <c r="H2596" s="18" t="s">
        <v>162</v>
      </c>
      <c r="I2596" s="18"/>
      <c r="J2596" s="18"/>
      <c r="K2596" s="18"/>
      <c r="L2596" s="18" t="s">
        <v>129</v>
      </c>
      <c r="M2596" s="18" t="s">
        <v>129</v>
      </c>
      <c r="N2596" s="18"/>
      <c r="O2596" s="18"/>
      <c r="P2596" s="18" t="s">
        <v>10799</v>
      </c>
      <c r="Q2596" s="18" t="s">
        <v>149</v>
      </c>
      <c r="R2596" s="18" t="s">
        <v>10800</v>
      </c>
      <c r="S2596" s="18" t="s">
        <v>133</v>
      </c>
      <c r="T2596" s="18" t="s">
        <v>183</v>
      </c>
      <c r="U2596" s="18"/>
      <c r="V2596" s="19" t="s">
        <v>29</v>
      </c>
      <c r="W2596" s="19"/>
      <c r="X2596" s="19"/>
      <c r="Y2596" s="20"/>
      <c r="Z2596" s="19"/>
      <c r="AA2596" s="18" t="str">
        <f aca="false">IF(OR(V2596="Aprobada"),R2596,IF(AND(OR(V2596="Aprobada con ajuste",V2596="Rechazada"),W2596&lt;&gt;""),W2596,""))</f>
        <v/>
      </c>
    </row>
    <row r="2597" customFormat="false" ht="43.25" hidden="false" customHeight="false" outlineLevel="0" collapsed="false">
      <c r="A2597" s="18" t="s">
        <v>10801</v>
      </c>
      <c r="B2597" s="18" t="s">
        <v>74</v>
      </c>
      <c r="C2597" s="18" t="s">
        <v>75</v>
      </c>
      <c r="D2597" s="18" t="s">
        <v>10751</v>
      </c>
      <c r="E2597" s="18" t="n">
        <v>74668</v>
      </c>
      <c r="F2597" s="18" t="s">
        <v>10802</v>
      </c>
      <c r="G2597" s="18" t="s">
        <v>503</v>
      </c>
      <c r="H2597" s="18" t="s">
        <v>129</v>
      </c>
      <c r="I2597" s="18"/>
      <c r="J2597" s="18"/>
      <c r="K2597" s="18"/>
      <c r="L2597" s="18" t="s">
        <v>129</v>
      </c>
      <c r="M2597" s="18" t="s">
        <v>162</v>
      </c>
      <c r="N2597" s="18" t="s">
        <v>10753</v>
      </c>
      <c r="O2597" s="18" t="s">
        <v>10803</v>
      </c>
      <c r="P2597" s="18" t="s">
        <v>10804</v>
      </c>
      <c r="Q2597" s="18" t="s">
        <v>149</v>
      </c>
      <c r="R2597" s="18" t="s">
        <v>10805</v>
      </c>
      <c r="S2597" s="18" t="s">
        <v>133</v>
      </c>
      <c r="T2597" s="18" t="s">
        <v>183</v>
      </c>
      <c r="U2597" s="18"/>
      <c r="V2597" s="19" t="s">
        <v>29</v>
      </c>
      <c r="W2597" s="19"/>
      <c r="X2597" s="19"/>
      <c r="Y2597" s="20"/>
      <c r="Z2597" s="19"/>
      <c r="AA2597" s="18" t="str">
        <f aca="false">IF(OR(V2597="Aprobada"),R2597,IF(AND(OR(V2597="Aprobada con ajuste",V2597="Rechazada"),W2597&lt;&gt;""),W2597,""))</f>
        <v/>
      </c>
    </row>
    <row r="2598" customFormat="false" ht="22.35" hidden="false" customHeight="false" outlineLevel="0" collapsed="false">
      <c r="A2598" s="18" t="s">
        <v>10806</v>
      </c>
      <c r="B2598" s="18" t="s">
        <v>74</v>
      </c>
      <c r="C2598" s="18" t="s">
        <v>75</v>
      </c>
      <c r="D2598" s="18" t="s">
        <v>10751</v>
      </c>
      <c r="E2598" s="18" t="n">
        <v>74668</v>
      </c>
      <c r="F2598" s="18" t="s">
        <v>10807</v>
      </c>
      <c r="G2598" s="18" t="s">
        <v>503</v>
      </c>
      <c r="H2598" s="18" t="s">
        <v>129</v>
      </c>
      <c r="I2598" s="18"/>
      <c r="J2598" s="18"/>
      <c r="K2598" s="18"/>
      <c r="L2598" s="18" t="s">
        <v>129</v>
      </c>
      <c r="M2598" s="18" t="s">
        <v>162</v>
      </c>
      <c r="N2598" s="18" t="s">
        <v>10753</v>
      </c>
      <c r="O2598" s="18"/>
      <c r="P2598" s="18" t="s">
        <v>10808</v>
      </c>
      <c r="Q2598" s="18" t="s">
        <v>149</v>
      </c>
      <c r="R2598" s="18" t="s">
        <v>10809</v>
      </c>
      <c r="S2598" s="18" t="s">
        <v>133</v>
      </c>
      <c r="T2598" s="18" t="s">
        <v>183</v>
      </c>
      <c r="U2598" s="18"/>
      <c r="V2598" s="19" t="s">
        <v>29</v>
      </c>
      <c r="W2598" s="19"/>
      <c r="X2598" s="19"/>
      <c r="Y2598" s="20"/>
      <c r="Z2598" s="19"/>
      <c r="AA2598" s="18" t="str">
        <f aca="false">IF(OR(V2598="Aprobada"),R2598,IF(AND(OR(V2598="Aprobada con ajuste",V2598="Rechazada"),W2598&lt;&gt;""),W2598,""))</f>
        <v/>
      </c>
    </row>
    <row r="2599" customFormat="false" ht="32.8" hidden="false" customHeight="false" outlineLevel="0" collapsed="false">
      <c r="A2599" s="18" t="s">
        <v>10810</v>
      </c>
      <c r="B2599" s="18" t="s">
        <v>74</v>
      </c>
      <c r="C2599" s="18" t="s">
        <v>75</v>
      </c>
      <c r="D2599" s="18" t="s">
        <v>10751</v>
      </c>
      <c r="E2599" s="18" t="n">
        <v>74668</v>
      </c>
      <c r="F2599" s="18" t="s">
        <v>10811</v>
      </c>
      <c r="G2599" s="18" t="s">
        <v>503</v>
      </c>
      <c r="H2599" s="18" t="s">
        <v>162</v>
      </c>
      <c r="I2599" s="18"/>
      <c r="J2599" s="18"/>
      <c r="K2599" s="18"/>
      <c r="L2599" s="18" t="s">
        <v>129</v>
      </c>
      <c r="M2599" s="18" t="s">
        <v>129</v>
      </c>
      <c r="N2599" s="18"/>
      <c r="O2599" s="18"/>
      <c r="P2599" s="18" t="s">
        <v>10812</v>
      </c>
      <c r="Q2599" s="18" t="s">
        <v>149</v>
      </c>
      <c r="R2599" s="18" t="s">
        <v>10813</v>
      </c>
      <c r="S2599" s="18" t="s">
        <v>133</v>
      </c>
      <c r="T2599" s="18" t="s">
        <v>183</v>
      </c>
      <c r="U2599" s="18"/>
      <c r="V2599" s="19" t="s">
        <v>29</v>
      </c>
      <c r="W2599" s="19"/>
      <c r="X2599" s="19"/>
      <c r="Y2599" s="20"/>
      <c r="Z2599" s="19"/>
      <c r="AA2599" s="18" t="str">
        <f aca="false">IF(OR(V2599="Aprobada"),R2599,IF(AND(OR(V2599="Aprobada con ajuste",V2599="Rechazada"),W2599&lt;&gt;""),W2599,""))</f>
        <v/>
      </c>
    </row>
    <row r="2600" customFormat="false" ht="22.35" hidden="false" customHeight="false" outlineLevel="0" collapsed="false">
      <c r="A2600" s="18" t="s">
        <v>10814</v>
      </c>
      <c r="B2600" s="18" t="s">
        <v>74</v>
      </c>
      <c r="C2600" s="18" t="s">
        <v>75</v>
      </c>
      <c r="D2600" s="18" t="s">
        <v>10751</v>
      </c>
      <c r="E2600" s="18" t="n">
        <v>74668</v>
      </c>
      <c r="F2600" s="18" t="s">
        <v>10815</v>
      </c>
      <c r="G2600" s="18" t="s">
        <v>192</v>
      </c>
      <c r="H2600" s="18" t="s">
        <v>162</v>
      </c>
      <c r="I2600" s="18"/>
      <c r="J2600" s="18"/>
      <c r="K2600" s="18"/>
      <c r="L2600" s="18" t="s">
        <v>129</v>
      </c>
      <c r="M2600" s="18" t="s">
        <v>129</v>
      </c>
      <c r="N2600" s="18"/>
      <c r="O2600" s="18" t="s">
        <v>10816</v>
      </c>
      <c r="P2600" s="18" t="s">
        <v>10817</v>
      </c>
      <c r="Q2600" s="18" t="s">
        <v>149</v>
      </c>
      <c r="R2600" s="18" t="s">
        <v>10818</v>
      </c>
      <c r="S2600" s="18" t="s">
        <v>133</v>
      </c>
      <c r="T2600" s="18" t="s">
        <v>10819</v>
      </c>
      <c r="U2600" s="18"/>
      <c r="V2600" s="19" t="s">
        <v>29</v>
      </c>
      <c r="W2600" s="19"/>
      <c r="X2600" s="19"/>
      <c r="Y2600" s="20"/>
      <c r="Z2600" s="19"/>
      <c r="AA2600" s="18" t="str">
        <f aca="false">IF(OR(V2600="Aprobada"),R2600,IF(AND(OR(V2600="Aprobada con ajuste",V2600="Rechazada"),W2600&lt;&gt;""),W2600,""))</f>
        <v/>
      </c>
    </row>
    <row r="2601" customFormat="false" ht="22.35" hidden="false" customHeight="false" outlineLevel="0" collapsed="false">
      <c r="A2601" s="18" t="s">
        <v>10820</v>
      </c>
      <c r="B2601" s="18" t="s">
        <v>74</v>
      </c>
      <c r="C2601" s="18" t="s">
        <v>75</v>
      </c>
      <c r="D2601" s="18" t="s">
        <v>10751</v>
      </c>
      <c r="E2601" s="18" t="n">
        <v>74668</v>
      </c>
      <c r="F2601" s="18" t="s">
        <v>10821</v>
      </c>
      <c r="G2601" s="18" t="s">
        <v>503</v>
      </c>
      <c r="H2601" s="18" t="s">
        <v>162</v>
      </c>
      <c r="I2601" s="18"/>
      <c r="J2601" s="18"/>
      <c r="K2601" s="18"/>
      <c r="L2601" s="18" t="s">
        <v>129</v>
      </c>
      <c r="M2601" s="18" t="s">
        <v>129</v>
      </c>
      <c r="N2601" s="18"/>
      <c r="O2601" s="18"/>
      <c r="P2601" s="18" t="s">
        <v>10822</v>
      </c>
      <c r="Q2601" s="18" t="s">
        <v>149</v>
      </c>
      <c r="R2601" s="18" t="s">
        <v>10823</v>
      </c>
      <c r="S2601" s="18" t="s">
        <v>133</v>
      </c>
      <c r="T2601" s="18" t="s">
        <v>183</v>
      </c>
      <c r="U2601" s="18"/>
      <c r="V2601" s="19" t="s">
        <v>29</v>
      </c>
      <c r="W2601" s="19"/>
      <c r="X2601" s="19"/>
      <c r="Y2601" s="20"/>
      <c r="Z2601" s="19"/>
      <c r="AA2601" s="18" t="str">
        <f aca="false">IF(OR(V2601="Aprobada"),R2601,IF(AND(OR(V2601="Aprobada con ajuste",V2601="Rechazada"),W2601&lt;&gt;""),W2601,""))</f>
        <v/>
      </c>
    </row>
    <row r="2602" customFormat="false" ht="22.35" hidden="false" customHeight="false" outlineLevel="0" collapsed="false">
      <c r="A2602" s="18" t="s">
        <v>10824</v>
      </c>
      <c r="B2602" s="18" t="s">
        <v>74</v>
      </c>
      <c r="C2602" s="18" t="s">
        <v>75</v>
      </c>
      <c r="D2602" s="18" t="s">
        <v>10751</v>
      </c>
      <c r="E2602" s="18" t="n">
        <v>74668</v>
      </c>
      <c r="F2602" s="18" t="s">
        <v>10825</v>
      </c>
      <c r="G2602" s="18" t="s">
        <v>173</v>
      </c>
      <c r="H2602" s="18" t="s">
        <v>162</v>
      </c>
      <c r="I2602" s="18"/>
      <c r="J2602" s="18"/>
      <c r="K2602" s="18"/>
      <c r="L2602" s="18" t="s">
        <v>129</v>
      </c>
      <c r="M2602" s="18" t="s">
        <v>129</v>
      </c>
      <c r="N2602" s="18"/>
      <c r="O2602" s="18"/>
      <c r="P2602" s="18" t="s">
        <v>10826</v>
      </c>
      <c r="Q2602" s="18" t="s">
        <v>138</v>
      </c>
      <c r="R2602" s="18" t="s">
        <v>10827</v>
      </c>
      <c r="S2602" s="18" t="s">
        <v>140</v>
      </c>
      <c r="T2602" s="18" t="s">
        <v>141</v>
      </c>
      <c r="U2602" s="18"/>
      <c r="V2602" s="19" t="s">
        <v>29</v>
      </c>
      <c r="W2602" s="19"/>
      <c r="X2602" s="19"/>
      <c r="Y2602" s="20"/>
      <c r="Z2602" s="19"/>
      <c r="AA2602" s="18" t="str">
        <f aca="false">IF(OR(V2602="Aprobada"),R2602,IF(AND(OR(V2602="Aprobada con ajuste",V2602="Rechazada"),W2602&lt;&gt;""),W2602,""))</f>
        <v/>
      </c>
    </row>
    <row r="2603" customFormat="false" ht="22.35" hidden="false" customHeight="false" outlineLevel="0" collapsed="false">
      <c r="A2603" s="18" t="s">
        <v>10828</v>
      </c>
      <c r="B2603" s="18" t="s">
        <v>74</v>
      </c>
      <c r="C2603" s="18" t="s">
        <v>75</v>
      </c>
      <c r="D2603" s="18" t="s">
        <v>10751</v>
      </c>
      <c r="E2603" s="18" t="n">
        <v>74668</v>
      </c>
      <c r="F2603" s="18" t="s">
        <v>10829</v>
      </c>
      <c r="G2603" s="18" t="s">
        <v>192</v>
      </c>
      <c r="H2603" s="18" t="s">
        <v>162</v>
      </c>
      <c r="I2603" s="18"/>
      <c r="J2603" s="18"/>
      <c r="K2603" s="18"/>
      <c r="L2603" s="18" t="s">
        <v>129</v>
      </c>
      <c r="M2603" s="18" t="s">
        <v>129</v>
      </c>
      <c r="N2603" s="18"/>
      <c r="O2603" s="18" t="s">
        <v>10830</v>
      </c>
      <c r="P2603" s="18" t="s">
        <v>10831</v>
      </c>
      <c r="Q2603" s="18" t="s">
        <v>149</v>
      </c>
      <c r="R2603" s="18" t="s">
        <v>10832</v>
      </c>
      <c r="S2603" s="18" t="s">
        <v>133</v>
      </c>
      <c r="T2603" s="18" t="s">
        <v>10833</v>
      </c>
      <c r="U2603" s="18"/>
      <c r="V2603" s="19" t="s">
        <v>29</v>
      </c>
      <c r="W2603" s="19"/>
      <c r="X2603" s="19"/>
      <c r="Y2603" s="20"/>
      <c r="Z2603" s="19"/>
      <c r="AA2603" s="18" t="str">
        <f aca="false">IF(OR(V2603="Aprobada"),R2603,IF(AND(OR(V2603="Aprobada con ajuste",V2603="Rechazada"),W2603&lt;&gt;""),W2603,""))</f>
        <v/>
      </c>
    </row>
    <row r="2604" customFormat="false" ht="32.8" hidden="false" customHeight="false" outlineLevel="0" collapsed="false">
      <c r="A2604" s="18" t="s">
        <v>10834</v>
      </c>
      <c r="B2604" s="18" t="s">
        <v>74</v>
      </c>
      <c r="C2604" s="18" t="s">
        <v>75</v>
      </c>
      <c r="D2604" s="18" t="s">
        <v>10751</v>
      </c>
      <c r="E2604" s="18" t="n">
        <v>74668</v>
      </c>
      <c r="F2604" s="18" t="s">
        <v>10835</v>
      </c>
      <c r="G2604" s="18" t="s">
        <v>503</v>
      </c>
      <c r="H2604" s="18" t="s">
        <v>162</v>
      </c>
      <c r="I2604" s="18"/>
      <c r="J2604" s="18"/>
      <c r="K2604" s="18"/>
      <c r="L2604" s="18" t="s">
        <v>129</v>
      </c>
      <c r="M2604" s="18" t="s">
        <v>129</v>
      </c>
      <c r="N2604" s="18"/>
      <c r="O2604" s="18"/>
      <c r="P2604" s="18" t="s">
        <v>10836</v>
      </c>
      <c r="Q2604" s="18" t="s">
        <v>149</v>
      </c>
      <c r="R2604" s="18" t="s">
        <v>10837</v>
      </c>
      <c r="S2604" s="18" t="s">
        <v>133</v>
      </c>
      <c r="T2604" s="18" t="s">
        <v>183</v>
      </c>
      <c r="U2604" s="18"/>
      <c r="V2604" s="19" t="s">
        <v>29</v>
      </c>
      <c r="W2604" s="19"/>
      <c r="X2604" s="19"/>
      <c r="Y2604" s="20"/>
      <c r="Z2604" s="19"/>
      <c r="AA2604" s="18" t="str">
        <f aca="false">IF(OR(V2604="Aprobada"),R2604,IF(AND(OR(V2604="Aprobada con ajuste",V2604="Rechazada"),W2604&lt;&gt;""),W2604,""))</f>
        <v/>
      </c>
    </row>
    <row r="2605" customFormat="false" ht="22.35" hidden="false" customHeight="false" outlineLevel="0" collapsed="false">
      <c r="A2605" s="18" t="s">
        <v>10838</v>
      </c>
      <c r="B2605" s="18" t="s">
        <v>74</v>
      </c>
      <c r="C2605" s="18" t="s">
        <v>75</v>
      </c>
      <c r="D2605" s="18" t="s">
        <v>10751</v>
      </c>
      <c r="E2605" s="18" t="n">
        <v>74668</v>
      </c>
      <c r="F2605" s="18" t="s">
        <v>10839</v>
      </c>
      <c r="G2605" s="18" t="s">
        <v>173</v>
      </c>
      <c r="H2605" s="18" t="s">
        <v>162</v>
      </c>
      <c r="I2605" s="18"/>
      <c r="J2605" s="18"/>
      <c r="K2605" s="18"/>
      <c r="L2605" s="18" t="s">
        <v>129</v>
      </c>
      <c r="M2605" s="18" t="s">
        <v>129</v>
      </c>
      <c r="N2605" s="18"/>
      <c r="O2605" s="18"/>
      <c r="P2605" s="18" t="s">
        <v>10840</v>
      </c>
      <c r="Q2605" s="18" t="s">
        <v>138</v>
      </c>
      <c r="R2605" s="18" t="s">
        <v>10841</v>
      </c>
      <c r="S2605" s="18" t="s">
        <v>140</v>
      </c>
      <c r="T2605" s="18" t="s">
        <v>141</v>
      </c>
      <c r="U2605" s="18"/>
      <c r="V2605" s="19" t="s">
        <v>29</v>
      </c>
      <c r="W2605" s="19"/>
      <c r="X2605" s="19"/>
      <c r="Y2605" s="20"/>
      <c r="Z2605" s="19"/>
      <c r="AA2605" s="18" t="str">
        <f aca="false">IF(OR(V2605="Aprobada"),R2605,IF(AND(OR(V2605="Aprobada con ajuste",V2605="Rechazada"),W2605&lt;&gt;""),W2605,""))</f>
        <v/>
      </c>
    </row>
    <row r="2606" customFormat="false" ht="22.35" hidden="false" customHeight="false" outlineLevel="0" collapsed="false">
      <c r="A2606" s="18" t="s">
        <v>10842</v>
      </c>
      <c r="B2606" s="18" t="s">
        <v>74</v>
      </c>
      <c r="C2606" s="18" t="s">
        <v>75</v>
      </c>
      <c r="D2606" s="18" t="s">
        <v>10751</v>
      </c>
      <c r="E2606" s="18" t="n">
        <v>74668</v>
      </c>
      <c r="F2606" s="18" t="s">
        <v>10843</v>
      </c>
      <c r="G2606" s="18" t="s">
        <v>128</v>
      </c>
      <c r="H2606" s="18" t="s">
        <v>162</v>
      </c>
      <c r="I2606" s="18"/>
      <c r="J2606" s="18"/>
      <c r="K2606" s="18"/>
      <c r="L2606" s="18" t="s">
        <v>129</v>
      </c>
      <c r="M2606" s="18" t="s">
        <v>129</v>
      </c>
      <c r="N2606" s="18"/>
      <c r="O2606" s="18"/>
      <c r="P2606" s="18" t="s">
        <v>10844</v>
      </c>
      <c r="Q2606" s="18" t="s">
        <v>149</v>
      </c>
      <c r="R2606" s="18" t="s">
        <v>10845</v>
      </c>
      <c r="S2606" s="18" t="s">
        <v>133</v>
      </c>
      <c r="T2606" s="18" t="s">
        <v>183</v>
      </c>
      <c r="U2606" s="18"/>
      <c r="V2606" s="19" t="s">
        <v>29</v>
      </c>
      <c r="W2606" s="19"/>
      <c r="X2606" s="19"/>
      <c r="Y2606" s="20"/>
      <c r="Z2606" s="19"/>
      <c r="AA2606" s="18" t="str">
        <f aca="false">IF(OR(V2606="Aprobada"),R2606,IF(AND(OR(V2606="Aprobada con ajuste",V2606="Rechazada"),W2606&lt;&gt;""),W2606,""))</f>
        <v/>
      </c>
    </row>
    <row r="2607" customFormat="false" ht="22.35" hidden="false" customHeight="false" outlineLevel="0" collapsed="false">
      <c r="A2607" s="18" t="s">
        <v>10846</v>
      </c>
      <c r="B2607" s="18" t="s">
        <v>74</v>
      </c>
      <c r="C2607" s="18" t="s">
        <v>75</v>
      </c>
      <c r="D2607" s="18" t="s">
        <v>10751</v>
      </c>
      <c r="E2607" s="18" t="n">
        <v>74668</v>
      </c>
      <c r="F2607" s="18" t="s">
        <v>10847</v>
      </c>
      <c r="G2607" s="18" t="s">
        <v>128</v>
      </c>
      <c r="H2607" s="18" t="s">
        <v>162</v>
      </c>
      <c r="I2607" s="18"/>
      <c r="J2607" s="18"/>
      <c r="K2607" s="18"/>
      <c r="L2607" s="18" t="s">
        <v>129</v>
      </c>
      <c r="M2607" s="18" t="s">
        <v>129</v>
      </c>
      <c r="N2607" s="18"/>
      <c r="O2607" s="18"/>
      <c r="P2607" s="18" t="s">
        <v>10848</v>
      </c>
      <c r="Q2607" s="18" t="s">
        <v>149</v>
      </c>
      <c r="R2607" s="18" t="s">
        <v>10849</v>
      </c>
      <c r="S2607" s="18" t="s">
        <v>133</v>
      </c>
      <c r="T2607" s="18" t="s">
        <v>183</v>
      </c>
      <c r="U2607" s="18"/>
      <c r="V2607" s="19" t="s">
        <v>29</v>
      </c>
      <c r="W2607" s="19"/>
      <c r="X2607" s="19"/>
      <c r="Y2607" s="20"/>
      <c r="Z2607" s="19"/>
      <c r="AA2607" s="18" t="str">
        <f aca="false">IF(OR(V2607="Aprobada"),R2607,IF(AND(OR(V2607="Aprobada con ajuste",V2607="Rechazada"),W2607&lt;&gt;""),W2607,""))</f>
        <v/>
      </c>
    </row>
    <row r="2608" customFormat="false" ht="32.8" hidden="false" customHeight="false" outlineLevel="0" collapsed="false">
      <c r="A2608" s="18" t="s">
        <v>10850</v>
      </c>
      <c r="B2608" s="18" t="s">
        <v>76</v>
      </c>
      <c r="C2608" s="18" t="s">
        <v>77</v>
      </c>
      <c r="D2608" s="18" t="s">
        <v>10851</v>
      </c>
      <c r="E2608" s="18" t="n">
        <v>4</v>
      </c>
      <c r="F2608" s="18" t="s">
        <v>611</v>
      </c>
      <c r="G2608" s="18" t="s">
        <v>145</v>
      </c>
      <c r="H2608" s="18" t="s">
        <v>129</v>
      </c>
      <c r="I2608" s="18" t="s">
        <v>146</v>
      </c>
      <c r="J2608" s="18"/>
      <c r="K2608" s="18"/>
      <c r="L2608" s="18" t="s">
        <v>162</v>
      </c>
      <c r="M2608" s="18" t="s">
        <v>129</v>
      </c>
      <c r="N2608" s="18"/>
      <c r="O2608" s="18" t="s">
        <v>10852</v>
      </c>
      <c r="P2608" s="18" t="s">
        <v>10853</v>
      </c>
      <c r="Q2608" s="18" t="s">
        <v>131</v>
      </c>
      <c r="R2608" s="18" t="s">
        <v>10854</v>
      </c>
      <c r="S2608" s="18" t="s">
        <v>133</v>
      </c>
      <c r="T2608" s="18" t="s">
        <v>10855</v>
      </c>
      <c r="U2608" s="18"/>
      <c r="V2608" s="19" t="s">
        <v>29</v>
      </c>
      <c r="W2608" s="19"/>
      <c r="X2608" s="19"/>
      <c r="Y2608" s="20"/>
      <c r="Z2608" s="19"/>
      <c r="AA2608" s="18" t="str">
        <f aca="false">IF(OR(V2608="Aprobada"),R2608,IF(AND(OR(V2608="Aprobada con ajuste",V2608="Rechazada"),W2608&lt;&gt;""),W2608,""))</f>
        <v/>
      </c>
    </row>
    <row r="2609" customFormat="false" ht="22.35" hidden="false" customHeight="false" outlineLevel="0" collapsed="false">
      <c r="A2609" s="18" t="s">
        <v>10856</v>
      </c>
      <c r="B2609" s="18" t="s">
        <v>76</v>
      </c>
      <c r="C2609" s="18" t="s">
        <v>77</v>
      </c>
      <c r="D2609" s="18" t="s">
        <v>10851</v>
      </c>
      <c r="E2609" s="18" t="n">
        <v>4</v>
      </c>
      <c r="F2609" s="18" t="s">
        <v>275</v>
      </c>
      <c r="G2609" s="18" t="s">
        <v>180</v>
      </c>
      <c r="H2609" s="18" t="s">
        <v>129</v>
      </c>
      <c r="I2609" s="18"/>
      <c r="J2609" s="18"/>
      <c r="K2609" s="18"/>
      <c r="L2609" s="18" t="s">
        <v>162</v>
      </c>
      <c r="M2609" s="18" t="s">
        <v>129</v>
      </c>
      <c r="N2609" s="18"/>
      <c r="O2609" s="18"/>
      <c r="P2609" s="18"/>
      <c r="Q2609" s="18" t="s">
        <v>138</v>
      </c>
      <c r="R2609" s="18" t="s">
        <v>10857</v>
      </c>
      <c r="S2609" s="18" t="s">
        <v>140</v>
      </c>
      <c r="T2609" s="18" t="s">
        <v>141</v>
      </c>
      <c r="U2609" s="18"/>
      <c r="V2609" s="19" t="s">
        <v>29</v>
      </c>
      <c r="W2609" s="19"/>
      <c r="X2609" s="19"/>
      <c r="Y2609" s="20"/>
      <c r="Z2609" s="19"/>
      <c r="AA2609" s="18" t="str">
        <f aca="false">IF(OR(V2609="Aprobada"),R2609,IF(AND(OR(V2609="Aprobada con ajuste",V2609="Rechazada"),W2609&lt;&gt;""),W2609,""))</f>
        <v/>
      </c>
    </row>
    <row r="2610" customFormat="false" ht="22.35" hidden="false" customHeight="false" outlineLevel="0" collapsed="false">
      <c r="A2610" s="18" t="s">
        <v>10858</v>
      </c>
      <c r="B2610" s="18" t="s">
        <v>76</v>
      </c>
      <c r="C2610" s="18" t="s">
        <v>77</v>
      </c>
      <c r="D2610" s="18" t="s">
        <v>10851</v>
      </c>
      <c r="E2610" s="18" t="n">
        <v>4</v>
      </c>
      <c r="F2610" s="18" t="s">
        <v>160</v>
      </c>
      <c r="G2610" s="18" t="s">
        <v>128</v>
      </c>
      <c r="H2610" s="18" t="s">
        <v>162</v>
      </c>
      <c r="I2610" s="18"/>
      <c r="J2610" s="18"/>
      <c r="K2610" s="18"/>
      <c r="L2610" s="18" t="s">
        <v>162</v>
      </c>
      <c r="M2610" s="18" t="s">
        <v>129</v>
      </c>
      <c r="N2610" s="18"/>
      <c r="O2610" s="18"/>
      <c r="P2610" s="18"/>
      <c r="Q2610" s="18" t="s">
        <v>138</v>
      </c>
      <c r="R2610" s="18" t="s">
        <v>10859</v>
      </c>
      <c r="S2610" s="18" t="s">
        <v>140</v>
      </c>
      <c r="T2610" s="18" t="s">
        <v>141</v>
      </c>
      <c r="U2610" s="18"/>
      <c r="V2610" s="19" t="s">
        <v>29</v>
      </c>
      <c r="W2610" s="19"/>
      <c r="X2610" s="19"/>
      <c r="Y2610" s="20"/>
      <c r="Z2610" s="19"/>
      <c r="AA2610" s="18" t="str">
        <f aca="false">IF(OR(V2610="Aprobada"),R2610,IF(AND(OR(V2610="Aprobada con ajuste",V2610="Rechazada"),W2610&lt;&gt;""),W2610,""))</f>
        <v/>
      </c>
    </row>
    <row r="2611" customFormat="false" ht="22.35" hidden="false" customHeight="false" outlineLevel="0" collapsed="false">
      <c r="A2611" s="18" t="s">
        <v>10860</v>
      </c>
      <c r="B2611" s="18" t="s">
        <v>76</v>
      </c>
      <c r="C2611" s="18" t="s">
        <v>77</v>
      </c>
      <c r="D2611" s="18" t="s">
        <v>10851</v>
      </c>
      <c r="E2611" s="18" t="n">
        <v>4</v>
      </c>
      <c r="F2611" s="18" t="s">
        <v>498</v>
      </c>
      <c r="G2611" s="18" t="s">
        <v>205</v>
      </c>
      <c r="H2611" s="18" t="s">
        <v>162</v>
      </c>
      <c r="I2611" s="18"/>
      <c r="J2611" s="18"/>
      <c r="K2611" s="18"/>
      <c r="L2611" s="18" t="s">
        <v>162</v>
      </c>
      <c r="M2611" s="18" t="s">
        <v>129</v>
      </c>
      <c r="N2611" s="18"/>
      <c r="O2611" s="18"/>
      <c r="P2611" s="18"/>
      <c r="Q2611" s="18" t="s">
        <v>149</v>
      </c>
      <c r="R2611" s="18" t="s">
        <v>10861</v>
      </c>
      <c r="S2611" s="18" t="s">
        <v>133</v>
      </c>
      <c r="T2611" s="18" t="s">
        <v>5503</v>
      </c>
      <c r="U2611" s="18"/>
      <c r="V2611" s="19" t="s">
        <v>29</v>
      </c>
      <c r="W2611" s="19"/>
      <c r="X2611" s="19"/>
      <c r="Y2611" s="20"/>
      <c r="Z2611" s="19"/>
      <c r="AA2611" s="18" t="str">
        <f aca="false">IF(OR(V2611="Aprobada"),R2611,IF(AND(OR(V2611="Aprobada con ajuste",V2611="Rechazada"),W2611&lt;&gt;""),W2611,""))</f>
        <v/>
      </c>
    </row>
    <row r="2612" customFormat="false" ht="22.35" hidden="false" customHeight="false" outlineLevel="0" collapsed="false">
      <c r="A2612" s="18" t="s">
        <v>10862</v>
      </c>
      <c r="B2612" s="18" t="s">
        <v>76</v>
      </c>
      <c r="C2612" s="18" t="s">
        <v>77</v>
      </c>
      <c r="D2612" s="18" t="s">
        <v>10851</v>
      </c>
      <c r="E2612" s="18" t="n">
        <v>4</v>
      </c>
      <c r="F2612" s="18" t="s">
        <v>937</v>
      </c>
      <c r="G2612" s="18" t="s">
        <v>503</v>
      </c>
      <c r="H2612" s="18" t="s">
        <v>162</v>
      </c>
      <c r="I2612" s="18"/>
      <c r="J2612" s="18"/>
      <c r="K2612" s="18"/>
      <c r="L2612" s="18" t="s">
        <v>162</v>
      </c>
      <c r="M2612" s="18" t="s">
        <v>129</v>
      </c>
      <c r="N2612" s="18"/>
      <c r="O2612" s="18"/>
      <c r="P2612" s="18"/>
      <c r="Q2612" s="18" t="s">
        <v>138</v>
      </c>
      <c r="R2612" s="18" t="s">
        <v>939</v>
      </c>
      <c r="S2612" s="18" t="s">
        <v>140</v>
      </c>
      <c r="T2612" s="18" t="s">
        <v>141</v>
      </c>
      <c r="U2612" s="18"/>
      <c r="V2612" s="19" t="s">
        <v>29</v>
      </c>
      <c r="W2612" s="19"/>
      <c r="X2612" s="19"/>
      <c r="Y2612" s="20"/>
      <c r="Z2612" s="19"/>
      <c r="AA2612" s="18" t="str">
        <f aca="false">IF(OR(V2612="Aprobada"),R2612,IF(AND(OR(V2612="Aprobada con ajuste",V2612="Rechazada"),W2612&lt;&gt;""),W2612,""))</f>
        <v/>
      </c>
    </row>
    <row r="2613" customFormat="false" ht="22.35" hidden="false" customHeight="false" outlineLevel="0" collapsed="false">
      <c r="A2613" s="18" t="s">
        <v>10863</v>
      </c>
      <c r="B2613" s="18" t="s">
        <v>76</v>
      </c>
      <c r="C2613" s="18" t="s">
        <v>77</v>
      </c>
      <c r="D2613" s="18" t="s">
        <v>10851</v>
      </c>
      <c r="E2613" s="18" t="n">
        <v>4</v>
      </c>
      <c r="F2613" s="18" t="s">
        <v>172</v>
      </c>
      <c r="G2613" s="18" t="s">
        <v>173</v>
      </c>
      <c r="H2613" s="18" t="s">
        <v>162</v>
      </c>
      <c r="I2613" s="18"/>
      <c r="J2613" s="18"/>
      <c r="K2613" s="18"/>
      <c r="L2613" s="18" t="s">
        <v>162</v>
      </c>
      <c r="M2613" s="18" t="s">
        <v>129</v>
      </c>
      <c r="N2613" s="18"/>
      <c r="O2613" s="18"/>
      <c r="P2613" s="18"/>
      <c r="Q2613" s="18" t="s">
        <v>138</v>
      </c>
      <c r="R2613" s="18" t="s">
        <v>176</v>
      </c>
      <c r="S2613" s="18" t="s">
        <v>140</v>
      </c>
      <c r="T2613" s="18" t="s">
        <v>141</v>
      </c>
      <c r="U2613" s="18"/>
      <c r="V2613" s="19" t="s">
        <v>29</v>
      </c>
      <c r="W2613" s="19"/>
      <c r="X2613" s="19"/>
      <c r="Y2613" s="20"/>
      <c r="Z2613" s="19"/>
      <c r="AA2613" s="18" t="str">
        <f aca="false">IF(OR(V2613="Aprobada"),R2613,IF(AND(OR(V2613="Aprobada con ajuste",V2613="Rechazada"),W2613&lt;&gt;""),W2613,""))</f>
        <v/>
      </c>
    </row>
    <row r="2614" customFormat="false" ht="22.35" hidden="false" customHeight="false" outlineLevel="0" collapsed="false">
      <c r="A2614" s="18" t="s">
        <v>10864</v>
      </c>
      <c r="B2614" s="18" t="s">
        <v>76</v>
      </c>
      <c r="C2614" s="18" t="s">
        <v>77</v>
      </c>
      <c r="D2614" s="18" t="s">
        <v>10397</v>
      </c>
      <c r="E2614" s="18" t="n">
        <v>7</v>
      </c>
      <c r="F2614" s="18" t="s">
        <v>3361</v>
      </c>
      <c r="G2614" s="18" t="s">
        <v>4418</v>
      </c>
      <c r="H2614" s="18" t="s">
        <v>129</v>
      </c>
      <c r="I2614" s="18"/>
      <c r="J2614" s="18"/>
      <c r="K2614" s="18"/>
      <c r="L2614" s="18" t="s">
        <v>129</v>
      </c>
      <c r="M2614" s="18" t="s">
        <v>129</v>
      </c>
      <c r="N2614" s="18"/>
      <c r="O2614" s="18"/>
      <c r="P2614" s="18"/>
      <c r="Q2614" s="18" t="s">
        <v>149</v>
      </c>
      <c r="R2614" s="18" t="s">
        <v>10865</v>
      </c>
      <c r="S2614" s="18" t="s">
        <v>242</v>
      </c>
      <c r="T2614" s="18" t="s">
        <v>858</v>
      </c>
      <c r="U2614" s="18" t="s">
        <v>10866</v>
      </c>
      <c r="V2614" s="19" t="s">
        <v>29</v>
      </c>
      <c r="W2614" s="19"/>
      <c r="X2614" s="19"/>
      <c r="Y2614" s="20"/>
      <c r="Z2614" s="19"/>
      <c r="AA2614" s="18" t="str">
        <f aca="false">IF(OR(V2614="Aprobada"),R2614,IF(AND(OR(V2614="Aprobada con ajuste",V2614="Rechazada"),W2614&lt;&gt;""),W2614,""))</f>
        <v/>
      </c>
    </row>
    <row r="2615" customFormat="false" ht="22.35" hidden="false" customHeight="false" outlineLevel="0" collapsed="false">
      <c r="A2615" s="18" t="s">
        <v>10867</v>
      </c>
      <c r="B2615" s="18" t="s">
        <v>76</v>
      </c>
      <c r="C2615" s="18" t="s">
        <v>77</v>
      </c>
      <c r="D2615" s="18" t="s">
        <v>10397</v>
      </c>
      <c r="E2615" s="18" t="n">
        <v>7</v>
      </c>
      <c r="F2615" s="18" t="s">
        <v>10401</v>
      </c>
      <c r="G2615" s="18" t="s">
        <v>503</v>
      </c>
      <c r="H2615" s="18" t="s">
        <v>129</v>
      </c>
      <c r="I2615" s="18"/>
      <c r="J2615" s="18"/>
      <c r="K2615" s="18"/>
      <c r="L2615" s="18" t="s">
        <v>129</v>
      </c>
      <c r="M2615" s="18" t="s">
        <v>129</v>
      </c>
      <c r="N2615" s="18"/>
      <c r="O2615" s="18"/>
      <c r="P2615" s="18"/>
      <c r="Q2615" s="18" t="s">
        <v>149</v>
      </c>
      <c r="R2615" s="18" t="s">
        <v>10868</v>
      </c>
      <c r="S2615" s="18" t="s">
        <v>133</v>
      </c>
      <c r="T2615" s="18" t="s">
        <v>5503</v>
      </c>
      <c r="U2615" s="18"/>
      <c r="V2615" s="19" t="s">
        <v>29</v>
      </c>
      <c r="W2615" s="19"/>
      <c r="X2615" s="19"/>
      <c r="Y2615" s="20"/>
      <c r="Z2615" s="19"/>
      <c r="AA2615" s="18" t="str">
        <f aca="false">IF(OR(V2615="Aprobada"),R2615,IF(AND(OR(V2615="Aprobada con ajuste",V2615="Rechazada"),W2615&lt;&gt;""),W2615,""))</f>
        <v/>
      </c>
    </row>
    <row r="2616" customFormat="false" ht="22.35" hidden="false" customHeight="false" outlineLevel="0" collapsed="false">
      <c r="A2616" s="18" t="s">
        <v>10869</v>
      </c>
      <c r="B2616" s="18" t="s">
        <v>76</v>
      </c>
      <c r="C2616" s="18" t="s">
        <v>77</v>
      </c>
      <c r="D2616" s="18" t="s">
        <v>10397</v>
      </c>
      <c r="E2616" s="18" t="n">
        <v>7</v>
      </c>
      <c r="F2616" s="18" t="s">
        <v>160</v>
      </c>
      <c r="G2616" s="18" t="s">
        <v>128</v>
      </c>
      <c r="H2616" s="18" t="s">
        <v>162</v>
      </c>
      <c r="I2616" s="18"/>
      <c r="J2616" s="18"/>
      <c r="K2616" s="18"/>
      <c r="L2616" s="18" t="s">
        <v>129</v>
      </c>
      <c r="M2616" s="18" t="s">
        <v>129</v>
      </c>
      <c r="N2616" s="18"/>
      <c r="O2616" s="18"/>
      <c r="P2616" s="18"/>
      <c r="Q2616" s="18" t="s">
        <v>138</v>
      </c>
      <c r="R2616" s="18" t="s">
        <v>10407</v>
      </c>
      <c r="S2616" s="18" t="s">
        <v>140</v>
      </c>
      <c r="T2616" s="18" t="s">
        <v>141</v>
      </c>
      <c r="U2616" s="18"/>
      <c r="V2616" s="19" t="s">
        <v>29</v>
      </c>
      <c r="W2616" s="19"/>
      <c r="X2616" s="19"/>
      <c r="Y2616" s="20"/>
      <c r="Z2616" s="19"/>
      <c r="AA2616" s="18" t="str">
        <f aca="false">IF(OR(V2616="Aprobada"),R2616,IF(AND(OR(V2616="Aprobada con ajuste",V2616="Rechazada"),W2616&lt;&gt;""),W2616,""))</f>
        <v/>
      </c>
    </row>
    <row r="2617" customFormat="false" ht="22.35" hidden="false" customHeight="false" outlineLevel="0" collapsed="false">
      <c r="A2617" s="18" t="s">
        <v>10870</v>
      </c>
      <c r="B2617" s="18" t="s">
        <v>76</v>
      </c>
      <c r="C2617" s="18" t="s">
        <v>77</v>
      </c>
      <c r="D2617" s="18" t="s">
        <v>10397</v>
      </c>
      <c r="E2617" s="18" t="n">
        <v>7</v>
      </c>
      <c r="F2617" s="18" t="s">
        <v>172</v>
      </c>
      <c r="G2617" s="18" t="s">
        <v>173</v>
      </c>
      <c r="H2617" s="18" t="s">
        <v>129</v>
      </c>
      <c r="I2617" s="18"/>
      <c r="J2617" s="18"/>
      <c r="K2617" s="18"/>
      <c r="L2617" s="18" t="s">
        <v>129</v>
      </c>
      <c r="M2617" s="18" t="s">
        <v>129</v>
      </c>
      <c r="N2617" s="18"/>
      <c r="O2617" s="18"/>
      <c r="P2617" s="18"/>
      <c r="Q2617" s="18" t="s">
        <v>138</v>
      </c>
      <c r="R2617" s="18" t="s">
        <v>176</v>
      </c>
      <c r="S2617" s="18" t="s">
        <v>140</v>
      </c>
      <c r="T2617" s="18" t="s">
        <v>141</v>
      </c>
      <c r="U2617" s="18"/>
      <c r="V2617" s="19" t="s">
        <v>29</v>
      </c>
      <c r="W2617" s="19"/>
      <c r="X2617" s="19"/>
      <c r="Y2617" s="20"/>
      <c r="Z2617" s="19"/>
      <c r="AA2617" s="18" t="str">
        <f aca="false">IF(OR(V2617="Aprobada"),R2617,IF(AND(OR(V2617="Aprobada con ajuste",V2617="Rechazada"),W2617&lt;&gt;""),W2617,""))</f>
        <v/>
      </c>
    </row>
    <row r="2618" customFormat="false" ht="22.35" hidden="false" customHeight="false" outlineLevel="0" collapsed="false">
      <c r="A2618" s="18" t="s">
        <v>10871</v>
      </c>
      <c r="B2618" s="18" t="s">
        <v>76</v>
      </c>
      <c r="C2618" s="18" t="s">
        <v>77</v>
      </c>
      <c r="D2618" s="18" t="s">
        <v>10417</v>
      </c>
      <c r="E2618" s="18" t="n">
        <v>1</v>
      </c>
      <c r="F2618" s="18" t="s">
        <v>10418</v>
      </c>
      <c r="G2618" s="18" t="s">
        <v>192</v>
      </c>
      <c r="H2618" s="18" t="s">
        <v>129</v>
      </c>
      <c r="I2618" s="18"/>
      <c r="J2618" s="18"/>
      <c r="K2618" s="18"/>
      <c r="L2618" s="18" t="s">
        <v>162</v>
      </c>
      <c r="M2618" s="18" t="s">
        <v>129</v>
      </c>
      <c r="N2618" s="18"/>
      <c r="O2618" s="18"/>
      <c r="P2618" s="18"/>
      <c r="Q2618" s="18" t="s">
        <v>149</v>
      </c>
      <c r="R2618" s="18" t="s">
        <v>10872</v>
      </c>
      <c r="S2618" s="18" t="s">
        <v>140</v>
      </c>
      <c r="T2618" s="18" t="s">
        <v>858</v>
      </c>
      <c r="U2618" s="18" t="s">
        <v>10873</v>
      </c>
      <c r="V2618" s="19" t="s">
        <v>29</v>
      </c>
      <c r="W2618" s="19"/>
      <c r="X2618" s="19"/>
      <c r="Y2618" s="20"/>
      <c r="Z2618" s="19"/>
      <c r="AA2618" s="18" t="str">
        <f aca="false">IF(OR(V2618="Aprobada"),R2618,IF(AND(OR(V2618="Aprobada con ajuste",V2618="Rechazada"),W2618&lt;&gt;""),W2618,""))</f>
        <v/>
      </c>
    </row>
    <row r="2619" customFormat="false" ht="22.35" hidden="false" customHeight="false" outlineLevel="0" collapsed="false">
      <c r="A2619" s="18" t="s">
        <v>10874</v>
      </c>
      <c r="B2619" s="18" t="s">
        <v>76</v>
      </c>
      <c r="C2619" s="18" t="s">
        <v>77</v>
      </c>
      <c r="D2619" s="18" t="s">
        <v>10417</v>
      </c>
      <c r="E2619" s="18" t="n">
        <v>1</v>
      </c>
      <c r="F2619" s="18" t="s">
        <v>10424</v>
      </c>
      <c r="G2619" s="18" t="s">
        <v>192</v>
      </c>
      <c r="H2619" s="18" t="s">
        <v>129</v>
      </c>
      <c r="I2619" s="18"/>
      <c r="J2619" s="18"/>
      <c r="K2619" s="18"/>
      <c r="L2619" s="18" t="s">
        <v>162</v>
      </c>
      <c r="M2619" s="18" t="s">
        <v>129</v>
      </c>
      <c r="N2619" s="18"/>
      <c r="O2619" s="18"/>
      <c r="P2619" s="18"/>
      <c r="Q2619" s="18" t="s">
        <v>149</v>
      </c>
      <c r="R2619" s="18" t="s">
        <v>10875</v>
      </c>
      <c r="S2619" s="18" t="s">
        <v>140</v>
      </c>
      <c r="T2619" s="18" t="s">
        <v>858</v>
      </c>
      <c r="U2619" s="18" t="s">
        <v>10876</v>
      </c>
      <c r="V2619" s="19" t="s">
        <v>29</v>
      </c>
      <c r="W2619" s="19"/>
      <c r="X2619" s="19"/>
      <c r="Y2619" s="20"/>
      <c r="Z2619" s="19"/>
      <c r="AA2619" s="18" t="str">
        <f aca="false">IF(OR(V2619="Aprobada"),R2619,IF(AND(OR(V2619="Aprobada con ajuste",V2619="Rechazada"),W2619&lt;&gt;""),W2619,""))</f>
        <v/>
      </c>
    </row>
    <row r="2620" customFormat="false" ht="22.35" hidden="false" customHeight="false" outlineLevel="0" collapsed="false">
      <c r="A2620" s="18" t="s">
        <v>10877</v>
      </c>
      <c r="B2620" s="18" t="s">
        <v>76</v>
      </c>
      <c r="C2620" s="18" t="s">
        <v>77</v>
      </c>
      <c r="D2620" s="18" t="s">
        <v>10417</v>
      </c>
      <c r="E2620" s="18" t="n">
        <v>1</v>
      </c>
      <c r="F2620" s="18" t="s">
        <v>10429</v>
      </c>
      <c r="G2620" s="18" t="s">
        <v>192</v>
      </c>
      <c r="H2620" s="18" t="s">
        <v>129</v>
      </c>
      <c r="I2620" s="18"/>
      <c r="J2620" s="18"/>
      <c r="K2620" s="18"/>
      <c r="L2620" s="18" t="s">
        <v>162</v>
      </c>
      <c r="M2620" s="18" t="s">
        <v>129</v>
      </c>
      <c r="N2620" s="18"/>
      <c r="O2620" s="18"/>
      <c r="P2620" s="18"/>
      <c r="Q2620" s="18" t="s">
        <v>149</v>
      </c>
      <c r="R2620" s="18" t="s">
        <v>10878</v>
      </c>
      <c r="S2620" s="18" t="s">
        <v>140</v>
      </c>
      <c r="T2620" s="18" t="s">
        <v>858</v>
      </c>
      <c r="U2620" s="18" t="s">
        <v>10876</v>
      </c>
      <c r="V2620" s="19" t="s">
        <v>29</v>
      </c>
      <c r="W2620" s="19"/>
      <c r="X2620" s="19"/>
      <c r="Y2620" s="20"/>
      <c r="Z2620" s="19"/>
      <c r="AA2620" s="18" t="str">
        <f aca="false">IF(OR(V2620="Aprobada"),R2620,IF(AND(OR(V2620="Aprobada con ajuste",V2620="Rechazada"),W2620&lt;&gt;""),W2620,""))</f>
        <v/>
      </c>
    </row>
    <row r="2621" customFormat="false" ht="22.35" hidden="false" customHeight="false" outlineLevel="0" collapsed="false">
      <c r="A2621" s="18" t="s">
        <v>10879</v>
      </c>
      <c r="B2621" s="18" t="s">
        <v>76</v>
      </c>
      <c r="C2621" s="18" t="s">
        <v>77</v>
      </c>
      <c r="D2621" s="18" t="s">
        <v>10417</v>
      </c>
      <c r="E2621" s="18" t="n">
        <v>1</v>
      </c>
      <c r="F2621" s="18" t="s">
        <v>10434</v>
      </c>
      <c r="G2621" s="18" t="s">
        <v>192</v>
      </c>
      <c r="H2621" s="18" t="s">
        <v>129</v>
      </c>
      <c r="I2621" s="18"/>
      <c r="J2621" s="18"/>
      <c r="K2621" s="18"/>
      <c r="L2621" s="18" t="s">
        <v>162</v>
      </c>
      <c r="M2621" s="18" t="s">
        <v>129</v>
      </c>
      <c r="N2621" s="18"/>
      <c r="O2621" s="18"/>
      <c r="P2621" s="18"/>
      <c r="Q2621" s="18" t="s">
        <v>149</v>
      </c>
      <c r="R2621" s="18" t="s">
        <v>10880</v>
      </c>
      <c r="S2621" s="18" t="s">
        <v>140</v>
      </c>
      <c r="T2621" s="18" t="s">
        <v>858</v>
      </c>
      <c r="U2621" s="18" t="s">
        <v>10876</v>
      </c>
      <c r="V2621" s="19" t="s">
        <v>29</v>
      </c>
      <c r="W2621" s="19"/>
      <c r="X2621" s="19"/>
      <c r="Y2621" s="20"/>
      <c r="Z2621" s="19"/>
      <c r="AA2621" s="18" t="str">
        <f aca="false">IF(OR(V2621="Aprobada"),R2621,IF(AND(OR(V2621="Aprobada con ajuste",V2621="Rechazada"),W2621&lt;&gt;""),W2621,""))</f>
        <v/>
      </c>
    </row>
    <row r="2622" customFormat="false" ht="22.35" hidden="false" customHeight="false" outlineLevel="0" collapsed="false">
      <c r="A2622" s="18" t="s">
        <v>10881</v>
      </c>
      <c r="B2622" s="18" t="s">
        <v>78</v>
      </c>
      <c r="C2622" s="18" t="s">
        <v>79</v>
      </c>
      <c r="D2622" s="18" t="s">
        <v>10882</v>
      </c>
      <c r="E2622" s="18" t="n">
        <v>0</v>
      </c>
      <c r="F2622" s="18" t="s">
        <v>185</v>
      </c>
      <c r="G2622" s="18" t="s">
        <v>186</v>
      </c>
      <c r="H2622" s="18" t="s">
        <v>129</v>
      </c>
      <c r="I2622" s="18"/>
      <c r="J2622" s="18"/>
      <c r="K2622" s="18"/>
      <c r="L2622" s="18" t="s">
        <v>129</v>
      </c>
      <c r="M2622" s="18" t="s">
        <v>129</v>
      </c>
      <c r="N2622" s="18"/>
      <c r="O2622" s="18"/>
      <c r="P2622" s="18"/>
      <c r="Q2622" s="18" t="s">
        <v>138</v>
      </c>
      <c r="R2622" s="18" t="s">
        <v>10883</v>
      </c>
      <c r="S2622" s="18" t="s">
        <v>140</v>
      </c>
      <c r="T2622" s="18" t="s">
        <v>141</v>
      </c>
      <c r="U2622" s="18"/>
      <c r="V2622" s="19" t="s">
        <v>29</v>
      </c>
      <c r="W2622" s="19"/>
      <c r="X2622" s="19"/>
      <c r="Y2622" s="20"/>
      <c r="Z2622" s="19"/>
      <c r="AA2622" s="18" t="str">
        <f aca="false">IF(OR(V2622="Aprobada"),R2622,IF(AND(OR(V2622="Aprobada con ajuste",V2622="Rechazada"),W2622&lt;&gt;""),W2622,""))</f>
        <v/>
      </c>
    </row>
    <row r="2623" customFormat="false" ht="22.35" hidden="false" customHeight="false" outlineLevel="0" collapsed="false">
      <c r="A2623" s="18" t="s">
        <v>10884</v>
      </c>
      <c r="B2623" s="18" t="s">
        <v>78</v>
      </c>
      <c r="C2623" s="18" t="s">
        <v>79</v>
      </c>
      <c r="D2623" s="18" t="s">
        <v>10882</v>
      </c>
      <c r="E2623" s="18" t="n">
        <v>0</v>
      </c>
      <c r="F2623" s="18" t="s">
        <v>886</v>
      </c>
      <c r="G2623" s="18" t="s">
        <v>128</v>
      </c>
      <c r="H2623" s="18" t="s">
        <v>162</v>
      </c>
      <c r="I2623" s="18"/>
      <c r="J2623" s="18"/>
      <c r="K2623" s="18"/>
      <c r="L2623" s="18" t="s">
        <v>129</v>
      </c>
      <c r="M2623" s="18" t="s">
        <v>129</v>
      </c>
      <c r="N2623" s="18"/>
      <c r="O2623" s="18"/>
      <c r="P2623" s="18"/>
      <c r="Q2623" s="18" t="s">
        <v>138</v>
      </c>
      <c r="R2623" s="18" t="s">
        <v>1693</v>
      </c>
      <c r="S2623" s="18" t="s">
        <v>140</v>
      </c>
      <c r="T2623" s="18" t="s">
        <v>141</v>
      </c>
      <c r="U2623" s="18"/>
      <c r="V2623" s="19" t="s">
        <v>29</v>
      </c>
      <c r="W2623" s="19"/>
      <c r="X2623" s="19"/>
      <c r="Y2623" s="20"/>
      <c r="Z2623" s="19"/>
      <c r="AA2623" s="18" t="str">
        <f aca="false">IF(OR(V2623="Aprobada"),R2623,IF(AND(OR(V2623="Aprobada con ajuste",V2623="Rechazada"),W2623&lt;&gt;""),W2623,""))</f>
        <v/>
      </c>
    </row>
    <row r="2624" customFormat="false" ht="32.8" hidden="false" customHeight="false" outlineLevel="0" collapsed="false">
      <c r="A2624" s="18" t="s">
        <v>10885</v>
      </c>
      <c r="B2624" s="18" t="s">
        <v>78</v>
      </c>
      <c r="C2624" s="18" t="s">
        <v>79</v>
      </c>
      <c r="D2624" s="18" t="s">
        <v>10882</v>
      </c>
      <c r="E2624" s="18" t="n">
        <v>0</v>
      </c>
      <c r="F2624" s="18" t="s">
        <v>10886</v>
      </c>
      <c r="G2624" s="18" t="s">
        <v>931</v>
      </c>
      <c r="H2624" s="18" t="s">
        <v>162</v>
      </c>
      <c r="I2624" s="18"/>
      <c r="J2624" s="18"/>
      <c r="K2624" s="18"/>
      <c r="L2624" s="18" t="s">
        <v>129</v>
      </c>
      <c r="M2624" s="18" t="s">
        <v>129</v>
      </c>
      <c r="N2624" s="18"/>
      <c r="O2624" s="18"/>
      <c r="P2624" s="18" t="s">
        <v>10887</v>
      </c>
      <c r="Q2624" s="18" t="s">
        <v>131</v>
      </c>
      <c r="R2624" s="18" t="s">
        <v>10888</v>
      </c>
      <c r="S2624" s="18" t="s">
        <v>133</v>
      </c>
      <c r="T2624" s="18" t="s">
        <v>10889</v>
      </c>
      <c r="U2624" s="18"/>
      <c r="V2624" s="19" t="s">
        <v>29</v>
      </c>
      <c r="W2624" s="19"/>
      <c r="X2624" s="19"/>
      <c r="Y2624" s="20"/>
      <c r="Z2624" s="19"/>
      <c r="AA2624" s="18" t="str">
        <f aca="false">IF(OR(V2624="Aprobada"),R2624,IF(AND(OR(V2624="Aprobada con ajuste",V2624="Rechazada"),W2624&lt;&gt;""),W2624,""))</f>
        <v/>
      </c>
    </row>
    <row r="2625" customFormat="false" ht="22.35" hidden="false" customHeight="false" outlineLevel="0" collapsed="false">
      <c r="A2625" s="18" t="s">
        <v>10890</v>
      </c>
      <c r="B2625" s="18" t="s">
        <v>78</v>
      </c>
      <c r="C2625" s="18" t="s">
        <v>79</v>
      </c>
      <c r="D2625" s="18" t="s">
        <v>10891</v>
      </c>
      <c r="E2625" s="18" t="n">
        <v>28</v>
      </c>
      <c r="F2625" s="18" t="s">
        <v>275</v>
      </c>
      <c r="G2625" s="18" t="s">
        <v>931</v>
      </c>
      <c r="H2625" s="18" t="s">
        <v>129</v>
      </c>
      <c r="I2625" s="18"/>
      <c r="J2625" s="18"/>
      <c r="K2625" s="18"/>
      <c r="L2625" s="18" t="s">
        <v>129</v>
      </c>
      <c r="M2625" s="18" t="s">
        <v>129</v>
      </c>
      <c r="N2625" s="18"/>
      <c r="O2625" s="18"/>
      <c r="P2625" s="18"/>
      <c r="Q2625" s="18" t="s">
        <v>138</v>
      </c>
      <c r="R2625" s="18" t="s">
        <v>10892</v>
      </c>
      <c r="S2625" s="18" t="s">
        <v>140</v>
      </c>
      <c r="T2625" s="18" t="s">
        <v>141</v>
      </c>
      <c r="U2625" s="18"/>
      <c r="V2625" s="19" t="s">
        <v>29</v>
      </c>
      <c r="W2625" s="19"/>
      <c r="X2625" s="19"/>
      <c r="Y2625" s="20"/>
      <c r="Z2625" s="19"/>
      <c r="AA2625" s="18" t="str">
        <f aca="false">IF(OR(V2625="Aprobada"),R2625,IF(AND(OR(V2625="Aprobada con ajuste",V2625="Rechazada"),W2625&lt;&gt;""),W2625,""))</f>
        <v/>
      </c>
    </row>
    <row r="2626" customFormat="false" ht="22.35" hidden="false" customHeight="false" outlineLevel="0" collapsed="false">
      <c r="A2626" s="18" t="s">
        <v>10893</v>
      </c>
      <c r="B2626" s="18" t="s">
        <v>78</v>
      </c>
      <c r="C2626" s="18" t="s">
        <v>79</v>
      </c>
      <c r="D2626" s="18" t="s">
        <v>10891</v>
      </c>
      <c r="E2626" s="18" t="n">
        <v>28</v>
      </c>
      <c r="F2626" s="18" t="s">
        <v>10894</v>
      </c>
      <c r="G2626" s="18" t="s">
        <v>288</v>
      </c>
      <c r="H2626" s="18" t="s">
        <v>162</v>
      </c>
      <c r="I2626" s="18"/>
      <c r="J2626" s="18"/>
      <c r="K2626" s="18"/>
      <c r="L2626" s="18" t="s">
        <v>129</v>
      </c>
      <c r="M2626" s="18" t="s">
        <v>129</v>
      </c>
      <c r="N2626" s="18"/>
      <c r="O2626" s="18"/>
      <c r="P2626" s="18"/>
      <c r="Q2626" s="18" t="s">
        <v>149</v>
      </c>
      <c r="R2626" s="18" t="s">
        <v>10895</v>
      </c>
      <c r="S2626" s="18" t="s">
        <v>133</v>
      </c>
      <c r="T2626" s="18" t="s">
        <v>10896</v>
      </c>
      <c r="U2626" s="18"/>
      <c r="V2626" s="19" t="s">
        <v>29</v>
      </c>
      <c r="W2626" s="19"/>
      <c r="X2626" s="19"/>
      <c r="Y2626" s="20"/>
      <c r="Z2626" s="19"/>
      <c r="AA2626" s="18" t="str">
        <f aca="false">IF(OR(V2626="Aprobada"),R2626,IF(AND(OR(V2626="Aprobada con ajuste",V2626="Rechazada"),W2626&lt;&gt;""),W2626,""))</f>
        <v/>
      </c>
    </row>
    <row r="2627" customFormat="false" ht="32.8" hidden="false" customHeight="false" outlineLevel="0" collapsed="false">
      <c r="A2627" s="18" t="s">
        <v>10897</v>
      </c>
      <c r="B2627" s="18" t="s">
        <v>78</v>
      </c>
      <c r="C2627" s="18" t="s">
        <v>79</v>
      </c>
      <c r="D2627" s="18" t="s">
        <v>10891</v>
      </c>
      <c r="E2627" s="18" t="n">
        <v>28</v>
      </c>
      <c r="F2627" s="18" t="s">
        <v>10898</v>
      </c>
      <c r="G2627" s="18" t="s">
        <v>503</v>
      </c>
      <c r="H2627" s="18" t="s">
        <v>162</v>
      </c>
      <c r="I2627" s="18" t="s">
        <v>298</v>
      </c>
      <c r="J2627" s="18"/>
      <c r="K2627" s="18"/>
      <c r="L2627" s="18" t="s">
        <v>129</v>
      </c>
      <c r="M2627" s="18" t="s">
        <v>129</v>
      </c>
      <c r="N2627" s="18"/>
      <c r="O2627" s="18"/>
      <c r="P2627" s="18"/>
      <c r="Q2627" s="18" t="s">
        <v>149</v>
      </c>
      <c r="R2627" s="18" t="s">
        <v>10899</v>
      </c>
      <c r="S2627" s="18" t="s">
        <v>133</v>
      </c>
      <c r="T2627" s="18" t="s">
        <v>10900</v>
      </c>
      <c r="U2627" s="18"/>
      <c r="V2627" s="19" t="s">
        <v>29</v>
      </c>
      <c r="W2627" s="19"/>
      <c r="X2627" s="19"/>
      <c r="Y2627" s="20"/>
      <c r="Z2627" s="19"/>
      <c r="AA2627" s="18" t="str">
        <f aca="false">IF(OR(V2627="Aprobada"),R2627,IF(AND(OR(V2627="Aprobada con ajuste",V2627="Rechazada"),W2627&lt;&gt;""),W2627,""))</f>
        <v/>
      </c>
    </row>
    <row r="2628" customFormat="false" ht="32.8" hidden="false" customHeight="false" outlineLevel="0" collapsed="false">
      <c r="A2628" s="18" t="s">
        <v>10901</v>
      </c>
      <c r="B2628" s="18" t="s">
        <v>78</v>
      </c>
      <c r="C2628" s="18" t="s">
        <v>79</v>
      </c>
      <c r="D2628" s="18" t="s">
        <v>10891</v>
      </c>
      <c r="E2628" s="18" t="n">
        <v>28</v>
      </c>
      <c r="F2628" s="18" t="s">
        <v>10902</v>
      </c>
      <c r="G2628" s="18" t="s">
        <v>173</v>
      </c>
      <c r="H2628" s="18" t="s">
        <v>129</v>
      </c>
      <c r="I2628" s="18"/>
      <c r="J2628" s="18"/>
      <c r="K2628" s="18"/>
      <c r="L2628" s="18" t="s">
        <v>129</v>
      </c>
      <c r="M2628" s="18" t="s">
        <v>129</v>
      </c>
      <c r="N2628" s="18"/>
      <c r="O2628" s="18"/>
      <c r="P2628" s="18" t="s">
        <v>10903</v>
      </c>
      <c r="Q2628" s="18" t="s">
        <v>131</v>
      </c>
      <c r="R2628" s="18" t="s">
        <v>10904</v>
      </c>
      <c r="S2628" s="18" t="s">
        <v>133</v>
      </c>
      <c r="T2628" s="18" t="s">
        <v>10905</v>
      </c>
      <c r="U2628" s="18"/>
      <c r="V2628" s="19" t="s">
        <v>29</v>
      </c>
      <c r="W2628" s="19"/>
      <c r="X2628" s="19"/>
      <c r="Y2628" s="20"/>
      <c r="Z2628" s="19"/>
      <c r="AA2628" s="18" t="str">
        <f aca="false">IF(OR(V2628="Aprobada"),R2628,IF(AND(OR(V2628="Aprobada con ajuste",V2628="Rechazada"),W2628&lt;&gt;""),W2628,""))</f>
        <v/>
      </c>
    </row>
    <row r="2629" customFormat="false" ht="22.35" hidden="false" customHeight="false" outlineLevel="0" collapsed="false">
      <c r="A2629" s="18" t="s">
        <v>10906</v>
      </c>
      <c r="B2629" s="18" t="s">
        <v>78</v>
      </c>
      <c r="C2629" s="18" t="s">
        <v>79</v>
      </c>
      <c r="D2629" s="18" t="s">
        <v>10891</v>
      </c>
      <c r="E2629" s="18" t="n">
        <v>28</v>
      </c>
      <c r="F2629" s="18" t="s">
        <v>127</v>
      </c>
      <c r="G2629" s="18" t="s">
        <v>205</v>
      </c>
      <c r="H2629" s="18" t="s">
        <v>162</v>
      </c>
      <c r="I2629" s="18" t="s">
        <v>298</v>
      </c>
      <c r="J2629" s="18" t="s">
        <v>10907</v>
      </c>
      <c r="K2629" s="18"/>
      <c r="L2629" s="18" t="s">
        <v>162</v>
      </c>
      <c r="M2629" s="18" t="s">
        <v>129</v>
      </c>
      <c r="N2629" s="18"/>
      <c r="O2629" s="18"/>
      <c r="P2629" s="18"/>
      <c r="Q2629" s="18" t="s">
        <v>138</v>
      </c>
      <c r="R2629" s="18" t="s">
        <v>10908</v>
      </c>
      <c r="S2629" s="18" t="s">
        <v>140</v>
      </c>
      <c r="T2629" s="18" t="s">
        <v>141</v>
      </c>
      <c r="U2629" s="18"/>
      <c r="V2629" s="19" t="s">
        <v>29</v>
      </c>
      <c r="W2629" s="19"/>
      <c r="X2629" s="19"/>
      <c r="Y2629" s="20"/>
      <c r="Z2629" s="19"/>
      <c r="AA2629" s="18" t="str">
        <f aca="false">IF(OR(V2629="Aprobada"),R2629,IF(AND(OR(V2629="Aprobada con ajuste",V2629="Rechazada"),W2629&lt;&gt;""),W2629,""))</f>
        <v/>
      </c>
    </row>
    <row r="2630" customFormat="false" ht="22.35" hidden="false" customHeight="false" outlineLevel="0" collapsed="false">
      <c r="A2630" s="18" t="s">
        <v>10909</v>
      </c>
      <c r="B2630" s="18" t="s">
        <v>78</v>
      </c>
      <c r="C2630" s="18" t="s">
        <v>79</v>
      </c>
      <c r="D2630" s="18" t="s">
        <v>10891</v>
      </c>
      <c r="E2630" s="18" t="n">
        <v>28</v>
      </c>
      <c r="F2630" s="18" t="s">
        <v>10910</v>
      </c>
      <c r="G2630" s="18" t="s">
        <v>358</v>
      </c>
      <c r="H2630" s="18" t="s">
        <v>162</v>
      </c>
      <c r="I2630" s="18"/>
      <c r="J2630" s="18"/>
      <c r="K2630" s="18"/>
      <c r="L2630" s="18" t="s">
        <v>129</v>
      </c>
      <c r="M2630" s="18" t="s">
        <v>129</v>
      </c>
      <c r="N2630" s="18"/>
      <c r="O2630" s="18"/>
      <c r="P2630" s="18"/>
      <c r="Q2630" s="18" t="s">
        <v>149</v>
      </c>
      <c r="R2630" s="18" t="s">
        <v>10911</v>
      </c>
      <c r="S2630" s="18" t="s">
        <v>140</v>
      </c>
      <c r="T2630" s="18" t="s">
        <v>10912</v>
      </c>
      <c r="U2630" s="18" t="s">
        <v>10913</v>
      </c>
      <c r="V2630" s="19" t="s">
        <v>29</v>
      </c>
      <c r="W2630" s="19"/>
      <c r="X2630" s="19"/>
      <c r="Y2630" s="20"/>
      <c r="Z2630" s="19"/>
      <c r="AA2630" s="18" t="str">
        <f aca="false">IF(OR(V2630="Aprobada"),R2630,IF(AND(OR(V2630="Aprobada con ajuste",V2630="Rechazada"),W2630&lt;&gt;""),W2630,""))</f>
        <v/>
      </c>
    </row>
    <row r="2631" customFormat="false" ht="32.8" hidden="false" customHeight="false" outlineLevel="0" collapsed="false">
      <c r="A2631" s="18" t="s">
        <v>10914</v>
      </c>
      <c r="B2631" s="18" t="s">
        <v>78</v>
      </c>
      <c r="C2631" s="18" t="s">
        <v>79</v>
      </c>
      <c r="D2631" s="18" t="s">
        <v>10891</v>
      </c>
      <c r="E2631" s="18" t="n">
        <v>28</v>
      </c>
      <c r="F2631" s="18" t="s">
        <v>10915</v>
      </c>
      <c r="G2631" s="18" t="s">
        <v>205</v>
      </c>
      <c r="H2631" s="18" t="s">
        <v>162</v>
      </c>
      <c r="I2631" s="18"/>
      <c r="J2631" s="18"/>
      <c r="K2631" s="18"/>
      <c r="L2631" s="18" t="s">
        <v>129</v>
      </c>
      <c r="M2631" s="18" t="s">
        <v>129</v>
      </c>
      <c r="N2631" s="18"/>
      <c r="O2631" s="18"/>
      <c r="P2631" s="18"/>
      <c r="Q2631" s="18" t="s">
        <v>149</v>
      </c>
      <c r="R2631" s="18" t="s">
        <v>10916</v>
      </c>
      <c r="S2631" s="18" t="s">
        <v>140</v>
      </c>
      <c r="T2631" s="18" t="s">
        <v>10917</v>
      </c>
      <c r="U2631" s="18" t="s">
        <v>10918</v>
      </c>
      <c r="V2631" s="19" t="s">
        <v>29</v>
      </c>
      <c r="W2631" s="19"/>
      <c r="X2631" s="19"/>
      <c r="Y2631" s="20"/>
      <c r="Z2631" s="19"/>
      <c r="AA2631" s="18" t="str">
        <f aca="false">IF(OR(V2631="Aprobada"),R2631,IF(AND(OR(V2631="Aprobada con ajuste",V2631="Rechazada"),W2631&lt;&gt;""),W2631,""))</f>
        <v/>
      </c>
    </row>
    <row r="2632" customFormat="false" ht="22.35" hidden="false" customHeight="false" outlineLevel="0" collapsed="false">
      <c r="A2632" s="18" t="s">
        <v>10919</v>
      </c>
      <c r="B2632" s="18" t="s">
        <v>78</v>
      </c>
      <c r="C2632" s="18" t="s">
        <v>79</v>
      </c>
      <c r="D2632" s="18" t="s">
        <v>10891</v>
      </c>
      <c r="E2632" s="18" t="n">
        <v>28</v>
      </c>
      <c r="F2632" s="18" t="s">
        <v>341</v>
      </c>
      <c r="G2632" s="18" t="s">
        <v>2900</v>
      </c>
      <c r="H2632" s="18" t="s">
        <v>162</v>
      </c>
      <c r="I2632" s="18"/>
      <c r="J2632" s="18"/>
      <c r="K2632" s="18"/>
      <c r="L2632" s="18" t="s">
        <v>129</v>
      </c>
      <c r="M2632" s="18" t="s">
        <v>129</v>
      </c>
      <c r="N2632" s="18"/>
      <c r="O2632" s="18"/>
      <c r="P2632" s="18"/>
      <c r="Q2632" s="18" t="s">
        <v>149</v>
      </c>
      <c r="R2632" s="18" t="s">
        <v>10920</v>
      </c>
      <c r="S2632" s="18" t="s">
        <v>242</v>
      </c>
      <c r="T2632" s="18" t="s">
        <v>10921</v>
      </c>
      <c r="U2632" s="18" t="s">
        <v>10922</v>
      </c>
      <c r="V2632" s="19" t="s">
        <v>29</v>
      </c>
      <c r="W2632" s="19"/>
      <c r="X2632" s="19"/>
      <c r="Y2632" s="20"/>
      <c r="Z2632" s="19"/>
      <c r="AA2632" s="18" t="str">
        <f aca="false">IF(OR(V2632="Aprobada"),R2632,IF(AND(OR(V2632="Aprobada con ajuste",V2632="Rechazada"),W2632&lt;&gt;""),W2632,""))</f>
        <v/>
      </c>
    </row>
    <row r="2633" customFormat="false" ht="32.8" hidden="false" customHeight="false" outlineLevel="0" collapsed="false">
      <c r="A2633" s="18" t="s">
        <v>10923</v>
      </c>
      <c r="B2633" s="18" t="s">
        <v>78</v>
      </c>
      <c r="C2633" s="18" t="s">
        <v>79</v>
      </c>
      <c r="D2633" s="18" t="s">
        <v>10924</v>
      </c>
      <c r="E2633" s="18" t="n">
        <v>46</v>
      </c>
      <c r="F2633" s="18" t="s">
        <v>5413</v>
      </c>
      <c r="G2633" s="18" t="s">
        <v>2900</v>
      </c>
      <c r="H2633" s="18" t="s">
        <v>129</v>
      </c>
      <c r="I2633" s="18"/>
      <c r="J2633" s="18"/>
      <c r="K2633" s="18"/>
      <c r="L2633" s="18" t="s">
        <v>162</v>
      </c>
      <c r="M2633" s="18" t="s">
        <v>129</v>
      </c>
      <c r="N2633" s="18"/>
      <c r="O2633" s="18" t="s">
        <v>10925</v>
      </c>
      <c r="P2633" s="18"/>
      <c r="Q2633" s="18" t="s">
        <v>149</v>
      </c>
      <c r="R2633" s="18" t="s">
        <v>10926</v>
      </c>
      <c r="S2633" s="18" t="s">
        <v>133</v>
      </c>
      <c r="T2633" s="18" t="s">
        <v>10927</v>
      </c>
      <c r="U2633" s="18"/>
      <c r="V2633" s="19" t="s">
        <v>29</v>
      </c>
      <c r="W2633" s="19"/>
      <c r="X2633" s="19"/>
      <c r="Y2633" s="20"/>
      <c r="Z2633" s="19"/>
      <c r="AA2633" s="18" t="str">
        <f aca="false">IF(OR(V2633="Aprobada"),R2633,IF(AND(OR(V2633="Aprobada con ajuste",V2633="Rechazada"),W2633&lt;&gt;""),W2633,""))</f>
        <v/>
      </c>
    </row>
    <row r="2634" customFormat="false" ht="32.8" hidden="false" customHeight="false" outlineLevel="0" collapsed="false">
      <c r="A2634" s="18" t="s">
        <v>10928</v>
      </c>
      <c r="B2634" s="18" t="s">
        <v>78</v>
      </c>
      <c r="C2634" s="18" t="s">
        <v>79</v>
      </c>
      <c r="D2634" s="18" t="s">
        <v>10924</v>
      </c>
      <c r="E2634" s="18" t="n">
        <v>46</v>
      </c>
      <c r="F2634" s="18" t="s">
        <v>10929</v>
      </c>
      <c r="G2634" s="18" t="s">
        <v>931</v>
      </c>
      <c r="H2634" s="18" t="s">
        <v>129</v>
      </c>
      <c r="I2634" s="18"/>
      <c r="J2634" s="18"/>
      <c r="K2634" s="18"/>
      <c r="L2634" s="18" t="s">
        <v>162</v>
      </c>
      <c r="M2634" s="18" t="s">
        <v>129</v>
      </c>
      <c r="N2634" s="18"/>
      <c r="O2634" s="18" t="s">
        <v>10925</v>
      </c>
      <c r="P2634" s="18"/>
      <c r="Q2634" s="18" t="s">
        <v>149</v>
      </c>
      <c r="R2634" s="18" t="s">
        <v>10930</v>
      </c>
      <c r="S2634" s="18" t="s">
        <v>133</v>
      </c>
      <c r="T2634" s="18" t="s">
        <v>10931</v>
      </c>
      <c r="U2634" s="18"/>
      <c r="V2634" s="19" t="s">
        <v>29</v>
      </c>
      <c r="W2634" s="19"/>
      <c r="X2634" s="19"/>
      <c r="Y2634" s="20"/>
      <c r="Z2634" s="19"/>
      <c r="AA2634" s="18" t="str">
        <f aca="false">IF(OR(V2634="Aprobada"),R2634,IF(AND(OR(V2634="Aprobada con ajuste",V2634="Rechazada"),W2634&lt;&gt;""),W2634,""))</f>
        <v/>
      </c>
    </row>
    <row r="2635" customFormat="false" ht="22.35" hidden="false" customHeight="false" outlineLevel="0" collapsed="false">
      <c r="A2635" s="18" t="s">
        <v>10932</v>
      </c>
      <c r="B2635" s="18" t="s">
        <v>78</v>
      </c>
      <c r="C2635" s="18" t="s">
        <v>79</v>
      </c>
      <c r="D2635" s="18" t="s">
        <v>10924</v>
      </c>
      <c r="E2635" s="18" t="n">
        <v>46</v>
      </c>
      <c r="F2635" s="18" t="s">
        <v>10933</v>
      </c>
      <c r="G2635" s="18" t="s">
        <v>584</v>
      </c>
      <c r="H2635" s="18" t="s">
        <v>129</v>
      </c>
      <c r="I2635" s="18"/>
      <c r="J2635" s="18"/>
      <c r="K2635" s="18"/>
      <c r="L2635" s="18" t="s">
        <v>162</v>
      </c>
      <c r="M2635" s="18" t="s">
        <v>129</v>
      </c>
      <c r="N2635" s="18"/>
      <c r="O2635" s="18"/>
      <c r="P2635" s="18"/>
      <c r="Q2635" s="18" t="s">
        <v>138</v>
      </c>
      <c r="R2635" s="18" t="s">
        <v>10934</v>
      </c>
      <c r="S2635" s="18" t="s">
        <v>140</v>
      </c>
      <c r="T2635" s="18" t="s">
        <v>141</v>
      </c>
      <c r="U2635" s="18"/>
      <c r="V2635" s="19" t="s">
        <v>29</v>
      </c>
      <c r="W2635" s="19"/>
      <c r="X2635" s="19"/>
      <c r="Y2635" s="20"/>
      <c r="Z2635" s="19"/>
      <c r="AA2635" s="18" t="str">
        <f aca="false">IF(OR(V2635="Aprobada"),R2635,IF(AND(OR(V2635="Aprobada con ajuste",V2635="Rechazada"),W2635&lt;&gt;""),W2635,""))</f>
        <v/>
      </c>
    </row>
    <row r="2636" customFormat="false" ht="43.25" hidden="false" customHeight="false" outlineLevel="0" collapsed="false">
      <c r="A2636" s="18" t="s">
        <v>10935</v>
      </c>
      <c r="B2636" s="18" t="s">
        <v>78</v>
      </c>
      <c r="C2636" s="18" t="s">
        <v>79</v>
      </c>
      <c r="D2636" s="18" t="s">
        <v>10936</v>
      </c>
      <c r="E2636" s="18" t="n">
        <v>0</v>
      </c>
      <c r="F2636" s="18" t="s">
        <v>10937</v>
      </c>
      <c r="G2636" s="18" t="s">
        <v>288</v>
      </c>
      <c r="H2636" s="18" t="s">
        <v>129</v>
      </c>
      <c r="I2636" s="18"/>
      <c r="J2636" s="18"/>
      <c r="K2636" s="18"/>
      <c r="L2636" s="18" t="s">
        <v>129</v>
      </c>
      <c r="M2636" s="18" t="s">
        <v>129</v>
      </c>
      <c r="N2636" s="18"/>
      <c r="O2636" s="18" t="s">
        <v>10938</v>
      </c>
      <c r="P2636" s="18" t="s">
        <v>10939</v>
      </c>
      <c r="Q2636" s="18" t="s">
        <v>131</v>
      </c>
      <c r="R2636" s="18" t="s">
        <v>10940</v>
      </c>
      <c r="S2636" s="18" t="s">
        <v>133</v>
      </c>
      <c r="T2636" s="18" t="s">
        <v>10941</v>
      </c>
      <c r="U2636" s="18"/>
      <c r="V2636" s="19" t="s">
        <v>29</v>
      </c>
      <c r="W2636" s="19"/>
      <c r="X2636" s="19"/>
      <c r="Y2636" s="20"/>
      <c r="Z2636" s="19"/>
      <c r="AA2636" s="18" t="str">
        <f aca="false">IF(OR(V2636="Aprobada"),R2636,IF(AND(OR(V2636="Aprobada con ajuste",V2636="Rechazada"),W2636&lt;&gt;""),W2636,""))</f>
        <v/>
      </c>
    </row>
    <row r="2637" customFormat="false" ht="22.35" hidden="false" customHeight="false" outlineLevel="0" collapsed="false">
      <c r="A2637" s="18" t="s">
        <v>10942</v>
      </c>
      <c r="B2637" s="18" t="s">
        <v>78</v>
      </c>
      <c r="C2637" s="18" t="s">
        <v>79</v>
      </c>
      <c r="D2637" s="18" t="s">
        <v>10936</v>
      </c>
      <c r="E2637" s="18" t="n">
        <v>0</v>
      </c>
      <c r="F2637" s="18" t="s">
        <v>1994</v>
      </c>
      <c r="G2637" s="18" t="s">
        <v>828</v>
      </c>
      <c r="H2637" s="18" t="s">
        <v>129</v>
      </c>
      <c r="I2637" s="18" t="s">
        <v>298</v>
      </c>
      <c r="J2637" s="18" t="s">
        <v>1995</v>
      </c>
      <c r="K2637" s="18"/>
      <c r="L2637" s="18" t="s">
        <v>162</v>
      </c>
      <c r="M2637" s="18" t="s">
        <v>129</v>
      </c>
      <c r="N2637" s="18"/>
      <c r="O2637" s="18" t="s">
        <v>10943</v>
      </c>
      <c r="P2637" s="18"/>
      <c r="Q2637" s="18" t="s">
        <v>149</v>
      </c>
      <c r="R2637" s="18" t="s">
        <v>10944</v>
      </c>
      <c r="S2637" s="18" t="s">
        <v>133</v>
      </c>
      <c r="T2637" s="18" t="s">
        <v>10945</v>
      </c>
      <c r="U2637" s="18"/>
      <c r="V2637" s="19" t="s">
        <v>29</v>
      </c>
      <c r="W2637" s="19"/>
      <c r="X2637" s="19"/>
      <c r="Y2637" s="20"/>
      <c r="Z2637" s="19"/>
      <c r="AA2637" s="18" t="str">
        <f aca="false">IF(OR(V2637="Aprobada"),R2637,IF(AND(OR(V2637="Aprobada con ajuste",V2637="Rechazada"),W2637&lt;&gt;""),W2637,""))</f>
        <v/>
      </c>
    </row>
    <row r="2638" customFormat="false" ht="22.35" hidden="false" customHeight="false" outlineLevel="0" collapsed="false">
      <c r="A2638" s="18" t="s">
        <v>10946</v>
      </c>
      <c r="B2638" s="18" t="s">
        <v>78</v>
      </c>
      <c r="C2638" s="18" t="s">
        <v>79</v>
      </c>
      <c r="D2638" s="18" t="s">
        <v>10936</v>
      </c>
      <c r="E2638" s="18" t="n">
        <v>0</v>
      </c>
      <c r="F2638" s="18" t="s">
        <v>185</v>
      </c>
      <c r="G2638" s="18" t="s">
        <v>205</v>
      </c>
      <c r="H2638" s="18" t="s">
        <v>129</v>
      </c>
      <c r="I2638" s="18" t="s">
        <v>298</v>
      </c>
      <c r="J2638" s="18" t="s">
        <v>10947</v>
      </c>
      <c r="K2638" s="18"/>
      <c r="L2638" s="18" t="s">
        <v>162</v>
      </c>
      <c r="M2638" s="18" t="s">
        <v>129</v>
      </c>
      <c r="N2638" s="18"/>
      <c r="O2638" s="18" t="s">
        <v>10948</v>
      </c>
      <c r="P2638" s="18"/>
      <c r="Q2638" s="18" t="s">
        <v>138</v>
      </c>
      <c r="R2638" s="18" t="s">
        <v>10949</v>
      </c>
      <c r="S2638" s="18" t="s">
        <v>140</v>
      </c>
      <c r="T2638" s="18" t="s">
        <v>141</v>
      </c>
      <c r="U2638" s="18"/>
      <c r="V2638" s="19" t="s">
        <v>29</v>
      </c>
      <c r="W2638" s="19"/>
      <c r="X2638" s="19"/>
      <c r="Y2638" s="20"/>
      <c r="Z2638" s="19"/>
      <c r="AA2638" s="18" t="str">
        <f aca="false">IF(OR(V2638="Aprobada"),R2638,IF(AND(OR(V2638="Aprobada con ajuste",V2638="Rechazada"),W2638&lt;&gt;""),W2638,""))</f>
        <v/>
      </c>
    </row>
    <row r="2639" customFormat="false" ht="22.35" hidden="false" customHeight="false" outlineLevel="0" collapsed="false">
      <c r="A2639" s="18" t="s">
        <v>10950</v>
      </c>
      <c r="B2639" s="18" t="s">
        <v>78</v>
      </c>
      <c r="C2639" s="18" t="s">
        <v>79</v>
      </c>
      <c r="D2639" s="18" t="s">
        <v>10936</v>
      </c>
      <c r="E2639" s="18" t="n">
        <v>0</v>
      </c>
      <c r="F2639" s="18" t="s">
        <v>1936</v>
      </c>
      <c r="G2639" s="18" t="s">
        <v>1998</v>
      </c>
      <c r="H2639" s="18" t="s">
        <v>129</v>
      </c>
      <c r="I2639" s="18"/>
      <c r="J2639" s="18"/>
      <c r="K2639" s="18"/>
      <c r="L2639" s="18" t="s">
        <v>129</v>
      </c>
      <c r="M2639" s="18" t="s">
        <v>129</v>
      </c>
      <c r="N2639" s="18"/>
      <c r="O2639" s="18"/>
      <c r="P2639" s="18"/>
      <c r="Q2639" s="18" t="s">
        <v>149</v>
      </c>
      <c r="R2639" s="18" t="s">
        <v>10951</v>
      </c>
      <c r="S2639" s="18" t="s">
        <v>140</v>
      </c>
      <c r="T2639" s="18" t="s">
        <v>10952</v>
      </c>
      <c r="U2639" s="18" t="s">
        <v>10953</v>
      </c>
      <c r="V2639" s="19" t="s">
        <v>29</v>
      </c>
      <c r="W2639" s="19"/>
      <c r="X2639" s="19"/>
      <c r="Y2639" s="20"/>
      <c r="Z2639" s="19"/>
      <c r="AA2639" s="18" t="str">
        <f aca="false">IF(OR(V2639="Aprobada"),R2639,IF(AND(OR(V2639="Aprobada con ajuste",V2639="Rechazada"),W2639&lt;&gt;""),W2639,""))</f>
        <v/>
      </c>
    </row>
    <row r="2640" customFormat="false" ht="22.35" hidden="false" customHeight="false" outlineLevel="0" collapsed="false">
      <c r="A2640" s="18" t="s">
        <v>10954</v>
      </c>
      <c r="B2640" s="18" t="s">
        <v>78</v>
      </c>
      <c r="C2640" s="18" t="s">
        <v>79</v>
      </c>
      <c r="D2640" s="18" t="s">
        <v>10936</v>
      </c>
      <c r="E2640" s="18" t="n">
        <v>0</v>
      </c>
      <c r="F2640" s="18" t="s">
        <v>10955</v>
      </c>
      <c r="G2640" s="18" t="s">
        <v>192</v>
      </c>
      <c r="H2640" s="18" t="s">
        <v>129</v>
      </c>
      <c r="I2640" s="18"/>
      <c r="J2640" s="18"/>
      <c r="K2640" s="18"/>
      <c r="L2640" s="18" t="s">
        <v>129</v>
      </c>
      <c r="M2640" s="18" t="s">
        <v>129</v>
      </c>
      <c r="N2640" s="18"/>
      <c r="O2640" s="18"/>
      <c r="P2640" s="18"/>
      <c r="Q2640" s="18" t="s">
        <v>149</v>
      </c>
      <c r="R2640" s="18" t="s">
        <v>10956</v>
      </c>
      <c r="S2640" s="18" t="s">
        <v>140</v>
      </c>
      <c r="T2640" s="18" t="s">
        <v>10957</v>
      </c>
      <c r="U2640" s="18" t="s">
        <v>10958</v>
      </c>
      <c r="V2640" s="19" t="s">
        <v>29</v>
      </c>
      <c r="W2640" s="19"/>
      <c r="X2640" s="19"/>
      <c r="Y2640" s="20"/>
      <c r="Z2640" s="19"/>
      <c r="AA2640" s="18" t="str">
        <f aca="false">IF(OR(V2640="Aprobada"),R2640,IF(AND(OR(V2640="Aprobada con ajuste",V2640="Rechazada"),W2640&lt;&gt;""),W2640,""))</f>
        <v/>
      </c>
    </row>
    <row r="2641" customFormat="false" ht="22.35" hidden="false" customHeight="false" outlineLevel="0" collapsed="false">
      <c r="A2641" s="18" t="s">
        <v>10959</v>
      </c>
      <c r="B2641" s="18" t="s">
        <v>78</v>
      </c>
      <c r="C2641" s="18" t="s">
        <v>79</v>
      </c>
      <c r="D2641" s="18" t="s">
        <v>10936</v>
      </c>
      <c r="E2641" s="18" t="n">
        <v>0</v>
      </c>
      <c r="F2641" s="18" t="s">
        <v>2002</v>
      </c>
      <c r="G2641" s="18" t="s">
        <v>2003</v>
      </c>
      <c r="H2641" s="18" t="s">
        <v>129</v>
      </c>
      <c r="I2641" s="18"/>
      <c r="J2641" s="18"/>
      <c r="K2641" s="18"/>
      <c r="L2641" s="18" t="s">
        <v>129</v>
      </c>
      <c r="M2641" s="18" t="s">
        <v>129</v>
      </c>
      <c r="N2641" s="18"/>
      <c r="O2641" s="18"/>
      <c r="P2641" s="18"/>
      <c r="Q2641" s="18" t="s">
        <v>149</v>
      </c>
      <c r="R2641" s="18" t="s">
        <v>10960</v>
      </c>
      <c r="S2641" s="18" t="s">
        <v>140</v>
      </c>
      <c r="T2641" s="18" t="s">
        <v>10961</v>
      </c>
      <c r="U2641" s="18" t="s">
        <v>10962</v>
      </c>
      <c r="V2641" s="19" t="s">
        <v>29</v>
      </c>
      <c r="W2641" s="19"/>
      <c r="X2641" s="19"/>
      <c r="Y2641" s="20"/>
      <c r="Z2641" s="19"/>
      <c r="AA2641" s="18" t="str">
        <f aca="false">IF(OR(V2641="Aprobada"),R2641,IF(AND(OR(V2641="Aprobada con ajuste",V2641="Rechazada"),W2641&lt;&gt;""),W2641,""))</f>
        <v/>
      </c>
    </row>
    <row r="2642" customFormat="false" ht="22.35" hidden="false" customHeight="false" outlineLevel="0" collapsed="false">
      <c r="A2642" s="18" t="s">
        <v>10963</v>
      </c>
      <c r="B2642" s="18" t="s">
        <v>78</v>
      </c>
      <c r="C2642" s="18" t="s">
        <v>79</v>
      </c>
      <c r="D2642" s="18" t="s">
        <v>10936</v>
      </c>
      <c r="E2642" s="18" t="n">
        <v>0</v>
      </c>
      <c r="F2642" s="18" t="s">
        <v>10964</v>
      </c>
      <c r="G2642" s="18" t="s">
        <v>128</v>
      </c>
      <c r="H2642" s="18" t="s">
        <v>162</v>
      </c>
      <c r="I2642" s="18"/>
      <c r="J2642" s="18"/>
      <c r="K2642" s="18"/>
      <c r="L2642" s="18" t="s">
        <v>129</v>
      </c>
      <c r="M2642" s="18" t="s">
        <v>129</v>
      </c>
      <c r="N2642" s="18"/>
      <c r="O2642" s="18"/>
      <c r="P2642" s="18"/>
      <c r="Q2642" s="18" t="s">
        <v>149</v>
      </c>
      <c r="R2642" s="18" t="s">
        <v>10965</v>
      </c>
      <c r="S2642" s="18" t="s">
        <v>133</v>
      </c>
      <c r="T2642" s="18" t="s">
        <v>2122</v>
      </c>
      <c r="U2642" s="18"/>
      <c r="V2642" s="19" t="s">
        <v>29</v>
      </c>
      <c r="W2642" s="19"/>
      <c r="X2642" s="19"/>
      <c r="Y2642" s="20"/>
      <c r="Z2642" s="19"/>
      <c r="AA2642" s="18" t="str">
        <f aca="false">IF(OR(V2642="Aprobada"),R2642,IF(AND(OR(V2642="Aprobada con ajuste",V2642="Rechazada"),W2642&lt;&gt;""),W2642,""))</f>
        <v/>
      </c>
    </row>
    <row r="2643" customFormat="false" ht="32.8" hidden="false" customHeight="false" outlineLevel="0" collapsed="false">
      <c r="A2643" s="18" t="s">
        <v>10966</v>
      </c>
      <c r="B2643" s="18" t="s">
        <v>78</v>
      </c>
      <c r="C2643" s="18" t="s">
        <v>79</v>
      </c>
      <c r="D2643" s="18" t="s">
        <v>10936</v>
      </c>
      <c r="E2643" s="18" t="n">
        <v>0</v>
      </c>
      <c r="F2643" s="18" t="s">
        <v>10967</v>
      </c>
      <c r="G2643" s="18" t="s">
        <v>584</v>
      </c>
      <c r="H2643" s="18" t="s">
        <v>162</v>
      </c>
      <c r="I2643" s="18"/>
      <c r="J2643" s="18"/>
      <c r="K2643" s="18"/>
      <c r="L2643" s="18" t="s">
        <v>129</v>
      </c>
      <c r="M2643" s="18" t="s">
        <v>129</v>
      </c>
      <c r="N2643" s="18"/>
      <c r="O2643" s="18"/>
      <c r="P2643" s="18" t="s">
        <v>10968</v>
      </c>
      <c r="Q2643" s="18" t="s">
        <v>131</v>
      </c>
      <c r="R2643" s="18" t="s">
        <v>10969</v>
      </c>
      <c r="S2643" s="18" t="s">
        <v>133</v>
      </c>
      <c r="T2643" s="18" t="s">
        <v>10970</v>
      </c>
      <c r="U2643" s="18" t="s">
        <v>10971</v>
      </c>
      <c r="V2643" s="19" t="s">
        <v>29</v>
      </c>
      <c r="W2643" s="19"/>
      <c r="X2643" s="19"/>
      <c r="Y2643" s="20"/>
      <c r="Z2643" s="19"/>
      <c r="AA2643" s="18" t="str">
        <f aca="false">IF(OR(V2643="Aprobada"),R2643,IF(AND(OR(V2643="Aprobada con ajuste",V2643="Rechazada"),W2643&lt;&gt;""),W2643,""))</f>
        <v/>
      </c>
    </row>
    <row r="2644" customFormat="false" ht="22.35" hidden="false" customHeight="false" outlineLevel="0" collapsed="false">
      <c r="A2644" s="18" t="s">
        <v>10972</v>
      </c>
      <c r="B2644" s="18" t="s">
        <v>78</v>
      </c>
      <c r="C2644" s="18" t="s">
        <v>79</v>
      </c>
      <c r="D2644" s="18" t="s">
        <v>10936</v>
      </c>
      <c r="E2644" s="18" t="n">
        <v>0</v>
      </c>
      <c r="F2644" s="18" t="s">
        <v>10973</v>
      </c>
      <c r="G2644" s="18" t="s">
        <v>128</v>
      </c>
      <c r="H2644" s="18" t="s">
        <v>162</v>
      </c>
      <c r="I2644" s="18"/>
      <c r="J2644" s="18"/>
      <c r="K2644" s="18"/>
      <c r="L2644" s="18" t="s">
        <v>129</v>
      </c>
      <c r="M2644" s="18" t="s">
        <v>129</v>
      </c>
      <c r="N2644" s="18"/>
      <c r="O2644" s="18"/>
      <c r="P2644" s="18"/>
      <c r="Q2644" s="18" t="s">
        <v>149</v>
      </c>
      <c r="R2644" s="18" t="s">
        <v>10974</v>
      </c>
      <c r="S2644" s="18" t="s">
        <v>133</v>
      </c>
      <c r="T2644" s="18" t="s">
        <v>10975</v>
      </c>
      <c r="U2644" s="18"/>
      <c r="V2644" s="19" t="s">
        <v>29</v>
      </c>
      <c r="W2644" s="19"/>
      <c r="X2644" s="19"/>
      <c r="Y2644" s="20"/>
      <c r="Z2644" s="19"/>
      <c r="AA2644" s="18" t="str">
        <f aca="false">IF(OR(V2644="Aprobada"),R2644,IF(AND(OR(V2644="Aprobada con ajuste",V2644="Rechazada"),W2644&lt;&gt;""),W2644,""))</f>
        <v/>
      </c>
    </row>
    <row r="2645" customFormat="false" ht="22.35" hidden="false" customHeight="false" outlineLevel="0" collapsed="false">
      <c r="A2645" s="18" t="s">
        <v>10976</v>
      </c>
      <c r="B2645" s="18" t="s">
        <v>78</v>
      </c>
      <c r="C2645" s="18" t="s">
        <v>79</v>
      </c>
      <c r="D2645" s="18" t="s">
        <v>10936</v>
      </c>
      <c r="E2645" s="18" t="n">
        <v>0</v>
      </c>
      <c r="F2645" s="18" t="s">
        <v>10977</v>
      </c>
      <c r="G2645" s="18" t="s">
        <v>288</v>
      </c>
      <c r="H2645" s="18" t="s">
        <v>162</v>
      </c>
      <c r="I2645" s="18"/>
      <c r="J2645" s="18"/>
      <c r="K2645" s="18"/>
      <c r="L2645" s="18" t="s">
        <v>129</v>
      </c>
      <c r="M2645" s="18" t="s">
        <v>129</v>
      </c>
      <c r="N2645" s="18"/>
      <c r="O2645" s="18"/>
      <c r="P2645" s="18"/>
      <c r="Q2645" s="18" t="s">
        <v>149</v>
      </c>
      <c r="R2645" s="18" t="s">
        <v>10978</v>
      </c>
      <c r="S2645" s="18" t="s">
        <v>242</v>
      </c>
      <c r="T2645" s="18" t="s">
        <v>10979</v>
      </c>
      <c r="U2645" s="18" t="s">
        <v>10980</v>
      </c>
      <c r="V2645" s="19" t="s">
        <v>29</v>
      </c>
      <c r="W2645" s="19"/>
      <c r="X2645" s="19"/>
      <c r="Y2645" s="20"/>
      <c r="Z2645" s="19"/>
      <c r="AA2645" s="18" t="str">
        <f aca="false">IF(OR(V2645="Aprobada"),R2645,IF(AND(OR(V2645="Aprobada con ajuste",V2645="Rechazada"),W2645&lt;&gt;""),W2645,""))</f>
        <v/>
      </c>
    </row>
    <row r="2646" customFormat="false" ht="22.35" hidden="false" customHeight="false" outlineLevel="0" collapsed="false">
      <c r="A2646" s="18" t="s">
        <v>10981</v>
      </c>
      <c r="B2646" s="18" t="s">
        <v>78</v>
      </c>
      <c r="C2646" s="18" t="s">
        <v>79</v>
      </c>
      <c r="D2646" s="18" t="s">
        <v>10982</v>
      </c>
      <c r="E2646" s="18" t="n">
        <v>0</v>
      </c>
      <c r="F2646" s="18" t="s">
        <v>4263</v>
      </c>
      <c r="G2646" s="18" t="s">
        <v>205</v>
      </c>
      <c r="H2646" s="18" t="s">
        <v>129</v>
      </c>
      <c r="I2646" s="18" t="s">
        <v>298</v>
      </c>
      <c r="J2646" s="18" t="s">
        <v>10983</v>
      </c>
      <c r="K2646" s="18"/>
      <c r="L2646" s="18" t="s">
        <v>162</v>
      </c>
      <c r="M2646" s="18" t="s">
        <v>129</v>
      </c>
      <c r="N2646" s="18"/>
      <c r="O2646" s="18"/>
      <c r="P2646" s="18"/>
      <c r="Q2646" s="18" t="s">
        <v>149</v>
      </c>
      <c r="R2646" s="18" t="s">
        <v>10984</v>
      </c>
      <c r="S2646" s="18" t="s">
        <v>133</v>
      </c>
      <c r="T2646" s="18" t="s">
        <v>801</v>
      </c>
      <c r="U2646" s="18"/>
      <c r="V2646" s="19" t="s">
        <v>29</v>
      </c>
      <c r="W2646" s="19"/>
      <c r="X2646" s="19"/>
      <c r="Y2646" s="20"/>
      <c r="Z2646" s="19"/>
      <c r="AA2646" s="18" t="str">
        <f aca="false">IF(OR(V2646="Aprobada"),R2646,IF(AND(OR(V2646="Aprobada con ajuste",V2646="Rechazada"),W2646&lt;&gt;""),W2646,""))</f>
        <v/>
      </c>
    </row>
    <row r="2647" customFormat="false" ht="22.35" hidden="false" customHeight="false" outlineLevel="0" collapsed="false">
      <c r="A2647" s="18" t="s">
        <v>10985</v>
      </c>
      <c r="B2647" s="18" t="s">
        <v>78</v>
      </c>
      <c r="C2647" s="18" t="s">
        <v>79</v>
      </c>
      <c r="D2647" s="18" t="s">
        <v>10982</v>
      </c>
      <c r="E2647" s="18" t="n">
        <v>0</v>
      </c>
      <c r="F2647" s="18" t="s">
        <v>10101</v>
      </c>
      <c r="G2647" s="18" t="s">
        <v>312</v>
      </c>
      <c r="H2647" s="18" t="s">
        <v>129</v>
      </c>
      <c r="I2647" s="18"/>
      <c r="J2647" s="18"/>
      <c r="K2647" s="18"/>
      <c r="L2647" s="18" t="s">
        <v>129</v>
      </c>
      <c r="M2647" s="18" t="s">
        <v>129</v>
      </c>
      <c r="N2647" s="18"/>
      <c r="O2647" s="18"/>
      <c r="P2647" s="18"/>
      <c r="Q2647" s="18" t="s">
        <v>149</v>
      </c>
      <c r="R2647" s="18" t="s">
        <v>10986</v>
      </c>
      <c r="S2647" s="18" t="s">
        <v>133</v>
      </c>
      <c r="T2647" s="18" t="s">
        <v>10987</v>
      </c>
      <c r="U2647" s="18"/>
      <c r="V2647" s="19" t="s">
        <v>29</v>
      </c>
      <c r="W2647" s="19"/>
      <c r="X2647" s="19"/>
      <c r="Y2647" s="20"/>
      <c r="Z2647" s="19"/>
      <c r="AA2647" s="18" t="str">
        <f aca="false">IF(OR(V2647="Aprobada"),R2647,IF(AND(OR(V2647="Aprobada con ajuste",V2647="Rechazada"),W2647&lt;&gt;""),W2647,""))</f>
        <v/>
      </c>
    </row>
    <row r="2648" customFormat="false" ht="22.35" hidden="false" customHeight="false" outlineLevel="0" collapsed="false">
      <c r="A2648" s="18" t="s">
        <v>10988</v>
      </c>
      <c r="B2648" s="18" t="s">
        <v>78</v>
      </c>
      <c r="C2648" s="18" t="s">
        <v>79</v>
      </c>
      <c r="D2648" s="18" t="s">
        <v>10982</v>
      </c>
      <c r="E2648" s="18" t="n">
        <v>0</v>
      </c>
      <c r="F2648" s="18" t="s">
        <v>10989</v>
      </c>
      <c r="G2648" s="18" t="s">
        <v>584</v>
      </c>
      <c r="H2648" s="18" t="s">
        <v>129</v>
      </c>
      <c r="I2648" s="18"/>
      <c r="J2648" s="18"/>
      <c r="K2648" s="18"/>
      <c r="L2648" s="18" t="s">
        <v>129</v>
      </c>
      <c r="M2648" s="18" t="s">
        <v>129</v>
      </c>
      <c r="N2648" s="18"/>
      <c r="O2648" s="18"/>
      <c r="P2648" s="18"/>
      <c r="Q2648" s="18" t="s">
        <v>138</v>
      </c>
      <c r="R2648" s="18" t="s">
        <v>10990</v>
      </c>
      <c r="S2648" s="18" t="s">
        <v>140</v>
      </c>
      <c r="T2648" s="18" t="s">
        <v>141</v>
      </c>
      <c r="U2648" s="18"/>
      <c r="V2648" s="19" t="s">
        <v>29</v>
      </c>
      <c r="W2648" s="19"/>
      <c r="X2648" s="19"/>
      <c r="Y2648" s="20"/>
      <c r="Z2648" s="19"/>
      <c r="AA2648" s="18" t="str">
        <f aca="false">IF(OR(V2648="Aprobada"),R2648,IF(AND(OR(V2648="Aprobada con ajuste",V2648="Rechazada"),W2648&lt;&gt;""),W2648,""))</f>
        <v/>
      </c>
    </row>
    <row r="2649" customFormat="false" ht="22.35" hidden="false" customHeight="false" outlineLevel="0" collapsed="false">
      <c r="A2649" s="18" t="s">
        <v>10991</v>
      </c>
      <c r="B2649" s="18" t="s">
        <v>78</v>
      </c>
      <c r="C2649" s="18" t="s">
        <v>79</v>
      </c>
      <c r="D2649" s="18" t="s">
        <v>10982</v>
      </c>
      <c r="E2649" s="18" t="n">
        <v>0</v>
      </c>
      <c r="F2649" s="18" t="s">
        <v>10992</v>
      </c>
      <c r="G2649" s="18" t="s">
        <v>828</v>
      </c>
      <c r="H2649" s="18" t="s">
        <v>129</v>
      </c>
      <c r="I2649" s="18" t="s">
        <v>298</v>
      </c>
      <c r="J2649" s="18" t="s">
        <v>10993</v>
      </c>
      <c r="K2649" s="18"/>
      <c r="L2649" s="18" t="s">
        <v>162</v>
      </c>
      <c r="M2649" s="18" t="s">
        <v>129</v>
      </c>
      <c r="N2649" s="18"/>
      <c r="O2649" s="18"/>
      <c r="P2649" s="18"/>
      <c r="Q2649" s="18" t="s">
        <v>149</v>
      </c>
      <c r="R2649" s="18" t="s">
        <v>10994</v>
      </c>
      <c r="S2649" s="18" t="s">
        <v>133</v>
      </c>
      <c r="T2649" s="18" t="s">
        <v>10995</v>
      </c>
      <c r="U2649" s="18"/>
      <c r="V2649" s="19" t="s">
        <v>29</v>
      </c>
      <c r="W2649" s="19"/>
      <c r="X2649" s="19"/>
      <c r="Y2649" s="20"/>
      <c r="Z2649" s="19"/>
      <c r="AA2649" s="18" t="str">
        <f aca="false">IF(OR(V2649="Aprobada"),R2649,IF(AND(OR(V2649="Aprobada con ajuste",V2649="Rechazada"),W2649&lt;&gt;""),W2649,""))</f>
        <v/>
      </c>
    </row>
    <row r="2650" customFormat="false" ht="32.8" hidden="false" customHeight="false" outlineLevel="0" collapsed="false">
      <c r="A2650" s="18" t="s">
        <v>10996</v>
      </c>
      <c r="B2650" s="18" t="s">
        <v>78</v>
      </c>
      <c r="C2650" s="18" t="s">
        <v>79</v>
      </c>
      <c r="D2650" s="18" t="s">
        <v>10982</v>
      </c>
      <c r="E2650" s="18" t="n">
        <v>0</v>
      </c>
      <c r="F2650" s="18" t="s">
        <v>2002</v>
      </c>
      <c r="G2650" s="18" t="s">
        <v>2003</v>
      </c>
      <c r="H2650" s="18" t="s">
        <v>129</v>
      </c>
      <c r="I2650" s="18"/>
      <c r="J2650" s="18"/>
      <c r="K2650" s="18"/>
      <c r="L2650" s="18" t="s">
        <v>129</v>
      </c>
      <c r="M2650" s="18" t="s">
        <v>129</v>
      </c>
      <c r="N2650" s="18"/>
      <c r="O2650" s="18"/>
      <c r="P2650" s="18"/>
      <c r="Q2650" s="18" t="s">
        <v>149</v>
      </c>
      <c r="R2650" s="18" t="s">
        <v>10997</v>
      </c>
      <c r="S2650" s="18" t="s">
        <v>140</v>
      </c>
      <c r="T2650" s="18" t="s">
        <v>10961</v>
      </c>
      <c r="U2650" s="18" t="s">
        <v>10998</v>
      </c>
      <c r="V2650" s="19" t="s">
        <v>29</v>
      </c>
      <c r="W2650" s="19"/>
      <c r="X2650" s="19"/>
      <c r="Y2650" s="20"/>
      <c r="Z2650" s="19"/>
      <c r="AA2650" s="18" t="str">
        <f aca="false">IF(OR(V2650="Aprobada"),R2650,IF(AND(OR(V2650="Aprobada con ajuste",V2650="Rechazada"),W2650&lt;&gt;""),W2650,""))</f>
        <v/>
      </c>
    </row>
    <row r="2651" customFormat="false" ht="43.25" hidden="false" customHeight="false" outlineLevel="0" collapsed="false">
      <c r="A2651" s="18" t="s">
        <v>10999</v>
      </c>
      <c r="B2651" s="18" t="s">
        <v>78</v>
      </c>
      <c r="C2651" s="18" t="s">
        <v>79</v>
      </c>
      <c r="D2651" s="18" t="s">
        <v>10982</v>
      </c>
      <c r="E2651" s="18" t="n">
        <v>0</v>
      </c>
      <c r="F2651" s="18" t="s">
        <v>11000</v>
      </c>
      <c r="G2651" s="18" t="s">
        <v>11001</v>
      </c>
      <c r="H2651" s="18" t="s">
        <v>129</v>
      </c>
      <c r="I2651" s="18"/>
      <c r="J2651" s="18"/>
      <c r="K2651" s="18"/>
      <c r="L2651" s="18" t="s">
        <v>129</v>
      </c>
      <c r="M2651" s="18" t="s">
        <v>129</v>
      </c>
      <c r="N2651" s="18"/>
      <c r="O2651" s="18"/>
      <c r="P2651" s="18" t="s">
        <v>11002</v>
      </c>
      <c r="Q2651" s="18" t="s">
        <v>131</v>
      </c>
      <c r="R2651" s="18" t="s">
        <v>11003</v>
      </c>
      <c r="S2651" s="18" t="s">
        <v>133</v>
      </c>
      <c r="T2651" s="18" t="s">
        <v>11004</v>
      </c>
      <c r="U2651" s="18"/>
      <c r="V2651" s="19" t="s">
        <v>29</v>
      </c>
      <c r="W2651" s="19"/>
      <c r="X2651" s="19"/>
      <c r="Y2651" s="20"/>
      <c r="Z2651" s="19"/>
      <c r="AA2651" s="18" t="str">
        <f aca="false">IF(OR(V2651="Aprobada"),R2651,IF(AND(OR(V2651="Aprobada con ajuste",V2651="Rechazada"),W2651&lt;&gt;""),W2651,""))</f>
        <v/>
      </c>
    </row>
    <row r="2652" customFormat="false" ht="22.35" hidden="false" customHeight="false" outlineLevel="0" collapsed="false">
      <c r="A2652" s="18" t="s">
        <v>11005</v>
      </c>
      <c r="B2652" s="18" t="s">
        <v>78</v>
      </c>
      <c r="C2652" s="18" t="s">
        <v>79</v>
      </c>
      <c r="D2652" s="18" t="s">
        <v>11006</v>
      </c>
      <c r="E2652" s="18" t="n">
        <v>0</v>
      </c>
      <c r="F2652" s="18" t="s">
        <v>1744</v>
      </c>
      <c r="G2652" s="18" t="s">
        <v>205</v>
      </c>
      <c r="H2652" s="18" t="s">
        <v>129</v>
      </c>
      <c r="I2652" s="18"/>
      <c r="J2652" s="18"/>
      <c r="K2652" s="18"/>
      <c r="L2652" s="18" t="s">
        <v>129</v>
      </c>
      <c r="M2652" s="18" t="s">
        <v>129</v>
      </c>
      <c r="N2652" s="18"/>
      <c r="O2652" s="18"/>
      <c r="P2652" s="18"/>
      <c r="Q2652" s="18" t="s">
        <v>149</v>
      </c>
      <c r="R2652" s="18" t="s">
        <v>11007</v>
      </c>
      <c r="S2652" s="18" t="s">
        <v>140</v>
      </c>
      <c r="T2652" s="18" t="s">
        <v>11008</v>
      </c>
      <c r="U2652" s="18" t="s">
        <v>11009</v>
      </c>
      <c r="V2652" s="19" t="s">
        <v>29</v>
      </c>
      <c r="W2652" s="19"/>
      <c r="X2652" s="19"/>
      <c r="Y2652" s="20"/>
      <c r="Z2652" s="19"/>
      <c r="AA2652" s="18" t="str">
        <f aca="false">IF(OR(V2652="Aprobada"),R2652,IF(AND(OR(V2652="Aprobada con ajuste",V2652="Rechazada"),W2652&lt;&gt;""),W2652,""))</f>
        <v/>
      </c>
    </row>
    <row r="2653" customFormat="false" ht="22.35" hidden="false" customHeight="false" outlineLevel="0" collapsed="false">
      <c r="A2653" s="18" t="s">
        <v>11010</v>
      </c>
      <c r="B2653" s="18" t="s">
        <v>78</v>
      </c>
      <c r="C2653" s="18" t="s">
        <v>79</v>
      </c>
      <c r="D2653" s="18" t="s">
        <v>11006</v>
      </c>
      <c r="E2653" s="18" t="n">
        <v>0</v>
      </c>
      <c r="F2653" s="18" t="s">
        <v>5530</v>
      </c>
      <c r="G2653" s="18" t="s">
        <v>205</v>
      </c>
      <c r="H2653" s="18" t="s">
        <v>162</v>
      </c>
      <c r="I2653" s="18"/>
      <c r="J2653" s="18"/>
      <c r="K2653" s="18"/>
      <c r="L2653" s="18" t="s">
        <v>129</v>
      </c>
      <c r="M2653" s="18" t="s">
        <v>129</v>
      </c>
      <c r="N2653" s="18"/>
      <c r="O2653" s="18"/>
      <c r="P2653" s="18"/>
      <c r="Q2653" s="18" t="s">
        <v>149</v>
      </c>
      <c r="R2653" s="18" t="s">
        <v>11011</v>
      </c>
      <c r="S2653" s="18" t="s">
        <v>133</v>
      </c>
      <c r="T2653" s="18" t="s">
        <v>11012</v>
      </c>
      <c r="U2653" s="18"/>
      <c r="V2653" s="19" t="s">
        <v>29</v>
      </c>
      <c r="W2653" s="19"/>
      <c r="X2653" s="19"/>
      <c r="Y2653" s="20"/>
      <c r="Z2653" s="19"/>
      <c r="AA2653" s="18" t="str">
        <f aca="false">IF(OR(V2653="Aprobada"),R2653,IF(AND(OR(V2653="Aprobada con ajuste",V2653="Rechazada"),W2653&lt;&gt;""),W2653,""))</f>
        <v/>
      </c>
    </row>
    <row r="2654" customFormat="false" ht="22.35" hidden="false" customHeight="false" outlineLevel="0" collapsed="false">
      <c r="A2654" s="18" t="s">
        <v>11013</v>
      </c>
      <c r="B2654" s="18" t="s">
        <v>78</v>
      </c>
      <c r="C2654" s="18" t="s">
        <v>79</v>
      </c>
      <c r="D2654" s="18" t="s">
        <v>11006</v>
      </c>
      <c r="E2654" s="18" t="n">
        <v>0</v>
      </c>
      <c r="F2654" s="18" t="s">
        <v>5533</v>
      </c>
      <c r="G2654" s="18" t="s">
        <v>205</v>
      </c>
      <c r="H2654" s="18" t="s">
        <v>129</v>
      </c>
      <c r="I2654" s="18"/>
      <c r="J2654" s="18"/>
      <c r="K2654" s="18"/>
      <c r="L2654" s="18" t="s">
        <v>129</v>
      </c>
      <c r="M2654" s="18" t="s">
        <v>129</v>
      </c>
      <c r="N2654" s="18"/>
      <c r="O2654" s="18"/>
      <c r="P2654" s="18"/>
      <c r="Q2654" s="18" t="s">
        <v>149</v>
      </c>
      <c r="R2654" s="18" t="s">
        <v>11014</v>
      </c>
      <c r="S2654" s="18" t="s">
        <v>133</v>
      </c>
      <c r="T2654" s="18" t="s">
        <v>11015</v>
      </c>
      <c r="U2654" s="18"/>
      <c r="V2654" s="19" t="s">
        <v>29</v>
      </c>
      <c r="W2654" s="19"/>
      <c r="X2654" s="19"/>
      <c r="Y2654" s="20"/>
      <c r="Z2654" s="19"/>
      <c r="AA2654" s="18" t="str">
        <f aca="false">IF(OR(V2654="Aprobada"),R2654,IF(AND(OR(V2654="Aprobada con ajuste",V2654="Rechazada"),W2654&lt;&gt;""),W2654,""))</f>
        <v/>
      </c>
    </row>
    <row r="2655" customFormat="false" ht="22.35" hidden="false" customHeight="false" outlineLevel="0" collapsed="false">
      <c r="A2655" s="18" t="s">
        <v>11016</v>
      </c>
      <c r="B2655" s="18" t="s">
        <v>78</v>
      </c>
      <c r="C2655" s="18" t="s">
        <v>79</v>
      </c>
      <c r="D2655" s="18" t="s">
        <v>11006</v>
      </c>
      <c r="E2655" s="18" t="n">
        <v>0</v>
      </c>
      <c r="F2655" s="18" t="s">
        <v>10101</v>
      </c>
      <c r="G2655" s="18" t="s">
        <v>312</v>
      </c>
      <c r="H2655" s="18" t="s">
        <v>129</v>
      </c>
      <c r="I2655" s="18"/>
      <c r="J2655" s="18"/>
      <c r="K2655" s="18"/>
      <c r="L2655" s="18" t="s">
        <v>129</v>
      </c>
      <c r="M2655" s="18" t="s">
        <v>129</v>
      </c>
      <c r="N2655" s="18"/>
      <c r="O2655" s="18"/>
      <c r="P2655" s="18"/>
      <c r="Q2655" s="18" t="s">
        <v>149</v>
      </c>
      <c r="R2655" s="18" t="s">
        <v>1735</v>
      </c>
      <c r="S2655" s="18" t="s">
        <v>133</v>
      </c>
      <c r="T2655" s="18" t="s">
        <v>11017</v>
      </c>
      <c r="U2655" s="18"/>
      <c r="V2655" s="19" t="s">
        <v>29</v>
      </c>
      <c r="W2655" s="19"/>
      <c r="X2655" s="19"/>
      <c r="Y2655" s="20"/>
      <c r="Z2655" s="19"/>
      <c r="AA2655" s="18" t="str">
        <f aca="false">IF(OR(V2655="Aprobada"),R2655,IF(AND(OR(V2655="Aprobada con ajuste",V2655="Rechazada"),W2655&lt;&gt;""),W2655,""))</f>
        <v/>
      </c>
    </row>
    <row r="2656" customFormat="false" ht="22.35" hidden="false" customHeight="false" outlineLevel="0" collapsed="false">
      <c r="A2656" s="18" t="s">
        <v>11018</v>
      </c>
      <c r="B2656" s="18" t="s">
        <v>78</v>
      </c>
      <c r="C2656" s="18" t="s">
        <v>79</v>
      </c>
      <c r="D2656" s="18" t="s">
        <v>11006</v>
      </c>
      <c r="E2656" s="18" t="n">
        <v>0</v>
      </c>
      <c r="F2656" s="18" t="s">
        <v>10964</v>
      </c>
      <c r="G2656" s="18" t="s">
        <v>128</v>
      </c>
      <c r="H2656" s="18" t="s">
        <v>162</v>
      </c>
      <c r="I2656" s="18"/>
      <c r="J2656" s="18"/>
      <c r="K2656" s="18"/>
      <c r="L2656" s="18" t="s">
        <v>129</v>
      </c>
      <c r="M2656" s="18" t="s">
        <v>129</v>
      </c>
      <c r="N2656" s="18"/>
      <c r="O2656" s="18"/>
      <c r="P2656" s="18"/>
      <c r="Q2656" s="18" t="s">
        <v>149</v>
      </c>
      <c r="R2656" s="18" t="s">
        <v>11019</v>
      </c>
      <c r="S2656" s="18" t="s">
        <v>133</v>
      </c>
      <c r="T2656" s="18" t="s">
        <v>2122</v>
      </c>
      <c r="U2656" s="18"/>
      <c r="V2656" s="19" t="s">
        <v>29</v>
      </c>
      <c r="W2656" s="19"/>
      <c r="X2656" s="19"/>
      <c r="Y2656" s="20"/>
      <c r="Z2656" s="19"/>
      <c r="AA2656" s="18" t="str">
        <f aca="false">IF(OR(V2656="Aprobada"),R2656,IF(AND(OR(V2656="Aprobada con ajuste",V2656="Rechazada"),W2656&lt;&gt;""),W2656,""))</f>
        <v/>
      </c>
    </row>
    <row r="2657" customFormat="false" ht="22.35" hidden="false" customHeight="false" outlineLevel="0" collapsed="false">
      <c r="A2657" s="18" t="s">
        <v>11020</v>
      </c>
      <c r="B2657" s="18" t="s">
        <v>78</v>
      </c>
      <c r="C2657" s="18" t="s">
        <v>79</v>
      </c>
      <c r="D2657" s="18" t="s">
        <v>11006</v>
      </c>
      <c r="E2657" s="18" t="n">
        <v>0</v>
      </c>
      <c r="F2657" s="18" t="s">
        <v>11021</v>
      </c>
      <c r="G2657" s="18" t="s">
        <v>584</v>
      </c>
      <c r="H2657" s="18" t="s">
        <v>129</v>
      </c>
      <c r="I2657" s="18"/>
      <c r="J2657" s="18"/>
      <c r="K2657" s="18"/>
      <c r="L2657" s="18" t="s">
        <v>129</v>
      </c>
      <c r="M2657" s="18" t="s">
        <v>129</v>
      </c>
      <c r="N2657" s="18"/>
      <c r="O2657" s="18"/>
      <c r="P2657" s="18"/>
      <c r="Q2657" s="18" t="s">
        <v>149</v>
      </c>
      <c r="R2657" s="18" t="s">
        <v>11022</v>
      </c>
      <c r="S2657" s="18" t="s">
        <v>133</v>
      </c>
      <c r="T2657" s="18" t="s">
        <v>3267</v>
      </c>
      <c r="U2657" s="18"/>
      <c r="V2657" s="19" t="s">
        <v>29</v>
      </c>
      <c r="W2657" s="19"/>
      <c r="X2657" s="19"/>
      <c r="Y2657" s="20"/>
      <c r="Z2657" s="19"/>
      <c r="AA2657" s="18" t="str">
        <f aca="false">IF(OR(V2657="Aprobada"),R2657,IF(AND(OR(V2657="Aprobada con ajuste",V2657="Rechazada"),W2657&lt;&gt;""),W2657,""))</f>
        <v/>
      </c>
    </row>
    <row r="2658" customFormat="false" ht="22.35" hidden="false" customHeight="false" outlineLevel="0" collapsed="false">
      <c r="A2658" s="18" t="s">
        <v>11023</v>
      </c>
      <c r="B2658" s="18" t="s">
        <v>78</v>
      </c>
      <c r="C2658" s="18" t="s">
        <v>79</v>
      </c>
      <c r="D2658" s="18" t="s">
        <v>11024</v>
      </c>
      <c r="E2658" s="18" t="n">
        <v>0</v>
      </c>
      <c r="F2658" s="18" t="s">
        <v>10101</v>
      </c>
      <c r="G2658" s="18" t="s">
        <v>312</v>
      </c>
      <c r="H2658" s="18" t="s">
        <v>129</v>
      </c>
      <c r="I2658" s="18"/>
      <c r="J2658" s="18"/>
      <c r="K2658" s="18"/>
      <c r="L2658" s="18" t="s">
        <v>129</v>
      </c>
      <c r="M2658" s="18" t="s">
        <v>129</v>
      </c>
      <c r="N2658" s="18"/>
      <c r="O2658" s="18"/>
      <c r="P2658" s="18"/>
      <c r="Q2658" s="18" t="s">
        <v>149</v>
      </c>
      <c r="R2658" s="18" t="s">
        <v>11025</v>
      </c>
      <c r="S2658" s="18" t="s">
        <v>133</v>
      </c>
      <c r="T2658" s="18" t="s">
        <v>11026</v>
      </c>
      <c r="U2658" s="18"/>
      <c r="V2658" s="19" t="s">
        <v>29</v>
      </c>
      <c r="W2658" s="19"/>
      <c r="X2658" s="19"/>
      <c r="Y2658" s="20"/>
      <c r="Z2658" s="19"/>
      <c r="AA2658" s="18" t="str">
        <f aca="false">IF(OR(V2658="Aprobada"),R2658,IF(AND(OR(V2658="Aprobada con ajuste",V2658="Rechazada"),W2658&lt;&gt;""),W2658,""))</f>
        <v/>
      </c>
    </row>
    <row r="2659" customFormat="false" ht="22.35" hidden="false" customHeight="false" outlineLevel="0" collapsed="false">
      <c r="A2659" s="18" t="s">
        <v>11027</v>
      </c>
      <c r="B2659" s="18" t="s">
        <v>78</v>
      </c>
      <c r="C2659" s="18" t="s">
        <v>79</v>
      </c>
      <c r="D2659" s="18" t="s">
        <v>11024</v>
      </c>
      <c r="E2659" s="18" t="n">
        <v>0</v>
      </c>
      <c r="F2659" s="18" t="s">
        <v>3315</v>
      </c>
      <c r="G2659" s="18" t="s">
        <v>584</v>
      </c>
      <c r="H2659" s="18" t="s">
        <v>129</v>
      </c>
      <c r="I2659" s="18"/>
      <c r="J2659" s="18"/>
      <c r="K2659" s="18"/>
      <c r="L2659" s="18" t="s">
        <v>129</v>
      </c>
      <c r="M2659" s="18" t="s">
        <v>129</v>
      </c>
      <c r="N2659" s="18"/>
      <c r="O2659" s="18"/>
      <c r="P2659" s="18"/>
      <c r="Q2659" s="18" t="s">
        <v>138</v>
      </c>
      <c r="R2659" s="18" t="s">
        <v>1324</v>
      </c>
      <c r="S2659" s="18" t="s">
        <v>140</v>
      </c>
      <c r="T2659" s="18" t="s">
        <v>141</v>
      </c>
      <c r="U2659" s="18"/>
      <c r="V2659" s="19" t="s">
        <v>29</v>
      </c>
      <c r="W2659" s="19"/>
      <c r="X2659" s="19"/>
      <c r="Y2659" s="20"/>
      <c r="Z2659" s="19"/>
      <c r="AA2659" s="18" t="str">
        <f aca="false">IF(OR(V2659="Aprobada"),R2659,IF(AND(OR(V2659="Aprobada con ajuste",V2659="Rechazada"),W2659&lt;&gt;""),W2659,""))</f>
        <v/>
      </c>
    </row>
    <row r="2660" customFormat="false" ht="64.15" hidden="false" customHeight="false" outlineLevel="0" collapsed="false">
      <c r="A2660" s="18" t="s">
        <v>11028</v>
      </c>
      <c r="B2660" s="18" t="s">
        <v>78</v>
      </c>
      <c r="C2660" s="18" t="s">
        <v>79</v>
      </c>
      <c r="D2660" s="18" t="s">
        <v>11029</v>
      </c>
      <c r="E2660" s="18" t="n">
        <v>5</v>
      </c>
      <c r="F2660" s="18" t="s">
        <v>11030</v>
      </c>
      <c r="G2660" s="18" t="s">
        <v>828</v>
      </c>
      <c r="H2660" s="18" t="s">
        <v>162</v>
      </c>
      <c r="I2660" s="18"/>
      <c r="J2660" s="18"/>
      <c r="K2660" s="18"/>
      <c r="L2660" s="18" t="s">
        <v>129</v>
      </c>
      <c r="M2660" s="18" t="s">
        <v>162</v>
      </c>
      <c r="N2660" s="18" t="s">
        <v>11031</v>
      </c>
      <c r="O2660" s="18"/>
      <c r="P2660" s="18"/>
      <c r="Q2660" s="18" t="s">
        <v>149</v>
      </c>
      <c r="R2660" s="18" t="s">
        <v>11032</v>
      </c>
      <c r="S2660" s="18" t="s">
        <v>133</v>
      </c>
      <c r="T2660" s="18" t="s">
        <v>11033</v>
      </c>
      <c r="U2660" s="18"/>
      <c r="V2660" s="19" t="s">
        <v>29</v>
      </c>
      <c r="W2660" s="19"/>
      <c r="X2660" s="19"/>
      <c r="Y2660" s="20"/>
      <c r="Z2660" s="19"/>
      <c r="AA2660" s="18" t="str">
        <f aca="false">IF(OR(V2660="Aprobada"),R2660,IF(AND(OR(V2660="Aprobada con ajuste",V2660="Rechazada"),W2660&lt;&gt;""),W2660,""))</f>
        <v/>
      </c>
    </row>
    <row r="2661" customFormat="false" ht="53.7" hidden="false" customHeight="false" outlineLevel="0" collapsed="false">
      <c r="A2661" s="18" t="s">
        <v>11034</v>
      </c>
      <c r="B2661" s="18" t="s">
        <v>78</v>
      </c>
      <c r="C2661" s="18" t="s">
        <v>79</v>
      </c>
      <c r="D2661" s="18" t="s">
        <v>11029</v>
      </c>
      <c r="E2661" s="18" t="n">
        <v>5</v>
      </c>
      <c r="F2661" s="18" t="s">
        <v>11035</v>
      </c>
      <c r="G2661" s="18" t="s">
        <v>186</v>
      </c>
      <c r="H2661" s="18" t="s">
        <v>129</v>
      </c>
      <c r="I2661" s="18" t="s">
        <v>298</v>
      </c>
      <c r="J2661" s="18" t="s">
        <v>11036</v>
      </c>
      <c r="K2661" s="18"/>
      <c r="L2661" s="18" t="s">
        <v>162</v>
      </c>
      <c r="M2661" s="18" t="s">
        <v>162</v>
      </c>
      <c r="N2661" s="18" t="s">
        <v>11037</v>
      </c>
      <c r="O2661" s="18"/>
      <c r="P2661" s="18"/>
      <c r="Q2661" s="18" t="s">
        <v>149</v>
      </c>
      <c r="R2661" s="18" t="s">
        <v>11038</v>
      </c>
      <c r="S2661" s="18" t="s">
        <v>133</v>
      </c>
      <c r="T2661" s="18" t="s">
        <v>11039</v>
      </c>
      <c r="U2661" s="18"/>
      <c r="V2661" s="19" t="s">
        <v>29</v>
      </c>
      <c r="W2661" s="19"/>
      <c r="X2661" s="19"/>
      <c r="Y2661" s="20"/>
      <c r="Z2661" s="19"/>
      <c r="AA2661" s="18" t="str">
        <f aca="false">IF(OR(V2661="Aprobada"),R2661,IF(AND(OR(V2661="Aprobada con ajuste",V2661="Rechazada"),W2661&lt;&gt;""),W2661,""))</f>
        <v/>
      </c>
    </row>
    <row r="2662" customFormat="false" ht="22.35" hidden="false" customHeight="false" outlineLevel="0" collapsed="false">
      <c r="A2662" s="18" t="s">
        <v>11040</v>
      </c>
      <c r="B2662" s="18" t="s">
        <v>78</v>
      </c>
      <c r="C2662" s="18" t="s">
        <v>79</v>
      </c>
      <c r="D2662" s="18" t="s">
        <v>11029</v>
      </c>
      <c r="E2662" s="18" t="n">
        <v>5</v>
      </c>
      <c r="F2662" s="18" t="s">
        <v>3036</v>
      </c>
      <c r="G2662" s="18" t="s">
        <v>128</v>
      </c>
      <c r="H2662" s="18" t="s">
        <v>129</v>
      </c>
      <c r="I2662" s="18"/>
      <c r="J2662" s="18"/>
      <c r="K2662" s="18"/>
      <c r="L2662" s="18" t="s">
        <v>129</v>
      </c>
      <c r="M2662" s="18" t="s">
        <v>129</v>
      </c>
      <c r="N2662" s="18"/>
      <c r="O2662" s="18"/>
      <c r="P2662" s="18"/>
      <c r="Q2662" s="18" t="s">
        <v>149</v>
      </c>
      <c r="R2662" s="18" t="s">
        <v>11041</v>
      </c>
      <c r="S2662" s="18" t="s">
        <v>133</v>
      </c>
      <c r="T2662" s="18" t="s">
        <v>3185</v>
      </c>
      <c r="U2662" s="18"/>
      <c r="V2662" s="19" t="s">
        <v>29</v>
      </c>
      <c r="W2662" s="19"/>
      <c r="X2662" s="19"/>
      <c r="Y2662" s="20"/>
      <c r="Z2662" s="19"/>
      <c r="AA2662" s="18" t="str">
        <f aca="false">IF(OR(V2662="Aprobada"),R2662,IF(AND(OR(V2662="Aprobada con ajuste",V2662="Rechazada"),W2662&lt;&gt;""),W2662,""))</f>
        <v/>
      </c>
    </row>
    <row r="2663" customFormat="false" ht="43.25" hidden="false" customHeight="false" outlineLevel="0" collapsed="false">
      <c r="A2663" s="18" t="s">
        <v>11042</v>
      </c>
      <c r="B2663" s="18" t="s">
        <v>78</v>
      </c>
      <c r="C2663" s="18" t="s">
        <v>79</v>
      </c>
      <c r="D2663" s="18" t="s">
        <v>11043</v>
      </c>
      <c r="E2663" s="18" t="n">
        <v>5</v>
      </c>
      <c r="F2663" s="18" t="s">
        <v>11044</v>
      </c>
      <c r="G2663" s="18" t="s">
        <v>312</v>
      </c>
      <c r="H2663" s="18" t="s">
        <v>162</v>
      </c>
      <c r="I2663" s="18" t="s">
        <v>298</v>
      </c>
      <c r="J2663" s="18"/>
      <c r="K2663" s="18"/>
      <c r="L2663" s="18" t="s">
        <v>129</v>
      </c>
      <c r="M2663" s="18" t="s">
        <v>162</v>
      </c>
      <c r="N2663" s="18" t="s">
        <v>11045</v>
      </c>
      <c r="O2663" s="18" t="s">
        <v>11046</v>
      </c>
      <c r="P2663" s="18"/>
      <c r="Q2663" s="18" t="s">
        <v>149</v>
      </c>
      <c r="R2663" s="18" t="s">
        <v>11047</v>
      </c>
      <c r="S2663" s="18" t="s">
        <v>140</v>
      </c>
      <c r="T2663" s="18" t="s">
        <v>11048</v>
      </c>
      <c r="U2663" s="18" t="s">
        <v>11049</v>
      </c>
      <c r="V2663" s="19" t="s">
        <v>29</v>
      </c>
      <c r="W2663" s="19"/>
      <c r="X2663" s="19"/>
      <c r="Y2663" s="20"/>
      <c r="Z2663" s="19"/>
      <c r="AA2663" s="18" t="str">
        <f aca="false">IF(OR(V2663="Aprobada"),R2663,IF(AND(OR(V2663="Aprobada con ajuste",V2663="Rechazada"),W2663&lt;&gt;""),W2663,""))</f>
        <v/>
      </c>
    </row>
    <row r="2664" customFormat="false" ht="32.8" hidden="false" customHeight="false" outlineLevel="0" collapsed="false">
      <c r="A2664" s="18" t="s">
        <v>11050</v>
      </c>
      <c r="B2664" s="18" t="s">
        <v>78</v>
      </c>
      <c r="C2664" s="18" t="s">
        <v>79</v>
      </c>
      <c r="D2664" s="18" t="s">
        <v>11043</v>
      </c>
      <c r="E2664" s="18" t="n">
        <v>5</v>
      </c>
      <c r="F2664" s="18" t="s">
        <v>10894</v>
      </c>
      <c r="G2664" s="18" t="s">
        <v>145</v>
      </c>
      <c r="H2664" s="18" t="s">
        <v>162</v>
      </c>
      <c r="I2664" s="18"/>
      <c r="J2664" s="18"/>
      <c r="K2664" s="18"/>
      <c r="L2664" s="18" t="s">
        <v>129</v>
      </c>
      <c r="M2664" s="18" t="s">
        <v>129</v>
      </c>
      <c r="N2664" s="18"/>
      <c r="O2664" s="18"/>
      <c r="P2664" s="18" t="s">
        <v>11051</v>
      </c>
      <c r="Q2664" s="18" t="s">
        <v>131</v>
      </c>
      <c r="R2664" s="18" t="s">
        <v>11052</v>
      </c>
      <c r="S2664" s="18" t="s">
        <v>140</v>
      </c>
      <c r="T2664" s="18" t="s">
        <v>11053</v>
      </c>
      <c r="U2664" s="18" t="s">
        <v>11054</v>
      </c>
      <c r="V2664" s="19" t="s">
        <v>29</v>
      </c>
      <c r="W2664" s="19"/>
      <c r="X2664" s="19"/>
      <c r="Y2664" s="20"/>
      <c r="Z2664" s="19"/>
      <c r="AA2664" s="18" t="str">
        <f aca="false">IF(OR(V2664="Aprobada"),R2664,IF(AND(OR(V2664="Aprobada con ajuste",V2664="Rechazada"),W2664&lt;&gt;""),W2664,""))</f>
        <v/>
      </c>
    </row>
    <row r="2665" customFormat="false" ht="22.35" hidden="false" customHeight="false" outlineLevel="0" collapsed="false">
      <c r="A2665" s="18" t="s">
        <v>11055</v>
      </c>
      <c r="B2665" s="18" t="s">
        <v>78</v>
      </c>
      <c r="C2665" s="18" t="s">
        <v>79</v>
      </c>
      <c r="D2665" s="18" t="s">
        <v>11043</v>
      </c>
      <c r="E2665" s="18" t="n">
        <v>5</v>
      </c>
      <c r="F2665" s="18" t="s">
        <v>11056</v>
      </c>
      <c r="G2665" s="18" t="s">
        <v>145</v>
      </c>
      <c r="H2665" s="18" t="s">
        <v>162</v>
      </c>
      <c r="I2665" s="18"/>
      <c r="J2665" s="18"/>
      <c r="K2665" s="18"/>
      <c r="L2665" s="18" t="s">
        <v>129</v>
      </c>
      <c r="M2665" s="18" t="s">
        <v>129</v>
      </c>
      <c r="N2665" s="18"/>
      <c r="O2665" s="18" t="s">
        <v>11057</v>
      </c>
      <c r="P2665" s="18" t="s">
        <v>11058</v>
      </c>
      <c r="Q2665" s="18" t="s">
        <v>149</v>
      </c>
      <c r="R2665" s="18" t="s">
        <v>11059</v>
      </c>
      <c r="S2665" s="18" t="s">
        <v>133</v>
      </c>
      <c r="T2665" s="18" t="s">
        <v>11060</v>
      </c>
      <c r="U2665" s="18"/>
      <c r="V2665" s="19" t="s">
        <v>29</v>
      </c>
      <c r="W2665" s="19"/>
      <c r="X2665" s="19"/>
      <c r="Y2665" s="20"/>
      <c r="Z2665" s="19"/>
      <c r="AA2665" s="18" t="str">
        <f aca="false">IF(OR(V2665="Aprobada"),R2665,IF(AND(OR(V2665="Aprobada con ajuste",V2665="Rechazada"),W2665&lt;&gt;""),W2665,""))</f>
        <v/>
      </c>
    </row>
    <row r="2666" customFormat="false" ht="43.25" hidden="false" customHeight="false" outlineLevel="0" collapsed="false">
      <c r="A2666" s="18" t="s">
        <v>11061</v>
      </c>
      <c r="B2666" s="18" t="s">
        <v>78</v>
      </c>
      <c r="C2666" s="18" t="s">
        <v>79</v>
      </c>
      <c r="D2666" s="18" t="s">
        <v>11043</v>
      </c>
      <c r="E2666" s="18" t="n">
        <v>5</v>
      </c>
      <c r="F2666" s="18" t="s">
        <v>11062</v>
      </c>
      <c r="G2666" s="18" t="s">
        <v>760</v>
      </c>
      <c r="H2666" s="18" t="s">
        <v>129</v>
      </c>
      <c r="I2666" s="18" t="s">
        <v>298</v>
      </c>
      <c r="J2666" s="18" t="s">
        <v>11063</v>
      </c>
      <c r="K2666" s="18"/>
      <c r="L2666" s="18" t="s">
        <v>162</v>
      </c>
      <c r="M2666" s="18" t="s">
        <v>129</v>
      </c>
      <c r="N2666" s="18"/>
      <c r="O2666" s="18" t="s">
        <v>11064</v>
      </c>
      <c r="P2666" s="18" t="s">
        <v>11065</v>
      </c>
      <c r="Q2666" s="18" t="s">
        <v>149</v>
      </c>
      <c r="R2666" s="18" t="s">
        <v>11066</v>
      </c>
      <c r="S2666" s="18" t="s">
        <v>133</v>
      </c>
      <c r="T2666" s="18" t="s">
        <v>801</v>
      </c>
      <c r="U2666" s="18"/>
      <c r="V2666" s="19" t="s">
        <v>29</v>
      </c>
      <c r="W2666" s="19"/>
      <c r="X2666" s="19"/>
      <c r="Y2666" s="20"/>
      <c r="Z2666" s="19"/>
      <c r="AA2666" s="18" t="str">
        <f aca="false">IF(OR(V2666="Aprobada"),R2666,IF(AND(OR(V2666="Aprobada con ajuste",V2666="Rechazada"),W2666&lt;&gt;""),W2666,""))</f>
        <v/>
      </c>
    </row>
    <row r="2667" customFormat="false" ht="43.25" hidden="false" customHeight="false" outlineLevel="0" collapsed="false">
      <c r="A2667" s="18" t="s">
        <v>11067</v>
      </c>
      <c r="B2667" s="18" t="s">
        <v>78</v>
      </c>
      <c r="C2667" s="18" t="s">
        <v>79</v>
      </c>
      <c r="D2667" s="18" t="s">
        <v>11043</v>
      </c>
      <c r="E2667" s="18" t="n">
        <v>5</v>
      </c>
      <c r="F2667" s="18" t="s">
        <v>11068</v>
      </c>
      <c r="G2667" s="18" t="s">
        <v>8078</v>
      </c>
      <c r="H2667" s="18" t="s">
        <v>129</v>
      </c>
      <c r="I2667" s="18" t="s">
        <v>298</v>
      </c>
      <c r="J2667" s="18"/>
      <c r="K2667" s="18"/>
      <c r="L2667" s="18" t="s">
        <v>129</v>
      </c>
      <c r="M2667" s="18" t="s">
        <v>129</v>
      </c>
      <c r="N2667" s="18"/>
      <c r="O2667" s="18" t="s">
        <v>11064</v>
      </c>
      <c r="P2667" s="18" t="s">
        <v>11069</v>
      </c>
      <c r="Q2667" s="18" t="s">
        <v>131</v>
      </c>
      <c r="R2667" s="18" t="s">
        <v>11070</v>
      </c>
      <c r="S2667" s="18" t="s">
        <v>133</v>
      </c>
      <c r="T2667" s="18" t="s">
        <v>11071</v>
      </c>
      <c r="U2667" s="18"/>
      <c r="V2667" s="19" t="s">
        <v>29</v>
      </c>
      <c r="W2667" s="19"/>
      <c r="X2667" s="19"/>
      <c r="Y2667" s="20"/>
      <c r="Z2667" s="19"/>
      <c r="AA2667" s="18" t="str">
        <f aca="false">IF(OR(V2667="Aprobada"),R2667,IF(AND(OR(V2667="Aprobada con ajuste",V2667="Rechazada"),W2667&lt;&gt;""),W2667,""))</f>
        <v/>
      </c>
    </row>
    <row r="2668" customFormat="false" ht="43.25" hidden="false" customHeight="false" outlineLevel="0" collapsed="false">
      <c r="A2668" s="18" t="s">
        <v>11072</v>
      </c>
      <c r="B2668" s="18" t="s">
        <v>78</v>
      </c>
      <c r="C2668" s="18" t="s">
        <v>79</v>
      </c>
      <c r="D2668" s="18" t="s">
        <v>11043</v>
      </c>
      <c r="E2668" s="18" t="n">
        <v>5</v>
      </c>
      <c r="F2668" s="18" t="s">
        <v>11073</v>
      </c>
      <c r="G2668" s="18" t="s">
        <v>8078</v>
      </c>
      <c r="H2668" s="18" t="s">
        <v>129</v>
      </c>
      <c r="I2668" s="18" t="s">
        <v>298</v>
      </c>
      <c r="J2668" s="18"/>
      <c r="K2668" s="18"/>
      <c r="L2668" s="18" t="s">
        <v>129</v>
      </c>
      <c r="M2668" s="18" t="s">
        <v>129</v>
      </c>
      <c r="N2668" s="18"/>
      <c r="O2668" s="18" t="s">
        <v>11064</v>
      </c>
      <c r="P2668" s="18" t="s">
        <v>11074</v>
      </c>
      <c r="Q2668" s="18" t="s">
        <v>149</v>
      </c>
      <c r="R2668" s="18" t="s">
        <v>11075</v>
      </c>
      <c r="S2668" s="18" t="s">
        <v>133</v>
      </c>
      <c r="T2668" s="18" t="s">
        <v>11076</v>
      </c>
      <c r="U2668" s="18"/>
      <c r="V2668" s="19" t="s">
        <v>29</v>
      </c>
      <c r="W2668" s="19"/>
      <c r="X2668" s="19"/>
      <c r="Y2668" s="20"/>
      <c r="Z2668" s="19"/>
      <c r="AA2668" s="18" t="str">
        <f aca="false">IF(OR(V2668="Aprobada"),R2668,IF(AND(OR(V2668="Aprobada con ajuste",V2668="Rechazada"),W2668&lt;&gt;""),W2668,""))</f>
        <v/>
      </c>
    </row>
    <row r="2669" customFormat="false" ht="32.8" hidden="false" customHeight="false" outlineLevel="0" collapsed="false">
      <c r="A2669" s="18" t="s">
        <v>11077</v>
      </c>
      <c r="B2669" s="18" t="s">
        <v>78</v>
      </c>
      <c r="C2669" s="18" t="s">
        <v>79</v>
      </c>
      <c r="D2669" s="18" t="s">
        <v>11043</v>
      </c>
      <c r="E2669" s="18" t="n">
        <v>5</v>
      </c>
      <c r="F2669" s="18" t="s">
        <v>627</v>
      </c>
      <c r="G2669" s="18" t="s">
        <v>186</v>
      </c>
      <c r="H2669" s="18" t="s">
        <v>162</v>
      </c>
      <c r="I2669" s="18" t="s">
        <v>298</v>
      </c>
      <c r="J2669" s="18" t="s">
        <v>11078</v>
      </c>
      <c r="K2669" s="18"/>
      <c r="L2669" s="18" t="s">
        <v>162</v>
      </c>
      <c r="M2669" s="18" t="s">
        <v>129</v>
      </c>
      <c r="N2669" s="18"/>
      <c r="O2669" s="18"/>
      <c r="P2669" s="18" t="s">
        <v>11079</v>
      </c>
      <c r="Q2669" s="18" t="s">
        <v>149</v>
      </c>
      <c r="R2669" s="18" t="s">
        <v>11080</v>
      </c>
      <c r="S2669" s="18" t="s">
        <v>133</v>
      </c>
      <c r="T2669" s="18" t="s">
        <v>4596</v>
      </c>
      <c r="U2669" s="18"/>
      <c r="V2669" s="19" t="s">
        <v>29</v>
      </c>
      <c r="W2669" s="19"/>
      <c r="X2669" s="19"/>
      <c r="Y2669" s="20"/>
      <c r="Z2669" s="19"/>
      <c r="AA2669" s="18" t="str">
        <f aca="false">IF(OR(V2669="Aprobada"),R2669,IF(AND(OR(V2669="Aprobada con ajuste",V2669="Rechazada"),W2669&lt;&gt;""),W2669,""))</f>
        <v/>
      </c>
    </row>
    <row r="2670" customFormat="false" ht="22.35" hidden="false" customHeight="false" outlineLevel="0" collapsed="false">
      <c r="A2670" s="18" t="s">
        <v>11081</v>
      </c>
      <c r="B2670" s="18" t="s">
        <v>78</v>
      </c>
      <c r="C2670" s="18" t="s">
        <v>79</v>
      </c>
      <c r="D2670" s="18" t="s">
        <v>11043</v>
      </c>
      <c r="E2670" s="18" t="n">
        <v>5</v>
      </c>
      <c r="F2670" s="18" t="s">
        <v>11082</v>
      </c>
      <c r="G2670" s="18" t="s">
        <v>503</v>
      </c>
      <c r="H2670" s="18" t="s">
        <v>162</v>
      </c>
      <c r="I2670" s="18"/>
      <c r="J2670" s="18"/>
      <c r="K2670" s="18"/>
      <c r="L2670" s="18" t="s">
        <v>129</v>
      </c>
      <c r="M2670" s="18" t="s">
        <v>129</v>
      </c>
      <c r="N2670" s="18"/>
      <c r="O2670" s="18"/>
      <c r="P2670" s="18"/>
      <c r="Q2670" s="18" t="s">
        <v>149</v>
      </c>
      <c r="R2670" s="18" t="s">
        <v>11083</v>
      </c>
      <c r="S2670" s="18" t="s">
        <v>140</v>
      </c>
      <c r="T2670" s="18" t="s">
        <v>11084</v>
      </c>
      <c r="U2670" s="18" t="s">
        <v>11085</v>
      </c>
      <c r="V2670" s="19" t="s">
        <v>29</v>
      </c>
      <c r="W2670" s="19"/>
      <c r="X2670" s="19"/>
      <c r="Y2670" s="20"/>
      <c r="Z2670" s="19"/>
      <c r="AA2670" s="18" t="str">
        <f aca="false">IF(OR(V2670="Aprobada"),R2670,IF(AND(OR(V2670="Aprobada con ajuste",V2670="Rechazada"),W2670&lt;&gt;""),W2670,""))</f>
        <v/>
      </c>
    </row>
    <row r="2671" customFormat="false" ht="32.8" hidden="false" customHeight="false" outlineLevel="0" collapsed="false">
      <c r="A2671" s="18" t="s">
        <v>11086</v>
      </c>
      <c r="B2671" s="18" t="s">
        <v>78</v>
      </c>
      <c r="C2671" s="18" t="s">
        <v>79</v>
      </c>
      <c r="D2671" s="18" t="s">
        <v>11043</v>
      </c>
      <c r="E2671" s="18" t="n">
        <v>5</v>
      </c>
      <c r="F2671" s="18" t="s">
        <v>185</v>
      </c>
      <c r="G2671" s="18" t="s">
        <v>186</v>
      </c>
      <c r="H2671" s="18" t="s">
        <v>162</v>
      </c>
      <c r="I2671" s="18" t="s">
        <v>298</v>
      </c>
      <c r="J2671" s="18" t="s">
        <v>11087</v>
      </c>
      <c r="K2671" s="18"/>
      <c r="L2671" s="18" t="s">
        <v>162</v>
      </c>
      <c r="M2671" s="18" t="s">
        <v>129</v>
      </c>
      <c r="N2671" s="18"/>
      <c r="O2671" s="18"/>
      <c r="P2671" s="18" t="s">
        <v>11088</v>
      </c>
      <c r="Q2671" s="18" t="s">
        <v>138</v>
      </c>
      <c r="R2671" s="18" t="s">
        <v>11089</v>
      </c>
      <c r="S2671" s="18" t="s">
        <v>140</v>
      </c>
      <c r="T2671" s="18" t="s">
        <v>141</v>
      </c>
      <c r="U2671" s="18"/>
      <c r="V2671" s="19" t="s">
        <v>29</v>
      </c>
      <c r="W2671" s="19"/>
      <c r="X2671" s="19"/>
      <c r="Y2671" s="20"/>
      <c r="Z2671" s="19"/>
      <c r="AA2671" s="18" t="str">
        <f aca="false">IF(OR(V2671="Aprobada"),R2671,IF(AND(OR(V2671="Aprobada con ajuste",V2671="Rechazada"),W2671&lt;&gt;""),W2671,""))</f>
        <v/>
      </c>
    </row>
    <row r="2672" customFormat="false" ht="32.8" hidden="false" customHeight="false" outlineLevel="0" collapsed="false">
      <c r="A2672" s="18" t="s">
        <v>11090</v>
      </c>
      <c r="B2672" s="18" t="s">
        <v>78</v>
      </c>
      <c r="C2672" s="18" t="s">
        <v>79</v>
      </c>
      <c r="D2672" s="18" t="s">
        <v>11043</v>
      </c>
      <c r="E2672" s="18" t="n">
        <v>5</v>
      </c>
      <c r="F2672" s="18" t="s">
        <v>11091</v>
      </c>
      <c r="G2672" s="18" t="s">
        <v>128</v>
      </c>
      <c r="H2672" s="18" t="s">
        <v>162</v>
      </c>
      <c r="I2672" s="18"/>
      <c r="J2672" s="18"/>
      <c r="K2672" s="18"/>
      <c r="L2672" s="18" t="s">
        <v>129</v>
      </c>
      <c r="M2672" s="18" t="s">
        <v>129</v>
      </c>
      <c r="N2672" s="18"/>
      <c r="O2672" s="18"/>
      <c r="P2672" s="18"/>
      <c r="Q2672" s="18" t="s">
        <v>149</v>
      </c>
      <c r="R2672" s="18" t="s">
        <v>11092</v>
      </c>
      <c r="S2672" s="18" t="s">
        <v>140</v>
      </c>
      <c r="T2672" s="18" t="s">
        <v>2122</v>
      </c>
      <c r="U2672" s="18" t="s">
        <v>11093</v>
      </c>
      <c r="V2672" s="19" t="s">
        <v>29</v>
      </c>
      <c r="W2672" s="19"/>
      <c r="X2672" s="19"/>
      <c r="Y2672" s="20"/>
      <c r="Z2672" s="19"/>
      <c r="AA2672" s="18" t="str">
        <f aca="false">IF(OR(V2672="Aprobada"),R2672,IF(AND(OR(V2672="Aprobada con ajuste",V2672="Rechazada"),W2672&lt;&gt;""),W2672,""))</f>
        <v/>
      </c>
    </row>
    <row r="2673" customFormat="false" ht="22.35" hidden="false" customHeight="false" outlineLevel="0" collapsed="false">
      <c r="A2673" s="18" t="s">
        <v>11094</v>
      </c>
      <c r="B2673" s="18" t="s">
        <v>78</v>
      </c>
      <c r="C2673" s="18" t="s">
        <v>79</v>
      </c>
      <c r="D2673" s="18" t="s">
        <v>11043</v>
      </c>
      <c r="E2673" s="18" t="n">
        <v>5</v>
      </c>
      <c r="F2673" s="18" t="s">
        <v>11095</v>
      </c>
      <c r="G2673" s="18" t="s">
        <v>173</v>
      </c>
      <c r="H2673" s="18" t="s">
        <v>129</v>
      </c>
      <c r="I2673" s="18"/>
      <c r="J2673" s="18"/>
      <c r="K2673" s="18"/>
      <c r="L2673" s="18" t="s">
        <v>129</v>
      </c>
      <c r="M2673" s="18" t="s">
        <v>129</v>
      </c>
      <c r="N2673" s="18"/>
      <c r="O2673" s="18"/>
      <c r="P2673" s="18"/>
      <c r="Q2673" s="18" t="s">
        <v>138</v>
      </c>
      <c r="R2673" s="18" t="s">
        <v>11096</v>
      </c>
      <c r="S2673" s="18" t="s">
        <v>140</v>
      </c>
      <c r="T2673" s="18" t="s">
        <v>141</v>
      </c>
      <c r="U2673" s="18"/>
      <c r="V2673" s="19" t="s">
        <v>29</v>
      </c>
      <c r="W2673" s="19"/>
      <c r="X2673" s="19"/>
      <c r="Y2673" s="20"/>
      <c r="Z2673" s="19"/>
      <c r="AA2673" s="18" t="str">
        <f aca="false">IF(OR(V2673="Aprobada"),R2673,IF(AND(OR(V2673="Aprobada con ajuste",V2673="Rechazada"),W2673&lt;&gt;""),W2673,""))</f>
        <v/>
      </c>
    </row>
    <row r="2674" customFormat="false" ht="53.7" hidden="false" customHeight="false" outlineLevel="0" collapsed="false">
      <c r="A2674" s="18" t="s">
        <v>11097</v>
      </c>
      <c r="B2674" s="18" t="s">
        <v>78</v>
      </c>
      <c r="C2674" s="18" t="s">
        <v>79</v>
      </c>
      <c r="D2674" s="18" t="s">
        <v>1933</v>
      </c>
      <c r="E2674" s="18" t="n">
        <v>2</v>
      </c>
      <c r="F2674" s="18" t="s">
        <v>11098</v>
      </c>
      <c r="G2674" s="18" t="s">
        <v>358</v>
      </c>
      <c r="H2674" s="18" t="s">
        <v>129</v>
      </c>
      <c r="I2674" s="18" t="s">
        <v>298</v>
      </c>
      <c r="J2674" s="18"/>
      <c r="K2674" s="18"/>
      <c r="L2674" s="18" t="s">
        <v>129</v>
      </c>
      <c r="M2674" s="18" t="s">
        <v>129</v>
      </c>
      <c r="N2674" s="18"/>
      <c r="O2674" s="18" t="s">
        <v>11099</v>
      </c>
      <c r="P2674" s="18" t="s">
        <v>11100</v>
      </c>
      <c r="Q2674" s="18" t="s">
        <v>131</v>
      </c>
      <c r="R2674" s="18" t="s">
        <v>11101</v>
      </c>
      <c r="S2674" s="18" t="s">
        <v>133</v>
      </c>
      <c r="T2674" s="18" t="s">
        <v>11102</v>
      </c>
      <c r="U2674" s="18" t="s">
        <v>11103</v>
      </c>
      <c r="V2674" s="19" t="s">
        <v>29</v>
      </c>
      <c r="W2674" s="19"/>
      <c r="X2674" s="19"/>
      <c r="Y2674" s="20"/>
      <c r="Z2674" s="19"/>
      <c r="AA2674" s="18" t="str">
        <f aca="false">IF(OR(V2674="Aprobada"),R2674,IF(AND(OR(V2674="Aprobada con ajuste",V2674="Rechazada"),W2674&lt;&gt;""),W2674,""))</f>
        <v/>
      </c>
    </row>
    <row r="2675" customFormat="false" ht="32.8" hidden="false" customHeight="false" outlineLevel="0" collapsed="false">
      <c r="A2675" s="18" t="s">
        <v>11104</v>
      </c>
      <c r="B2675" s="18" t="s">
        <v>78</v>
      </c>
      <c r="C2675" s="18" t="s">
        <v>79</v>
      </c>
      <c r="D2675" s="18" t="s">
        <v>1933</v>
      </c>
      <c r="E2675" s="18" t="n">
        <v>2</v>
      </c>
      <c r="F2675" s="18" t="s">
        <v>11082</v>
      </c>
      <c r="G2675" s="18" t="s">
        <v>503</v>
      </c>
      <c r="H2675" s="18" t="s">
        <v>129</v>
      </c>
      <c r="I2675" s="18" t="s">
        <v>298</v>
      </c>
      <c r="J2675" s="18"/>
      <c r="K2675" s="18"/>
      <c r="L2675" s="18" t="s">
        <v>129</v>
      </c>
      <c r="M2675" s="18" t="s">
        <v>129</v>
      </c>
      <c r="N2675" s="18"/>
      <c r="O2675" s="18"/>
      <c r="P2675" s="18" t="s">
        <v>11105</v>
      </c>
      <c r="Q2675" s="18" t="s">
        <v>149</v>
      </c>
      <c r="R2675" s="18" t="s">
        <v>11106</v>
      </c>
      <c r="S2675" s="18" t="s">
        <v>133</v>
      </c>
      <c r="T2675" s="18" t="s">
        <v>11107</v>
      </c>
      <c r="U2675" s="18"/>
      <c r="V2675" s="19" t="s">
        <v>29</v>
      </c>
      <c r="W2675" s="19"/>
      <c r="X2675" s="19"/>
      <c r="Y2675" s="20"/>
      <c r="Z2675" s="19"/>
      <c r="AA2675" s="18" t="str">
        <f aca="false">IF(OR(V2675="Aprobada"),R2675,IF(AND(OR(V2675="Aprobada con ajuste",V2675="Rechazada"),W2675&lt;&gt;""),W2675,""))</f>
        <v/>
      </c>
    </row>
    <row r="2676" customFormat="false" ht="32.8" hidden="false" customHeight="false" outlineLevel="0" collapsed="false">
      <c r="A2676" s="18" t="s">
        <v>11108</v>
      </c>
      <c r="B2676" s="18" t="s">
        <v>78</v>
      </c>
      <c r="C2676" s="18" t="s">
        <v>79</v>
      </c>
      <c r="D2676" s="18" t="s">
        <v>1933</v>
      </c>
      <c r="E2676" s="18" t="n">
        <v>2</v>
      </c>
      <c r="F2676" s="18" t="s">
        <v>185</v>
      </c>
      <c r="G2676" s="18" t="s">
        <v>186</v>
      </c>
      <c r="H2676" s="18" t="s">
        <v>129</v>
      </c>
      <c r="I2676" s="18"/>
      <c r="J2676" s="18"/>
      <c r="K2676" s="18"/>
      <c r="L2676" s="18" t="s">
        <v>129</v>
      </c>
      <c r="M2676" s="18" t="s">
        <v>129</v>
      </c>
      <c r="N2676" s="18"/>
      <c r="O2676" s="18"/>
      <c r="P2676" s="18" t="s">
        <v>11109</v>
      </c>
      <c r="Q2676" s="18" t="s">
        <v>138</v>
      </c>
      <c r="R2676" s="18" t="s">
        <v>11110</v>
      </c>
      <c r="S2676" s="18" t="s">
        <v>140</v>
      </c>
      <c r="T2676" s="18" t="s">
        <v>141</v>
      </c>
      <c r="U2676" s="18"/>
      <c r="V2676" s="19" t="s">
        <v>29</v>
      </c>
      <c r="W2676" s="19"/>
      <c r="X2676" s="19"/>
      <c r="Y2676" s="20"/>
      <c r="Z2676" s="19"/>
      <c r="AA2676" s="18" t="str">
        <f aca="false">IF(OR(V2676="Aprobada"),R2676,IF(AND(OR(V2676="Aprobada con ajuste",V2676="Rechazada"),W2676&lt;&gt;""),W2676,""))</f>
        <v/>
      </c>
    </row>
    <row r="2677" customFormat="false" ht="32.8" hidden="false" customHeight="false" outlineLevel="0" collapsed="false">
      <c r="A2677" s="18" t="s">
        <v>11111</v>
      </c>
      <c r="B2677" s="18" t="s">
        <v>78</v>
      </c>
      <c r="C2677" s="18" t="s">
        <v>79</v>
      </c>
      <c r="D2677" s="18" t="s">
        <v>1933</v>
      </c>
      <c r="E2677" s="18" t="n">
        <v>2</v>
      </c>
      <c r="F2677" s="18" t="s">
        <v>886</v>
      </c>
      <c r="G2677" s="18" t="s">
        <v>128</v>
      </c>
      <c r="H2677" s="18" t="s">
        <v>162</v>
      </c>
      <c r="I2677" s="18"/>
      <c r="J2677" s="18"/>
      <c r="K2677" s="18"/>
      <c r="L2677" s="18" t="s">
        <v>129</v>
      </c>
      <c r="M2677" s="18" t="s">
        <v>129</v>
      </c>
      <c r="N2677" s="18"/>
      <c r="O2677" s="18"/>
      <c r="P2677" s="18" t="s">
        <v>11112</v>
      </c>
      <c r="Q2677" s="18" t="s">
        <v>138</v>
      </c>
      <c r="R2677" s="18" t="s">
        <v>1693</v>
      </c>
      <c r="S2677" s="18" t="s">
        <v>140</v>
      </c>
      <c r="T2677" s="18" t="s">
        <v>141</v>
      </c>
      <c r="U2677" s="18"/>
      <c r="V2677" s="19" t="s">
        <v>29</v>
      </c>
      <c r="W2677" s="19"/>
      <c r="X2677" s="19"/>
      <c r="Y2677" s="20"/>
      <c r="Z2677" s="19"/>
      <c r="AA2677" s="18" t="str">
        <f aca="false">IF(OR(V2677="Aprobada"),R2677,IF(AND(OR(V2677="Aprobada con ajuste",V2677="Rechazada"),W2677&lt;&gt;""),W2677,""))</f>
        <v/>
      </c>
    </row>
    <row r="2678" customFormat="false" ht="32.8" hidden="false" customHeight="false" outlineLevel="0" collapsed="false">
      <c r="A2678" s="18" t="s">
        <v>11113</v>
      </c>
      <c r="B2678" s="18" t="s">
        <v>78</v>
      </c>
      <c r="C2678" s="18" t="s">
        <v>79</v>
      </c>
      <c r="D2678" s="18" t="s">
        <v>1933</v>
      </c>
      <c r="E2678" s="18" t="n">
        <v>2</v>
      </c>
      <c r="F2678" s="18" t="s">
        <v>2418</v>
      </c>
      <c r="G2678" s="18" t="s">
        <v>137</v>
      </c>
      <c r="H2678" s="18" t="s">
        <v>162</v>
      </c>
      <c r="I2678" s="18" t="s">
        <v>298</v>
      </c>
      <c r="J2678" s="18"/>
      <c r="K2678" s="18"/>
      <c r="L2678" s="18" t="s">
        <v>129</v>
      </c>
      <c r="M2678" s="18" t="s">
        <v>129</v>
      </c>
      <c r="N2678" s="18"/>
      <c r="O2678" s="18"/>
      <c r="P2678" s="18" t="s">
        <v>11114</v>
      </c>
      <c r="Q2678" s="18" t="s">
        <v>138</v>
      </c>
      <c r="R2678" s="18" t="s">
        <v>2420</v>
      </c>
      <c r="S2678" s="18" t="s">
        <v>140</v>
      </c>
      <c r="T2678" s="18" t="s">
        <v>141</v>
      </c>
      <c r="U2678" s="18"/>
      <c r="V2678" s="19" t="s">
        <v>29</v>
      </c>
      <c r="W2678" s="19"/>
      <c r="X2678" s="19"/>
      <c r="Y2678" s="20"/>
      <c r="Z2678" s="19"/>
      <c r="AA2678" s="18" t="str">
        <f aca="false">IF(OR(V2678="Aprobada"),R2678,IF(AND(OR(V2678="Aprobada con ajuste",V2678="Rechazada"),W2678&lt;&gt;""),W2678,""))</f>
        <v/>
      </c>
    </row>
    <row r="2679" customFormat="false" ht="53.7" hidden="false" customHeight="false" outlineLevel="0" collapsed="false">
      <c r="A2679" s="18" t="s">
        <v>11115</v>
      </c>
      <c r="B2679" s="18" t="s">
        <v>78</v>
      </c>
      <c r="C2679" s="18" t="s">
        <v>79</v>
      </c>
      <c r="D2679" s="18" t="s">
        <v>1933</v>
      </c>
      <c r="E2679" s="18" t="n">
        <v>2</v>
      </c>
      <c r="F2679" s="18" t="s">
        <v>11035</v>
      </c>
      <c r="G2679" s="18" t="s">
        <v>186</v>
      </c>
      <c r="H2679" s="18" t="s">
        <v>162</v>
      </c>
      <c r="I2679" s="18" t="s">
        <v>298</v>
      </c>
      <c r="J2679" s="18" t="s">
        <v>11036</v>
      </c>
      <c r="K2679" s="18"/>
      <c r="L2679" s="18" t="s">
        <v>162</v>
      </c>
      <c r="M2679" s="18" t="s">
        <v>162</v>
      </c>
      <c r="N2679" s="18" t="s">
        <v>11037</v>
      </c>
      <c r="O2679" s="18" t="s">
        <v>11116</v>
      </c>
      <c r="P2679" s="18" t="s">
        <v>11117</v>
      </c>
      <c r="Q2679" s="18" t="s">
        <v>131</v>
      </c>
      <c r="R2679" s="18" t="s">
        <v>11118</v>
      </c>
      <c r="S2679" s="18" t="s">
        <v>133</v>
      </c>
      <c r="T2679" s="18" t="s">
        <v>11119</v>
      </c>
      <c r="U2679" s="18"/>
      <c r="V2679" s="19" t="s">
        <v>29</v>
      </c>
      <c r="W2679" s="19"/>
      <c r="X2679" s="19"/>
      <c r="Y2679" s="20"/>
      <c r="Z2679" s="19"/>
      <c r="AA2679" s="18" t="str">
        <f aca="false">IF(OR(V2679="Aprobada"),R2679,IF(AND(OR(V2679="Aprobada con ajuste",V2679="Rechazada"),W2679&lt;&gt;""),W2679,""))</f>
        <v/>
      </c>
    </row>
    <row r="2680" customFormat="false" ht="22.35" hidden="false" customHeight="false" outlineLevel="0" collapsed="false">
      <c r="A2680" s="18" t="s">
        <v>11120</v>
      </c>
      <c r="B2680" s="18" t="s">
        <v>78</v>
      </c>
      <c r="C2680" s="18" t="s">
        <v>79</v>
      </c>
      <c r="D2680" s="18" t="s">
        <v>11121</v>
      </c>
      <c r="E2680" s="18" t="n">
        <v>0</v>
      </c>
      <c r="F2680" s="18" t="s">
        <v>11122</v>
      </c>
      <c r="G2680" s="18" t="s">
        <v>584</v>
      </c>
      <c r="H2680" s="18" t="s">
        <v>129</v>
      </c>
      <c r="I2680" s="18"/>
      <c r="J2680" s="18"/>
      <c r="K2680" s="18"/>
      <c r="L2680" s="18" t="s">
        <v>129</v>
      </c>
      <c r="M2680" s="18" t="s">
        <v>129</v>
      </c>
      <c r="N2680" s="18"/>
      <c r="O2680" s="18"/>
      <c r="P2680" s="18"/>
      <c r="Q2680" s="18" t="s">
        <v>138</v>
      </c>
      <c r="R2680" s="18" t="s">
        <v>11123</v>
      </c>
      <c r="S2680" s="18" t="s">
        <v>140</v>
      </c>
      <c r="T2680" s="18" t="s">
        <v>141</v>
      </c>
      <c r="U2680" s="18"/>
      <c r="V2680" s="19" t="s">
        <v>29</v>
      </c>
      <c r="W2680" s="19"/>
      <c r="X2680" s="19"/>
      <c r="Y2680" s="20"/>
      <c r="Z2680" s="19"/>
      <c r="AA2680" s="18" t="str">
        <f aca="false">IF(OR(V2680="Aprobada"),R2680,IF(AND(OR(V2680="Aprobada con ajuste",V2680="Rechazada"),W2680&lt;&gt;""),W2680,""))</f>
        <v/>
      </c>
    </row>
    <row r="2681" customFormat="false" ht="64.15" hidden="false" customHeight="false" outlineLevel="0" collapsed="false">
      <c r="A2681" s="18" t="s">
        <v>11124</v>
      </c>
      <c r="B2681" s="18" t="s">
        <v>78</v>
      </c>
      <c r="C2681" s="18" t="s">
        <v>79</v>
      </c>
      <c r="D2681" s="18" t="s">
        <v>11125</v>
      </c>
      <c r="E2681" s="18" t="n">
        <v>5</v>
      </c>
      <c r="F2681" s="18" t="s">
        <v>611</v>
      </c>
      <c r="G2681" s="18" t="s">
        <v>205</v>
      </c>
      <c r="H2681" s="18" t="s">
        <v>129</v>
      </c>
      <c r="I2681" s="18" t="s">
        <v>146</v>
      </c>
      <c r="J2681" s="18"/>
      <c r="K2681" s="18"/>
      <c r="L2681" s="18" t="s">
        <v>129</v>
      </c>
      <c r="M2681" s="18" t="s">
        <v>162</v>
      </c>
      <c r="N2681" s="18" t="s">
        <v>2399</v>
      </c>
      <c r="O2681" s="18" t="s">
        <v>11126</v>
      </c>
      <c r="P2681" s="18"/>
      <c r="Q2681" s="18" t="s">
        <v>138</v>
      </c>
      <c r="R2681" s="18" t="s">
        <v>11127</v>
      </c>
      <c r="S2681" s="18" t="s">
        <v>140</v>
      </c>
      <c r="T2681" s="18" t="s">
        <v>141</v>
      </c>
      <c r="U2681" s="18"/>
      <c r="V2681" s="19" t="s">
        <v>29</v>
      </c>
      <c r="W2681" s="19"/>
      <c r="X2681" s="19"/>
      <c r="Y2681" s="20"/>
      <c r="Z2681" s="19"/>
      <c r="AA2681" s="18" t="str">
        <f aca="false">IF(OR(V2681="Aprobada"),R2681,IF(AND(OR(V2681="Aprobada con ajuste",V2681="Rechazada"),W2681&lt;&gt;""),W2681,""))</f>
        <v/>
      </c>
    </row>
    <row r="2682" customFormat="false" ht="22.35" hidden="false" customHeight="false" outlineLevel="0" collapsed="false">
      <c r="A2682" s="18" t="s">
        <v>11128</v>
      </c>
      <c r="B2682" s="18" t="s">
        <v>78</v>
      </c>
      <c r="C2682" s="18" t="s">
        <v>79</v>
      </c>
      <c r="D2682" s="18" t="s">
        <v>11125</v>
      </c>
      <c r="E2682" s="18" t="n">
        <v>5</v>
      </c>
      <c r="F2682" s="18" t="s">
        <v>275</v>
      </c>
      <c r="G2682" s="18" t="s">
        <v>486</v>
      </c>
      <c r="H2682" s="18" t="s">
        <v>129</v>
      </c>
      <c r="I2682" s="18"/>
      <c r="J2682" s="18"/>
      <c r="K2682" s="18"/>
      <c r="L2682" s="18" t="s">
        <v>129</v>
      </c>
      <c r="M2682" s="18" t="s">
        <v>129</v>
      </c>
      <c r="N2682" s="18"/>
      <c r="O2682" s="18"/>
      <c r="P2682" s="18"/>
      <c r="Q2682" s="18" t="s">
        <v>138</v>
      </c>
      <c r="R2682" s="18" t="s">
        <v>11129</v>
      </c>
      <c r="S2682" s="18" t="s">
        <v>140</v>
      </c>
      <c r="T2682" s="18" t="s">
        <v>141</v>
      </c>
      <c r="U2682" s="18"/>
      <c r="V2682" s="19" t="s">
        <v>29</v>
      </c>
      <c r="W2682" s="19"/>
      <c r="X2682" s="19"/>
      <c r="Y2682" s="20"/>
      <c r="Z2682" s="19"/>
      <c r="AA2682" s="18" t="str">
        <f aca="false">IF(OR(V2682="Aprobada"),R2682,IF(AND(OR(V2682="Aprobada con ajuste",V2682="Rechazada"),W2682&lt;&gt;""),W2682,""))</f>
        <v/>
      </c>
    </row>
    <row r="2683" customFormat="false" ht="22.35" hidden="false" customHeight="false" outlineLevel="0" collapsed="false">
      <c r="A2683" s="18" t="s">
        <v>11130</v>
      </c>
      <c r="B2683" s="18" t="s">
        <v>78</v>
      </c>
      <c r="C2683" s="18" t="s">
        <v>79</v>
      </c>
      <c r="D2683" s="18" t="s">
        <v>11125</v>
      </c>
      <c r="E2683" s="18" t="n">
        <v>5</v>
      </c>
      <c r="F2683" s="18" t="s">
        <v>2414</v>
      </c>
      <c r="G2683" s="18" t="s">
        <v>137</v>
      </c>
      <c r="H2683" s="18" t="s">
        <v>129</v>
      </c>
      <c r="I2683" s="18"/>
      <c r="J2683" s="18"/>
      <c r="K2683" s="18"/>
      <c r="L2683" s="18" t="s">
        <v>129</v>
      </c>
      <c r="M2683" s="18" t="s">
        <v>129</v>
      </c>
      <c r="N2683" s="18"/>
      <c r="O2683" s="18"/>
      <c r="P2683" s="18"/>
      <c r="Q2683" s="18" t="s">
        <v>138</v>
      </c>
      <c r="R2683" s="18" t="s">
        <v>2416</v>
      </c>
      <c r="S2683" s="18" t="s">
        <v>140</v>
      </c>
      <c r="T2683" s="18" t="s">
        <v>141</v>
      </c>
      <c r="U2683" s="18"/>
      <c r="V2683" s="19" t="s">
        <v>29</v>
      </c>
      <c r="W2683" s="19"/>
      <c r="X2683" s="19"/>
      <c r="Y2683" s="20"/>
      <c r="Z2683" s="19"/>
      <c r="AA2683" s="18" t="str">
        <f aca="false">IF(OR(V2683="Aprobada"),R2683,IF(AND(OR(V2683="Aprobada con ajuste",V2683="Rechazada"),W2683&lt;&gt;""),W2683,""))</f>
        <v/>
      </c>
    </row>
    <row r="2684" customFormat="false" ht="22.35" hidden="false" customHeight="false" outlineLevel="0" collapsed="false">
      <c r="A2684" s="18" t="s">
        <v>11131</v>
      </c>
      <c r="B2684" s="18" t="s">
        <v>78</v>
      </c>
      <c r="C2684" s="18" t="s">
        <v>79</v>
      </c>
      <c r="D2684" s="18" t="s">
        <v>11125</v>
      </c>
      <c r="E2684" s="18" t="n">
        <v>5</v>
      </c>
      <c r="F2684" s="18" t="s">
        <v>2418</v>
      </c>
      <c r="G2684" s="18" t="s">
        <v>137</v>
      </c>
      <c r="H2684" s="18" t="s">
        <v>129</v>
      </c>
      <c r="I2684" s="18"/>
      <c r="J2684" s="18"/>
      <c r="K2684" s="18"/>
      <c r="L2684" s="18" t="s">
        <v>129</v>
      </c>
      <c r="M2684" s="18" t="s">
        <v>129</v>
      </c>
      <c r="N2684" s="18"/>
      <c r="O2684" s="18"/>
      <c r="P2684" s="18"/>
      <c r="Q2684" s="18" t="s">
        <v>138</v>
      </c>
      <c r="R2684" s="18" t="s">
        <v>2420</v>
      </c>
      <c r="S2684" s="18" t="s">
        <v>140</v>
      </c>
      <c r="T2684" s="18" t="s">
        <v>141</v>
      </c>
      <c r="U2684" s="18"/>
      <c r="V2684" s="19" t="s">
        <v>29</v>
      </c>
      <c r="W2684" s="19"/>
      <c r="X2684" s="19"/>
      <c r="Y2684" s="20"/>
      <c r="Z2684" s="19"/>
      <c r="AA2684" s="18" t="str">
        <f aca="false">IF(OR(V2684="Aprobada"),R2684,IF(AND(OR(V2684="Aprobada con ajuste",V2684="Rechazada"),W2684&lt;&gt;""),W2684,""))</f>
        <v/>
      </c>
    </row>
    <row r="2685" customFormat="false" ht="22.35" hidden="false" customHeight="false" outlineLevel="0" collapsed="false">
      <c r="A2685" s="18" t="s">
        <v>11132</v>
      </c>
      <c r="B2685" s="18" t="s">
        <v>78</v>
      </c>
      <c r="C2685" s="18" t="s">
        <v>79</v>
      </c>
      <c r="D2685" s="18" t="s">
        <v>11133</v>
      </c>
      <c r="E2685" s="18" t="n">
        <v>575</v>
      </c>
      <c r="F2685" s="18" t="s">
        <v>1989</v>
      </c>
      <c r="G2685" s="18" t="s">
        <v>205</v>
      </c>
      <c r="H2685" s="18" t="s">
        <v>162</v>
      </c>
      <c r="I2685" s="18"/>
      <c r="J2685" s="18"/>
      <c r="K2685" s="18"/>
      <c r="L2685" s="18" t="s">
        <v>129</v>
      </c>
      <c r="M2685" s="18" t="s">
        <v>129</v>
      </c>
      <c r="N2685" s="18"/>
      <c r="O2685" s="18" t="s">
        <v>11134</v>
      </c>
      <c r="P2685" s="18"/>
      <c r="Q2685" s="18" t="s">
        <v>149</v>
      </c>
      <c r="R2685" s="18" t="s">
        <v>11135</v>
      </c>
      <c r="S2685" s="18" t="s">
        <v>133</v>
      </c>
      <c r="T2685" s="18" t="s">
        <v>11136</v>
      </c>
      <c r="U2685" s="18"/>
      <c r="V2685" s="19" t="s">
        <v>29</v>
      </c>
      <c r="W2685" s="19"/>
      <c r="X2685" s="19"/>
      <c r="Y2685" s="20"/>
      <c r="Z2685" s="19"/>
      <c r="AA2685" s="18" t="str">
        <f aca="false">IF(OR(V2685="Aprobada"),R2685,IF(AND(OR(V2685="Aprobada con ajuste",V2685="Rechazada"),W2685&lt;&gt;""),W2685,""))</f>
        <v/>
      </c>
    </row>
    <row r="2686" customFormat="false" ht="22.35" hidden="false" customHeight="false" outlineLevel="0" collapsed="false">
      <c r="A2686" s="18" t="s">
        <v>11137</v>
      </c>
      <c r="B2686" s="18" t="s">
        <v>78</v>
      </c>
      <c r="C2686" s="18" t="s">
        <v>79</v>
      </c>
      <c r="D2686" s="18" t="s">
        <v>11133</v>
      </c>
      <c r="E2686" s="18" t="n">
        <v>575</v>
      </c>
      <c r="F2686" s="18" t="s">
        <v>11035</v>
      </c>
      <c r="G2686" s="18" t="s">
        <v>288</v>
      </c>
      <c r="H2686" s="18" t="s">
        <v>162</v>
      </c>
      <c r="I2686" s="18"/>
      <c r="J2686" s="18"/>
      <c r="K2686" s="18"/>
      <c r="L2686" s="18" t="s">
        <v>129</v>
      </c>
      <c r="M2686" s="18" t="s">
        <v>129</v>
      </c>
      <c r="N2686" s="18"/>
      <c r="O2686" s="18"/>
      <c r="P2686" s="18"/>
      <c r="Q2686" s="18" t="s">
        <v>149</v>
      </c>
      <c r="R2686" s="18" t="s">
        <v>11138</v>
      </c>
      <c r="S2686" s="18" t="s">
        <v>140</v>
      </c>
      <c r="T2686" s="18" t="s">
        <v>11139</v>
      </c>
      <c r="U2686" s="18" t="s">
        <v>11140</v>
      </c>
      <c r="V2686" s="19" t="s">
        <v>29</v>
      </c>
      <c r="W2686" s="19"/>
      <c r="X2686" s="19"/>
      <c r="Y2686" s="20"/>
      <c r="Z2686" s="19"/>
      <c r="AA2686" s="18" t="str">
        <f aca="false">IF(OR(V2686="Aprobada"),R2686,IF(AND(OR(V2686="Aprobada con ajuste",V2686="Rechazada"),W2686&lt;&gt;""),W2686,""))</f>
        <v/>
      </c>
    </row>
    <row r="2687" customFormat="false" ht="22.35" hidden="false" customHeight="false" outlineLevel="0" collapsed="false">
      <c r="A2687" s="18" t="s">
        <v>11141</v>
      </c>
      <c r="B2687" s="18" t="s">
        <v>78</v>
      </c>
      <c r="C2687" s="18" t="s">
        <v>79</v>
      </c>
      <c r="D2687" s="18" t="s">
        <v>11133</v>
      </c>
      <c r="E2687" s="18" t="n">
        <v>575</v>
      </c>
      <c r="F2687" s="18" t="s">
        <v>807</v>
      </c>
      <c r="G2687" s="18" t="s">
        <v>828</v>
      </c>
      <c r="H2687" s="18" t="s">
        <v>162</v>
      </c>
      <c r="I2687" s="18"/>
      <c r="J2687" s="18"/>
      <c r="K2687" s="18"/>
      <c r="L2687" s="18" t="s">
        <v>129</v>
      </c>
      <c r="M2687" s="18" t="s">
        <v>129</v>
      </c>
      <c r="N2687" s="18"/>
      <c r="O2687" s="18"/>
      <c r="P2687" s="18"/>
      <c r="Q2687" s="18" t="s">
        <v>149</v>
      </c>
      <c r="R2687" s="18" t="s">
        <v>11142</v>
      </c>
      <c r="S2687" s="18" t="s">
        <v>133</v>
      </c>
      <c r="T2687" s="18" t="s">
        <v>11143</v>
      </c>
      <c r="U2687" s="18"/>
      <c r="V2687" s="19" t="s">
        <v>29</v>
      </c>
      <c r="W2687" s="19"/>
      <c r="X2687" s="19"/>
      <c r="Y2687" s="20"/>
      <c r="Z2687" s="19"/>
      <c r="AA2687" s="18" t="str">
        <f aca="false">IF(OR(V2687="Aprobada"),R2687,IF(AND(OR(V2687="Aprobada con ajuste",V2687="Rechazada"),W2687&lt;&gt;""),W2687,""))</f>
        <v/>
      </c>
    </row>
    <row r="2688" customFormat="false" ht="22.35" hidden="false" customHeight="false" outlineLevel="0" collapsed="false">
      <c r="A2688" s="18" t="s">
        <v>11144</v>
      </c>
      <c r="B2688" s="18" t="s">
        <v>78</v>
      </c>
      <c r="C2688" s="18" t="s">
        <v>79</v>
      </c>
      <c r="D2688" s="18" t="s">
        <v>11133</v>
      </c>
      <c r="E2688" s="18" t="n">
        <v>575</v>
      </c>
      <c r="F2688" s="18" t="s">
        <v>11145</v>
      </c>
      <c r="G2688" s="18" t="s">
        <v>282</v>
      </c>
      <c r="H2688" s="18" t="s">
        <v>162</v>
      </c>
      <c r="I2688" s="18"/>
      <c r="J2688" s="18"/>
      <c r="K2688" s="18"/>
      <c r="L2688" s="18" t="s">
        <v>129</v>
      </c>
      <c r="M2688" s="18" t="s">
        <v>129</v>
      </c>
      <c r="N2688" s="18"/>
      <c r="O2688" s="18"/>
      <c r="P2688" s="18"/>
      <c r="Q2688" s="18" t="s">
        <v>149</v>
      </c>
      <c r="R2688" s="18" t="s">
        <v>11146</v>
      </c>
      <c r="S2688" s="18" t="s">
        <v>133</v>
      </c>
      <c r="T2688" s="18" t="s">
        <v>11147</v>
      </c>
      <c r="U2688" s="18"/>
      <c r="V2688" s="19" t="s">
        <v>29</v>
      </c>
      <c r="W2688" s="19"/>
      <c r="X2688" s="19"/>
      <c r="Y2688" s="20"/>
      <c r="Z2688" s="19"/>
      <c r="AA2688" s="18" t="str">
        <f aca="false">IF(OR(V2688="Aprobada"),R2688,IF(AND(OR(V2688="Aprobada con ajuste",V2688="Rechazada"),W2688&lt;&gt;""),W2688,""))</f>
        <v/>
      </c>
    </row>
    <row r="2689" customFormat="false" ht="22.35" hidden="false" customHeight="false" outlineLevel="0" collapsed="false">
      <c r="A2689" s="18" t="s">
        <v>11148</v>
      </c>
      <c r="B2689" s="18" t="s">
        <v>78</v>
      </c>
      <c r="C2689" s="18" t="s">
        <v>79</v>
      </c>
      <c r="D2689" s="18" t="s">
        <v>11133</v>
      </c>
      <c r="E2689" s="18" t="n">
        <v>575</v>
      </c>
      <c r="F2689" s="18" t="s">
        <v>6852</v>
      </c>
      <c r="G2689" s="18" t="s">
        <v>282</v>
      </c>
      <c r="H2689" s="18" t="s">
        <v>162</v>
      </c>
      <c r="I2689" s="18"/>
      <c r="J2689" s="18"/>
      <c r="K2689" s="18"/>
      <c r="L2689" s="18" t="s">
        <v>129</v>
      </c>
      <c r="M2689" s="18" t="s">
        <v>129</v>
      </c>
      <c r="N2689" s="18"/>
      <c r="O2689" s="18"/>
      <c r="P2689" s="18"/>
      <c r="Q2689" s="18" t="s">
        <v>149</v>
      </c>
      <c r="R2689" s="18" t="s">
        <v>11149</v>
      </c>
      <c r="S2689" s="18" t="s">
        <v>133</v>
      </c>
      <c r="T2689" s="18" t="s">
        <v>11150</v>
      </c>
      <c r="U2689" s="18"/>
      <c r="V2689" s="19" t="s">
        <v>29</v>
      </c>
      <c r="W2689" s="19"/>
      <c r="X2689" s="19"/>
      <c r="Y2689" s="20"/>
      <c r="Z2689" s="19"/>
      <c r="AA2689" s="18" t="str">
        <f aca="false">IF(OR(V2689="Aprobada"),R2689,IF(AND(OR(V2689="Aprobada con ajuste",V2689="Rechazada"),W2689&lt;&gt;""),W2689,""))</f>
        <v/>
      </c>
    </row>
    <row r="2690" customFormat="false" ht="22.35" hidden="false" customHeight="false" outlineLevel="0" collapsed="false">
      <c r="A2690" s="18" t="s">
        <v>11151</v>
      </c>
      <c r="B2690" s="18" t="s">
        <v>78</v>
      </c>
      <c r="C2690" s="18" t="s">
        <v>79</v>
      </c>
      <c r="D2690" s="18" t="s">
        <v>11133</v>
      </c>
      <c r="E2690" s="18" t="n">
        <v>575</v>
      </c>
      <c r="F2690" s="18" t="s">
        <v>1710</v>
      </c>
      <c r="G2690" s="18" t="s">
        <v>828</v>
      </c>
      <c r="H2690" s="18" t="s">
        <v>162</v>
      </c>
      <c r="I2690" s="18"/>
      <c r="J2690" s="18"/>
      <c r="K2690" s="18"/>
      <c r="L2690" s="18" t="s">
        <v>129</v>
      </c>
      <c r="M2690" s="18" t="s">
        <v>129</v>
      </c>
      <c r="N2690" s="18"/>
      <c r="O2690" s="18"/>
      <c r="P2690" s="18"/>
      <c r="Q2690" s="18" t="s">
        <v>149</v>
      </c>
      <c r="R2690" s="18" t="s">
        <v>11152</v>
      </c>
      <c r="S2690" s="18" t="s">
        <v>140</v>
      </c>
      <c r="T2690" s="18" t="s">
        <v>11153</v>
      </c>
      <c r="U2690" s="18" t="s">
        <v>11154</v>
      </c>
      <c r="V2690" s="19" t="s">
        <v>29</v>
      </c>
      <c r="W2690" s="19"/>
      <c r="X2690" s="19"/>
      <c r="Y2690" s="20"/>
      <c r="Z2690" s="19"/>
      <c r="AA2690" s="18" t="str">
        <f aca="false">IF(OR(V2690="Aprobada"),R2690,IF(AND(OR(V2690="Aprobada con ajuste",V2690="Rechazada"),W2690&lt;&gt;""),W2690,""))</f>
        <v/>
      </c>
    </row>
    <row r="2691" customFormat="false" ht="22.35" hidden="false" customHeight="false" outlineLevel="0" collapsed="false">
      <c r="A2691" s="18" t="s">
        <v>11155</v>
      </c>
      <c r="B2691" s="18" t="s">
        <v>78</v>
      </c>
      <c r="C2691" s="18" t="s">
        <v>79</v>
      </c>
      <c r="D2691" s="18" t="s">
        <v>11133</v>
      </c>
      <c r="E2691" s="18" t="n">
        <v>575</v>
      </c>
      <c r="F2691" s="18" t="s">
        <v>2588</v>
      </c>
      <c r="G2691" s="18" t="s">
        <v>205</v>
      </c>
      <c r="H2691" s="18" t="s">
        <v>162</v>
      </c>
      <c r="I2691" s="18"/>
      <c r="J2691" s="18"/>
      <c r="K2691" s="18"/>
      <c r="L2691" s="18" t="s">
        <v>129</v>
      </c>
      <c r="M2691" s="18" t="s">
        <v>129</v>
      </c>
      <c r="N2691" s="18"/>
      <c r="O2691" s="18"/>
      <c r="P2691" s="18"/>
      <c r="Q2691" s="18" t="s">
        <v>149</v>
      </c>
      <c r="R2691" s="18" t="s">
        <v>11156</v>
      </c>
      <c r="S2691" s="18" t="s">
        <v>140</v>
      </c>
      <c r="T2691" s="18" t="s">
        <v>11157</v>
      </c>
      <c r="U2691" s="18" t="s">
        <v>11158</v>
      </c>
      <c r="V2691" s="19" t="s">
        <v>29</v>
      </c>
      <c r="W2691" s="19"/>
      <c r="X2691" s="19"/>
      <c r="Y2691" s="20"/>
      <c r="Z2691" s="19"/>
      <c r="AA2691" s="18" t="str">
        <f aca="false">IF(OR(V2691="Aprobada"),R2691,IF(AND(OR(V2691="Aprobada con ajuste",V2691="Rechazada"),W2691&lt;&gt;""),W2691,""))</f>
        <v/>
      </c>
    </row>
    <row r="2692" customFormat="false" ht="22.35" hidden="false" customHeight="false" outlineLevel="0" collapsed="false">
      <c r="A2692" s="18" t="s">
        <v>11159</v>
      </c>
      <c r="B2692" s="18" t="s">
        <v>78</v>
      </c>
      <c r="C2692" s="18" t="s">
        <v>79</v>
      </c>
      <c r="D2692" s="18" t="s">
        <v>11133</v>
      </c>
      <c r="E2692" s="18" t="n">
        <v>575</v>
      </c>
      <c r="F2692" s="18" t="s">
        <v>11160</v>
      </c>
      <c r="G2692" s="18" t="s">
        <v>186</v>
      </c>
      <c r="H2692" s="18" t="s">
        <v>162</v>
      </c>
      <c r="I2692" s="18"/>
      <c r="J2692" s="18"/>
      <c r="K2692" s="18"/>
      <c r="L2692" s="18" t="s">
        <v>129</v>
      </c>
      <c r="M2692" s="18" t="s">
        <v>129</v>
      </c>
      <c r="N2692" s="18"/>
      <c r="O2692" s="18"/>
      <c r="P2692" s="18"/>
      <c r="Q2692" s="18" t="s">
        <v>149</v>
      </c>
      <c r="R2692" s="18" t="s">
        <v>11161</v>
      </c>
      <c r="S2692" s="18" t="s">
        <v>133</v>
      </c>
      <c r="T2692" s="18" t="s">
        <v>11162</v>
      </c>
      <c r="U2692" s="18"/>
      <c r="V2692" s="19" t="s">
        <v>29</v>
      </c>
      <c r="W2692" s="19"/>
      <c r="X2692" s="19"/>
      <c r="Y2692" s="20"/>
      <c r="Z2692" s="19"/>
      <c r="AA2692" s="18" t="str">
        <f aca="false">IF(OR(V2692="Aprobada"),R2692,IF(AND(OR(V2692="Aprobada con ajuste",V2692="Rechazada"),W2692&lt;&gt;""),W2692,""))</f>
        <v/>
      </c>
    </row>
    <row r="2693" customFormat="false" ht="22.35" hidden="false" customHeight="false" outlineLevel="0" collapsed="false">
      <c r="A2693" s="18" t="s">
        <v>11163</v>
      </c>
      <c r="B2693" s="18" t="s">
        <v>78</v>
      </c>
      <c r="C2693" s="18" t="s">
        <v>79</v>
      </c>
      <c r="D2693" s="18" t="s">
        <v>11133</v>
      </c>
      <c r="E2693" s="18" t="n">
        <v>575</v>
      </c>
      <c r="F2693" s="18" t="s">
        <v>1640</v>
      </c>
      <c r="G2693" s="18" t="s">
        <v>454</v>
      </c>
      <c r="H2693" s="18" t="s">
        <v>162</v>
      </c>
      <c r="I2693" s="18"/>
      <c r="J2693" s="18"/>
      <c r="K2693" s="18"/>
      <c r="L2693" s="18" t="s">
        <v>129</v>
      </c>
      <c r="M2693" s="18" t="s">
        <v>129</v>
      </c>
      <c r="N2693" s="18"/>
      <c r="O2693" s="18"/>
      <c r="P2693" s="18"/>
      <c r="Q2693" s="18" t="s">
        <v>149</v>
      </c>
      <c r="R2693" s="18" t="s">
        <v>11164</v>
      </c>
      <c r="S2693" s="18" t="s">
        <v>133</v>
      </c>
      <c r="T2693" s="18" t="s">
        <v>11165</v>
      </c>
      <c r="U2693" s="18"/>
      <c r="V2693" s="19" t="s">
        <v>29</v>
      </c>
      <c r="W2693" s="19"/>
      <c r="X2693" s="19"/>
      <c r="Y2693" s="20"/>
      <c r="Z2693" s="19"/>
      <c r="AA2693" s="18" t="str">
        <f aca="false">IF(OR(V2693="Aprobada"),R2693,IF(AND(OR(V2693="Aprobada con ajuste",V2693="Rechazada"),W2693&lt;&gt;""),W2693,""))</f>
        <v/>
      </c>
    </row>
    <row r="2694" customFormat="false" ht="22.35" hidden="false" customHeight="false" outlineLevel="0" collapsed="false">
      <c r="A2694" s="18" t="s">
        <v>11166</v>
      </c>
      <c r="B2694" s="18" t="s">
        <v>78</v>
      </c>
      <c r="C2694" s="18" t="s">
        <v>79</v>
      </c>
      <c r="D2694" s="18" t="s">
        <v>11133</v>
      </c>
      <c r="E2694" s="18" t="n">
        <v>575</v>
      </c>
      <c r="F2694" s="18" t="s">
        <v>11167</v>
      </c>
      <c r="G2694" s="18" t="s">
        <v>128</v>
      </c>
      <c r="H2694" s="18" t="s">
        <v>162</v>
      </c>
      <c r="I2694" s="18"/>
      <c r="J2694" s="18"/>
      <c r="K2694" s="18"/>
      <c r="L2694" s="18" t="s">
        <v>129</v>
      </c>
      <c r="M2694" s="18" t="s">
        <v>129</v>
      </c>
      <c r="N2694" s="18"/>
      <c r="O2694" s="18"/>
      <c r="P2694" s="18"/>
      <c r="Q2694" s="18" t="s">
        <v>149</v>
      </c>
      <c r="R2694" s="18" t="s">
        <v>11168</v>
      </c>
      <c r="S2694" s="18" t="s">
        <v>140</v>
      </c>
      <c r="T2694" s="18" t="s">
        <v>2122</v>
      </c>
      <c r="U2694" s="18" t="s">
        <v>11169</v>
      </c>
      <c r="V2694" s="19" t="s">
        <v>29</v>
      </c>
      <c r="W2694" s="19"/>
      <c r="X2694" s="19"/>
      <c r="Y2694" s="20"/>
      <c r="Z2694" s="19"/>
      <c r="AA2694" s="18" t="str">
        <f aca="false">IF(OR(V2694="Aprobada"),R2694,IF(AND(OR(V2694="Aprobada con ajuste",V2694="Rechazada"),W2694&lt;&gt;""),W2694,""))</f>
        <v/>
      </c>
    </row>
    <row r="2695" customFormat="false" ht="22.35" hidden="false" customHeight="false" outlineLevel="0" collapsed="false">
      <c r="A2695" s="18" t="s">
        <v>11170</v>
      </c>
      <c r="B2695" s="18" t="s">
        <v>78</v>
      </c>
      <c r="C2695" s="18" t="s">
        <v>79</v>
      </c>
      <c r="D2695" s="18" t="s">
        <v>11133</v>
      </c>
      <c r="E2695" s="18" t="n">
        <v>575</v>
      </c>
      <c r="F2695" s="18" t="s">
        <v>635</v>
      </c>
      <c r="G2695" s="18" t="s">
        <v>358</v>
      </c>
      <c r="H2695" s="18" t="s">
        <v>162</v>
      </c>
      <c r="I2695" s="18"/>
      <c r="J2695" s="18"/>
      <c r="K2695" s="18"/>
      <c r="L2695" s="18" t="s">
        <v>129</v>
      </c>
      <c r="M2695" s="18" t="s">
        <v>129</v>
      </c>
      <c r="N2695" s="18"/>
      <c r="O2695" s="18"/>
      <c r="P2695" s="18"/>
      <c r="Q2695" s="18" t="s">
        <v>149</v>
      </c>
      <c r="R2695" s="18" t="s">
        <v>1674</v>
      </c>
      <c r="S2695" s="18" t="s">
        <v>133</v>
      </c>
      <c r="T2695" s="18" t="s">
        <v>10912</v>
      </c>
      <c r="U2695" s="18"/>
      <c r="V2695" s="19" t="s">
        <v>29</v>
      </c>
      <c r="W2695" s="19"/>
      <c r="X2695" s="19"/>
      <c r="Y2695" s="20"/>
      <c r="Z2695" s="19"/>
      <c r="AA2695" s="18" t="str">
        <f aca="false">IF(OR(V2695="Aprobada"),R2695,IF(AND(OR(V2695="Aprobada con ajuste",V2695="Rechazada"),W2695&lt;&gt;""),W2695,""))</f>
        <v/>
      </c>
    </row>
    <row r="2696" customFormat="false" ht="22.35" hidden="false" customHeight="false" outlineLevel="0" collapsed="false">
      <c r="A2696" s="18" t="s">
        <v>11171</v>
      </c>
      <c r="B2696" s="18" t="s">
        <v>78</v>
      </c>
      <c r="C2696" s="18" t="s">
        <v>79</v>
      </c>
      <c r="D2696" s="18" t="s">
        <v>11133</v>
      </c>
      <c r="E2696" s="18" t="n">
        <v>575</v>
      </c>
      <c r="F2696" s="18" t="s">
        <v>2409</v>
      </c>
      <c r="G2696" s="18" t="s">
        <v>358</v>
      </c>
      <c r="H2696" s="18" t="s">
        <v>162</v>
      </c>
      <c r="I2696" s="18"/>
      <c r="J2696" s="18"/>
      <c r="K2696" s="18"/>
      <c r="L2696" s="18" t="s">
        <v>129</v>
      </c>
      <c r="M2696" s="18" t="s">
        <v>129</v>
      </c>
      <c r="N2696" s="18"/>
      <c r="O2696" s="18"/>
      <c r="P2696" s="18"/>
      <c r="Q2696" s="18" t="s">
        <v>149</v>
      </c>
      <c r="R2696" s="18" t="s">
        <v>11172</v>
      </c>
      <c r="S2696" s="18" t="s">
        <v>133</v>
      </c>
      <c r="T2696" s="18" t="s">
        <v>10912</v>
      </c>
      <c r="U2696" s="18"/>
      <c r="V2696" s="19" t="s">
        <v>29</v>
      </c>
      <c r="W2696" s="19"/>
      <c r="X2696" s="19"/>
      <c r="Y2696" s="20"/>
      <c r="Z2696" s="19"/>
      <c r="AA2696" s="18" t="str">
        <f aca="false">IF(OR(V2696="Aprobada"),R2696,IF(AND(OR(V2696="Aprobada con ajuste",V2696="Rechazada"),W2696&lt;&gt;""),W2696,""))</f>
        <v/>
      </c>
    </row>
    <row r="2697" customFormat="false" ht="32.8" hidden="false" customHeight="false" outlineLevel="0" collapsed="false">
      <c r="A2697" s="18" t="s">
        <v>11173</v>
      </c>
      <c r="B2697" s="18" t="s">
        <v>78</v>
      </c>
      <c r="C2697" s="18" t="s">
        <v>79</v>
      </c>
      <c r="D2697" s="18" t="s">
        <v>11133</v>
      </c>
      <c r="E2697" s="18" t="n">
        <v>575</v>
      </c>
      <c r="F2697" s="18" t="s">
        <v>1936</v>
      </c>
      <c r="G2697" s="18" t="s">
        <v>358</v>
      </c>
      <c r="H2697" s="18" t="s">
        <v>162</v>
      </c>
      <c r="I2697" s="18"/>
      <c r="J2697" s="18"/>
      <c r="K2697" s="18"/>
      <c r="L2697" s="18" t="s">
        <v>129</v>
      </c>
      <c r="M2697" s="18" t="s">
        <v>129</v>
      </c>
      <c r="N2697" s="18"/>
      <c r="O2697" s="18"/>
      <c r="P2697" s="18"/>
      <c r="Q2697" s="18" t="s">
        <v>149</v>
      </c>
      <c r="R2697" s="18" t="s">
        <v>11174</v>
      </c>
      <c r="S2697" s="18" t="s">
        <v>140</v>
      </c>
      <c r="T2697" s="18" t="s">
        <v>11175</v>
      </c>
      <c r="U2697" s="18" t="s">
        <v>11176</v>
      </c>
      <c r="V2697" s="19" t="s">
        <v>29</v>
      </c>
      <c r="W2697" s="19"/>
      <c r="X2697" s="19"/>
      <c r="Y2697" s="20"/>
      <c r="Z2697" s="19"/>
      <c r="AA2697" s="18" t="str">
        <f aca="false">IF(OR(V2697="Aprobada"),R2697,IF(AND(OR(V2697="Aprobada con ajuste",V2697="Rechazada"),W2697&lt;&gt;""),W2697,""))</f>
        <v/>
      </c>
    </row>
    <row r="2698" customFormat="false" ht="22.35" hidden="false" customHeight="false" outlineLevel="0" collapsed="false">
      <c r="A2698" s="18" t="s">
        <v>11177</v>
      </c>
      <c r="B2698" s="18" t="s">
        <v>78</v>
      </c>
      <c r="C2698" s="18" t="s">
        <v>79</v>
      </c>
      <c r="D2698" s="18" t="s">
        <v>11133</v>
      </c>
      <c r="E2698" s="18" t="n">
        <v>575</v>
      </c>
      <c r="F2698" s="18" t="s">
        <v>627</v>
      </c>
      <c r="G2698" s="18" t="s">
        <v>186</v>
      </c>
      <c r="H2698" s="18" t="s">
        <v>162</v>
      </c>
      <c r="I2698" s="18"/>
      <c r="J2698" s="18"/>
      <c r="K2698" s="18"/>
      <c r="L2698" s="18" t="s">
        <v>129</v>
      </c>
      <c r="M2698" s="18" t="s">
        <v>129</v>
      </c>
      <c r="N2698" s="18"/>
      <c r="O2698" s="18"/>
      <c r="P2698" s="18"/>
      <c r="Q2698" s="18" t="s">
        <v>149</v>
      </c>
      <c r="R2698" s="18" t="s">
        <v>11178</v>
      </c>
      <c r="S2698" s="18" t="s">
        <v>133</v>
      </c>
      <c r="T2698" s="18" t="s">
        <v>11179</v>
      </c>
      <c r="U2698" s="18"/>
      <c r="V2698" s="19" t="s">
        <v>29</v>
      </c>
      <c r="W2698" s="19"/>
      <c r="X2698" s="19"/>
      <c r="Y2698" s="20"/>
      <c r="Z2698" s="19"/>
      <c r="AA2698" s="18" t="str">
        <f aca="false">IF(OR(V2698="Aprobada"),R2698,IF(AND(OR(V2698="Aprobada con ajuste",V2698="Rechazada"),W2698&lt;&gt;""),W2698,""))</f>
        <v/>
      </c>
    </row>
    <row r="2699" customFormat="false" ht="22.35" hidden="false" customHeight="false" outlineLevel="0" collapsed="false">
      <c r="A2699" s="18" t="s">
        <v>11180</v>
      </c>
      <c r="B2699" s="18" t="s">
        <v>78</v>
      </c>
      <c r="C2699" s="18" t="s">
        <v>79</v>
      </c>
      <c r="D2699" s="18" t="s">
        <v>11133</v>
      </c>
      <c r="E2699" s="18" t="n">
        <v>575</v>
      </c>
      <c r="F2699" s="18" t="s">
        <v>11181</v>
      </c>
      <c r="G2699" s="18" t="s">
        <v>205</v>
      </c>
      <c r="H2699" s="18" t="s">
        <v>162</v>
      </c>
      <c r="I2699" s="18"/>
      <c r="J2699" s="18"/>
      <c r="K2699" s="18"/>
      <c r="L2699" s="18" t="s">
        <v>129</v>
      </c>
      <c r="M2699" s="18" t="s">
        <v>129</v>
      </c>
      <c r="N2699" s="18"/>
      <c r="O2699" s="18" t="s">
        <v>11182</v>
      </c>
      <c r="P2699" s="18"/>
      <c r="Q2699" s="18" t="s">
        <v>149</v>
      </c>
      <c r="R2699" s="18" t="s">
        <v>11183</v>
      </c>
      <c r="S2699" s="18" t="s">
        <v>133</v>
      </c>
      <c r="T2699" s="18" t="s">
        <v>11184</v>
      </c>
      <c r="U2699" s="18"/>
      <c r="V2699" s="19" t="s">
        <v>29</v>
      </c>
      <c r="W2699" s="19"/>
      <c r="X2699" s="19"/>
      <c r="Y2699" s="20"/>
      <c r="Z2699" s="19"/>
      <c r="AA2699" s="18" t="str">
        <f aca="false">IF(OR(V2699="Aprobada"),R2699,IF(AND(OR(V2699="Aprobada con ajuste",V2699="Rechazada"),W2699&lt;&gt;""),W2699,""))</f>
        <v/>
      </c>
    </row>
    <row r="2700" customFormat="false" ht="22.35" hidden="false" customHeight="false" outlineLevel="0" collapsed="false">
      <c r="A2700" s="18" t="s">
        <v>11185</v>
      </c>
      <c r="B2700" s="18" t="s">
        <v>78</v>
      </c>
      <c r="C2700" s="18" t="s">
        <v>79</v>
      </c>
      <c r="D2700" s="18" t="s">
        <v>11133</v>
      </c>
      <c r="E2700" s="18" t="n">
        <v>575</v>
      </c>
      <c r="F2700" s="18" t="s">
        <v>11186</v>
      </c>
      <c r="G2700" s="18" t="s">
        <v>337</v>
      </c>
      <c r="H2700" s="18" t="s">
        <v>162</v>
      </c>
      <c r="I2700" s="18"/>
      <c r="J2700" s="18"/>
      <c r="K2700" s="18"/>
      <c r="L2700" s="18" t="s">
        <v>129</v>
      </c>
      <c r="M2700" s="18" t="s">
        <v>129</v>
      </c>
      <c r="N2700" s="18"/>
      <c r="O2700" s="18"/>
      <c r="P2700" s="18"/>
      <c r="Q2700" s="18" t="s">
        <v>149</v>
      </c>
      <c r="R2700" s="18" t="s">
        <v>11187</v>
      </c>
      <c r="S2700" s="18" t="s">
        <v>133</v>
      </c>
      <c r="T2700" s="18" t="s">
        <v>11188</v>
      </c>
      <c r="U2700" s="18"/>
      <c r="V2700" s="19" t="s">
        <v>29</v>
      </c>
      <c r="W2700" s="19"/>
      <c r="X2700" s="19"/>
      <c r="Y2700" s="20"/>
      <c r="Z2700" s="19"/>
      <c r="AA2700" s="18" t="str">
        <f aca="false">IF(OR(V2700="Aprobada"),R2700,IF(AND(OR(V2700="Aprobada con ajuste",V2700="Rechazada"),W2700&lt;&gt;""),W2700,""))</f>
        <v/>
      </c>
    </row>
    <row r="2701" customFormat="false" ht="22.35" hidden="false" customHeight="false" outlineLevel="0" collapsed="false">
      <c r="A2701" s="18" t="s">
        <v>11189</v>
      </c>
      <c r="B2701" s="18" t="s">
        <v>78</v>
      </c>
      <c r="C2701" s="18" t="s">
        <v>79</v>
      </c>
      <c r="D2701" s="18" t="s">
        <v>11133</v>
      </c>
      <c r="E2701" s="18" t="n">
        <v>575</v>
      </c>
      <c r="F2701" s="18" t="s">
        <v>11190</v>
      </c>
      <c r="G2701" s="18" t="s">
        <v>288</v>
      </c>
      <c r="H2701" s="18" t="s">
        <v>162</v>
      </c>
      <c r="I2701" s="18"/>
      <c r="J2701" s="18"/>
      <c r="K2701" s="18"/>
      <c r="L2701" s="18" t="s">
        <v>129</v>
      </c>
      <c r="M2701" s="18" t="s">
        <v>129</v>
      </c>
      <c r="N2701" s="18"/>
      <c r="O2701" s="18"/>
      <c r="P2701" s="18"/>
      <c r="Q2701" s="18" t="s">
        <v>149</v>
      </c>
      <c r="R2701" s="18" t="s">
        <v>11191</v>
      </c>
      <c r="S2701" s="18" t="s">
        <v>140</v>
      </c>
      <c r="T2701" s="18" t="s">
        <v>275</v>
      </c>
      <c r="U2701" s="18" t="s">
        <v>11192</v>
      </c>
      <c r="V2701" s="19" t="s">
        <v>29</v>
      </c>
      <c r="W2701" s="19"/>
      <c r="X2701" s="19"/>
      <c r="Y2701" s="20"/>
      <c r="Z2701" s="19"/>
      <c r="AA2701" s="18" t="str">
        <f aca="false">IF(OR(V2701="Aprobada"),R2701,IF(AND(OR(V2701="Aprobada con ajuste",V2701="Rechazada"),W2701&lt;&gt;""),W2701,""))</f>
        <v/>
      </c>
    </row>
    <row r="2702" customFormat="false" ht="22.35" hidden="false" customHeight="false" outlineLevel="0" collapsed="false">
      <c r="A2702" s="18" t="s">
        <v>11193</v>
      </c>
      <c r="B2702" s="18" t="s">
        <v>78</v>
      </c>
      <c r="C2702" s="18" t="s">
        <v>79</v>
      </c>
      <c r="D2702" s="18" t="s">
        <v>11133</v>
      </c>
      <c r="E2702" s="18" t="n">
        <v>575</v>
      </c>
      <c r="F2702" s="18" t="s">
        <v>2414</v>
      </c>
      <c r="G2702" s="18" t="s">
        <v>205</v>
      </c>
      <c r="H2702" s="18" t="s">
        <v>162</v>
      </c>
      <c r="I2702" s="18"/>
      <c r="J2702" s="18"/>
      <c r="K2702" s="18"/>
      <c r="L2702" s="18" t="s">
        <v>129</v>
      </c>
      <c r="M2702" s="18" t="s">
        <v>129</v>
      </c>
      <c r="N2702" s="18"/>
      <c r="O2702" s="18"/>
      <c r="P2702" s="18"/>
      <c r="Q2702" s="18" t="s">
        <v>138</v>
      </c>
      <c r="R2702" s="18" t="s">
        <v>2416</v>
      </c>
      <c r="S2702" s="18" t="s">
        <v>140</v>
      </c>
      <c r="T2702" s="18" t="s">
        <v>141</v>
      </c>
      <c r="U2702" s="18"/>
      <c r="V2702" s="19" t="s">
        <v>29</v>
      </c>
      <c r="W2702" s="19"/>
      <c r="X2702" s="19"/>
      <c r="Y2702" s="20"/>
      <c r="Z2702" s="19"/>
      <c r="AA2702" s="18" t="str">
        <f aca="false">IF(OR(V2702="Aprobada"),R2702,IF(AND(OR(V2702="Aprobada con ajuste",V2702="Rechazada"),W2702&lt;&gt;""),W2702,""))</f>
        <v/>
      </c>
    </row>
    <row r="2703" customFormat="false" ht="22.35" hidden="false" customHeight="false" outlineLevel="0" collapsed="false">
      <c r="A2703" s="18" t="s">
        <v>11194</v>
      </c>
      <c r="B2703" s="18" t="s">
        <v>78</v>
      </c>
      <c r="C2703" s="18" t="s">
        <v>79</v>
      </c>
      <c r="D2703" s="18" t="s">
        <v>11133</v>
      </c>
      <c r="E2703" s="18" t="n">
        <v>575</v>
      </c>
      <c r="F2703" s="18" t="s">
        <v>2418</v>
      </c>
      <c r="G2703" s="18" t="s">
        <v>205</v>
      </c>
      <c r="H2703" s="18" t="s">
        <v>162</v>
      </c>
      <c r="I2703" s="18"/>
      <c r="J2703" s="18"/>
      <c r="K2703" s="18"/>
      <c r="L2703" s="18" t="s">
        <v>129</v>
      </c>
      <c r="M2703" s="18" t="s">
        <v>129</v>
      </c>
      <c r="N2703" s="18"/>
      <c r="O2703" s="18"/>
      <c r="P2703" s="18"/>
      <c r="Q2703" s="18" t="s">
        <v>138</v>
      </c>
      <c r="R2703" s="18" t="s">
        <v>2420</v>
      </c>
      <c r="S2703" s="18" t="s">
        <v>140</v>
      </c>
      <c r="T2703" s="18" t="s">
        <v>141</v>
      </c>
      <c r="U2703" s="18"/>
      <c r="V2703" s="19" t="s">
        <v>29</v>
      </c>
      <c r="W2703" s="19"/>
      <c r="X2703" s="19"/>
      <c r="Y2703" s="20"/>
      <c r="Z2703" s="19"/>
      <c r="AA2703" s="18" t="str">
        <f aca="false">IF(OR(V2703="Aprobada"),R2703,IF(AND(OR(V2703="Aprobada con ajuste",V2703="Rechazada"),W2703&lt;&gt;""),W2703,""))</f>
        <v/>
      </c>
    </row>
    <row r="2704" customFormat="false" ht="22.35" hidden="false" customHeight="false" outlineLevel="0" collapsed="false">
      <c r="A2704" s="18" t="s">
        <v>11195</v>
      </c>
      <c r="B2704" s="18" t="s">
        <v>78</v>
      </c>
      <c r="C2704" s="18" t="s">
        <v>79</v>
      </c>
      <c r="D2704" s="18" t="s">
        <v>11133</v>
      </c>
      <c r="E2704" s="18" t="n">
        <v>575</v>
      </c>
      <c r="F2704" s="18" t="s">
        <v>11196</v>
      </c>
      <c r="G2704" s="18" t="s">
        <v>760</v>
      </c>
      <c r="H2704" s="18" t="s">
        <v>162</v>
      </c>
      <c r="I2704" s="18"/>
      <c r="J2704" s="18"/>
      <c r="K2704" s="18"/>
      <c r="L2704" s="18" t="s">
        <v>129</v>
      </c>
      <c r="M2704" s="18" t="s">
        <v>129</v>
      </c>
      <c r="N2704" s="18"/>
      <c r="O2704" s="18" t="s">
        <v>11197</v>
      </c>
      <c r="P2704" s="18"/>
      <c r="Q2704" s="18" t="s">
        <v>149</v>
      </c>
      <c r="R2704" s="18" t="s">
        <v>11198</v>
      </c>
      <c r="S2704" s="18" t="s">
        <v>133</v>
      </c>
      <c r="T2704" s="18" t="s">
        <v>11199</v>
      </c>
      <c r="U2704" s="18"/>
      <c r="V2704" s="19" t="s">
        <v>29</v>
      </c>
      <c r="W2704" s="19"/>
      <c r="X2704" s="19"/>
      <c r="Y2704" s="20"/>
      <c r="Z2704" s="19"/>
      <c r="AA2704" s="18" t="str">
        <f aca="false">IF(OR(V2704="Aprobada"),R2704,IF(AND(OR(V2704="Aprobada con ajuste",V2704="Rechazada"),W2704&lt;&gt;""),W2704,""))</f>
        <v/>
      </c>
    </row>
    <row r="2705" customFormat="false" ht="22.35" hidden="false" customHeight="false" outlineLevel="0" collapsed="false">
      <c r="A2705" s="18" t="s">
        <v>11200</v>
      </c>
      <c r="B2705" s="18" t="s">
        <v>78</v>
      </c>
      <c r="C2705" s="18" t="s">
        <v>79</v>
      </c>
      <c r="D2705" s="18" t="s">
        <v>11133</v>
      </c>
      <c r="E2705" s="18" t="n">
        <v>575</v>
      </c>
      <c r="F2705" s="18" t="s">
        <v>11068</v>
      </c>
      <c r="G2705" s="18" t="s">
        <v>828</v>
      </c>
      <c r="H2705" s="18" t="s">
        <v>162</v>
      </c>
      <c r="I2705" s="18"/>
      <c r="J2705" s="18"/>
      <c r="K2705" s="18"/>
      <c r="L2705" s="18" t="s">
        <v>129</v>
      </c>
      <c r="M2705" s="18" t="s">
        <v>129</v>
      </c>
      <c r="N2705" s="18"/>
      <c r="O2705" s="18" t="s">
        <v>11197</v>
      </c>
      <c r="P2705" s="18"/>
      <c r="Q2705" s="18" t="s">
        <v>149</v>
      </c>
      <c r="R2705" s="18" t="s">
        <v>11201</v>
      </c>
      <c r="S2705" s="18" t="s">
        <v>133</v>
      </c>
      <c r="T2705" s="18" t="s">
        <v>11202</v>
      </c>
      <c r="U2705" s="18"/>
      <c r="V2705" s="19" t="s">
        <v>29</v>
      </c>
      <c r="W2705" s="19"/>
      <c r="X2705" s="19"/>
      <c r="Y2705" s="20"/>
      <c r="Z2705" s="19"/>
      <c r="AA2705" s="18" t="str">
        <f aca="false">IF(OR(V2705="Aprobada"),R2705,IF(AND(OR(V2705="Aprobada con ajuste",V2705="Rechazada"),W2705&lt;&gt;""),W2705,""))</f>
        <v/>
      </c>
    </row>
    <row r="2706" customFormat="false" ht="22.35" hidden="false" customHeight="false" outlineLevel="0" collapsed="false">
      <c r="A2706" s="18" t="s">
        <v>11203</v>
      </c>
      <c r="B2706" s="18" t="s">
        <v>78</v>
      </c>
      <c r="C2706" s="18" t="s">
        <v>79</v>
      </c>
      <c r="D2706" s="18" t="s">
        <v>11133</v>
      </c>
      <c r="E2706" s="18" t="n">
        <v>575</v>
      </c>
      <c r="F2706" s="18" t="s">
        <v>11073</v>
      </c>
      <c r="G2706" s="18" t="s">
        <v>828</v>
      </c>
      <c r="H2706" s="18" t="s">
        <v>162</v>
      </c>
      <c r="I2706" s="18"/>
      <c r="J2706" s="18"/>
      <c r="K2706" s="18"/>
      <c r="L2706" s="18" t="s">
        <v>129</v>
      </c>
      <c r="M2706" s="18" t="s">
        <v>129</v>
      </c>
      <c r="N2706" s="18"/>
      <c r="O2706" s="18" t="s">
        <v>11197</v>
      </c>
      <c r="P2706" s="18"/>
      <c r="Q2706" s="18" t="s">
        <v>149</v>
      </c>
      <c r="R2706" s="18" t="s">
        <v>11204</v>
      </c>
      <c r="S2706" s="18" t="s">
        <v>133</v>
      </c>
      <c r="T2706" s="18" t="s">
        <v>11202</v>
      </c>
      <c r="U2706" s="18"/>
      <c r="V2706" s="19" t="s">
        <v>29</v>
      </c>
      <c r="W2706" s="19"/>
      <c r="X2706" s="19"/>
      <c r="Y2706" s="20"/>
      <c r="Z2706" s="19"/>
      <c r="AA2706" s="18" t="str">
        <f aca="false">IF(OR(V2706="Aprobada"),R2706,IF(AND(OR(V2706="Aprobada con ajuste",V2706="Rechazada"),W2706&lt;&gt;""),W2706,""))</f>
        <v/>
      </c>
    </row>
    <row r="2707" customFormat="false" ht="22.35" hidden="false" customHeight="false" outlineLevel="0" collapsed="false">
      <c r="A2707" s="18" t="s">
        <v>11205</v>
      </c>
      <c r="B2707" s="18" t="s">
        <v>78</v>
      </c>
      <c r="C2707" s="18" t="s">
        <v>79</v>
      </c>
      <c r="D2707" s="18" t="s">
        <v>11133</v>
      </c>
      <c r="E2707" s="18" t="n">
        <v>575</v>
      </c>
      <c r="F2707" s="18" t="s">
        <v>11206</v>
      </c>
      <c r="G2707" s="18" t="s">
        <v>828</v>
      </c>
      <c r="H2707" s="18" t="s">
        <v>162</v>
      </c>
      <c r="I2707" s="18"/>
      <c r="J2707" s="18"/>
      <c r="K2707" s="18"/>
      <c r="L2707" s="18" t="s">
        <v>129</v>
      </c>
      <c r="M2707" s="18" t="s">
        <v>129</v>
      </c>
      <c r="N2707" s="18"/>
      <c r="O2707" s="18"/>
      <c r="P2707" s="18"/>
      <c r="Q2707" s="18" t="s">
        <v>149</v>
      </c>
      <c r="R2707" s="18" t="s">
        <v>11207</v>
      </c>
      <c r="S2707" s="18" t="s">
        <v>140</v>
      </c>
      <c r="T2707" s="18" t="s">
        <v>11208</v>
      </c>
      <c r="U2707" s="18" t="s">
        <v>11209</v>
      </c>
      <c r="V2707" s="19" t="s">
        <v>29</v>
      </c>
      <c r="W2707" s="19"/>
      <c r="X2707" s="19"/>
      <c r="Y2707" s="20"/>
      <c r="Z2707" s="19"/>
      <c r="AA2707" s="18" t="str">
        <f aca="false">IF(OR(V2707="Aprobada"),R2707,IF(AND(OR(V2707="Aprobada con ajuste",V2707="Rechazada"),W2707&lt;&gt;""),W2707,""))</f>
        <v/>
      </c>
    </row>
    <row r="2708" customFormat="false" ht="22.35" hidden="false" customHeight="false" outlineLevel="0" collapsed="false">
      <c r="A2708" s="18" t="s">
        <v>11210</v>
      </c>
      <c r="B2708" s="18" t="s">
        <v>78</v>
      </c>
      <c r="C2708" s="18" t="s">
        <v>79</v>
      </c>
      <c r="D2708" s="18" t="s">
        <v>11133</v>
      </c>
      <c r="E2708" s="18" t="n">
        <v>575</v>
      </c>
      <c r="F2708" s="18" t="s">
        <v>10891</v>
      </c>
      <c r="G2708" s="18" t="s">
        <v>2900</v>
      </c>
      <c r="H2708" s="18" t="s">
        <v>162</v>
      </c>
      <c r="I2708" s="18"/>
      <c r="J2708" s="18"/>
      <c r="K2708" s="18"/>
      <c r="L2708" s="18" t="s">
        <v>129</v>
      </c>
      <c r="M2708" s="18" t="s">
        <v>129</v>
      </c>
      <c r="N2708" s="18"/>
      <c r="O2708" s="18" t="s">
        <v>11197</v>
      </c>
      <c r="P2708" s="18"/>
      <c r="Q2708" s="18" t="s">
        <v>149</v>
      </c>
      <c r="R2708" s="18" t="s">
        <v>11211</v>
      </c>
      <c r="S2708" s="18" t="s">
        <v>133</v>
      </c>
      <c r="T2708" s="18" t="s">
        <v>11199</v>
      </c>
      <c r="U2708" s="18"/>
      <c r="V2708" s="19" t="s">
        <v>29</v>
      </c>
      <c r="W2708" s="19"/>
      <c r="X2708" s="19"/>
      <c r="Y2708" s="20"/>
      <c r="Z2708" s="19"/>
      <c r="AA2708" s="18" t="str">
        <f aca="false">IF(OR(V2708="Aprobada"),R2708,IF(AND(OR(V2708="Aprobada con ajuste",V2708="Rechazada"),W2708&lt;&gt;""),W2708,""))</f>
        <v/>
      </c>
    </row>
    <row r="2709" customFormat="false" ht="22.35" hidden="false" customHeight="false" outlineLevel="0" collapsed="false">
      <c r="A2709" s="18" t="s">
        <v>11212</v>
      </c>
      <c r="B2709" s="18" t="s">
        <v>78</v>
      </c>
      <c r="C2709" s="18" t="s">
        <v>79</v>
      </c>
      <c r="D2709" s="18" t="s">
        <v>11133</v>
      </c>
      <c r="E2709" s="18" t="n">
        <v>575</v>
      </c>
      <c r="F2709" s="18" t="s">
        <v>11213</v>
      </c>
      <c r="G2709" s="18" t="s">
        <v>205</v>
      </c>
      <c r="H2709" s="18" t="s">
        <v>162</v>
      </c>
      <c r="I2709" s="18"/>
      <c r="J2709" s="18"/>
      <c r="K2709" s="18"/>
      <c r="L2709" s="18" t="s">
        <v>129</v>
      </c>
      <c r="M2709" s="18" t="s">
        <v>129</v>
      </c>
      <c r="N2709" s="18"/>
      <c r="O2709" s="18"/>
      <c r="P2709" s="18"/>
      <c r="Q2709" s="18" t="s">
        <v>149</v>
      </c>
      <c r="R2709" s="18" t="s">
        <v>11214</v>
      </c>
      <c r="S2709" s="18" t="s">
        <v>242</v>
      </c>
      <c r="T2709" s="18" t="s">
        <v>11215</v>
      </c>
      <c r="U2709" s="18" t="s">
        <v>11216</v>
      </c>
      <c r="V2709" s="19" t="s">
        <v>29</v>
      </c>
      <c r="W2709" s="19"/>
      <c r="X2709" s="19"/>
      <c r="Y2709" s="20"/>
      <c r="Z2709" s="19"/>
      <c r="AA2709" s="18" t="str">
        <f aca="false">IF(OR(V2709="Aprobada"),R2709,IF(AND(OR(V2709="Aprobada con ajuste",V2709="Rechazada"),W2709&lt;&gt;""),W2709,""))</f>
        <v/>
      </c>
    </row>
    <row r="2710" customFormat="false" ht="22.35" hidden="false" customHeight="false" outlineLevel="0" collapsed="false">
      <c r="A2710" s="18" t="s">
        <v>11217</v>
      </c>
      <c r="B2710" s="18" t="s">
        <v>78</v>
      </c>
      <c r="C2710" s="18" t="s">
        <v>79</v>
      </c>
      <c r="D2710" s="18" t="s">
        <v>11133</v>
      </c>
      <c r="E2710" s="18" t="n">
        <v>575</v>
      </c>
      <c r="F2710" s="18" t="s">
        <v>11218</v>
      </c>
      <c r="G2710" s="18" t="s">
        <v>205</v>
      </c>
      <c r="H2710" s="18" t="s">
        <v>162</v>
      </c>
      <c r="I2710" s="18"/>
      <c r="J2710" s="18"/>
      <c r="K2710" s="18"/>
      <c r="L2710" s="18" t="s">
        <v>129</v>
      </c>
      <c r="M2710" s="18" t="s">
        <v>129</v>
      </c>
      <c r="N2710" s="18"/>
      <c r="O2710" s="18"/>
      <c r="P2710" s="18"/>
      <c r="Q2710" s="18" t="s">
        <v>149</v>
      </c>
      <c r="R2710" s="18" t="s">
        <v>11219</v>
      </c>
      <c r="S2710" s="18" t="s">
        <v>242</v>
      </c>
      <c r="T2710" s="18" t="s">
        <v>11215</v>
      </c>
      <c r="U2710" s="18" t="s">
        <v>11220</v>
      </c>
      <c r="V2710" s="19" t="s">
        <v>29</v>
      </c>
      <c r="W2710" s="19"/>
      <c r="X2710" s="19"/>
      <c r="Y2710" s="20"/>
      <c r="Z2710" s="19"/>
      <c r="AA2710" s="18" t="str">
        <f aca="false">IF(OR(V2710="Aprobada"),R2710,IF(AND(OR(V2710="Aprobada con ajuste",V2710="Rechazada"),W2710&lt;&gt;""),W2710,""))</f>
        <v/>
      </c>
    </row>
    <row r="2711" customFormat="false" ht="22.35" hidden="false" customHeight="false" outlineLevel="0" collapsed="false">
      <c r="A2711" s="18" t="s">
        <v>11221</v>
      </c>
      <c r="B2711" s="18" t="s">
        <v>78</v>
      </c>
      <c r="C2711" s="18" t="s">
        <v>79</v>
      </c>
      <c r="D2711" s="18" t="s">
        <v>11133</v>
      </c>
      <c r="E2711" s="18" t="n">
        <v>575</v>
      </c>
      <c r="F2711" s="18" t="s">
        <v>11222</v>
      </c>
      <c r="G2711" s="18" t="s">
        <v>584</v>
      </c>
      <c r="H2711" s="18" t="s">
        <v>129</v>
      </c>
      <c r="I2711" s="18"/>
      <c r="J2711" s="18"/>
      <c r="K2711" s="18"/>
      <c r="L2711" s="18" t="s">
        <v>129</v>
      </c>
      <c r="M2711" s="18" t="s">
        <v>129</v>
      </c>
      <c r="N2711" s="18"/>
      <c r="O2711" s="18"/>
      <c r="P2711" s="18"/>
      <c r="Q2711" s="18" t="s">
        <v>149</v>
      </c>
      <c r="R2711" s="18" t="s">
        <v>11223</v>
      </c>
      <c r="S2711" s="18" t="s">
        <v>133</v>
      </c>
      <c r="T2711" s="18" t="s">
        <v>3267</v>
      </c>
      <c r="U2711" s="18"/>
      <c r="V2711" s="19" t="s">
        <v>29</v>
      </c>
      <c r="W2711" s="19"/>
      <c r="X2711" s="19"/>
      <c r="Y2711" s="20"/>
      <c r="Z2711" s="19"/>
      <c r="AA2711" s="18" t="str">
        <f aca="false">IF(OR(V2711="Aprobada"),R2711,IF(AND(OR(V2711="Aprobada con ajuste",V2711="Rechazada"),W2711&lt;&gt;""),W2711,""))</f>
        <v/>
      </c>
    </row>
    <row r="2712" customFormat="false" ht="22.35" hidden="false" customHeight="false" outlineLevel="0" collapsed="false">
      <c r="A2712" s="18" t="s">
        <v>11224</v>
      </c>
      <c r="B2712" s="18" t="s">
        <v>78</v>
      </c>
      <c r="C2712" s="18" t="s">
        <v>79</v>
      </c>
      <c r="D2712" s="18" t="s">
        <v>11225</v>
      </c>
      <c r="E2712" s="18" t="n">
        <v>0</v>
      </c>
      <c r="F2712" s="18" t="s">
        <v>185</v>
      </c>
      <c r="G2712" s="18" t="s">
        <v>205</v>
      </c>
      <c r="H2712" s="18" t="s">
        <v>129</v>
      </c>
      <c r="I2712" s="18" t="s">
        <v>298</v>
      </c>
      <c r="J2712" s="18" t="s">
        <v>11226</v>
      </c>
      <c r="K2712" s="18"/>
      <c r="L2712" s="18" t="s">
        <v>162</v>
      </c>
      <c r="M2712" s="18" t="s">
        <v>129</v>
      </c>
      <c r="N2712" s="18"/>
      <c r="O2712" s="18"/>
      <c r="P2712" s="18"/>
      <c r="Q2712" s="18" t="s">
        <v>138</v>
      </c>
      <c r="R2712" s="18" t="s">
        <v>11227</v>
      </c>
      <c r="S2712" s="18" t="s">
        <v>140</v>
      </c>
      <c r="T2712" s="18" t="s">
        <v>141</v>
      </c>
      <c r="U2712" s="18"/>
      <c r="V2712" s="19" t="s">
        <v>29</v>
      </c>
      <c r="W2712" s="19"/>
      <c r="X2712" s="19"/>
      <c r="Y2712" s="20"/>
      <c r="Z2712" s="19"/>
      <c r="AA2712" s="18" t="str">
        <f aca="false">IF(OR(V2712="Aprobada"),R2712,IF(AND(OR(V2712="Aprobada con ajuste",V2712="Rechazada"),W2712&lt;&gt;""),W2712,""))</f>
        <v/>
      </c>
    </row>
    <row r="2713" customFormat="false" ht="22.35" hidden="false" customHeight="false" outlineLevel="0" collapsed="false">
      <c r="A2713" s="18" t="s">
        <v>11228</v>
      </c>
      <c r="B2713" s="18" t="s">
        <v>78</v>
      </c>
      <c r="C2713" s="18" t="s">
        <v>79</v>
      </c>
      <c r="D2713" s="18" t="s">
        <v>11225</v>
      </c>
      <c r="E2713" s="18" t="n">
        <v>0</v>
      </c>
      <c r="F2713" s="18" t="s">
        <v>11229</v>
      </c>
      <c r="G2713" s="18" t="s">
        <v>584</v>
      </c>
      <c r="H2713" s="18" t="s">
        <v>162</v>
      </c>
      <c r="I2713" s="18"/>
      <c r="J2713" s="18"/>
      <c r="K2713" s="18"/>
      <c r="L2713" s="18" t="s">
        <v>129</v>
      </c>
      <c r="M2713" s="18" t="s">
        <v>129</v>
      </c>
      <c r="N2713" s="18"/>
      <c r="O2713" s="18"/>
      <c r="P2713" s="18"/>
      <c r="Q2713" s="18" t="s">
        <v>138</v>
      </c>
      <c r="R2713" s="18" t="s">
        <v>6439</v>
      </c>
      <c r="S2713" s="18" t="s">
        <v>140</v>
      </c>
      <c r="T2713" s="18" t="s">
        <v>141</v>
      </c>
      <c r="U2713" s="18"/>
      <c r="V2713" s="19" t="s">
        <v>29</v>
      </c>
      <c r="W2713" s="19"/>
      <c r="X2713" s="19"/>
      <c r="Y2713" s="20"/>
      <c r="Z2713" s="19"/>
      <c r="AA2713" s="18" t="str">
        <f aca="false">IF(OR(V2713="Aprobada"),R2713,IF(AND(OR(V2713="Aprobada con ajuste",V2713="Rechazada"),W2713&lt;&gt;""),W2713,""))</f>
        <v/>
      </c>
    </row>
    <row r="2714" customFormat="false" ht="22.35" hidden="false" customHeight="false" outlineLevel="0" collapsed="false">
      <c r="A2714" s="18" t="s">
        <v>11230</v>
      </c>
      <c r="B2714" s="18" t="s">
        <v>78</v>
      </c>
      <c r="C2714" s="18" t="s">
        <v>79</v>
      </c>
      <c r="D2714" s="18" t="s">
        <v>11225</v>
      </c>
      <c r="E2714" s="18" t="n">
        <v>0</v>
      </c>
      <c r="F2714" s="18" t="s">
        <v>11231</v>
      </c>
      <c r="G2714" s="18" t="s">
        <v>312</v>
      </c>
      <c r="H2714" s="18" t="s">
        <v>162</v>
      </c>
      <c r="I2714" s="18"/>
      <c r="J2714" s="18"/>
      <c r="K2714" s="18"/>
      <c r="L2714" s="18" t="s">
        <v>129</v>
      </c>
      <c r="M2714" s="18" t="s">
        <v>129</v>
      </c>
      <c r="N2714" s="18"/>
      <c r="O2714" s="18"/>
      <c r="P2714" s="18"/>
      <c r="Q2714" s="18" t="s">
        <v>138</v>
      </c>
      <c r="R2714" s="18" t="s">
        <v>11232</v>
      </c>
      <c r="S2714" s="18" t="s">
        <v>140</v>
      </c>
      <c r="T2714" s="18" t="s">
        <v>141</v>
      </c>
      <c r="U2714" s="18"/>
      <c r="V2714" s="19" t="s">
        <v>29</v>
      </c>
      <c r="W2714" s="19"/>
      <c r="X2714" s="19"/>
      <c r="Y2714" s="20"/>
      <c r="Z2714" s="19"/>
      <c r="AA2714" s="18" t="str">
        <f aca="false">IF(OR(V2714="Aprobada"),R2714,IF(AND(OR(V2714="Aprobada con ajuste",V2714="Rechazada"),W2714&lt;&gt;""),W2714,""))</f>
        <v/>
      </c>
    </row>
    <row r="2715" customFormat="false" ht="85.05" hidden="false" customHeight="false" outlineLevel="0" collapsed="false">
      <c r="A2715" s="18" t="s">
        <v>11233</v>
      </c>
      <c r="B2715" s="18" t="s">
        <v>80</v>
      </c>
      <c r="C2715" s="18" t="s">
        <v>81</v>
      </c>
      <c r="D2715" s="18" t="s">
        <v>11234</v>
      </c>
      <c r="E2715" s="18" t="n">
        <v>1</v>
      </c>
      <c r="F2715" s="18" t="s">
        <v>2414</v>
      </c>
      <c r="G2715" s="18" t="s">
        <v>137</v>
      </c>
      <c r="H2715" s="18" t="s">
        <v>129</v>
      </c>
      <c r="I2715" s="18"/>
      <c r="J2715" s="18"/>
      <c r="K2715" s="18"/>
      <c r="L2715" s="18" t="s">
        <v>129</v>
      </c>
      <c r="M2715" s="18" t="s">
        <v>129</v>
      </c>
      <c r="N2715" s="18"/>
      <c r="O2715" s="18"/>
      <c r="P2715" s="18" t="s">
        <v>11235</v>
      </c>
      <c r="Q2715" s="18" t="s">
        <v>131</v>
      </c>
      <c r="R2715" s="18" t="s">
        <v>11236</v>
      </c>
      <c r="S2715" s="18" t="s">
        <v>133</v>
      </c>
      <c r="T2715" s="18" t="s">
        <v>11237</v>
      </c>
      <c r="U2715" s="18"/>
      <c r="V2715" s="19" t="s">
        <v>29</v>
      </c>
      <c r="W2715" s="19"/>
      <c r="X2715" s="19"/>
      <c r="Y2715" s="20"/>
      <c r="Z2715" s="19"/>
      <c r="AA2715" s="18" t="str">
        <f aca="false">IF(OR(V2715="Aprobada"),R2715,IF(AND(OR(V2715="Aprobada con ajuste",V2715="Rechazada"),W2715&lt;&gt;""),W2715,""))</f>
        <v/>
      </c>
    </row>
    <row r="2716" customFormat="false" ht="116.4" hidden="false" customHeight="false" outlineLevel="0" collapsed="false">
      <c r="A2716" s="18" t="s">
        <v>11238</v>
      </c>
      <c r="B2716" s="18" t="s">
        <v>80</v>
      </c>
      <c r="C2716" s="18" t="s">
        <v>81</v>
      </c>
      <c r="D2716" s="18" t="s">
        <v>11234</v>
      </c>
      <c r="E2716" s="18" t="n">
        <v>1</v>
      </c>
      <c r="F2716" s="18" t="s">
        <v>11239</v>
      </c>
      <c r="G2716" s="18" t="s">
        <v>128</v>
      </c>
      <c r="H2716" s="18" t="s">
        <v>129</v>
      </c>
      <c r="I2716" s="18" t="s">
        <v>298</v>
      </c>
      <c r="J2716" s="18"/>
      <c r="K2716" s="18"/>
      <c r="L2716" s="18" t="s">
        <v>129</v>
      </c>
      <c r="M2716" s="18" t="s">
        <v>129</v>
      </c>
      <c r="N2716" s="18"/>
      <c r="O2716" s="18"/>
      <c r="P2716" s="18" t="s">
        <v>11240</v>
      </c>
      <c r="Q2716" s="18" t="s">
        <v>131</v>
      </c>
      <c r="R2716" s="18" t="s">
        <v>11241</v>
      </c>
      <c r="S2716" s="18" t="s">
        <v>133</v>
      </c>
      <c r="T2716" s="18" t="s">
        <v>11242</v>
      </c>
      <c r="U2716" s="18"/>
      <c r="V2716" s="19" t="s">
        <v>29</v>
      </c>
      <c r="W2716" s="19"/>
      <c r="X2716" s="19"/>
      <c r="Y2716" s="20"/>
      <c r="Z2716" s="19"/>
      <c r="AA2716" s="18" t="str">
        <f aca="false">IF(OR(V2716="Aprobada"),R2716,IF(AND(OR(V2716="Aprobada con ajuste",V2716="Rechazada"),W2716&lt;&gt;""),W2716,""))</f>
        <v/>
      </c>
    </row>
    <row r="2717" customFormat="false" ht="105.95" hidden="false" customHeight="false" outlineLevel="0" collapsed="false">
      <c r="A2717" s="18" t="s">
        <v>11243</v>
      </c>
      <c r="B2717" s="18" t="s">
        <v>80</v>
      </c>
      <c r="C2717" s="18" t="s">
        <v>81</v>
      </c>
      <c r="D2717" s="18" t="s">
        <v>11234</v>
      </c>
      <c r="E2717" s="18" t="n">
        <v>1</v>
      </c>
      <c r="F2717" s="18" t="s">
        <v>11244</v>
      </c>
      <c r="G2717" s="18" t="s">
        <v>128</v>
      </c>
      <c r="H2717" s="18" t="s">
        <v>162</v>
      </c>
      <c r="I2717" s="18"/>
      <c r="J2717" s="18"/>
      <c r="K2717" s="18"/>
      <c r="L2717" s="18" t="s">
        <v>129</v>
      </c>
      <c r="M2717" s="18" t="s">
        <v>129</v>
      </c>
      <c r="N2717" s="18"/>
      <c r="O2717" s="18"/>
      <c r="P2717" s="18" t="s">
        <v>11245</v>
      </c>
      <c r="Q2717" s="18" t="s">
        <v>131</v>
      </c>
      <c r="R2717" s="18" t="s">
        <v>11246</v>
      </c>
      <c r="S2717" s="18" t="s">
        <v>133</v>
      </c>
      <c r="T2717" s="18" t="s">
        <v>11247</v>
      </c>
      <c r="U2717" s="18"/>
      <c r="V2717" s="19" t="s">
        <v>29</v>
      </c>
      <c r="W2717" s="19"/>
      <c r="X2717" s="19"/>
      <c r="Y2717" s="20"/>
      <c r="Z2717" s="19"/>
      <c r="AA2717" s="18" t="str">
        <f aca="false">IF(OR(V2717="Aprobada"),R2717,IF(AND(OR(V2717="Aprobada con ajuste",V2717="Rechazada"),W2717&lt;&gt;""),W2717,""))</f>
        <v/>
      </c>
    </row>
    <row r="2718" customFormat="false" ht="74.6" hidden="false" customHeight="false" outlineLevel="0" collapsed="false">
      <c r="A2718" s="18" t="s">
        <v>11248</v>
      </c>
      <c r="B2718" s="18" t="s">
        <v>80</v>
      </c>
      <c r="C2718" s="18" t="s">
        <v>81</v>
      </c>
      <c r="D2718" s="18" t="s">
        <v>11234</v>
      </c>
      <c r="E2718" s="18" t="n">
        <v>1</v>
      </c>
      <c r="F2718" s="18" t="s">
        <v>11249</v>
      </c>
      <c r="G2718" s="18" t="s">
        <v>173</v>
      </c>
      <c r="H2718" s="18" t="s">
        <v>129</v>
      </c>
      <c r="I2718" s="18"/>
      <c r="J2718" s="18"/>
      <c r="K2718" s="18"/>
      <c r="L2718" s="18" t="s">
        <v>129</v>
      </c>
      <c r="M2718" s="18" t="s">
        <v>129</v>
      </c>
      <c r="N2718" s="18"/>
      <c r="O2718" s="18"/>
      <c r="P2718" s="18" t="s">
        <v>11250</v>
      </c>
      <c r="Q2718" s="18" t="s">
        <v>131</v>
      </c>
      <c r="R2718" s="18" t="s">
        <v>11251</v>
      </c>
      <c r="S2718" s="18" t="s">
        <v>133</v>
      </c>
      <c r="T2718" s="18" t="s">
        <v>11252</v>
      </c>
      <c r="U2718" s="18"/>
      <c r="V2718" s="19" t="s">
        <v>29</v>
      </c>
      <c r="W2718" s="19"/>
      <c r="X2718" s="19"/>
      <c r="Y2718" s="20"/>
      <c r="Z2718" s="19"/>
      <c r="AA2718" s="18" t="str">
        <f aca="false">IF(OR(V2718="Aprobada"),R2718,IF(AND(OR(V2718="Aprobada con ajuste",V2718="Rechazada"),W2718&lt;&gt;""),W2718,""))</f>
        <v/>
      </c>
    </row>
    <row r="2719" customFormat="false" ht="22.35" hidden="false" customHeight="false" outlineLevel="0" collapsed="false">
      <c r="A2719" s="18" t="s">
        <v>11253</v>
      </c>
      <c r="B2719" s="18" t="s">
        <v>80</v>
      </c>
      <c r="C2719" s="18" t="s">
        <v>81</v>
      </c>
      <c r="D2719" s="18" t="s">
        <v>11234</v>
      </c>
      <c r="E2719" s="18" t="n">
        <v>1</v>
      </c>
      <c r="F2719" s="18" t="s">
        <v>11254</v>
      </c>
      <c r="G2719" s="18" t="s">
        <v>454</v>
      </c>
      <c r="H2719" s="18" t="s">
        <v>162</v>
      </c>
      <c r="I2719" s="18"/>
      <c r="J2719" s="18"/>
      <c r="K2719" s="18"/>
      <c r="L2719" s="18" t="s">
        <v>129</v>
      </c>
      <c r="M2719" s="18" t="s">
        <v>129</v>
      </c>
      <c r="N2719" s="18"/>
      <c r="O2719" s="18"/>
      <c r="P2719" s="18" t="s">
        <v>11255</v>
      </c>
      <c r="Q2719" s="18" t="s">
        <v>138</v>
      </c>
      <c r="R2719" s="18" t="s">
        <v>2017</v>
      </c>
      <c r="S2719" s="18" t="s">
        <v>140</v>
      </c>
      <c r="T2719" s="18" t="s">
        <v>141</v>
      </c>
      <c r="U2719" s="18"/>
      <c r="V2719" s="19" t="s">
        <v>29</v>
      </c>
      <c r="W2719" s="19"/>
      <c r="X2719" s="19"/>
      <c r="Y2719" s="20"/>
      <c r="Z2719" s="19"/>
      <c r="AA2719" s="18" t="str">
        <f aca="false">IF(OR(V2719="Aprobada"),R2719,IF(AND(OR(V2719="Aprobada con ajuste",V2719="Rechazada"),W2719&lt;&gt;""),W2719,""))</f>
        <v/>
      </c>
    </row>
    <row r="2720" customFormat="false" ht="189.55" hidden="false" customHeight="false" outlineLevel="0" collapsed="false">
      <c r="A2720" s="18" t="s">
        <v>11256</v>
      </c>
      <c r="B2720" s="18" t="s">
        <v>80</v>
      </c>
      <c r="C2720" s="18" t="s">
        <v>81</v>
      </c>
      <c r="D2720" s="18" t="s">
        <v>11257</v>
      </c>
      <c r="E2720" s="18" t="n">
        <v>0</v>
      </c>
      <c r="F2720" s="18" t="s">
        <v>127</v>
      </c>
      <c r="G2720" s="18" t="s">
        <v>205</v>
      </c>
      <c r="H2720" s="18" t="s">
        <v>129</v>
      </c>
      <c r="I2720" s="18" t="s">
        <v>298</v>
      </c>
      <c r="J2720" s="18" t="s">
        <v>11258</v>
      </c>
      <c r="K2720" s="18"/>
      <c r="L2720" s="18" t="s">
        <v>162</v>
      </c>
      <c r="M2720" s="18" t="s">
        <v>129</v>
      </c>
      <c r="N2720" s="18"/>
      <c r="O2720" s="18"/>
      <c r="P2720" s="18" t="s">
        <v>11259</v>
      </c>
      <c r="Q2720" s="18" t="s">
        <v>131</v>
      </c>
      <c r="R2720" s="18" t="s">
        <v>11260</v>
      </c>
      <c r="S2720" s="18" t="s">
        <v>133</v>
      </c>
      <c r="T2720" s="18" t="s">
        <v>11261</v>
      </c>
      <c r="U2720" s="18"/>
      <c r="V2720" s="19" t="s">
        <v>29</v>
      </c>
      <c r="W2720" s="19"/>
      <c r="X2720" s="19"/>
      <c r="Y2720" s="20"/>
      <c r="Z2720" s="19"/>
      <c r="AA2720" s="18" t="str">
        <f aca="false">IF(OR(V2720="Aprobada"),R2720,IF(AND(OR(V2720="Aprobada con ajuste",V2720="Rechazada"),W2720&lt;&gt;""),W2720,""))</f>
        <v/>
      </c>
    </row>
    <row r="2721" customFormat="false" ht="43.25" hidden="false" customHeight="false" outlineLevel="0" collapsed="false">
      <c r="A2721" s="18" t="s">
        <v>11262</v>
      </c>
      <c r="B2721" s="18" t="s">
        <v>80</v>
      </c>
      <c r="C2721" s="18" t="s">
        <v>81</v>
      </c>
      <c r="D2721" s="18" t="s">
        <v>11257</v>
      </c>
      <c r="E2721" s="18" t="n">
        <v>0</v>
      </c>
      <c r="F2721" s="18" t="s">
        <v>11263</v>
      </c>
      <c r="G2721" s="18" t="s">
        <v>137</v>
      </c>
      <c r="H2721" s="18" t="s">
        <v>129</v>
      </c>
      <c r="I2721" s="18"/>
      <c r="J2721" s="18"/>
      <c r="K2721" s="18"/>
      <c r="L2721" s="18" t="s">
        <v>129</v>
      </c>
      <c r="M2721" s="18" t="s">
        <v>129</v>
      </c>
      <c r="N2721" s="18"/>
      <c r="O2721" s="18"/>
      <c r="P2721" s="18" t="s">
        <v>11264</v>
      </c>
      <c r="Q2721" s="18" t="s">
        <v>138</v>
      </c>
      <c r="R2721" s="18" t="s">
        <v>11265</v>
      </c>
      <c r="S2721" s="18" t="s">
        <v>140</v>
      </c>
      <c r="T2721" s="18" t="s">
        <v>141</v>
      </c>
      <c r="U2721" s="18"/>
      <c r="V2721" s="19" t="s">
        <v>29</v>
      </c>
      <c r="W2721" s="19"/>
      <c r="X2721" s="19"/>
      <c r="Y2721" s="20"/>
      <c r="Z2721" s="19"/>
      <c r="AA2721" s="18" t="str">
        <f aca="false">IF(OR(V2721="Aprobada"),R2721,IF(AND(OR(V2721="Aprobada con ajuste",V2721="Rechazada"),W2721&lt;&gt;""),W2721,""))</f>
        <v/>
      </c>
    </row>
    <row r="2722" customFormat="false" ht="22.35" hidden="false" customHeight="false" outlineLevel="0" collapsed="false">
      <c r="A2722" s="18" t="s">
        <v>11266</v>
      </c>
      <c r="B2722" s="18" t="s">
        <v>80</v>
      </c>
      <c r="C2722" s="18" t="s">
        <v>81</v>
      </c>
      <c r="D2722" s="18" t="s">
        <v>11257</v>
      </c>
      <c r="E2722" s="18" t="n">
        <v>0</v>
      </c>
      <c r="F2722" s="18" t="s">
        <v>11267</v>
      </c>
      <c r="G2722" s="18" t="s">
        <v>192</v>
      </c>
      <c r="H2722" s="18" t="s">
        <v>129</v>
      </c>
      <c r="I2722" s="18"/>
      <c r="J2722" s="18"/>
      <c r="K2722" s="18"/>
      <c r="L2722" s="18" t="s">
        <v>129</v>
      </c>
      <c r="M2722" s="18" t="s">
        <v>129</v>
      </c>
      <c r="N2722" s="18"/>
      <c r="O2722" s="18"/>
      <c r="P2722" s="18" t="s">
        <v>11268</v>
      </c>
      <c r="Q2722" s="18" t="s">
        <v>149</v>
      </c>
      <c r="R2722" s="18" t="s">
        <v>11269</v>
      </c>
      <c r="S2722" s="18" t="s">
        <v>140</v>
      </c>
      <c r="T2722" s="18" t="s">
        <v>11270</v>
      </c>
      <c r="U2722" s="18" t="s">
        <v>11271</v>
      </c>
      <c r="V2722" s="19" t="s">
        <v>29</v>
      </c>
      <c r="W2722" s="19"/>
      <c r="X2722" s="19"/>
      <c r="Y2722" s="20"/>
      <c r="Z2722" s="19"/>
      <c r="AA2722" s="18" t="str">
        <f aca="false">IF(OR(V2722="Aprobada"),R2722,IF(AND(OR(V2722="Aprobada con ajuste",V2722="Rechazada"),W2722&lt;&gt;""),W2722,""))</f>
        <v/>
      </c>
    </row>
    <row r="2723" customFormat="false" ht="43.25" hidden="false" customHeight="false" outlineLevel="0" collapsed="false">
      <c r="A2723" s="18" t="s">
        <v>11272</v>
      </c>
      <c r="B2723" s="18" t="s">
        <v>80</v>
      </c>
      <c r="C2723" s="18" t="s">
        <v>81</v>
      </c>
      <c r="D2723" s="18" t="s">
        <v>11257</v>
      </c>
      <c r="E2723" s="18" t="n">
        <v>0</v>
      </c>
      <c r="F2723" s="18" t="s">
        <v>11273</v>
      </c>
      <c r="G2723" s="18" t="s">
        <v>173</v>
      </c>
      <c r="H2723" s="18" t="s">
        <v>129</v>
      </c>
      <c r="I2723" s="18" t="s">
        <v>298</v>
      </c>
      <c r="J2723" s="18"/>
      <c r="K2723" s="18"/>
      <c r="L2723" s="18" t="s">
        <v>129</v>
      </c>
      <c r="M2723" s="18" t="s">
        <v>129</v>
      </c>
      <c r="N2723" s="18"/>
      <c r="O2723" s="18"/>
      <c r="P2723" s="18" t="s">
        <v>11274</v>
      </c>
      <c r="Q2723" s="18" t="s">
        <v>131</v>
      </c>
      <c r="R2723" s="18" t="s">
        <v>11275</v>
      </c>
      <c r="S2723" s="18" t="s">
        <v>133</v>
      </c>
      <c r="T2723" s="18" t="s">
        <v>11276</v>
      </c>
      <c r="U2723" s="18"/>
      <c r="V2723" s="19" t="s">
        <v>29</v>
      </c>
      <c r="W2723" s="19"/>
      <c r="X2723" s="19"/>
      <c r="Y2723" s="20"/>
      <c r="Z2723" s="19"/>
      <c r="AA2723" s="18" t="str">
        <f aca="false">IF(OR(V2723="Aprobada"),R2723,IF(AND(OR(V2723="Aprobada con ajuste",V2723="Rechazada"),W2723&lt;&gt;""),W2723,""))</f>
        <v/>
      </c>
    </row>
    <row r="2724" customFormat="false" ht="64.15" hidden="false" customHeight="false" outlineLevel="0" collapsed="false">
      <c r="A2724" s="18" t="s">
        <v>11277</v>
      </c>
      <c r="B2724" s="18" t="s">
        <v>80</v>
      </c>
      <c r="C2724" s="18" t="s">
        <v>81</v>
      </c>
      <c r="D2724" s="18" t="s">
        <v>11257</v>
      </c>
      <c r="E2724" s="18" t="n">
        <v>0</v>
      </c>
      <c r="F2724" s="18" t="s">
        <v>886</v>
      </c>
      <c r="G2724" s="18" t="s">
        <v>128</v>
      </c>
      <c r="H2724" s="18" t="s">
        <v>162</v>
      </c>
      <c r="I2724" s="18"/>
      <c r="J2724" s="18"/>
      <c r="K2724" s="18"/>
      <c r="L2724" s="18" t="s">
        <v>129</v>
      </c>
      <c r="M2724" s="18" t="s">
        <v>129</v>
      </c>
      <c r="N2724" s="18"/>
      <c r="O2724" s="18"/>
      <c r="P2724" s="18" t="s">
        <v>11278</v>
      </c>
      <c r="Q2724" s="18" t="s">
        <v>138</v>
      </c>
      <c r="R2724" s="18" t="s">
        <v>1693</v>
      </c>
      <c r="S2724" s="18" t="s">
        <v>140</v>
      </c>
      <c r="T2724" s="18" t="s">
        <v>141</v>
      </c>
      <c r="U2724" s="18"/>
      <c r="V2724" s="19" t="s">
        <v>29</v>
      </c>
      <c r="W2724" s="19"/>
      <c r="X2724" s="19"/>
      <c r="Y2724" s="20"/>
      <c r="Z2724" s="19"/>
      <c r="AA2724" s="18" t="str">
        <f aca="false">IF(OR(V2724="Aprobada"),R2724,IF(AND(OR(V2724="Aprobada con ajuste",V2724="Rechazada"),W2724&lt;&gt;""),W2724,""))</f>
        <v/>
      </c>
    </row>
    <row r="2725" customFormat="false" ht="53.7" hidden="false" customHeight="false" outlineLevel="0" collapsed="false">
      <c r="A2725" s="18" t="s">
        <v>11279</v>
      </c>
      <c r="B2725" s="18" t="s">
        <v>80</v>
      </c>
      <c r="C2725" s="18" t="s">
        <v>81</v>
      </c>
      <c r="D2725" s="18" t="s">
        <v>11257</v>
      </c>
      <c r="E2725" s="18" t="n">
        <v>0</v>
      </c>
      <c r="F2725" s="18" t="s">
        <v>11280</v>
      </c>
      <c r="G2725" s="18" t="s">
        <v>137</v>
      </c>
      <c r="H2725" s="18" t="s">
        <v>162</v>
      </c>
      <c r="I2725" s="18"/>
      <c r="J2725" s="18"/>
      <c r="K2725" s="18"/>
      <c r="L2725" s="18" t="s">
        <v>129</v>
      </c>
      <c r="M2725" s="18" t="s">
        <v>129</v>
      </c>
      <c r="N2725" s="18"/>
      <c r="O2725" s="18"/>
      <c r="P2725" s="18" t="s">
        <v>11281</v>
      </c>
      <c r="Q2725" s="18" t="s">
        <v>131</v>
      </c>
      <c r="R2725" s="18" t="s">
        <v>11282</v>
      </c>
      <c r="S2725" s="18" t="s">
        <v>140</v>
      </c>
      <c r="T2725" s="18" t="s">
        <v>11283</v>
      </c>
      <c r="U2725" s="18" t="s">
        <v>11284</v>
      </c>
      <c r="V2725" s="19" t="s">
        <v>29</v>
      </c>
      <c r="W2725" s="19"/>
      <c r="X2725" s="19"/>
      <c r="Y2725" s="20"/>
      <c r="Z2725" s="19"/>
      <c r="AA2725" s="18" t="str">
        <f aca="false">IF(OR(V2725="Aprobada"),R2725,IF(AND(OR(V2725="Aprobada con ajuste",V2725="Rechazada"),W2725&lt;&gt;""),W2725,""))</f>
        <v/>
      </c>
    </row>
    <row r="2726" customFormat="false" ht="32.8" hidden="false" customHeight="false" outlineLevel="0" collapsed="false">
      <c r="A2726" s="18" t="s">
        <v>11285</v>
      </c>
      <c r="B2726" s="18" t="s">
        <v>80</v>
      </c>
      <c r="C2726" s="18" t="s">
        <v>81</v>
      </c>
      <c r="D2726" s="18" t="s">
        <v>11257</v>
      </c>
      <c r="E2726" s="18" t="n">
        <v>0</v>
      </c>
      <c r="F2726" s="18" t="s">
        <v>11286</v>
      </c>
      <c r="G2726" s="18" t="s">
        <v>137</v>
      </c>
      <c r="H2726" s="18" t="s">
        <v>162</v>
      </c>
      <c r="I2726" s="18"/>
      <c r="J2726" s="18"/>
      <c r="K2726" s="18"/>
      <c r="L2726" s="18" t="s">
        <v>129</v>
      </c>
      <c r="M2726" s="18" t="s">
        <v>129</v>
      </c>
      <c r="N2726" s="18"/>
      <c r="O2726" s="18" t="s">
        <v>11287</v>
      </c>
      <c r="P2726" s="18" t="s">
        <v>11288</v>
      </c>
      <c r="Q2726" s="18" t="s">
        <v>149</v>
      </c>
      <c r="R2726" s="18" t="s">
        <v>11289</v>
      </c>
      <c r="S2726" s="18" t="s">
        <v>133</v>
      </c>
      <c r="T2726" s="18" t="s">
        <v>11290</v>
      </c>
      <c r="U2726" s="18"/>
      <c r="V2726" s="19" t="s">
        <v>29</v>
      </c>
      <c r="W2726" s="19"/>
      <c r="X2726" s="19"/>
      <c r="Y2726" s="20"/>
      <c r="Z2726" s="19"/>
      <c r="AA2726" s="18" t="str">
        <f aca="false">IF(OR(V2726="Aprobada"),R2726,IF(AND(OR(V2726="Aprobada con ajuste",V2726="Rechazada"),W2726&lt;&gt;""),W2726,""))</f>
        <v/>
      </c>
    </row>
    <row r="2727" customFormat="false" ht="22.35" hidden="false" customHeight="false" outlineLevel="0" collapsed="false">
      <c r="A2727" s="18" t="s">
        <v>11291</v>
      </c>
      <c r="B2727" s="18" t="s">
        <v>80</v>
      </c>
      <c r="C2727" s="18" t="s">
        <v>81</v>
      </c>
      <c r="D2727" s="18" t="s">
        <v>11257</v>
      </c>
      <c r="E2727" s="18" t="n">
        <v>0</v>
      </c>
      <c r="F2727" s="18" t="s">
        <v>11292</v>
      </c>
      <c r="G2727" s="18" t="s">
        <v>137</v>
      </c>
      <c r="H2727" s="18" t="s">
        <v>162</v>
      </c>
      <c r="I2727" s="18"/>
      <c r="J2727" s="18"/>
      <c r="K2727" s="18"/>
      <c r="L2727" s="18" t="s">
        <v>129</v>
      </c>
      <c r="M2727" s="18" t="s">
        <v>129</v>
      </c>
      <c r="N2727" s="18"/>
      <c r="O2727" s="18"/>
      <c r="P2727" s="18" t="s">
        <v>11293</v>
      </c>
      <c r="Q2727" s="18" t="s">
        <v>149</v>
      </c>
      <c r="R2727" s="18" t="s">
        <v>11294</v>
      </c>
      <c r="S2727" s="18" t="s">
        <v>133</v>
      </c>
      <c r="T2727" s="18" t="s">
        <v>11295</v>
      </c>
      <c r="U2727" s="18"/>
      <c r="V2727" s="19" t="s">
        <v>29</v>
      </c>
      <c r="W2727" s="19"/>
      <c r="X2727" s="19"/>
      <c r="Y2727" s="20"/>
      <c r="Z2727" s="19"/>
      <c r="AA2727" s="18" t="str">
        <f aca="false">IF(OR(V2727="Aprobada"),R2727,IF(AND(OR(V2727="Aprobada con ajuste",V2727="Rechazada"),W2727&lt;&gt;""),W2727,""))</f>
        <v/>
      </c>
    </row>
    <row r="2728" customFormat="false" ht="64.15" hidden="false" customHeight="false" outlineLevel="0" collapsed="false">
      <c r="A2728" s="18" t="s">
        <v>11296</v>
      </c>
      <c r="B2728" s="18" t="s">
        <v>80</v>
      </c>
      <c r="C2728" s="18" t="s">
        <v>81</v>
      </c>
      <c r="D2728" s="18" t="s">
        <v>11257</v>
      </c>
      <c r="E2728" s="18" t="n">
        <v>0</v>
      </c>
      <c r="F2728" s="18" t="s">
        <v>11297</v>
      </c>
      <c r="G2728" s="18" t="s">
        <v>205</v>
      </c>
      <c r="H2728" s="18" t="s">
        <v>162</v>
      </c>
      <c r="I2728" s="18" t="s">
        <v>298</v>
      </c>
      <c r="J2728" s="18" t="s">
        <v>11298</v>
      </c>
      <c r="K2728" s="18"/>
      <c r="L2728" s="18" t="s">
        <v>162</v>
      </c>
      <c r="M2728" s="18" t="s">
        <v>129</v>
      </c>
      <c r="N2728" s="18"/>
      <c r="O2728" s="18"/>
      <c r="P2728" s="18" t="s">
        <v>11299</v>
      </c>
      <c r="Q2728" s="18" t="s">
        <v>131</v>
      </c>
      <c r="R2728" s="18" t="s">
        <v>11300</v>
      </c>
      <c r="S2728" s="18" t="s">
        <v>133</v>
      </c>
      <c r="T2728" s="18" t="s">
        <v>11301</v>
      </c>
      <c r="U2728" s="18"/>
      <c r="V2728" s="19" t="s">
        <v>29</v>
      </c>
      <c r="W2728" s="19"/>
      <c r="X2728" s="19"/>
      <c r="Y2728" s="20"/>
      <c r="Z2728" s="19"/>
      <c r="AA2728" s="18" t="str">
        <f aca="false">IF(OR(V2728="Aprobada"),R2728,IF(AND(OR(V2728="Aprobada con ajuste",V2728="Rechazada"),W2728&lt;&gt;""),W2728,""))</f>
        <v/>
      </c>
    </row>
    <row r="2729" customFormat="false" ht="22.35" hidden="false" customHeight="false" outlineLevel="0" collapsed="false">
      <c r="A2729" s="18" t="s">
        <v>11302</v>
      </c>
      <c r="B2729" s="18" t="s">
        <v>80</v>
      </c>
      <c r="C2729" s="18" t="s">
        <v>81</v>
      </c>
      <c r="D2729" s="18" t="s">
        <v>11257</v>
      </c>
      <c r="E2729" s="18" t="n">
        <v>0</v>
      </c>
      <c r="F2729" s="18" t="s">
        <v>185</v>
      </c>
      <c r="G2729" s="18" t="s">
        <v>205</v>
      </c>
      <c r="H2729" s="18" t="s">
        <v>129</v>
      </c>
      <c r="I2729" s="18" t="s">
        <v>298</v>
      </c>
      <c r="J2729" s="18" t="s">
        <v>11303</v>
      </c>
      <c r="K2729" s="18"/>
      <c r="L2729" s="18" t="s">
        <v>162</v>
      </c>
      <c r="M2729" s="18" t="s">
        <v>129</v>
      </c>
      <c r="N2729" s="18"/>
      <c r="O2729" s="18"/>
      <c r="P2729" s="18" t="s">
        <v>11304</v>
      </c>
      <c r="Q2729" s="18" t="s">
        <v>138</v>
      </c>
      <c r="R2729" s="18" t="s">
        <v>11305</v>
      </c>
      <c r="S2729" s="18" t="s">
        <v>140</v>
      </c>
      <c r="T2729" s="18" t="s">
        <v>141</v>
      </c>
      <c r="U2729" s="18"/>
      <c r="V2729" s="19" t="s">
        <v>29</v>
      </c>
      <c r="W2729" s="19"/>
      <c r="X2729" s="19"/>
      <c r="Y2729" s="20"/>
      <c r="Z2729" s="19"/>
      <c r="AA2729" s="18" t="str">
        <f aca="false">IF(OR(V2729="Aprobada"),R2729,IF(AND(OR(V2729="Aprobada con ajuste",V2729="Rechazada"),W2729&lt;&gt;""),W2729,""))</f>
        <v/>
      </c>
    </row>
    <row r="2730" customFormat="false" ht="22.35" hidden="false" customHeight="false" outlineLevel="0" collapsed="false">
      <c r="A2730" s="18" t="s">
        <v>11306</v>
      </c>
      <c r="B2730" s="18" t="s">
        <v>80</v>
      </c>
      <c r="C2730" s="18" t="s">
        <v>81</v>
      </c>
      <c r="D2730" s="18" t="s">
        <v>11257</v>
      </c>
      <c r="E2730" s="18" t="n">
        <v>0</v>
      </c>
      <c r="F2730" s="18" t="s">
        <v>11307</v>
      </c>
      <c r="G2730" s="18" t="s">
        <v>454</v>
      </c>
      <c r="H2730" s="18" t="s">
        <v>162</v>
      </c>
      <c r="I2730" s="18"/>
      <c r="J2730" s="18"/>
      <c r="K2730" s="18"/>
      <c r="L2730" s="18" t="s">
        <v>129</v>
      </c>
      <c r="M2730" s="18" t="s">
        <v>129</v>
      </c>
      <c r="N2730" s="18"/>
      <c r="O2730" s="18"/>
      <c r="P2730" s="18" t="s">
        <v>11308</v>
      </c>
      <c r="Q2730" s="18" t="s">
        <v>138</v>
      </c>
      <c r="R2730" s="18" t="s">
        <v>11309</v>
      </c>
      <c r="S2730" s="18" t="s">
        <v>140</v>
      </c>
      <c r="T2730" s="18" t="s">
        <v>141</v>
      </c>
      <c r="U2730" s="18"/>
      <c r="V2730" s="19" t="s">
        <v>29</v>
      </c>
      <c r="W2730" s="19"/>
      <c r="X2730" s="19"/>
      <c r="Y2730" s="20"/>
      <c r="Z2730" s="19"/>
      <c r="AA2730" s="18" t="str">
        <f aca="false">IF(OR(V2730="Aprobada"),R2730,IF(AND(OR(V2730="Aprobada con ajuste",V2730="Rechazada"),W2730&lt;&gt;""),W2730,""))</f>
        <v/>
      </c>
    </row>
    <row r="2731" customFormat="false" ht="22.35" hidden="false" customHeight="false" outlineLevel="0" collapsed="false">
      <c r="A2731" s="18" t="s">
        <v>11310</v>
      </c>
      <c r="B2731" s="18" t="s">
        <v>80</v>
      </c>
      <c r="C2731" s="18" t="s">
        <v>81</v>
      </c>
      <c r="D2731" s="18" t="s">
        <v>11257</v>
      </c>
      <c r="E2731" s="18" t="n">
        <v>0</v>
      </c>
      <c r="F2731" s="18" t="s">
        <v>11311</v>
      </c>
      <c r="G2731" s="18" t="s">
        <v>584</v>
      </c>
      <c r="H2731" s="18" t="s">
        <v>162</v>
      </c>
      <c r="I2731" s="18" t="s">
        <v>298</v>
      </c>
      <c r="J2731" s="18"/>
      <c r="K2731" s="18"/>
      <c r="L2731" s="18" t="s">
        <v>129</v>
      </c>
      <c r="M2731" s="18" t="s">
        <v>129</v>
      </c>
      <c r="N2731" s="18"/>
      <c r="O2731" s="18"/>
      <c r="P2731" s="18" t="s">
        <v>11312</v>
      </c>
      <c r="Q2731" s="18" t="s">
        <v>138</v>
      </c>
      <c r="R2731" s="18" t="s">
        <v>11313</v>
      </c>
      <c r="S2731" s="18" t="s">
        <v>140</v>
      </c>
      <c r="T2731" s="18" t="s">
        <v>141</v>
      </c>
      <c r="U2731" s="18"/>
      <c r="V2731" s="19" t="s">
        <v>29</v>
      </c>
      <c r="W2731" s="19"/>
      <c r="X2731" s="19"/>
      <c r="Y2731" s="20"/>
      <c r="Z2731" s="19"/>
      <c r="AA2731" s="18" t="str">
        <f aca="false">IF(OR(V2731="Aprobada"),R2731,IF(AND(OR(V2731="Aprobada con ajuste",V2731="Rechazada"),W2731&lt;&gt;""),W2731,""))</f>
        <v/>
      </c>
    </row>
    <row r="2732" customFormat="false" ht="22.35" hidden="false" customHeight="false" outlineLevel="0" collapsed="false">
      <c r="A2732" s="18" t="s">
        <v>11314</v>
      </c>
      <c r="B2732" s="18" t="s">
        <v>80</v>
      </c>
      <c r="C2732" s="18" t="s">
        <v>81</v>
      </c>
      <c r="D2732" s="18" t="s">
        <v>11257</v>
      </c>
      <c r="E2732" s="18" t="n">
        <v>0</v>
      </c>
      <c r="F2732" s="18" t="s">
        <v>11315</v>
      </c>
      <c r="G2732" s="18" t="s">
        <v>454</v>
      </c>
      <c r="H2732" s="18" t="s">
        <v>162</v>
      </c>
      <c r="I2732" s="18"/>
      <c r="J2732" s="18"/>
      <c r="K2732" s="18"/>
      <c r="L2732" s="18" t="s">
        <v>129</v>
      </c>
      <c r="M2732" s="18" t="s">
        <v>129</v>
      </c>
      <c r="N2732" s="18"/>
      <c r="O2732" s="18"/>
      <c r="P2732" s="18" t="s">
        <v>11316</v>
      </c>
      <c r="Q2732" s="18" t="s">
        <v>138</v>
      </c>
      <c r="R2732" s="18" t="s">
        <v>11317</v>
      </c>
      <c r="S2732" s="18" t="s">
        <v>140</v>
      </c>
      <c r="T2732" s="18" t="s">
        <v>141</v>
      </c>
      <c r="U2732" s="18"/>
      <c r="V2732" s="19" t="s">
        <v>29</v>
      </c>
      <c r="W2732" s="19"/>
      <c r="X2732" s="19"/>
      <c r="Y2732" s="20"/>
      <c r="Z2732" s="19"/>
      <c r="AA2732" s="18" t="str">
        <f aca="false">IF(OR(V2732="Aprobada"),R2732,IF(AND(OR(V2732="Aprobada con ajuste",V2732="Rechazada"),W2732&lt;&gt;""),W2732,""))</f>
        <v/>
      </c>
    </row>
    <row r="2733" customFormat="false" ht="22.35" hidden="false" customHeight="false" outlineLevel="0" collapsed="false">
      <c r="A2733" s="18" t="s">
        <v>11318</v>
      </c>
      <c r="B2733" s="18" t="s">
        <v>80</v>
      </c>
      <c r="C2733" s="18" t="s">
        <v>81</v>
      </c>
      <c r="D2733" s="18" t="s">
        <v>11257</v>
      </c>
      <c r="E2733" s="18" t="n">
        <v>0</v>
      </c>
      <c r="F2733" s="18" t="s">
        <v>11319</v>
      </c>
      <c r="G2733" s="18" t="s">
        <v>128</v>
      </c>
      <c r="H2733" s="18" t="s">
        <v>162</v>
      </c>
      <c r="I2733" s="18" t="s">
        <v>298</v>
      </c>
      <c r="J2733" s="18"/>
      <c r="K2733" s="18"/>
      <c r="L2733" s="18" t="s">
        <v>129</v>
      </c>
      <c r="M2733" s="18" t="s">
        <v>129</v>
      </c>
      <c r="N2733" s="18"/>
      <c r="O2733" s="18"/>
      <c r="P2733" s="18" t="s">
        <v>11320</v>
      </c>
      <c r="Q2733" s="18" t="s">
        <v>138</v>
      </c>
      <c r="R2733" s="18" t="s">
        <v>11321</v>
      </c>
      <c r="S2733" s="18" t="s">
        <v>140</v>
      </c>
      <c r="T2733" s="18" t="s">
        <v>141</v>
      </c>
      <c r="U2733" s="18"/>
      <c r="V2733" s="19" t="s">
        <v>29</v>
      </c>
      <c r="W2733" s="19"/>
      <c r="X2733" s="19"/>
      <c r="Y2733" s="20"/>
      <c r="Z2733" s="19"/>
      <c r="AA2733" s="18" t="str">
        <f aca="false">IF(OR(V2733="Aprobada"),R2733,IF(AND(OR(V2733="Aprobada con ajuste",V2733="Rechazada"),W2733&lt;&gt;""),W2733,""))</f>
        <v/>
      </c>
    </row>
    <row r="2734" customFormat="false" ht="22.35" hidden="false" customHeight="false" outlineLevel="0" collapsed="false">
      <c r="A2734" s="18" t="s">
        <v>11322</v>
      </c>
      <c r="B2734" s="18" t="s">
        <v>80</v>
      </c>
      <c r="C2734" s="18" t="s">
        <v>81</v>
      </c>
      <c r="D2734" s="18" t="s">
        <v>11323</v>
      </c>
      <c r="E2734" s="18" t="n">
        <v>63</v>
      </c>
      <c r="F2734" s="18" t="s">
        <v>3361</v>
      </c>
      <c r="G2734" s="18" t="s">
        <v>503</v>
      </c>
      <c r="H2734" s="18" t="s">
        <v>129</v>
      </c>
      <c r="I2734" s="18"/>
      <c r="J2734" s="18"/>
      <c r="K2734" s="18"/>
      <c r="L2734" s="18" t="s">
        <v>129</v>
      </c>
      <c r="M2734" s="18" t="s">
        <v>129</v>
      </c>
      <c r="N2734" s="18"/>
      <c r="O2734" s="18"/>
      <c r="P2734" s="18" t="s">
        <v>11324</v>
      </c>
      <c r="Q2734" s="18" t="s">
        <v>149</v>
      </c>
      <c r="R2734" s="18" t="s">
        <v>11325</v>
      </c>
      <c r="S2734" s="18" t="s">
        <v>140</v>
      </c>
      <c r="T2734" s="18" t="s">
        <v>11326</v>
      </c>
      <c r="U2734" s="18" t="s">
        <v>11327</v>
      </c>
      <c r="V2734" s="19" t="s">
        <v>29</v>
      </c>
      <c r="W2734" s="19"/>
      <c r="X2734" s="19"/>
      <c r="Y2734" s="20"/>
      <c r="Z2734" s="19"/>
      <c r="AA2734" s="18" t="str">
        <f aca="false">IF(OR(V2734="Aprobada"),R2734,IF(AND(OR(V2734="Aprobada con ajuste",V2734="Rechazada"),W2734&lt;&gt;""),W2734,""))</f>
        <v/>
      </c>
    </row>
    <row r="2735" customFormat="false" ht="85.05" hidden="false" customHeight="false" outlineLevel="0" collapsed="false">
      <c r="A2735" s="18" t="s">
        <v>11328</v>
      </c>
      <c r="B2735" s="18" t="s">
        <v>80</v>
      </c>
      <c r="C2735" s="18" t="s">
        <v>81</v>
      </c>
      <c r="D2735" s="18" t="s">
        <v>11323</v>
      </c>
      <c r="E2735" s="18" t="n">
        <v>63</v>
      </c>
      <c r="F2735" s="18" t="s">
        <v>275</v>
      </c>
      <c r="G2735" s="18" t="s">
        <v>454</v>
      </c>
      <c r="H2735" s="18" t="s">
        <v>129</v>
      </c>
      <c r="I2735" s="18"/>
      <c r="J2735" s="18"/>
      <c r="K2735" s="18"/>
      <c r="L2735" s="18" t="s">
        <v>129</v>
      </c>
      <c r="M2735" s="18" t="s">
        <v>129</v>
      </c>
      <c r="N2735" s="18"/>
      <c r="O2735" s="18"/>
      <c r="P2735" s="18" t="s">
        <v>11329</v>
      </c>
      <c r="Q2735" s="18" t="s">
        <v>138</v>
      </c>
      <c r="R2735" s="18" t="s">
        <v>11330</v>
      </c>
      <c r="S2735" s="18" t="s">
        <v>140</v>
      </c>
      <c r="T2735" s="18" t="s">
        <v>141</v>
      </c>
      <c r="U2735" s="18"/>
      <c r="V2735" s="19" t="s">
        <v>29</v>
      </c>
      <c r="W2735" s="19"/>
      <c r="X2735" s="19"/>
      <c r="Y2735" s="20"/>
      <c r="Z2735" s="19"/>
      <c r="AA2735" s="18" t="str">
        <f aca="false">IF(OR(V2735="Aprobada"),R2735,IF(AND(OR(V2735="Aprobada con ajuste",V2735="Rechazada"),W2735&lt;&gt;""),W2735,""))</f>
        <v/>
      </c>
    </row>
    <row r="2736" customFormat="false" ht="64.15" hidden="false" customHeight="false" outlineLevel="0" collapsed="false">
      <c r="A2736" s="18" t="s">
        <v>11331</v>
      </c>
      <c r="B2736" s="18" t="s">
        <v>80</v>
      </c>
      <c r="C2736" s="18" t="s">
        <v>81</v>
      </c>
      <c r="D2736" s="18" t="s">
        <v>11323</v>
      </c>
      <c r="E2736" s="18" t="n">
        <v>63</v>
      </c>
      <c r="F2736" s="18" t="s">
        <v>160</v>
      </c>
      <c r="G2736" s="18" t="s">
        <v>128</v>
      </c>
      <c r="H2736" s="18" t="s">
        <v>162</v>
      </c>
      <c r="I2736" s="18"/>
      <c r="J2736" s="18"/>
      <c r="K2736" s="18"/>
      <c r="L2736" s="18" t="s">
        <v>129</v>
      </c>
      <c r="M2736" s="18" t="s">
        <v>129</v>
      </c>
      <c r="N2736" s="18"/>
      <c r="O2736" s="18"/>
      <c r="P2736" s="18" t="s">
        <v>11332</v>
      </c>
      <c r="Q2736" s="18" t="s">
        <v>138</v>
      </c>
      <c r="R2736" s="18" t="s">
        <v>11333</v>
      </c>
      <c r="S2736" s="18" t="s">
        <v>140</v>
      </c>
      <c r="T2736" s="18" t="s">
        <v>141</v>
      </c>
      <c r="U2736" s="18"/>
      <c r="V2736" s="19" t="s">
        <v>29</v>
      </c>
      <c r="W2736" s="19"/>
      <c r="X2736" s="19"/>
      <c r="Y2736" s="20"/>
      <c r="Z2736" s="19"/>
      <c r="AA2736" s="18" t="str">
        <f aca="false">IF(OR(V2736="Aprobada"),R2736,IF(AND(OR(V2736="Aprobada con ajuste",V2736="Rechazada"),W2736&lt;&gt;""),W2736,""))</f>
        <v/>
      </c>
    </row>
    <row r="2737" customFormat="false" ht="22.35" hidden="false" customHeight="false" outlineLevel="0" collapsed="false">
      <c r="A2737" s="18" t="s">
        <v>11334</v>
      </c>
      <c r="B2737" s="18" t="s">
        <v>80</v>
      </c>
      <c r="C2737" s="18" t="s">
        <v>81</v>
      </c>
      <c r="D2737" s="18" t="s">
        <v>11323</v>
      </c>
      <c r="E2737" s="18" t="n">
        <v>63</v>
      </c>
      <c r="F2737" s="18" t="s">
        <v>937</v>
      </c>
      <c r="G2737" s="18" t="s">
        <v>503</v>
      </c>
      <c r="H2737" s="18" t="s">
        <v>129</v>
      </c>
      <c r="I2737" s="18"/>
      <c r="J2737" s="18"/>
      <c r="K2737" s="18"/>
      <c r="L2737" s="18" t="s">
        <v>129</v>
      </c>
      <c r="M2737" s="18" t="s">
        <v>129</v>
      </c>
      <c r="N2737" s="18"/>
      <c r="O2737" s="18"/>
      <c r="P2737" s="18" t="s">
        <v>11335</v>
      </c>
      <c r="Q2737" s="18" t="s">
        <v>138</v>
      </c>
      <c r="R2737" s="18" t="s">
        <v>939</v>
      </c>
      <c r="S2737" s="18" t="s">
        <v>140</v>
      </c>
      <c r="T2737" s="18" t="s">
        <v>141</v>
      </c>
      <c r="U2737" s="18"/>
      <c r="V2737" s="19" t="s">
        <v>29</v>
      </c>
      <c r="W2737" s="19"/>
      <c r="X2737" s="19"/>
      <c r="Y2737" s="20"/>
      <c r="Z2737" s="19"/>
      <c r="AA2737" s="18" t="str">
        <f aca="false">IF(OR(V2737="Aprobada"),R2737,IF(AND(OR(V2737="Aprobada con ajuste",V2737="Rechazada"),W2737&lt;&gt;""),W2737,""))</f>
        <v/>
      </c>
    </row>
    <row r="2738" customFormat="false" ht="32.8" hidden="false" customHeight="false" outlineLevel="0" collapsed="false">
      <c r="A2738" s="18" t="s">
        <v>11336</v>
      </c>
      <c r="B2738" s="18" t="s">
        <v>80</v>
      </c>
      <c r="C2738" s="18" t="s">
        <v>81</v>
      </c>
      <c r="D2738" s="18" t="s">
        <v>11323</v>
      </c>
      <c r="E2738" s="18" t="n">
        <v>63</v>
      </c>
      <c r="F2738" s="18" t="s">
        <v>1688</v>
      </c>
      <c r="G2738" s="18" t="s">
        <v>173</v>
      </c>
      <c r="H2738" s="18" t="s">
        <v>129</v>
      </c>
      <c r="I2738" s="18"/>
      <c r="J2738" s="18"/>
      <c r="K2738" s="18"/>
      <c r="L2738" s="18" t="s">
        <v>129</v>
      </c>
      <c r="M2738" s="18" t="s">
        <v>129</v>
      </c>
      <c r="N2738" s="18"/>
      <c r="O2738" s="18"/>
      <c r="P2738" s="18" t="s">
        <v>11337</v>
      </c>
      <c r="Q2738" s="18" t="s">
        <v>131</v>
      </c>
      <c r="R2738" s="18" t="s">
        <v>11338</v>
      </c>
      <c r="S2738" s="18" t="s">
        <v>133</v>
      </c>
      <c r="T2738" s="18" t="s">
        <v>11339</v>
      </c>
      <c r="U2738" s="18"/>
      <c r="V2738" s="19" t="s">
        <v>29</v>
      </c>
      <c r="W2738" s="19"/>
      <c r="X2738" s="19"/>
      <c r="Y2738" s="20"/>
      <c r="Z2738" s="19"/>
      <c r="AA2738" s="18" t="str">
        <f aca="false">IF(OR(V2738="Aprobada"),R2738,IF(AND(OR(V2738="Aprobada con ajuste",V2738="Rechazada"),W2738&lt;&gt;""),W2738,""))</f>
        <v/>
      </c>
    </row>
    <row r="2739" customFormat="false" ht="32.8" hidden="false" customHeight="false" outlineLevel="0" collapsed="false">
      <c r="A2739" s="18" t="s">
        <v>11340</v>
      </c>
      <c r="B2739" s="18" t="s">
        <v>80</v>
      </c>
      <c r="C2739" s="18" t="s">
        <v>81</v>
      </c>
      <c r="D2739" s="18" t="s">
        <v>11341</v>
      </c>
      <c r="E2739" s="18" t="n">
        <v>14</v>
      </c>
      <c r="F2739" s="18" t="s">
        <v>3361</v>
      </c>
      <c r="G2739" s="18" t="s">
        <v>503</v>
      </c>
      <c r="H2739" s="18" t="s">
        <v>129</v>
      </c>
      <c r="I2739" s="18"/>
      <c r="J2739" s="18"/>
      <c r="K2739" s="18"/>
      <c r="L2739" s="18" t="s">
        <v>162</v>
      </c>
      <c r="M2739" s="18" t="s">
        <v>129</v>
      </c>
      <c r="N2739" s="18"/>
      <c r="O2739" s="18"/>
      <c r="P2739" s="18" t="s">
        <v>11342</v>
      </c>
      <c r="Q2739" s="18" t="s">
        <v>149</v>
      </c>
      <c r="R2739" s="18" t="s">
        <v>11325</v>
      </c>
      <c r="S2739" s="18" t="s">
        <v>140</v>
      </c>
      <c r="T2739" s="18" t="s">
        <v>11343</v>
      </c>
      <c r="U2739" s="18" t="s">
        <v>11344</v>
      </c>
      <c r="V2739" s="19" t="s">
        <v>29</v>
      </c>
      <c r="W2739" s="19"/>
      <c r="X2739" s="19"/>
      <c r="Y2739" s="20"/>
      <c r="Z2739" s="19"/>
      <c r="AA2739" s="18" t="str">
        <f aca="false">IF(OR(V2739="Aprobada"),R2739,IF(AND(OR(V2739="Aprobada con ajuste",V2739="Rechazada"),W2739&lt;&gt;""),W2739,""))</f>
        <v/>
      </c>
    </row>
    <row r="2740" customFormat="false" ht="22.35" hidden="false" customHeight="false" outlineLevel="0" collapsed="false">
      <c r="A2740" s="18" t="s">
        <v>11345</v>
      </c>
      <c r="B2740" s="18" t="s">
        <v>80</v>
      </c>
      <c r="C2740" s="18" t="s">
        <v>81</v>
      </c>
      <c r="D2740" s="18" t="s">
        <v>11341</v>
      </c>
      <c r="E2740" s="18" t="n">
        <v>14</v>
      </c>
      <c r="F2740" s="18" t="s">
        <v>11346</v>
      </c>
      <c r="G2740" s="18" t="s">
        <v>173</v>
      </c>
      <c r="H2740" s="18" t="s">
        <v>129</v>
      </c>
      <c r="I2740" s="18"/>
      <c r="J2740" s="18"/>
      <c r="K2740" s="18"/>
      <c r="L2740" s="18" t="s">
        <v>162</v>
      </c>
      <c r="M2740" s="18" t="s">
        <v>129</v>
      </c>
      <c r="N2740" s="18"/>
      <c r="O2740" s="18"/>
      <c r="P2740" s="18" t="s">
        <v>11347</v>
      </c>
      <c r="Q2740" s="18" t="s">
        <v>138</v>
      </c>
      <c r="R2740" s="18" t="s">
        <v>11348</v>
      </c>
      <c r="S2740" s="18" t="s">
        <v>140</v>
      </c>
      <c r="T2740" s="18" t="s">
        <v>141</v>
      </c>
      <c r="U2740" s="18"/>
      <c r="V2740" s="19" t="s">
        <v>29</v>
      </c>
      <c r="W2740" s="19"/>
      <c r="X2740" s="19"/>
      <c r="Y2740" s="20"/>
      <c r="Z2740" s="19"/>
      <c r="AA2740" s="18" t="str">
        <f aca="false">IF(OR(V2740="Aprobada"),R2740,IF(AND(OR(V2740="Aprobada con ajuste",V2740="Rechazada"),W2740&lt;&gt;""),W2740,""))</f>
        <v/>
      </c>
    </row>
    <row r="2741" customFormat="false" ht="22.35" hidden="false" customHeight="false" outlineLevel="0" collapsed="false">
      <c r="A2741" s="18" t="s">
        <v>11349</v>
      </c>
      <c r="B2741" s="18" t="s">
        <v>80</v>
      </c>
      <c r="C2741" s="18" t="s">
        <v>81</v>
      </c>
      <c r="D2741" s="18" t="s">
        <v>11341</v>
      </c>
      <c r="E2741" s="18" t="n">
        <v>14</v>
      </c>
      <c r="F2741" s="18" t="s">
        <v>11350</v>
      </c>
      <c r="G2741" s="18" t="s">
        <v>128</v>
      </c>
      <c r="H2741" s="18" t="s">
        <v>162</v>
      </c>
      <c r="I2741" s="18"/>
      <c r="J2741" s="18"/>
      <c r="K2741" s="18"/>
      <c r="L2741" s="18" t="s">
        <v>162</v>
      </c>
      <c r="M2741" s="18" t="s">
        <v>129</v>
      </c>
      <c r="N2741" s="18"/>
      <c r="O2741" s="18"/>
      <c r="P2741" s="18" t="s">
        <v>11351</v>
      </c>
      <c r="Q2741" s="18" t="s">
        <v>149</v>
      </c>
      <c r="R2741" s="18" t="s">
        <v>11352</v>
      </c>
      <c r="S2741" s="18" t="s">
        <v>140</v>
      </c>
      <c r="T2741" s="18" t="s">
        <v>11353</v>
      </c>
      <c r="U2741" s="18" t="s">
        <v>11354</v>
      </c>
      <c r="V2741" s="19" t="s">
        <v>29</v>
      </c>
      <c r="W2741" s="19"/>
      <c r="X2741" s="19"/>
      <c r="Y2741" s="20"/>
      <c r="Z2741" s="19"/>
      <c r="AA2741" s="18" t="str">
        <f aca="false">IF(OR(V2741="Aprobada"),R2741,IF(AND(OR(V2741="Aprobada con ajuste",V2741="Rechazada"),W2741&lt;&gt;""),W2741,""))</f>
        <v/>
      </c>
    </row>
    <row r="2742" customFormat="false" ht="85.05" hidden="false" customHeight="false" outlineLevel="0" collapsed="false">
      <c r="A2742" s="18" t="s">
        <v>11355</v>
      </c>
      <c r="B2742" s="18" t="s">
        <v>80</v>
      </c>
      <c r="C2742" s="18" t="s">
        <v>81</v>
      </c>
      <c r="D2742" s="18" t="s">
        <v>11356</v>
      </c>
      <c r="E2742" s="18" t="n">
        <v>161</v>
      </c>
      <c r="F2742" s="18" t="s">
        <v>3036</v>
      </c>
      <c r="G2742" s="18" t="s">
        <v>128</v>
      </c>
      <c r="H2742" s="18" t="s">
        <v>162</v>
      </c>
      <c r="I2742" s="18"/>
      <c r="J2742" s="18"/>
      <c r="K2742" s="18"/>
      <c r="L2742" s="18" t="s">
        <v>129</v>
      </c>
      <c r="M2742" s="18" t="s">
        <v>129</v>
      </c>
      <c r="N2742" s="18"/>
      <c r="O2742" s="18"/>
      <c r="P2742" s="18" t="s">
        <v>11357</v>
      </c>
      <c r="Q2742" s="18" t="s">
        <v>149</v>
      </c>
      <c r="R2742" s="18" t="s">
        <v>11358</v>
      </c>
      <c r="S2742" s="18" t="s">
        <v>133</v>
      </c>
      <c r="T2742" s="18" t="s">
        <v>3165</v>
      </c>
      <c r="U2742" s="18"/>
      <c r="V2742" s="19" t="s">
        <v>29</v>
      </c>
      <c r="W2742" s="19"/>
      <c r="X2742" s="19"/>
      <c r="Y2742" s="20"/>
      <c r="Z2742" s="19"/>
      <c r="AA2742" s="18" t="str">
        <f aca="false">IF(OR(V2742="Aprobada"),R2742,IF(AND(OR(V2742="Aprobada con ajuste",V2742="Rechazada"),W2742&lt;&gt;""),W2742,""))</f>
        <v/>
      </c>
    </row>
    <row r="2743" customFormat="false" ht="64.15" hidden="false" customHeight="false" outlineLevel="0" collapsed="false">
      <c r="A2743" s="18" t="s">
        <v>11359</v>
      </c>
      <c r="B2743" s="18" t="s">
        <v>80</v>
      </c>
      <c r="C2743" s="18" t="s">
        <v>81</v>
      </c>
      <c r="D2743" s="18" t="s">
        <v>11360</v>
      </c>
      <c r="E2743" s="18" t="n">
        <v>0</v>
      </c>
      <c r="F2743" s="18" t="s">
        <v>11361</v>
      </c>
      <c r="G2743" s="18" t="s">
        <v>128</v>
      </c>
      <c r="H2743" s="18" t="s">
        <v>162</v>
      </c>
      <c r="I2743" s="18"/>
      <c r="J2743" s="18"/>
      <c r="K2743" s="18"/>
      <c r="L2743" s="18" t="s">
        <v>129</v>
      </c>
      <c r="M2743" s="18" t="s">
        <v>129</v>
      </c>
      <c r="N2743" s="18"/>
      <c r="O2743" s="18"/>
      <c r="P2743" s="18" t="s">
        <v>11362</v>
      </c>
      <c r="Q2743" s="18" t="s">
        <v>131</v>
      </c>
      <c r="R2743" s="18" t="s">
        <v>11363</v>
      </c>
      <c r="S2743" s="18" t="s">
        <v>133</v>
      </c>
      <c r="T2743" s="18" t="s">
        <v>11364</v>
      </c>
      <c r="U2743" s="18"/>
      <c r="V2743" s="19" t="s">
        <v>29</v>
      </c>
      <c r="W2743" s="19"/>
      <c r="X2743" s="19"/>
      <c r="Y2743" s="20"/>
      <c r="Z2743" s="19"/>
      <c r="AA2743" s="18" t="str">
        <f aca="false">IF(OR(V2743="Aprobada"),R2743,IF(AND(OR(V2743="Aprobada con ajuste",V2743="Rechazada"),W2743&lt;&gt;""),W2743,""))</f>
        <v/>
      </c>
    </row>
    <row r="2744" customFormat="false" ht="74.6" hidden="false" customHeight="false" outlineLevel="0" collapsed="false">
      <c r="A2744" s="18" t="s">
        <v>11365</v>
      </c>
      <c r="B2744" s="18" t="s">
        <v>80</v>
      </c>
      <c r="C2744" s="18" t="s">
        <v>81</v>
      </c>
      <c r="D2744" s="18" t="s">
        <v>11360</v>
      </c>
      <c r="E2744" s="18" t="n">
        <v>0</v>
      </c>
      <c r="F2744" s="18" t="s">
        <v>11366</v>
      </c>
      <c r="G2744" s="18" t="s">
        <v>128</v>
      </c>
      <c r="H2744" s="18" t="s">
        <v>129</v>
      </c>
      <c r="I2744" s="18"/>
      <c r="J2744" s="18"/>
      <c r="K2744" s="18"/>
      <c r="L2744" s="18" t="s">
        <v>129</v>
      </c>
      <c r="M2744" s="18" t="s">
        <v>129</v>
      </c>
      <c r="N2744" s="18"/>
      <c r="O2744" s="18"/>
      <c r="P2744" s="18" t="s">
        <v>11367</v>
      </c>
      <c r="Q2744" s="18" t="s">
        <v>131</v>
      </c>
      <c r="R2744" s="18" t="s">
        <v>11368</v>
      </c>
      <c r="S2744" s="18" t="s">
        <v>133</v>
      </c>
      <c r="T2744" s="18" t="s">
        <v>11369</v>
      </c>
      <c r="U2744" s="18"/>
      <c r="V2744" s="19" t="s">
        <v>29</v>
      </c>
      <c r="W2744" s="19"/>
      <c r="X2744" s="19"/>
      <c r="Y2744" s="20"/>
      <c r="Z2744" s="19"/>
      <c r="AA2744" s="18" t="str">
        <f aca="false">IF(OR(V2744="Aprobada"),R2744,IF(AND(OR(V2744="Aprobada con ajuste",V2744="Rechazada"),W2744&lt;&gt;""),W2744,""))</f>
        <v/>
      </c>
    </row>
    <row r="2745" customFormat="false" ht="43.25" hidden="false" customHeight="false" outlineLevel="0" collapsed="false">
      <c r="A2745" s="18" t="s">
        <v>11370</v>
      </c>
      <c r="B2745" s="18" t="s">
        <v>80</v>
      </c>
      <c r="C2745" s="18" t="s">
        <v>81</v>
      </c>
      <c r="D2745" s="18" t="s">
        <v>11371</v>
      </c>
      <c r="E2745" s="18" t="n">
        <v>1</v>
      </c>
      <c r="F2745" s="18" t="s">
        <v>11372</v>
      </c>
      <c r="G2745" s="18" t="s">
        <v>2900</v>
      </c>
      <c r="H2745" s="18" t="s">
        <v>129</v>
      </c>
      <c r="I2745" s="18"/>
      <c r="J2745" s="18"/>
      <c r="K2745" s="18"/>
      <c r="L2745" s="18" t="s">
        <v>129</v>
      </c>
      <c r="M2745" s="18" t="s">
        <v>129</v>
      </c>
      <c r="N2745" s="18"/>
      <c r="O2745" s="18"/>
      <c r="P2745" s="18" t="s">
        <v>11373</v>
      </c>
      <c r="Q2745" s="18" t="s">
        <v>131</v>
      </c>
      <c r="R2745" s="18" t="s">
        <v>11374</v>
      </c>
      <c r="S2745" s="18" t="s">
        <v>133</v>
      </c>
      <c r="T2745" s="18" t="s">
        <v>11375</v>
      </c>
      <c r="U2745" s="18"/>
      <c r="V2745" s="19" t="s">
        <v>29</v>
      </c>
      <c r="W2745" s="19"/>
      <c r="X2745" s="19"/>
      <c r="Y2745" s="20"/>
      <c r="Z2745" s="19"/>
      <c r="AA2745" s="18" t="str">
        <f aca="false">IF(OR(V2745="Aprobada"),R2745,IF(AND(OR(V2745="Aprobada con ajuste",V2745="Rechazada"),W2745&lt;&gt;""),W2745,""))</f>
        <v/>
      </c>
    </row>
    <row r="2746" customFormat="false" ht="43.25" hidden="false" customHeight="false" outlineLevel="0" collapsed="false">
      <c r="A2746" s="18" t="s">
        <v>11376</v>
      </c>
      <c r="B2746" s="18" t="s">
        <v>80</v>
      </c>
      <c r="C2746" s="18" t="s">
        <v>81</v>
      </c>
      <c r="D2746" s="18" t="s">
        <v>11371</v>
      </c>
      <c r="E2746" s="18" t="n">
        <v>1</v>
      </c>
      <c r="F2746" s="18" t="s">
        <v>11377</v>
      </c>
      <c r="G2746" s="18" t="s">
        <v>137</v>
      </c>
      <c r="H2746" s="18" t="s">
        <v>129</v>
      </c>
      <c r="I2746" s="18"/>
      <c r="J2746" s="18"/>
      <c r="K2746" s="18"/>
      <c r="L2746" s="18" t="s">
        <v>129</v>
      </c>
      <c r="M2746" s="18" t="s">
        <v>129</v>
      </c>
      <c r="N2746" s="18"/>
      <c r="O2746" s="18"/>
      <c r="P2746" s="18" t="s">
        <v>11378</v>
      </c>
      <c r="Q2746" s="18" t="s">
        <v>138</v>
      </c>
      <c r="R2746" s="18" t="s">
        <v>11379</v>
      </c>
      <c r="S2746" s="18" t="s">
        <v>140</v>
      </c>
      <c r="T2746" s="18" t="s">
        <v>141</v>
      </c>
      <c r="U2746" s="18"/>
      <c r="V2746" s="19" t="s">
        <v>29</v>
      </c>
      <c r="W2746" s="19"/>
      <c r="X2746" s="19"/>
      <c r="Y2746" s="20"/>
      <c r="Z2746" s="19"/>
      <c r="AA2746" s="18" t="str">
        <f aca="false">IF(OR(V2746="Aprobada"),R2746,IF(AND(OR(V2746="Aprobada con ajuste",V2746="Rechazada"),W2746&lt;&gt;""),W2746,""))</f>
        <v/>
      </c>
    </row>
    <row r="2747" customFormat="false" ht="116.4" hidden="false" customHeight="false" outlineLevel="0" collapsed="false">
      <c r="A2747" s="18" t="s">
        <v>11380</v>
      </c>
      <c r="B2747" s="18" t="s">
        <v>80</v>
      </c>
      <c r="C2747" s="18" t="s">
        <v>81</v>
      </c>
      <c r="D2747" s="18" t="s">
        <v>11371</v>
      </c>
      <c r="E2747" s="18" t="n">
        <v>1</v>
      </c>
      <c r="F2747" s="18" t="s">
        <v>11381</v>
      </c>
      <c r="G2747" s="18" t="s">
        <v>11382</v>
      </c>
      <c r="H2747" s="18" t="s">
        <v>129</v>
      </c>
      <c r="I2747" s="18" t="s">
        <v>298</v>
      </c>
      <c r="J2747" s="18"/>
      <c r="K2747" s="18"/>
      <c r="L2747" s="18" t="s">
        <v>129</v>
      </c>
      <c r="M2747" s="18" t="s">
        <v>129</v>
      </c>
      <c r="N2747" s="18"/>
      <c r="O2747" s="18"/>
      <c r="P2747" s="18" t="s">
        <v>11383</v>
      </c>
      <c r="Q2747" s="18" t="s">
        <v>131</v>
      </c>
      <c r="R2747" s="18" t="s">
        <v>11384</v>
      </c>
      <c r="S2747" s="18" t="s">
        <v>133</v>
      </c>
      <c r="T2747" s="18" t="s">
        <v>11385</v>
      </c>
      <c r="U2747" s="18" t="s">
        <v>11386</v>
      </c>
      <c r="V2747" s="19" t="s">
        <v>29</v>
      </c>
      <c r="W2747" s="19"/>
      <c r="X2747" s="19"/>
      <c r="Y2747" s="20"/>
      <c r="Z2747" s="19"/>
      <c r="AA2747" s="18" t="str">
        <f aca="false">IF(OR(V2747="Aprobada"),R2747,IF(AND(OR(V2747="Aprobada con ajuste",V2747="Rechazada"),W2747&lt;&gt;""),W2747,""))</f>
        <v/>
      </c>
    </row>
    <row r="2748" customFormat="false" ht="53.7" hidden="false" customHeight="false" outlineLevel="0" collapsed="false">
      <c r="A2748" s="18" t="s">
        <v>11387</v>
      </c>
      <c r="B2748" s="18" t="s">
        <v>80</v>
      </c>
      <c r="C2748" s="18" t="s">
        <v>81</v>
      </c>
      <c r="D2748" s="18" t="s">
        <v>11371</v>
      </c>
      <c r="E2748" s="18" t="n">
        <v>1</v>
      </c>
      <c r="F2748" s="18" t="s">
        <v>11388</v>
      </c>
      <c r="G2748" s="18" t="s">
        <v>584</v>
      </c>
      <c r="H2748" s="18" t="s">
        <v>162</v>
      </c>
      <c r="I2748" s="18"/>
      <c r="J2748" s="18"/>
      <c r="K2748" s="18"/>
      <c r="L2748" s="18" t="s">
        <v>129</v>
      </c>
      <c r="M2748" s="18" t="s">
        <v>129</v>
      </c>
      <c r="N2748" s="18"/>
      <c r="O2748" s="18"/>
      <c r="P2748" s="18" t="s">
        <v>11389</v>
      </c>
      <c r="Q2748" s="18" t="s">
        <v>131</v>
      </c>
      <c r="R2748" s="18" t="s">
        <v>11390</v>
      </c>
      <c r="S2748" s="18" t="s">
        <v>133</v>
      </c>
      <c r="T2748" s="18" t="s">
        <v>11391</v>
      </c>
      <c r="U2748" s="18"/>
      <c r="V2748" s="19" t="s">
        <v>29</v>
      </c>
      <c r="W2748" s="19"/>
      <c r="X2748" s="19"/>
      <c r="Y2748" s="20"/>
      <c r="Z2748" s="19"/>
      <c r="AA2748" s="18" t="str">
        <f aca="false">IF(OR(V2748="Aprobada"),R2748,IF(AND(OR(V2748="Aprobada con ajuste",V2748="Rechazada"),W2748&lt;&gt;""),W2748,""))</f>
        <v/>
      </c>
    </row>
    <row r="2749" customFormat="false" ht="22.35" hidden="false" customHeight="false" outlineLevel="0" collapsed="false">
      <c r="A2749" s="18" t="s">
        <v>11392</v>
      </c>
      <c r="B2749" s="18" t="s">
        <v>80</v>
      </c>
      <c r="C2749" s="18" t="s">
        <v>81</v>
      </c>
      <c r="D2749" s="18" t="s">
        <v>11371</v>
      </c>
      <c r="E2749" s="18" t="n">
        <v>1</v>
      </c>
      <c r="F2749" s="18" t="s">
        <v>11393</v>
      </c>
      <c r="G2749" s="18" t="s">
        <v>584</v>
      </c>
      <c r="H2749" s="18" t="s">
        <v>162</v>
      </c>
      <c r="I2749" s="18" t="s">
        <v>298</v>
      </c>
      <c r="J2749" s="18"/>
      <c r="K2749" s="18"/>
      <c r="L2749" s="18" t="s">
        <v>129</v>
      </c>
      <c r="M2749" s="18" t="s">
        <v>129</v>
      </c>
      <c r="N2749" s="18"/>
      <c r="O2749" s="18"/>
      <c r="P2749" s="18" t="s">
        <v>11394</v>
      </c>
      <c r="Q2749" s="18" t="s">
        <v>138</v>
      </c>
      <c r="R2749" s="18" t="s">
        <v>11395</v>
      </c>
      <c r="S2749" s="18" t="s">
        <v>140</v>
      </c>
      <c r="T2749" s="18" t="s">
        <v>141</v>
      </c>
      <c r="U2749" s="18"/>
      <c r="V2749" s="19" t="s">
        <v>29</v>
      </c>
      <c r="W2749" s="19"/>
      <c r="X2749" s="19"/>
      <c r="Y2749" s="20"/>
      <c r="Z2749" s="19"/>
      <c r="AA2749" s="18" t="str">
        <f aca="false">IF(OR(V2749="Aprobada"),R2749,IF(AND(OR(V2749="Aprobada con ajuste",V2749="Rechazada"),W2749&lt;&gt;""),W2749,""))</f>
        <v/>
      </c>
    </row>
    <row r="2750" customFormat="false" ht="22.35" hidden="false" customHeight="false" outlineLevel="0" collapsed="false">
      <c r="A2750" s="18" t="s">
        <v>11396</v>
      </c>
      <c r="B2750" s="18" t="s">
        <v>80</v>
      </c>
      <c r="C2750" s="18" t="s">
        <v>81</v>
      </c>
      <c r="D2750" s="18" t="s">
        <v>11371</v>
      </c>
      <c r="E2750" s="18" t="n">
        <v>1</v>
      </c>
      <c r="F2750" s="18" t="s">
        <v>185</v>
      </c>
      <c r="G2750" s="18" t="s">
        <v>205</v>
      </c>
      <c r="H2750" s="18" t="s">
        <v>129</v>
      </c>
      <c r="I2750" s="18" t="s">
        <v>298</v>
      </c>
      <c r="J2750" s="18" t="s">
        <v>11397</v>
      </c>
      <c r="K2750" s="18"/>
      <c r="L2750" s="18" t="s">
        <v>162</v>
      </c>
      <c r="M2750" s="18" t="s">
        <v>129</v>
      </c>
      <c r="N2750" s="18"/>
      <c r="O2750" s="18"/>
      <c r="P2750" s="18" t="s">
        <v>11398</v>
      </c>
      <c r="Q2750" s="18" t="s">
        <v>138</v>
      </c>
      <c r="R2750" s="18" t="s">
        <v>11399</v>
      </c>
      <c r="S2750" s="18" t="s">
        <v>140</v>
      </c>
      <c r="T2750" s="18" t="s">
        <v>141</v>
      </c>
      <c r="U2750" s="18"/>
      <c r="V2750" s="19" t="s">
        <v>29</v>
      </c>
      <c r="W2750" s="19"/>
      <c r="X2750" s="19"/>
      <c r="Y2750" s="20"/>
      <c r="Z2750" s="19"/>
      <c r="AA2750" s="18" t="str">
        <f aca="false">IF(OR(V2750="Aprobada"),R2750,IF(AND(OR(V2750="Aprobada con ajuste",V2750="Rechazada"),W2750&lt;&gt;""),W2750,""))</f>
        <v/>
      </c>
    </row>
    <row r="2751" customFormat="false" ht="22.35" hidden="false" customHeight="false" outlineLevel="0" collapsed="false">
      <c r="A2751" s="18" t="s">
        <v>11400</v>
      </c>
      <c r="B2751" s="18" t="s">
        <v>80</v>
      </c>
      <c r="C2751" s="18" t="s">
        <v>81</v>
      </c>
      <c r="D2751" s="18" t="s">
        <v>11371</v>
      </c>
      <c r="E2751" s="18" t="n">
        <v>1</v>
      </c>
      <c r="F2751" s="18" t="s">
        <v>11401</v>
      </c>
      <c r="G2751" s="18" t="s">
        <v>454</v>
      </c>
      <c r="H2751" s="18" t="s">
        <v>162</v>
      </c>
      <c r="I2751" s="18"/>
      <c r="J2751" s="18"/>
      <c r="K2751" s="18"/>
      <c r="L2751" s="18" t="s">
        <v>129</v>
      </c>
      <c r="M2751" s="18" t="s">
        <v>129</v>
      </c>
      <c r="N2751" s="18"/>
      <c r="O2751" s="18"/>
      <c r="P2751" s="18" t="s">
        <v>11402</v>
      </c>
      <c r="Q2751" s="18" t="s">
        <v>149</v>
      </c>
      <c r="R2751" s="18" t="s">
        <v>11403</v>
      </c>
      <c r="S2751" s="18" t="s">
        <v>140</v>
      </c>
      <c r="T2751" s="18" t="s">
        <v>11404</v>
      </c>
      <c r="U2751" s="18" t="s">
        <v>4673</v>
      </c>
      <c r="V2751" s="19" t="s">
        <v>29</v>
      </c>
      <c r="W2751" s="19"/>
      <c r="X2751" s="19"/>
      <c r="Y2751" s="20"/>
      <c r="Z2751" s="19"/>
      <c r="AA2751" s="18" t="str">
        <f aca="false">IF(OR(V2751="Aprobada"),R2751,IF(AND(OR(V2751="Aprobada con ajuste",V2751="Rechazada"),W2751&lt;&gt;""),W2751,""))</f>
        <v/>
      </c>
    </row>
    <row r="2752" customFormat="false" ht="22.35" hidden="false" customHeight="false" outlineLevel="0" collapsed="false">
      <c r="A2752" s="18" t="s">
        <v>11405</v>
      </c>
      <c r="B2752" s="18" t="s">
        <v>80</v>
      </c>
      <c r="C2752" s="18" t="s">
        <v>81</v>
      </c>
      <c r="D2752" s="18" t="s">
        <v>11371</v>
      </c>
      <c r="E2752" s="18" t="n">
        <v>1</v>
      </c>
      <c r="F2752" s="18" t="s">
        <v>11406</v>
      </c>
      <c r="G2752" s="18" t="s">
        <v>584</v>
      </c>
      <c r="H2752" s="18" t="s">
        <v>129</v>
      </c>
      <c r="I2752" s="18"/>
      <c r="J2752" s="18"/>
      <c r="K2752" s="18"/>
      <c r="L2752" s="18" t="s">
        <v>129</v>
      </c>
      <c r="M2752" s="18" t="s">
        <v>129</v>
      </c>
      <c r="N2752" s="18"/>
      <c r="O2752" s="18"/>
      <c r="P2752" s="18" t="s">
        <v>11407</v>
      </c>
      <c r="Q2752" s="18" t="s">
        <v>149</v>
      </c>
      <c r="R2752" s="18" t="s">
        <v>11408</v>
      </c>
      <c r="S2752" s="18" t="s">
        <v>133</v>
      </c>
      <c r="T2752" s="18" t="s">
        <v>11409</v>
      </c>
      <c r="U2752" s="18"/>
      <c r="V2752" s="19" t="s">
        <v>29</v>
      </c>
      <c r="W2752" s="19"/>
      <c r="X2752" s="19"/>
      <c r="Y2752" s="20"/>
      <c r="Z2752" s="19"/>
      <c r="AA2752" s="18" t="str">
        <f aca="false">IF(OR(V2752="Aprobada"),R2752,IF(AND(OR(V2752="Aprobada con ajuste",V2752="Rechazada"),W2752&lt;&gt;""),W2752,""))</f>
        <v/>
      </c>
    </row>
    <row r="2753" customFormat="false" ht="32.8" hidden="false" customHeight="false" outlineLevel="0" collapsed="false">
      <c r="A2753" s="18" t="s">
        <v>11410</v>
      </c>
      <c r="B2753" s="18" t="s">
        <v>80</v>
      </c>
      <c r="C2753" s="18" t="s">
        <v>81</v>
      </c>
      <c r="D2753" s="18" t="s">
        <v>11371</v>
      </c>
      <c r="E2753" s="18" t="n">
        <v>1</v>
      </c>
      <c r="F2753" s="18" t="s">
        <v>11411</v>
      </c>
      <c r="G2753" s="18" t="s">
        <v>584</v>
      </c>
      <c r="H2753" s="18" t="s">
        <v>162</v>
      </c>
      <c r="I2753" s="18" t="s">
        <v>298</v>
      </c>
      <c r="J2753" s="18"/>
      <c r="K2753" s="18"/>
      <c r="L2753" s="18" t="s">
        <v>129</v>
      </c>
      <c r="M2753" s="18" t="s">
        <v>129</v>
      </c>
      <c r="N2753" s="18"/>
      <c r="O2753" s="18"/>
      <c r="P2753" s="18" t="s">
        <v>11412</v>
      </c>
      <c r="Q2753" s="18" t="s">
        <v>131</v>
      </c>
      <c r="R2753" s="18" t="s">
        <v>11413</v>
      </c>
      <c r="S2753" s="18" t="s">
        <v>133</v>
      </c>
      <c r="T2753" s="18" t="s">
        <v>11414</v>
      </c>
      <c r="U2753" s="18"/>
      <c r="V2753" s="19" t="s">
        <v>29</v>
      </c>
      <c r="W2753" s="19"/>
      <c r="X2753" s="19"/>
      <c r="Y2753" s="20"/>
      <c r="Z2753" s="19"/>
      <c r="AA2753" s="18" t="str">
        <f aca="false">IF(OR(V2753="Aprobada"),R2753,IF(AND(OR(V2753="Aprobada con ajuste",V2753="Rechazada"),W2753&lt;&gt;""),W2753,""))</f>
        <v/>
      </c>
    </row>
    <row r="2754" customFormat="false" ht="22.35" hidden="false" customHeight="false" outlineLevel="0" collapsed="false">
      <c r="A2754" s="18" t="s">
        <v>11415</v>
      </c>
      <c r="B2754" s="18" t="s">
        <v>80</v>
      </c>
      <c r="C2754" s="18" t="s">
        <v>81</v>
      </c>
      <c r="D2754" s="18" t="s">
        <v>11371</v>
      </c>
      <c r="E2754" s="18" t="n">
        <v>1</v>
      </c>
      <c r="F2754" s="18" t="s">
        <v>11416</v>
      </c>
      <c r="G2754" s="18" t="s">
        <v>454</v>
      </c>
      <c r="H2754" s="18" t="s">
        <v>162</v>
      </c>
      <c r="I2754" s="18"/>
      <c r="J2754" s="18"/>
      <c r="K2754" s="18"/>
      <c r="L2754" s="18" t="s">
        <v>129</v>
      </c>
      <c r="M2754" s="18" t="s">
        <v>129</v>
      </c>
      <c r="N2754" s="18"/>
      <c r="O2754" s="18"/>
      <c r="P2754" s="18" t="s">
        <v>11417</v>
      </c>
      <c r="Q2754" s="18" t="s">
        <v>138</v>
      </c>
      <c r="R2754" s="18" t="s">
        <v>11418</v>
      </c>
      <c r="S2754" s="18" t="s">
        <v>140</v>
      </c>
      <c r="T2754" s="18" t="s">
        <v>141</v>
      </c>
      <c r="U2754" s="18"/>
      <c r="V2754" s="19" t="s">
        <v>29</v>
      </c>
      <c r="W2754" s="19"/>
      <c r="X2754" s="19"/>
      <c r="Y2754" s="20"/>
      <c r="Z2754" s="19"/>
      <c r="AA2754" s="18" t="str">
        <f aca="false">IF(OR(V2754="Aprobada"),R2754,IF(AND(OR(V2754="Aprobada con ajuste",V2754="Rechazada"),W2754&lt;&gt;""),W2754,""))</f>
        <v/>
      </c>
    </row>
    <row r="2755" customFormat="false" ht="22.35" hidden="false" customHeight="false" outlineLevel="0" collapsed="false">
      <c r="A2755" s="18" t="s">
        <v>11419</v>
      </c>
      <c r="B2755" s="18" t="s">
        <v>80</v>
      </c>
      <c r="C2755" s="18" t="s">
        <v>81</v>
      </c>
      <c r="D2755" s="18" t="s">
        <v>11371</v>
      </c>
      <c r="E2755" s="18" t="n">
        <v>1</v>
      </c>
      <c r="F2755" s="18" t="s">
        <v>11420</v>
      </c>
      <c r="G2755" s="18" t="s">
        <v>128</v>
      </c>
      <c r="H2755" s="18" t="s">
        <v>162</v>
      </c>
      <c r="I2755" s="18" t="s">
        <v>298</v>
      </c>
      <c r="J2755" s="18"/>
      <c r="K2755" s="18"/>
      <c r="L2755" s="18" t="s">
        <v>129</v>
      </c>
      <c r="M2755" s="18" t="s">
        <v>129</v>
      </c>
      <c r="N2755" s="18"/>
      <c r="O2755" s="18"/>
      <c r="P2755" s="18" t="s">
        <v>11421</v>
      </c>
      <c r="Q2755" s="18" t="s">
        <v>138</v>
      </c>
      <c r="R2755" s="18" t="s">
        <v>11422</v>
      </c>
      <c r="S2755" s="18" t="s">
        <v>140</v>
      </c>
      <c r="T2755" s="18" t="s">
        <v>141</v>
      </c>
      <c r="U2755" s="18"/>
      <c r="V2755" s="19" t="s">
        <v>29</v>
      </c>
      <c r="W2755" s="19"/>
      <c r="X2755" s="19"/>
      <c r="Y2755" s="20"/>
      <c r="Z2755" s="19"/>
      <c r="AA2755" s="18" t="str">
        <f aca="false">IF(OR(V2755="Aprobada"),R2755,IF(AND(OR(V2755="Aprobada con ajuste",V2755="Rechazada"),W2755&lt;&gt;""),W2755,""))</f>
        <v/>
      </c>
    </row>
    <row r="2756" customFormat="false" ht="126.85" hidden="false" customHeight="false" outlineLevel="0" collapsed="false">
      <c r="A2756" s="18" t="s">
        <v>11423</v>
      </c>
      <c r="B2756" s="18" t="s">
        <v>80</v>
      </c>
      <c r="C2756" s="18" t="s">
        <v>81</v>
      </c>
      <c r="D2756" s="18" t="s">
        <v>11424</v>
      </c>
      <c r="E2756" s="18" t="n">
        <v>3</v>
      </c>
      <c r="F2756" s="18" t="s">
        <v>676</v>
      </c>
      <c r="G2756" s="18" t="s">
        <v>503</v>
      </c>
      <c r="H2756" s="18" t="s">
        <v>129</v>
      </c>
      <c r="I2756" s="18"/>
      <c r="J2756" s="18"/>
      <c r="K2756" s="18"/>
      <c r="L2756" s="18" t="s">
        <v>129</v>
      </c>
      <c r="M2756" s="18" t="s">
        <v>129</v>
      </c>
      <c r="N2756" s="18"/>
      <c r="O2756" s="18" t="s">
        <v>11425</v>
      </c>
      <c r="P2756" s="18" t="s">
        <v>11426</v>
      </c>
      <c r="Q2756" s="18" t="s">
        <v>131</v>
      </c>
      <c r="R2756" s="18" t="s">
        <v>11427</v>
      </c>
      <c r="S2756" s="18" t="s">
        <v>133</v>
      </c>
      <c r="T2756" s="18" t="s">
        <v>11428</v>
      </c>
      <c r="U2756" s="18"/>
      <c r="V2756" s="19" t="s">
        <v>29</v>
      </c>
      <c r="W2756" s="19"/>
      <c r="X2756" s="19"/>
      <c r="Y2756" s="20"/>
      <c r="Z2756" s="19"/>
      <c r="AA2756" s="18" t="str">
        <f aca="false">IF(OR(V2756="Aprobada"),R2756,IF(AND(OR(V2756="Aprobada con ajuste",V2756="Rechazada"),W2756&lt;&gt;""),W2756,""))</f>
        <v/>
      </c>
    </row>
    <row r="2757" customFormat="false" ht="168.65" hidden="false" customHeight="false" outlineLevel="0" collapsed="false">
      <c r="A2757" s="18" t="s">
        <v>11429</v>
      </c>
      <c r="B2757" s="18" t="s">
        <v>80</v>
      </c>
      <c r="C2757" s="18" t="s">
        <v>81</v>
      </c>
      <c r="D2757" s="18" t="s">
        <v>11424</v>
      </c>
      <c r="E2757" s="18" t="n">
        <v>3</v>
      </c>
      <c r="F2757" s="18" t="s">
        <v>127</v>
      </c>
      <c r="G2757" s="18" t="s">
        <v>205</v>
      </c>
      <c r="H2757" s="18" t="s">
        <v>129</v>
      </c>
      <c r="I2757" s="18" t="s">
        <v>298</v>
      </c>
      <c r="J2757" s="18" t="s">
        <v>11430</v>
      </c>
      <c r="K2757" s="18"/>
      <c r="L2757" s="18" t="s">
        <v>162</v>
      </c>
      <c r="M2757" s="18" t="s">
        <v>129</v>
      </c>
      <c r="N2757" s="18"/>
      <c r="O2757" s="18"/>
      <c r="P2757" s="18" t="s">
        <v>11431</v>
      </c>
      <c r="Q2757" s="18" t="s">
        <v>138</v>
      </c>
      <c r="R2757" s="18" t="s">
        <v>11432</v>
      </c>
      <c r="S2757" s="18" t="s">
        <v>140</v>
      </c>
      <c r="T2757" s="18" t="s">
        <v>141</v>
      </c>
      <c r="U2757" s="18"/>
      <c r="V2757" s="19" t="s">
        <v>29</v>
      </c>
      <c r="W2757" s="19"/>
      <c r="X2757" s="19"/>
      <c r="Y2757" s="20"/>
      <c r="Z2757" s="19"/>
      <c r="AA2757" s="18" t="str">
        <f aca="false">IF(OR(V2757="Aprobada"),R2757,IF(AND(OR(V2757="Aprobada con ajuste",V2757="Rechazada"),W2757&lt;&gt;""),W2757,""))</f>
        <v/>
      </c>
    </row>
    <row r="2758" customFormat="false" ht="53.7" hidden="false" customHeight="false" outlineLevel="0" collapsed="false">
      <c r="A2758" s="18" t="s">
        <v>11433</v>
      </c>
      <c r="B2758" s="18" t="s">
        <v>80</v>
      </c>
      <c r="C2758" s="18" t="s">
        <v>81</v>
      </c>
      <c r="D2758" s="18" t="s">
        <v>11424</v>
      </c>
      <c r="E2758" s="18" t="n">
        <v>3</v>
      </c>
      <c r="F2758" s="18" t="s">
        <v>11434</v>
      </c>
      <c r="G2758" s="18" t="s">
        <v>128</v>
      </c>
      <c r="H2758" s="18" t="s">
        <v>129</v>
      </c>
      <c r="I2758" s="18"/>
      <c r="J2758" s="18"/>
      <c r="K2758" s="18"/>
      <c r="L2758" s="18" t="s">
        <v>129</v>
      </c>
      <c r="M2758" s="18" t="s">
        <v>129</v>
      </c>
      <c r="N2758" s="18"/>
      <c r="O2758" s="18"/>
      <c r="P2758" s="18" t="s">
        <v>11435</v>
      </c>
      <c r="Q2758" s="18" t="s">
        <v>131</v>
      </c>
      <c r="R2758" s="18" t="s">
        <v>11436</v>
      </c>
      <c r="S2758" s="18" t="s">
        <v>133</v>
      </c>
      <c r="T2758" s="18" t="s">
        <v>11437</v>
      </c>
      <c r="U2758" s="18"/>
      <c r="V2758" s="19" t="s">
        <v>29</v>
      </c>
      <c r="W2758" s="19"/>
      <c r="X2758" s="19"/>
      <c r="Y2758" s="20"/>
      <c r="Z2758" s="19"/>
      <c r="AA2758" s="18" t="str">
        <f aca="false">IF(OR(V2758="Aprobada"),R2758,IF(AND(OR(V2758="Aprobada con ajuste",V2758="Rechazada"),W2758&lt;&gt;""),W2758,""))</f>
        <v/>
      </c>
    </row>
    <row r="2759" customFormat="false" ht="22.35" hidden="false" customHeight="false" outlineLevel="0" collapsed="false">
      <c r="A2759" s="18" t="s">
        <v>11438</v>
      </c>
      <c r="B2759" s="18" t="s">
        <v>80</v>
      </c>
      <c r="C2759" s="18" t="s">
        <v>81</v>
      </c>
      <c r="D2759" s="18" t="s">
        <v>11424</v>
      </c>
      <c r="E2759" s="18" t="n">
        <v>3</v>
      </c>
      <c r="F2759" s="18" t="s">
        <v>185</v>
      </c>
      <c r="G2759" s="18" t="s">
        <v>205</v>
      </c>
      <c r="H2759" s="18" t="s">
        <v>129</v>
      </c>
      <c r="I2759" s="18" t="s">
        <v>298</v>
      </c>
      <c r="J2759" s="18" t="s">
        <v>11439</v>
      </c>
      <c r="K2759" s="18"/>
      <c r="L2759" s="18" t="s">
        <v>162</v>
      </c>
      <c r="M2759" s="18" t="s">
        <v>129</v>
      </c>
      <c r="N2759" s="18"/>
      <c r="O2759" s="18"/>
      <c r="P2759" s="18" t="s">
        <v>11440</v>
      </c>
      <c r="Q2759" s="18" t="s">
        <v>138</v>
      </c>
      <c r="R2759" s="18" t="s">
        <v>11441</v>
      </c>
      <c r="S2759" s="18" t="s">
        <v>140</v>
      </c>
      <c r="T2759" s="18" t="s">
        <v>141</v>
      </c>
      <c r="U2759" s="18"/>
      <c r="V2759" s="19" t="s">
        <v>29</v>
      </c>
      <c r="W2759" s="19"/>
      <c r="X2759" s="19"/>
      <c r="Y2759" s="20"/>
      <c r="Z2759" s="19"/>
      <c r="AA2759" s="18" t="str">
        <f aca="false">IF(OR(V2759="Aprobada"),R2759,IF(AND(OR(V2759="Aprobada con ajuste",V2759="Rechazada"),W2759&lt;&gt;""),W2759,""))</f>
        <v/>
      </c>
    </row>
    <row r="2760" customFormat="false" ht="22.35" hidden="false" customHeight="false" outlineLevel="0" collapsed="false">
      <c r="A2760" s="18" t="s">
        <v>11442</v>
      </c>
      <c r="B2760" s="18" t="s">
        <v>80</v>
      </c>
      <c r="C2760" s="18" t="s">
        <v>81</v>
      </c>
      <c r="D2760" s="18" t="s">
        <v>11424</v>
      </c>
      <c r="E2760" s="18" t="n">
        <v>3</v>
      </c>
      <c r="F2760" s="18" t="s">
        <v>11443</v>
      </c>
      <c r="G2760" s="18" t="s">
        <v>454</v>
      </c>
      <c r="H2760" s="18" t="s">
        <v>162</v>
      </c>
      <c r="I2760" s="18"/>
      <c r="J2760" s="18"/>
      <c r="K2760" s="18"/>
      <c r="L2760" s="18" t="s">
        <v>129</v>
      </c>
      <c r="M2760" s="18" t="s">
        <v>129</v>
      </c>
      <c r="N2760" s="18"/>
      <c r="O2760" s="18"/>
      <c r="P2760" s="18" t="s">
        <v>11444</v>
      </c>
      <c r="Q2760" s="18" t="s">
        <v>149</v>
      </c>
      <c r="R2760" s="18" t="s">
        <v>11445</v>
      </c>
      <c r="S2760" s="18" t="s">
        <v>140</v>
      </c>
      <c r="T2760" s="18" t="s">
        <v>11404</v>
      </c>
      <c r="U2760" s="18" t="s">
        <v>4673</v>
      </c>
      <c r="V2760" s="19" t="s">
        <v>29</v>
      </c>
      <c r="W2760" s="19"/>
      <c r="X2760" s="19"/>
      <c r="Y2760" s="20"/>
      <c r="Z2760" s="19"/>
      <c r="AA2760" s="18" t="str">
        <f aca="false">IF(OR(V2760="Aprobada"),R2760,IF(AND(OR(V2760="Aprobada con ajuste",V2760="Rechazada"),W2760&lt;&gt;""),W2760,""))</f>
        <v/>
      </c>
    </row>
    <row r="2761" customFormat="false" ht="53.7" hidden="false" customHeight="false" outlineLevel="0" collapsed="false">
      <c r="A2761" s="18" t="s">
        <v>11446</v>
      </c>
      <c r="B2761" s="18" t="s">
        <v>80</v>
      </c>
      <c r="C2761" s="18" t="s">
        <v>81</v>
      </c>
      <c r="D2761" s="18" t="s">
        <v>11424</v>
      </c>
      <c r="E2761" s="18" t="n">
        <v>3</v>
      </c>
      <c r="F2761" s="18" t="s">
        <v>11447</v>
      </c>
      <c r="G2761" s="18" t="s">
        <v>137</v>
      </c>
      <c r="H2761" s="18" t="s">
        <v>162</v>
      </c>
      <c r="I2761" s="18" t="s">
        <v>298</v>
      </c>
      <c r="J2761" s="18"/>
      <c r="K2761" s="18"/>
      <c r="L2761" s="18" t="s">
        <v>129</v>
      </c>
      <c r="M2761" s="18" t="s">
        <v>129</v>
      </c>
      <c r="N2761" s="18"/>
      <c r="O2761" s="18"/>
      <c r="P2761" s="18" t="s">
        <v>11448</v>
      </c>
      <c r="Q2761" s="18" t="s">
        <v>131</v>
      </c>
      <c r="R2761" s="18" t="s">
        <v>11449</v>
      </c>
      <c r="S2761" s="18" t="s">
        <v>140</v>
      </c>
      <c r="T2761" s="18" t="s">
        <v>11450</v>
      </c>
      <c r="U2761" s="18" t="s">
        <v>11451</v>
      </c>
      <c r="V2761" s="19" t="s">
        <v>29</v>
      </c>
      <c r="W2761" s="19"/>
      <c r="X2761" s="19"/>
      <c r="Y2761" s="20"/>
      <c r="Z2761" s="19"/>
      <c r="AA2761" s="18" t="str">
        <f aca="false">IF(OR(V2761="Aprobada"),R2761,IF(AND(OR(V2761="Aprobada con ajuste",V2761="Rechazada"),W2761&lt;&gt;""),W2761,""))</f>
        <v/>
      </c>
    </row>
    <row r="2762" customFormat="false" ht="22.35" hidden="false" customHeight="false" outlineLevel="0" collapsed="false">
      <c r="A2762" s="18" t="s">
        <v>11452</v>
      </c>
      <c r="B2762" s="18" t="s">
        <v>80</v>
      </c>
      <c r="C2762" s="18" t="s">
        <v>81</v>
      </c>
      <c r="D2762" s="18" t="s">
        <v>11424</v>
      </c>
      <c r="E2762" s="18" t="n">
        <v>3</v>
      </c>
      <c r="F2762" s="18" t="s">
        <v>11453</v>
      </c>
      <c r="G2762" s="18" t="s">
        <v>454</v>
      </c>
      <c r="H2762" s="18" t="s">
        <v>162</v>
      </c>
      <c r="I2762" s="18"/>
      <c r="J2762" s="18"/>
      <c r="K2762" s="18"/>
      <c r="L2762" s="18" t="s">
        <v>129</v>
      </c>
      <c r="M2762" s="18" t="s">
        <v>129</v>
      </c>
      <c r="N2762" s="18"/>
      <c r="O2762" s="18"/>
      <c r="P2762" s="18" t="s">
        <v>11454</v>
      </c>
      <c r="Q2762" s="18" t="s">
        <v>138</v>
      </c>
      <c r="R2762" s="18" t="s">
        <v>11455</v>
      </c>
      <c r="S2762" s="18" t="s">
        <v>140</v>
      </c>
      <c r="T2762" s="18" t="s">
        <v>141</v>
      </c>
      <c r="U2762" s="18"/>
      <c r="V2762" s="19" t="s">
        <v>29</v>
      </c>
      <c r="W2762" s="19"/>
      <c r="X2762" s="19"/>
      <c r="Y2762" s="20"/>
      <c r="Z2762" s="19"/>
      <c r="AA2762" s="18" t="str">
        <f aca="false">IF(OR(V2762="Aprobada"),R2762,IF(AND(OR(V2762="Aprobada con ajuste",V2762="Rechazada"),W2762&lt;&gt;""),W2762,""))</f>
        <v/>
      </c>
    </row>
    <row r="2763" customFormat="false" ht="53.7" hidden="false" customHeight="false" outlineLevel="0" collapsed="false">
      <c r="A2763" s="18" t="s">
        <v>11456</v>
      </c>
      <c r="B2763" s="18" t="s">
        <v>80</v>
      </c>
      <c r="C2763" s="18" t="s">
        <v>81</v>
      </c>
      <c r="D2763" s="18" t="s">
        <v>11424</v>
      </c>
      <c r="E2763" s="18" t="n">
        <v>3</v>
      </c>
      <c r="F2763" s="18" t="s">
        <v>11457</v>
      </c>
      <c r="G2763" s="18" t="s">
        <v>137</v>
      </c>
      <c r="H2763" s="18" t="s">
        <v>162</v>
      </c>
      <c r="I2763" s="18" t="s">
        <v>298</v>
      </c>
      <c r="J2763" s="18"/>
      <c r="K2763" s="18"/>
      <c r="L2763" s="18" t="s">
        <v>129</v>
      </c>
      <c r="M2763" s="18" t="s">
        <v>129</v>
      </c>
      <c r="N2763" s="18"/>
      <c r="O2763" s="18"/>
      <c r="P2763" s="18" t="s">
        <v>11458</v>
      </c>
      <c r="Q2763" s="18" t="s">
        <v>149</v>
      </c>
      <c r="R2763" s="18" t="s">
        <v>11459</v>
      </c>
      <c r="S2763" s="18" t="s">
        <v>140</v>
      </c>
      <c r="T2763" s="18" t="s">
        <v>11460</v>
      </c>
      <c r="U2763" s="18" t="s">
        <v>11461</v>
      </c>
      <c r="V2763" s="19" t="s">
        <v>29</v>
      </c>
      <c r="W2763" s="19"/>
      <c r="X2763" s="19"/>
      <c r="Y2763" s="20"/>
      <c r="Z2763" s="19"/>
      <c r="AA2763" s="18" t="str">
        <f aca="false">IF(OR(V2763="Aprobada"),R2763,IF(AND(OR(V2763="Aprobada con ajuste",V2763="Rechazada"),W2763&lt;&gt;""),W2763,""))</f>
        <v/>
      </c>
    </row>
    <row r="2764" customFormat="false" ht="22.35" hidden="false" customHeight="false" outlineLevel="0" collapsed="false">
      <c r="A2764" s="18" t="s">
        <v>11462</v>
      </c>
      <c r="B2764" s="18" t="s">
        <v>80</v>
      </c>
      <c r="C2764" s="18" t="s">
        <v>81</v>
      </c>
      <c r="D2764" s="18" t="s">
        <v>11424</v>
      </c>
      <c r="E2764" s="18" t="n">
        <v>3</v>
      </c>
      <c r="F2764" s="18" t="s">
        <v>11463</v>
      </c>
      <c r="G2764" s="18" t="s">
        <v>584</v>
      </c>
      <c r="H2764" s="18" t="s">
        <v>162</v>
      </c>
      <c r="I2764" s="18"/>
      <c r="J2764" s="18"/>
      <c r="K2764" s="18"/>
      <c r="L2764" s="18" t="s">
        <v>129</v>
      </c>
      <c r="M2764" s="18" t="s">
        <v>129</v>
      </c>
      <c r="N2764" s="18"/>
      <c r="O2764" s="18"/>
      <c r="P2764" s="18" t="s">
        <v>11464</v>
      </c>
      <c r="Q2764" s="18" t="s">
        <v>138</v>
      </c>
      <c r="R2764" s="18" t="s">
        <v>11313</v>
      </c>
      <c r="S2764" s="18" t="s">
        <v>140</v>
      </c>
      <c r="T2764" s="18" t="s">
        <v>141</v>
      </c>
      <c r="U2764" s="18"/>
      <c r="V2764" s="19" t="s">
        <v>29</v>
      </c>
      <c r="W2764" s="19"/>
      <c r="X2764" s="19"/>
      <c r="Y2764" s="20"/>
      <c r="Z2764" s="19"/>
      <c r="AA2764" s="18" t="str">
        <f aca="false">IF(OR(V2764="Aprobada"),R2764,IF(AND(OR(V2764="Aprobada con ajuste",V2764="Rechazada"),W2764&lt;&gt;""),W2764,""))</f>
        <v/>
      </c>
    </row>
    <row r="2765" customFormat="false" ht="22.35" hidden="false" customHeight="false" outlineLevel="0" collapsed="false">
      <c r="A2765" s="18" t="s">
        <v>11465</v>
      </c>
      <c r="B2765" s="18" t="s">
        <v>80</v>
      </c>
      <c r="C2765" s="18" t="s">
        <v>81</v>
      </c>
      <c r="D2765" s="18" t="s">
        <v>11424</v>
      </c>
      <c r="E2765" s="18" t="n">
        <v>3</v>
      </c>
      <c r="F2765" s="18" t="s">
        <v>11466</v>
      </c>
      <c r="G2765" s="18" t="s">
        <v>454</v>
      </c>
      <c r="H2765" s="18" t="s">
        <v>162</v>
      </c>
      <c r="I2765" s="18"/>
      <c r="J2765" s="18"/>
      <c r="K2765" s="18"/>
      <c r="L2765" s="18" t="s">
        <v>129</v>
      </c>
      <c r="M2765" s="18" t="s">
        <v>129</v>
      </c>
      <c r="N2765" s="18"/>
      <c r="O2765" s="18"/>
      <c r="P2765" s="18" t="s">
        <v>11467</v>
      </c>
      <c r="Q2765" s="18" t="s">
        <v>138</v>
      </c>
      <c r="R2765" s="18" t="s">
        <v>11317</v>
      </c>
      <c r="S2765" s="18" t="s">
        <v>140</v>
      </c>
      <c r="T2765" s="18" t="s">
        <v>141</v>
      </c>
      <c r="U2765" s="18"/>
      <c r="V2765" s="19" t="s">
        <v>29</v>
      </c>
      <c r="W2765" s="19"/>
      <c r="X2765" s="19"/>
      <c r="Y2765" s="20"/>
      <c r="Z2765" s="19"/>
      <c r="AA2765" s="18" t="str">
        <f aca="false">IF(OR(V2765="Aprobada"),R2765,IF(AND(OR(V2765="Aprobada con ajuste",V2765="Rechazada"),W2765&lt;&gt;""),W2765,""))</f>
        <v/>
      </c>
    </row>
    <row r="2766" customFormat="false" ht="22.35" hidden="false" customHeight="false" outlineLevel="0" collapsed="false">
      <c r="A2766" s="18" t="s">
        <v>11468</v>
      </c>
      <c r="B2766" s="18" t="s">
        <v>80</v>
      </c>
      <c r="C2766" s="18" t="s">
        <v>81</v>
      </c>
      <c r="D2766" s="18" t="s">
        <v>11424</v>
      </c>
      <c r="E2766" s="18" t="n">
        <v>3</v>
      </c>
      <c r="F2766" s="18" t="s">
        <v>11319</v>
      </c>
      <c r="G2766" s="18" t="s">
        <v>128</v>
      </c>
      <c r="H2766" s="18" t="s">
        <v>162</v>
      </c>
      <c r="I2766" s="18"/>
      <c r="J2766" s="18"/>
      <c r="K2766" s="18"/>
      <c r="L2766" s="18" t="s">
        <v>129</v>
      </c>
      <c r="M2766" s="18" t="s">
        <v>129</v>
      </c>
      <c r="N2766" s="18"/>
      <c r="O2766" s="18"/>
      <c r="P2766" s="18" t="s">
        <v>11469</v>
      </c>
      <c r="Q2766" s="18" t="s">
        <v>138</v>
      </c>
      <c r="R2766" s="18" t="s">
        <v>11321</v>
      </c>
      <c r="S2766" s="18" t="s">
        <v>140</v>
      </c>
      <c r="T2766" s="18" t="s">
        <v>141</v>
      </c>
      <c r="U2766" s="18"/>
      <c r="V2766" s="19" t="s">
        <v>29</v>
      </c>
      <c r="W2766" s="19"/>
      <c r="X2766" s="19"/>
      <c r="Y2766" s="20"/>
      <c r="Z2766" s="19"/>
      <c r="AA2766" s="18" t="str">
        <f aca="false">IF(OR(V2766="Aprobada"),R2766,IF(AND(OR(V2766="Aprobada con ajuste",V2766="Rechazada"),W2766&lt;&gt;""),W2766,""))</f>
        <v/>
      </c>
    </row>
    <row r="2767" customFormat="false" ht="74.6" hidden="false" customHeight="false" outlineLevel="0" collapsed="false">
      <c r="A2767" s="18" t="s">
        <v>11470</v>
      </c>
      <c r="B2767" s="18" t="s">
        <v>80</v>
      </c>
      <c r="C2767" s="18" t="s">
        <v>81</v>
      </c>
      <c r="D2767" s="18" t="s">
        <v>11471</v>
      </c>
      <c r="E2767" s="18" t="n">
        <v>0</v>
      </c>
      <c r="F2767" s="18" t="s">
        <v>11472</v>
      </c>
      <c r="G2767" s="18" t="s">
        <v>205</v>
      </c>
      <c r="H2767" s="18" t="s">
        <v>129</v>
      </c>
      <c r="I2767" s="18" t="s">
        <v>298</v>
      </c>
      <c r="J2767" s="18" t="s">
        <v>11473</v>
      </c>
      <c r="K2767" s="18"/>
      <c r="L2767" s="18" t="s">
        <v>162</v>
      </c>
      <c r="M2767" s="18" t="s">
        <v>129</v>
      </c>
      <c r="N2767" s="18"/>
      <c r="O2767" s="18"/>
      <c r="P2767" s="18" t="s">
        <v>11474</v>
      </c>
      <c r="Q2767" s="18" t="s">
        <v>131</v>
      </c>
      <c r="R2767" s="18" t="s">
        <v>11475</v>
      </c>
      <c r="S2767" s="18" t="s">
        <v>133</v>
      </c>
      <c r="T2767" s="18" t="s">
        <v>11476</v>
      </c>
      <c r="U2767" s="18"/>
      <c r="V2767" s="19" t="s">
        <v>29</v>
      </c>
      <c r="W2767" s="19"/>
      <c r="X2767" s="19"/>
      <c r="Y2767" s="20"/>
      <c r="Z2767" s="19"/>
      <c r="AA2767" s="18" t="str">
        <f aca="false">IF(OR(V2767="Aprobada"),R2767,IF(AND(OR(V2767="Aprobada con ajuste",V2767="Rechazada"),W2767&lt;&gt;""),W2767,""))</f>
        <v/>
      </c>
    </row>
    <row r="2768" customFormat="false" ht="43.25" hidden="false" customHeight="false" outlineLevel="0" collapsed="false">
      <c r="A2768" s="18" t="s">
        <v>11477</v>
      </c>
      <c r="B2768" s="18" t="s">
        <v>80</v>
      </c>
      <c r="C2768" s="18" t="s">
        <v>81</v>
      </c>
      <c r="D2768" s="18" t="s">
        <v>11471</v>
      </c>
      <c r="E2768" s="18" t="n">
        <v>0</v>
      </c>
      <c r="F2768" s="18" t="s">
        <v>11478</v>
      </c>
      <c r="G2768" s="18" t="s">
        <v>454</v>
      </c>
      <c r="H2768" s="18" t="s">
        <v>129</v>
      </c>
      <c r="I2768" s="18"/>
      <c r="J2768" s="18"/>
      <c r="K2768" s="18"/>
      <c r="L2768" s="18" t="s">
        <v>129</v>
      </c>
      <c r="M2768" s="18" t="s">
        <v>129</v>
      </c>
      <c r="N2768" s="18"/>
      <c r="O2768" s="18"/>
      <c r="P2768" s="18" t="s">
        <v>11479</v>
      </c>
      <c r="Q2768" s="18" t="s">
        <v>149</v>
      </c>
      <c r="R2768" s="18" t="s">
        <v>11480</v>
      </c>
      <c r="S2768" s="18" t="s">
        <v>133</v>
      </c>
      <c r="T2768" s="18" t="s">
        <v>3165</v>
      </c>
      <c r="U2768" s="18"/>
      <c r="V2768" s="19" t="s">
        <v>29</v>
      </c>
      <c r="W2768" s="19"/>
      <c r="X2768" s="19"/>
      <c r="Y2768" s="20"/>
      <c r="Z2768" s="19"/>
      <c r="AA2768" s="18" t="str">
        <f aca="false">IF(OR(V2768="Aprobada"),R2768,IF(AND(OR(V2768="Aprobada con ajuste",V2768="Rechazada"),W2768&lt;&gt;""),W2768,""))</f>
        <v/>
      </c>
    </row>
    <row r="2769" customFormat="false" ht="32.8" hidden="false" customHeight="false" outlineLevel="0" collapsed="false">
      <c r="A2769" s="18" t="s">
        <v>11481</v>
      </c>
      <c r="B2769" s="18" t="s">
        <v>80</v>
      </c>
      <c r="C2769" s="18" t="s">
        <v>81</v>
      </c>
      <c r="D2769" s="18" t="s">
        <v>11471</v>
      </c>
      <c r="E2769" s="18" t="n">
        <v>0</v>
      </c>
      <c r="F2769" s="18" t="s">
        <v>11482</v>
      </c>
      <c r="G2769" s="18" t="s">
        <v>282</v>
      </c>
      <c r="H2769" s="18" t="s">
        <v>162</v>
      </c>
      <c r="I2769" s="18"/>
      <c r="J2769" s="18"/>
      <c r="K2769" s="18"/>
      <c r="L2769" s="18" t="s">
        <v>129</v>
      </c>
      <c r="M2769" s="18" t="s">
        <v>129</v>
      </c>
      <c r="N2769" s="18"/>
      <c r="O2769" s="18"/>
      <c r="P2769" s="18" t="s">
        <v>11483</v>
      </c>
      <c r="Q2769" s="18" t="s">
        <v>149</v>
      </c>
      <c r="R2769" s="18" t="s">
        <v>11484</v>
      </c>
      <c r="S2769" s="18" t="s">
        <v>133</v>
      </c>
      <c r="T2769" s="18" t="s">
        <v>11485</v>
      </c>
      <c r="U2769" s="18"/>
      <c r="V2769" s="19" t="s">
        <v>29</v>
      </c>
      <c r="W2769" s="19"/>
      <c r="X2769" s="19"/>
      <c r="Y2769" s="20"/>
      <c r="Z2769" s="19"/>
      <c r="AA2769" s="18" t="str">
        <f aca="false">IF(OR(V2769="Aprobada"),R2769,IF(AND(OR(V2769="Aprobada con ajuste",V2769="Rechazada"),W2769&lt;&gt;""),W2769,""))</f>
        <v/>
      </c>
    </row>
    <row r="2770" customFormat="false" ht="43.25" hidden="false" customHeight="false" outlineLevel="0" collapsed="false">
      <c r="A2770" s="18" t="s">
        <v>11486</v>
      </c>
      <c r="B2770" s="18" t="s">
        <v>80</v>
      </c>
      <c r="C2770" s="18" t="s">
        <v>81</v>
      </c>
      <c r="D2770" s="18" t="s">
        <v>11471</v>
      </c>
      <c r="E2770" s="18" t="n">
        <v>0</v>
      </c>
      <c r="F2770" s="18" t="s">
        <v>11487</v>
      </c>
      <c r="G2770" s="18" t="s">
        <v>137</v>
      </c>
      <c r="H2770" s="18" t="s">
        <v>129</v>
      </c>
      <c r="I2770" s="18"/>
      <c r="J2770" s="18"/>
      <c r="K2770" s="18"/>
      <c r="L2770" s="18" t="s">
        <v>129</v>
      </c>
      <c r="M2770" s="18" t="s">
        <v>129</v>
      </c>
      <c r="N2770" s="18"/>
      <c r="O2770" s="18"/>
      <c r="P2770" s="18" t="s">
        <v>11488</v>
      </c>
      <c r="Q2770" s="18" t="s">
        <v>138</v>
      </c>
      <c r="R2770" s="18" t="s">
        <v>11489</v>
      </c>
      <c r="S2770" s="18" t="s">
        <v>140</v>
      </c>
      <c r="T2770" s="18" t="s">
        <v>141</v>
      </c>
      <c r="U2770" s="18"/>
      <c r="V2770" s="19" t="s">
        <v>29</v>
      </c>
      <c r="W2770" s="19"/>
      <c r="X2770" s="19"/>
      <c r="Y2770" s="20"/>
      <c r="Z2770" s="19"/>
      <c r="AA2770" s="18" t="str">
        <f aca="false">IF(OR(V2770="Aprobada"),R2770,IF(AND(OR(V2770="Aprobada con ajuste",V2770="Rechazada"),W2770&lt;&gt;""),W2770,""))</f>
        <v/>
      </c>
    </row>
    <row r="2771" customFormat="false" ht="22.35" hidden="false" customHeight="false" outlineLevel="0" collapsed="false">
      <c r="A2771" s="18" t="s">
        <v>11490</v>
      </c>
      <c r="B2771" s="18" t="s">
        <v>80</v>
      </c>
      <c r="C2771" s="18" t="s">
        <v>81</v>
      </c>
      <c r="D2771" s="18" t="s">
        <v>11471</v>
      </c>
      <c r="E2771" s="18" t="n">
        <v>0</v>
      </c>
      <c r="F2771" s="18" t="s">
        <v>2016</v>
      </c>
      <c r="G2771" s="18" t="s">
        <v>454</v>
      </c>
      <c r="H2771" s="18" t="s">
        <v>162</v>
      </c>
      <c r="I2771" s="18"/>
      <c r="J2771" s="18"/>
      <c r="K2771" s="18"/>
      <c r="L2771" s="18" t="s">
        <v>129</v>
      </c>
      <c r="M2771" s="18" t="s">
        <v>129</v>
      </c>
      <c r="N2771" s="18"/>
      <c r="O2771" s="18"/>
      <c r="P2771" s="18" t="s">
        <v>11491</v>
      </c>
      <c r="Q2771" s="18" t="s">
        <v>138</v>
      </c>
      <c r="R2771" s="18" t="s">
        <v>2017</v>
      </c>
      <c r="S2771" s="18" t="s">
        <v>140</v>
      </c>
      <c r="T2771" s="18" t="s">
        <v>141</v>
      </c>
      <c r="U2771" s="18"/>
      <c r="V2771" s="19" t="s">
        <v>29</v>
      </c>
      <c r="W2771" s="19"/>
      <c r="X2771" s="19"/>
      <c r="Y2771" s="20"/>
      <c r="Z2771" s="19"/>
      <c r="AA2771" s="18" t="str">
        <f aca="false">IF(OR(V2771="Aprobada"),R2771,IF(AND(OR(V2771="Aprobada con ajuste",V2771="Rechazada"),W2771&lt;&gt;""),W2771,""))</f>
        <v/>
      </c>
    </row>
    <row r="2772" customFormat="false" ht="22.35" hidden="false" customHeight="false" outlineLevel="0" collapsed="false">
      <c r="A2772" s="18" t="s">
        <v>11492</v>
      </c>
      <c r="B2772" s="18" t="s">
        <v>80</v>
      </c>
      <c r="C2772" s="18" t="s">
        <v>81</v>
      </c>
      <c r="D2772" s="18" t="s">
        <v>11493</v>
      </c>
      <c r="E2772" s="18" t="n">
        <v>313</v>
      </c>
      <c r="F2772" s="18" t="s">
        <v>1744</v>
      </c>
      <c r="G2772" s="18" t="s">
        <v>828</v>
      </c>
      <c r="H2772" s="18" t="s">
        <v>129</v>
      </c>
      <c r="I2772" s="18" t="s">
        <v>298</v>
      </c>
      <c r="J2772" s="18" t="s">
        <v>11494</v>
      </c>
      <c r="K2772" s="18"/>
      <c r="L2772" s="18" t="s">
        <v>162</v>
      </c>
      <c r="M2772" s="18" t="s">
        <v>129</v>
      </c>
      <c r="N2772" s="18"/>
      <c r="O2772" s="18" t="s">
        <v>11495</v>
      </c>
      <c r="P2772" s="18"/>
      <c r="Q2772" s="18" t="s">
        <v>149</v>
      </c>
      <c r="R2772" s="18" t="s">
        <v>11496</v>
      </c>
      <c r="S2772" s="18" t="s">
        <v>133</v>
      </c>
      <c r="T2772" s="18" t="s">
        <v>11497</v>
      </c>
      <c r="U2772" s="18"/>
      <c r="V2772" s="19" t="s">
        <v>29</v>
      </c>
      <c r="W2772" s="19"/>
      <c r="X2772" s="19"/>
      <c r="Y2772" s="20"/>
      <c r="Z2772" s="19"/>
      <c r="AA2772" s="18" t="str">
        <f aca="false">IF(OR(V2772="Aprobada"),R2772,IF(AND(OR(V2772="Aprobada con ajuste",V2772="Rechazada"),W2772&lt;&gt;""),W2772,""))</f>
        <v/>
      </c>
    </row>
    <row r="2773" customFormat="false" ht="32.8" hidden="false" customHeight="false" outlineLevel="0" collapsed="false">
      <c r="A2773" s="18" t="s">
        <v>11498</v>
      </c>
      <c r="B2773" s="18" t="s">
        <v>80</v>
      </c>
      <c r="C2773" s="18" t="s">
        <v>81</v>
      </c>
      <c r="D2773" s="18" t="s">
        <v>11493</v>
      </c>
      <c r="E2773" s="18" t="n">
        <v>313</v>
      </c>
      <c r="F2773" s="18" t="s">
        <v>3361</v>
      </c>
      <c r="G2773" s="18" t="s">
        <v>358</v>
      </c>
      <c r="H2773" s="18" t="s">
        <v>162</v>
      </c>
      <c r="I2773" s="18" t="s">
        <v>298</v>
      </c>
      <c r="J2773" s="18"/>
      <c r="K2773" s="18"/>
      <c r="L2773" s="18" t="s">
        <v>129</v>
      </c>
      <c r="M2773" s="18" t="s">
        <v>129</v>
      </c>
      <c r="N2773" s="18"/>
      <c r="O2773" s="18"/>
      <c r="P2773" s="18"/>
      <c r="Q2773" s="18" t="s">
        <v>149</v>
      </c>
      <c r="R2773" s="18" t="s">
        <v>11499</v>
      </c>
      <c r="S2773" s="18" t="s">
        <v>133</v>
      </c>
      <c r="T2773" s="18" t="s">
        <v>11500</v>
      </c>
      <c r="U2773" s="18"/>
      <c r="V2773" s="19" t="s">
        <v>29</v>
      </c>
      <c r="W2773" s="19"/>
      <c r="X2773" s="19"/>
      <c r="Y2773" s="20"/>
      <c r="Z2773" s="19"/>
      <c r="AA2773" s="18" t="str">
        <f aca="false">IF(OR(V2773="Aprobada"),R2773,IF(AND(OR(V2773="Aprobada con ajuste",V2773="Rechazada"),W2773&lt;&gt;""),W2773,""))</f>
        <v/>
      </c>
    </row>
    <row r="2774" customFormat="false" ht="32.8" hidden="false" customHeight="false" outlineLevel="0" collapsed="false">
      <c r="A2774" s="18" t="s">
        <v>11501</v>
      </c>
      <c r="B2774" s="18" t="s">
        <v>80</v>
      </c>
      <c r="C2774" s="18" t="s">
        <v>81</v>
      </c>
      <c r="D2774" s="18" t="s">
        <v>11493</v>
      </c>
      <c r="E2774" s="18" t="n">
        <v>313</v>
      </c>
      <c r="F2774" s="18" t="s">
        <v>11502</v>
      </c>
      <c r="G2774" s="18" t="s">
        <v>828</v>
      </c>
      <c r="H2774" s="18" t="s">
        <v>162</v>
      </c>
      <c r="I2774" s="18" t="s">
        <v>298</v>
      </c>
      <c r="J2774" s="18" t="s">
        <v>11503</v>
      </c>
      <c r="K2774" s="18"/>
      <c r="L2774" s="18" t="s">
        <v>162</v>
      </c>
      <c r="M2774" s="18" t="s">
        <v>129</v>
      </c>
      <c r="N2774" s="18"/>
      <c r="O2774" s="18"/>
      <c r="P2774" s="18"/>
      <c r="Q2774" s="18" t="s">
        <v>149</v>
      </c>
      <c r="R2774" s="18" t="s">
        <v>11504</v>
      </c>
      <c r="S2774" s="18" t="s">
        <v>140</v>
      </c>
      <c r="T2774" s="18" t="s">
        <v>801</v>
      </c>
      <c r="U2774" s="18" t="s">
        <v>11505</v>
      </c>
      <c r="V2774" s="19" t="s">
        <v>29</v>
      </c>
      <c r="W2774" s="19"/>
      <c r="X2774" s="19"/>
      <c r="Y2774" s="20"/>
      <c r="Z2774" s="19"/>
      <c r="AA2774" s="18" t="str">
        <f aca="false">IF(OR(V2774="Aprobada"),R2774,IF(AND(OR(V2774="Aprobada con ajuste",V2774="Rechazada"),W2774&lt;&gt;""),W2774,""))</f>
        <v/>
      </c>
    </row>
    <row r="2775" customFormat="false" ht="22.35" hidden="false" customHeight="false" outlineLevel="0" collapsed="false">
      <c r="A2775" s="18" t="s">
        <v>11506</v>
      </c>
      <c r="B2775" s="18" t="s">
        <v>80</v>
      </c>
      <c r="C2775" s="18" t="s">
        <v>81</v>
      </c>
      <c r="D2775" s="18" t="s">
        <v>11493</v>
      </c>
      <c r="E2775" s="18" t="n">
        <v>313</v>
      </c>
      <c r="F2775" s="18" t="s">
        <v>11507</v>
      </c>
      <c r="G2775" s="18" t="s">
        <v>173</v>
      </c>
      <c r="H2775" s="18" t="s">
        <v>129</v>
      </c>
      <c r="I2775" s="18"/>
      <c r="J2775" s="18"/>
      <c r="K2775" s="18"/>
      <c r="L2775" s="18" t="s">
        <v>129</v>
      </c>
      <c r="M2775" s="18" t="s">
        <v>129</v>
      </c>
      <c r="N2775" s="18"/>
      <c r="O2775" s="18"/>
      <c r="P2775" s="18"/>
      <c r="Q2775" s="18" t="s">
        <v>138</v>
      </c>
      <c r="R2775" s="18" t="s">
        <v>11508</v>
      </c>
      <c r="S2775" s="18" t="s">
        <v>140</v>
      </c>
      <c r="T2775" s="18" t="s">
        <v>141</v>
      </c>
      <c r="U2775" s="18"/>
      <c r="V2775" s="19" t="s">
        <v>29</v>
      </c>
      <c r="W2775" s="19"/>
      <c r="X2775" s="19"/>
      <c r="Y2775" s="20"/>
      <c r="Z2775" s="19"/>
      <c r="AA2775" s="18" t="str">
        <f aca="false">IF(OR(V2775="Aprobada"),R2775,IF(AND(OR(V2775="Aprobada con ajuste",V2775="Rechazada"),W2775&lt;&gt;""),W2775,""))</f>
        <v/>
      </c>
    </row>
    <row r="2776" customFormat="false" ht="22.35" hidden="false" customHeight="false" outlineLevel="0" collapsed="false">
      <c r="A2776" s="18" t="s">
        <v>11509</v>
      </c>
      <c r="B2776" s="18" t="s">
        <v>80</v>
      </c>
      <c r="C2776" s="18" t="s">
        <v>81</v>
      </c>
      <c r="D2776" s="18" t="s">
        <v>11493</v>
      </c>
      <c r="E2776" s="18" t="n">
        <v>313</v>
      </c>
      <c r="F2776" s="18" t="s">
        <v>172</v>
      </c>
      <c r="G2776" s="18" t="s">
        <v>173</v>
      </c>
      <c r="H2776" s="18" t="s">
        <v>129</v>
      </c>
      <c r="I2776" s="18"/>
      <c r="J2776" s="18"/>
      <c r="K2776" s="18"/>
      <c r="L2776" s="18" t="s">
        <v>129</v>
      </c>
      <c r="M2776" s="18" t="s">
        <v>129</v>
      </c>
      <c r="N2776" s="18"/>
      <c r="O2776" s="18"/>
      <c r="P2776" s="18"/>
      <c r="Q2776" s="18" t="s">
        <v>138</v>
      </c>
      <c r="R2776" s="18" t="s">
        <v>176</v>
      </c>
      <c r="S2776" s="18" t="s">
        <v>140</v>
      </c>
      <c r="T2776" s="18" t="s">
        <v>141</v>
      </c>
      <c r="U2776" s="18"/>
      <c r="V2776" s="19" t="s">
        <v>29</v>
      </c>
      <c r="W2776" s="19"/>
      <c r="X2776" s="19"/>
      <c r="Y2776" s="20"/>
      <c r="Z2776" s="19"/>
      <c r="AA2776" s="18" t="str">
        <f aca="false">IF(OR(V2776="Aprobada"),R2776,IF(AND(OR(V2776="Aprobada con ajuste",V2776="Rechazada"),W2776&lt;&gt;""),W2776,""))</f>
        <v/>
      </c>
    </row>
    <row r="2777" customFormat="false" ht="43.25" hidden="false" customHeight="false" outlineLevel="0" collapsed="false">
      <c r="A2777" s="18" t="s">
        <v>11510</v>
      </c>
      <c r="B2777" s="18" t="s">
        <v>80</v>
      </c>
      <c r="C2777" s="18" t="s">
        <v>81</v>
      </c>
      <c r="D2777" s="18" t="s">
        <v>11511</v>
      </c>
      <c r="E2777" s="18" t="n">
        <v>1</v>
      </c>
      <c r="F2777" s="18" t="s">
        <v>11512</v>
      </c>
      <c r="G2777" s="18" t="s">
        <v>11382</v>
      </c>
      <c r="H2777" s="18" t="s">
        <v>129</v>
      </c>
      <c r="I2777" s="18" t="s">
        <v>298</v>
      </c>
      <c r="J2777" s="18"/>
      <c r="K2777" s="18"/>
      <c r="L2777" s="18" t="s">
        <v>129</v>
      </c>
      <c r="M2777" s="18" t="s">
        <v>129</v>
      </c>
      <c r="N2777" s="18"/>
      <c r="O2777" s="18"/>
      <c r="P2777" s="18" t="s">
        <v>11513</v>
      </c>
      <c r="Q2777" s="18" t="s">
        <v>149</v>
      </c>
      <c r="R2777" s="18" t="s">
        <v>11514</v>
      </c>
      <c r="S2777" s="18" t="s">
        <v>140</v>
      </c>
      <c r="T2777" s="18" t="s">
        <v>11515</v>
      </c>
      <c r="U2777" s="18" t="s">
        <v>11516</v>
      </c>
      <c r="V2777" s="19" t="s">
        <v>29</v>
      </c>
      <c r="W2777" s="19"/>
      <c r="X2777" s="19"/>
      <c r="Y2777" s="20"/>
      <c r="Z2777" s="19"/>
      <c r="AA2777" s="18" t="str">
        <f aca="false">IF(OR(V2777="Aprobada"),R2777,IF(AND(OR(V2777="Aprobada con ajuste",V2777="Rechazada"),W2777&lt;&gt;""),W2777,""))</f>
        <v/>
      </c>
    </row>
    <row r="2778" customFormat="false" ht="85.05" hidden="false" customHeight="false" outlineLevel="0" collapsed="false">
      <c r="A2778" s="18" t="s">
        <v>11517</v>
      </c>
      <c r="B2778" s="18" t="s">
        <v>80</v>
      </c>
      <c r="C2778" s="18" t="s">
        <v>81</v>
      </c>
      <c r="D2778" s="18" t="s">
        <v>11511</v>
      </c>
      <c r="E2778" s="18" t="n">
        <v>1</v>
      </c>
      <c r="F2778" s="18" t="s">
        <v>11518</v>
      </c>
      <c r="G2778" s="18" t="s">
        <v>137</v>
      </c>
      <c r="H2778" s="18" t="s">
        <v>129</v>
      </c>
      <c r="I2778" s="18" t="s">
        <v>298</v>
      </c>
      <c r="J2778" s="18"/>
      <c r="K2778" s="18"/>
      <c r="L2778" s="18" t="s">
        <v>129</v>
      </c>
      <c r="M2778" s="18" t="s">
        <v>129</v>
      </c>
      <c r="N2778" s="18"/>
      <c r="O2778" s="18"/>
      <c r="P2778" s="18" t="s">
        <v>11519</v>
      </c>
      <c r="Q2778" s="18" t="s">
        <v>131</v>
      </c>
      <c r="R2778" s="18" t="s">
        <v>11520</v>
      </c>
      <c r="S2778" s="18" t="s">
        <v>133</v>
      </c>
      <c r="T2778" s="18" t="s">
        <v>11521</v>
      </c>
      <c r="U2778" s="18"/>
      <c r="V2778" s="19" t="s">
        <v>29</v>
      </c>
      <c r="W2778" s="19"/>
      <c r="X2778" s="19"/>
      <c r="Y2778" s="20"/>
      <c r="Z2778" s="19"/>
      <c r="AA2778" s="18" t="str">
        <f aca="false">IF(OR(V2778="Aprobada"),R2778,IF(AND(OR(V2778="Aprobada con ajuste",V2778="Rechazada"),W2778&lt;&gt;""),W2778,""))</f>
        <v/>
      </c>
    </row>
    <row r="2779" customFormat="false" ht="32.8" hidden="false" customHeight="false" outlineLevel="0" collapsed="false">
      <c r="A2779" s="18" t="s">
        <v>11522</v>
      </c>
      <c r="B2779" s="18" t="s">
        <v>80</v>
      </c>
      <c r="C2779" s="18" t="s">
        <v>81</v>
      </c>
      <c r="D2779" s="18" t="s">
        <v>11511</v>
      </c>
      <c r="E2779" s="18" t="n">
        <v>1</v>
      </c>
      <c r="F2779" s="18" t="s">
        <v>11523</v>
      </c>
      <c r="G2779" s="18" t="s">
        <v>137</v>
      </c>
      <c r="H2779" s="18" t="s">
        <v>129</v>
      </c>
      <c r="I2779" s="18" t="s">
        <v>298</v>
      </c>
      <c r="J2779" s="18"/>
      <c r="K2779" s="18"/>
      <c r="L2779" s="18" t="s">
        <v>129</v>
      </c>
      <c r="M2779" s="18" t="s">
        <v>129</v>
      </c>
      <c r="N2779" s="18"/>
      <c r="O2779" s="18" t="s">
        <v>11524</v>
      </c>
      <c r="P2779" s="18" t="s">
        <v>11525</v>
      </c>
      <c r="Q2779" s="18" t="s">
        <v>149</v>
      </c>
      <c r="R2779" s="18" t="s">
        <v>11526</v>
      </c>
      <c r="S2779" s="18" t="s">
        <v>133</v>
      </c>
      <c r="T2779" s="18" t="s">
        <v>11527</v>
      </c>
      <c r="U2779" s="18"/>
      <c r="V2779" s="19" t="s">
        <v>29</v>
      </c>
      <c r="W2779" s="19"/>
      <c r="X2779" s="19"/>
      <c r="Y2779" s="20"/>
      <c r="Z2779" s="19"/>
      <c r="AA2779" s="18" t="str">
        <f aca="false">IF(OR(V2779="Aprobada"),R2779,IF(AND(OR(V2779="Aprobada con ajuste",V2779="Rechazada"),W2779&lt;&gt;""),W2779,""))</f>
        <v/>
      </c>
    </row>
    <row r="2780" customFormat="false" ht="53.7" hidden="false" customHeight="false" outlineLevel="0" collapsed="false">
      <c r="A2780" s="18" t="s">
        <v>11528</v>
      </c>
      <c r="B2780" s="18" t="s">
        <v>80</v>
      </c>
      <c r="C2780" s="18" t="s">
        <v>81</v>
      </c>
      <c r="D2780" s="18" t="s">
        <v>11529</v>
      </c>
      <c r="E2780" s="18" t="n">
        <v>3</v>
      </c>
      <c r="F2780" s="18" t="s">
        <v>11530</v>
      </c>
      <c r="G2780" s="18" t="s">
        <v>282</v>
      </c>
      <c r="H2780" s="18" t="s">
        <v>129</v>
      </c>
      <c r="I2780" s="18"/>
      <c r="J2780" s="18"/>
      <c r="K2780" s="18"/>
      <c r="L2780" s="18" t="s">
        <v>129</v>
      </c>
      <c r="M2780" s="18" t="s">
        <v>129</v>
      </c>
      <c r="N2780" s="18"/>
      <c r="O2780" s="18"/>
      <c r="P2780" s="18" t="s">
        <v>11531</v>
      </c>
      <c r="Q2780" s="18" t="s">
        <v>131</v>
      </c>
      <c r="R2780" s="18" t="s">
        <v>11532</v>
      </c>
      <c r="S2780" s="18" t="s">
        <v>133</v>
      </c>
      <c r="T2780" s="18" t="s">
        <v>11533</v>
      </c>
      <c r="U2780" s="18"/>
      <c r="V2780" s="19" t="s">
        <v>29</v>
      </c>
      <c r="W2780" s="19"/>
      <c r="X2780" s="19"/>
      <c r="Y2780" s="20"/>
      <c r="Z2780" s="19"/>
      <c r="AA2780" s="18" t="str">
        <f aca="false">IF(OR(V2780="Aprobada"),R2780,IF(AND(OR(V2780="Aprobada con ajuste",V2780="Rechazada"),W2780&lt;&gt;""),W2780,""))</f>
        <v/>
      </c>
    </row>
    <row r="2781" customFormat="false" ht="43.25" hidden="false" customHeight="false" outlineLevel="0" collapsed="false">
      <c r="A2781" s="18" t="s">
        <v>11534</v>
      </c>
      <c r="B2781" s="18" t="s">
        <v>80</v>
      </c>
      <c r="C2781" s="18" t="s">
        <v>81</v>
      </c>
      <c r="D2781" s="18" t="s">
        <v>11529</v>
      </c>
      <c r="E2781" s="18" t="n">
        <v>3</v>
      </c>
      <c r="F2781" s="18" t="s">
        <v>11535</v>
      </c>
      <c r="G2781" s="18" t="s">
        <v>137</v>
      </c>
      <c r="H2781" s="18" t="s">
        <v>129</v>
      </c>
      <c r="I2781" s="18"/>
      <c r="J2781" s="18"/>
      <c r="K2781" s="18"/>
      <c r="L2781" s="18" t="s">
        <v>129</v>
      </c>
      <c r="M2781" s="18" t="s">
        <v>129</v>
      </c>
      <c r="N2781" s="18"/>
      <c r="O2781" s="18"/>
      <c r="P2781" s="18" t="s">
        <v>11536</v>
      </c>
      <c r="Q2781" s="18" t="s">
        <v>131</v>
      </c>
      <c r="R2781" s="18" t="s">
        <v>11537</v>
      </c>
      <c r="S2781" s="18" t="s">
        <v>133</v>
      </c>
      <c r="T2781" s="18" t="s">
        <v>11538</v>
      </c>
      <c r="U2781" s="18"/>
      <c r="V2781" s="19" t="s">
        <v>29</v>
      </c>
      <c r="W2781" s="19"/>
      <c r="X2781" s="19"/>
      <c r="Y2781" s="20"/>
      <c r="Z2781" s="19"/>
      <c r="AA2781" s="18" t="str">
        <f aca="false">IF(OR(V2781="Aprobada"),R2781,IF(AND(OR(V2781="Aprobada con ajuste",V2781="Rechazada"),W2781&lt;&gt;""),W2781,""))</f>
        <v/>
      </c>
    </row>
    <row r="2782" customFormat="false" ht="95.5" hidden="false" customHeight="false" outlineLevel="0" collapsed="false">
      <c r="A2782" s="18" t="s">
        <v>11539</v>
      </c>
      <c r="B2782" s="18" t="s">
        <v>80</v>
      </c>
      <c r="C2782" s="18" t="s">
        <v>81</v>
      </c>
      <c r="D2782" s="18" t="s">
        <v>11529</v>
      </c>
      <c r="E2782" s="18" t="n">
        <v>3</v>
      </c>
      <c r="F2782" s="18" t="s">
        <v>11540</v>
      </c>
      <c r="G2782" s="18" t="s">
        <v>128</v>
      </c>
      <c r="H2782" s="18" t="s">
        <v>162</v>
      </c>
      <c r="I2782" s="18"/>
      <c r="J2782" s="18"/>
      <c r="K2782" s="18"/>
      <c r="L2782" s="18" t="s">
        <v>129</v>
      </c>
      <c r="M2782" s="18" t="s">
        <v>129</v>
      </c>
      <c r="N2782" s="18"/>
      <c r="O2782" s="18"/>
      <c r="P2782" s="18" t="s">
        <v>11541</v>
      </c>
      <c r="Q2782" s="18" t="s">
        <v>149</v>
      </c>
      <c r="R2782" s="18" t="s">
        <v>11542</v>
      </c>
      <c r="S2782" s="18" t="s">
        <v>133</v>
      </c>
      <c r="T2782" s="18" t="s">
        <v>11543</v>
      </c>
      <c r="U2782" s="18"/>
      <c r="V2782" s="19" t="s">
        <v>29</v>
      </c>
      <c r="W2782" s="19"/>
      <c r="X2782" s="19"/>
      <c r="Y2782" s="20"/>
      <c r="Z2782" s="19"/>
      <c r="AA2782" s="18" t="str">
        <f aca="false">IF(OR(V2782="Aprobada"),R2782,IF(AND(OR(V2782="Aprobada con ajuste",V2782="Rechazada"),W2782&lt;&gt;""),W2782,""))</f>
        <v/>
      </c>
    </row>
    <row r="2783" customFormat="false" ht="22.35" hidden="false" customHeight="false" outlineLevel="0" collapsed="false">
      <c r="A2783" s="18" t="s">
        <v>11544</v>
      </c>
      <c r="B2783" s="18" t="s">
        <v>80</v>
      </c>
      <c r="C2783" s="18" t="s">
        <v>81</v>
      </c>
      <c r="D2783" s="18" t="s">
        <v>11529</v>
      </c>
      <c r="E2783" s="18" t="n">
        <v>3</v>
      </c>
      <c r="F2783" s="18" t="s">
        <v>11545</v>
      </c>
      <c r="G2783" s="18" t="s">
        <v>454</v>
      </c>
      <c r="H2783" s="18" t="s">
        <v>162</v>
      </c>
      <c r="I2783" s="18"/>
      <c r="J2783" s="18"/>
      <c r="K2783" s="18"/>
      <c r="L2783" s="18" t="s">
        <v>129</v>
      </c>
      <c r="M2783" s="18" t="s">
        <v>129</v>
      </c>
      <c r="N2783" s="18"/>
      <c r="O2783" s="18"/>
      <c r="P2783" s="18" t="s">
        <v>11546</v>
      </c>
      <c r="Q2783" s="18" t="s">
        <v>149</v>
      </c>
      <c r="R2783" s="18" t="s">
        <v>11547</v>
      </c>
      <c r="S2783" s="18" t="s">
        <v>140</v>
      </c>
      <c r="T2783" s="18" t="s">
        <v>11404</v>
      </c>
      <c r="U2783" s="18" t="s">
        <v>4673</v>
      </c>
      <c r="V2783" s="19" t="s">
        <v>29</v>
      </c>
      <c r="W2783" s="19"/>
      <c r="X2783" s="19"/>
      <c r="Y2783" s="20"/>
      <c r="Z2783" s="19"/>
      <c r="AA2783" s="18" t="str">
        <f aca="false">IF(OR(V2783="Aprobada"),R2783,IF(AND(OR(V2783="Aprobada con ajuste",V2783="Rechazada"),W2783&lt;&gt;""),W2783,""))</f>
        <v/>
      </c>
    </row>
    <row r="2784" customFormat="false" ht="53.7" hidden="false" customHeight="false" outlineLevel="0" collapsed="false">
      <c r="A2784" s="18" t="s">
        <v>11548</v>
      </c>
      <c r="B2784" s="18" t="s">
        <v>80</v>
      </c>
      <c r="C2784" s="18" t="s">
        <v>81</v>
      </c>
      <c r="D2784" s="18" t="s">
        <v>11549</v>
      </c>
      <c r="E2784" s="18" t="n">
        <v>1</v>
      </c>
      <c r="F2784" s="18" t="s">
        <v>11550</v>
      </c>
      <c r="G2784" s="18" t="s">
        <v>173</v>
      </c>
      <c r="H2784" s="18" t="s">
        <v>129</v>
      </c>
      <c r="I2784" s="18"/>
      <c r="J2784" s="18"/>
      <c r="K2784" s="18"/>
      <c r="L2784" s="18" t="s">
        <v>129</v>
      </c>
      <c r="M2784" s="18" t="s">
        <v>129</v>
      </c>
      <c r="N2784" s="18"/>
      <c r="O2784" s="18"/>
      <c r="P2784" s="18" t="s">
        <v>11551</v>
      </c>
      <c r="Q2784" s="18" t="s">
        <v>131</v>
      </c>
      <c r="R2784" s="18" t="s">
        <v>11552</v>
      </c>
      <c r="S2784" s="18" t="s">
        <v>133</v>
      </c>
      <c r="T2784" s="18" t="s">
        <v>11553</v>
      </c>
      <c r="U2784" s="18"/>
      <c r="V2784" s="19" t="s">
        <v>29</v>
      </c>
      <c r="W2784" s="19"/>
      <c r="X2784" s="19"/>
      <c r="Y2784" s="20"/>
      <c r="Z2784" s="19"/>
      <c r="AA2784" s="18" t="str">
        <f aca="false">IF(OR(V2784="Aprobada"),R2784,IF(AND(OR(V2784="Aprobada con ajuste",V2784="Rechazada"),W2784&lt;&gt;""),W2784,""))</f>
        <v/>
      </c>
    </row>
    <row r="2785" customFormat="false" ht="32.8" hidden="false" customHeight="false" outlineLevel="0" collapsed="false">
      <c r="A2785" s="18" t="s">
        <v>11554</v>
      </c>
      <c r="B2785" s="18" t="s">
        <v>80</v>
      </c>
      <c r="C2785" s="18" t="s">
        <v>81</v>
      </c>
      <c r="D2785" s="18" t="s">
        <v>11549</v>
      </c>
      <c r="E2785" s="18" t="n">
        <v>1</v>
      </c>
      <c r="F2785" s="18" t="s">
        <v>5215</v>
      </c>
      <c r="G2785" s="18" t="s">
        <v>128</v>
      </c>
      <c r="H2785" s="18" t="s">
        <v>162</v>
      </c>
      <c r="I2785" s="18"/>
      <c r="J2785" s="18"/>
      <c r="K2785" s="18"/>
      <c r="L2785" s="18" t="s">
        <v>129</v>
      </c>
      <c r="M2785" s="18" t="s">
        <v>129</v>
      </c>
      <c r="N2785" s="18"/>
      <c r="O2785" s="18"/>
      <c r="P2785" s="18" t="s">
        <v>11555</v>
      </c>
      <c r="Q2785" s="18" t="s">
        <v>149</v>
      </c>
      <c r="R2785" s="18" t="s">
        <v>11556</v>
      </c>
      <c r="S2785" s="18" t="s">
        <v>133</v>
      </c>
      <c r="T2785" s="18" t="s">
        <v>11557</v>
      </c>
      <c r="U2785" s="18"/>
      <c r="V2785" s="19" t="s">
        <v>29</v>
      </c>
      <c r="W2785" s="19"/>
      <c r="X2785" s="19"/>
      <c r="Y2785" s="20"/>
      <c r="Z2785" s="19"/>
      <c r="AA2785" s="18" t="str">
        <f aca="false">IF(OR(V2785="Aprobada"),R2785,IF(AND(OR(V2785="Aprobada con ajuste",V2785="Rechazada"),W2785&lt;&gt;""),W2785,""))</f>
        <v/>
      </c>
    </row>
    <row r="2786" customFormat="false" ht="32.8" hidden="false" customHeight="false" outlineLevel="0" collapsed="false">
      <c r="A2786" s="18" t="s">
        <v>11558</v>
      </c>
      <c r="B2786" s="18" t="s">
        <v>80</v>
      </c>
      <c r="C2786" s="18" t="s">
        <v>81</v>
      </c>
      <c r="D2786" s="18" t="s">
        <v>11549</v>
      </c>
      <c r="E2786" s="18" t="n">
        <v>1</v>
      </c>
      <c r="F2786" s="18" t="s">
        <v>11507</v>
      </c>
      <c r="G2786" s="18" t="s">
        <v>173</v>
      </c>
      <c r="H2786" s="18" t="s">
        <v>129</v>
      </c>
      <c r="I2786" s="18"/>
      <c r="J2786" s="18"/>
      <c r="K2786" s="18"/>
      <c r="L2786" s="18" t="s">
        <v>129</v>
      </c>
      <c r="M2786" s="18" t="s">
        <v>129</v>
      </c>
      <c r="N2786" s="18"/>
      <c r="O2786" s="18"/>
      <c r="P2786" s="18" t="s">
        <v>11559</v>
      </c>
      <c r="Q2786" s="18" t="s">
        <v>138</v>
      </c>
      <c r="R2786" s="18" t="s">
        <v>11508</v>
      </c>
      <c r="S2786" s="18" t="s">
        <v>140</v>
      </c>
      <c r="T2786" s="18" t="s">
        <v>141</v>
      </c>
      <c r="U2786" s="18"/>
      <c r="V2786" s="19" t="s">
        <v>29</v>
      </c>
      <c r="W2786" s="19"/>
      <c r="X2786" s="19"/>
      <c r="Y2786" s="20"/>
      <c r="Z2786" s="19"/>
      <c r="AA2786" s="18" t="str">
        <f aca="false">IF(OR(V2786="Aprobada"),R2786,IF(AND(OR(V2786="Aprobada con ajuste",V2786="Rechazada"),W2786&lt;&gt;""),W2786,""))</f>
        <v/>
      </c>
    </row>
    <row r="2787" customFormat="false" ht="85.05" hidden="false" customHeight="false" outlineLevel="0" collapsed="false">
      <c r="A2787" s="18" t="s">
        <v>11560</v>
      </c>
      <c r="B2787" s="18" t="s">
        <v>80</v>
      </c>
      <c r="C2787" s="18" t="s">
        <v>81</v>
      </c>
      <c r="D2787" s="18" t="s">
        <v>11561</v>
      </c>
      <c r="E2787" s="18" t="n">
        <v>1</v>
      </c>
      <c r="F2787" s="18" t="s">
        <v>11562</v>
      </c>
      <c r="G2787" s="18" t="s">
        <v>584</v>
      </c>
      <c r="H2787" s="18" t="s">
        <v>129</v>
      </c>
      <c r="I2787" s="18"/>
      <c r="J2787" s="18"/>
      <c r="K2787" s="18"/>
      <c r="L2787" s="18" t="s">
        <v>129</v>
      </c>
      <c r="M2787" s="18" t="s">
        <v>129</v>
      </c>
      <c r="N2787" s="18"/>
      <c r="O2787" s="18"/>
      <c r="P2787" s="18" t="s">
        <v>11563</v>
      </c>
      <c r="Q2787" s="18" t="s">
        <v>131</v>
      </c>
      <c r="R2787" s="18" t="s">
        <v>11564</v>
      </c>
      <c r="S2787" s="18" t="s">
        <v>133</v>
      </c>
      <c r="T2787" s="18" t="s">
        <v>11565</v>
      </c>
      <c r="U2787" s="18"/>
      <c r="V2787" s="19" t="s">
        <v>29</v>
      </c>
      <c r="W2787" s="19"/>
      <c r="X2787" s="19"/>
      <c r="Y2787" s="20"/>
      <c r="Z2787" s="19"/>
      <c r="AA2787" s="18" t="str">
        <f aca="false">IF(OR(V2787="Aprobada"),R2787,IF(AND(OR(V2787="Aprobada con ajuste",V2787="Rechazada"),W2787&lt;&gt;""),W2787,""))</f>
        <v/>
      </c>
    </row>
    <row r="2788" customFormat="false" ht="105.95" hidden="false" customHeight="false" outlineLevel="0" collapsed="false">
      <c r="A2788" s="18" t="s">
        <v>11566</v>
      </c>
      <c r="B2788" s="18" t="s">
        <v>80</v>
      </c>
      <c r="C2788" s="18" t="s">
        <v>81</v>
      </c>
      <c r="D2788" s="18" t="s">
        <v>11561</v>
      </c>
      <c r="E2788" s="18" t="n">
        <v>1</v>
      </c>
      <c r="F2788" s="18" t="s">
        <v>11567</v>
      </c>
      <c r="G2788" s="18" t="s">
        <v>454</v>
      </c>
      <c r="H2788" s="18" t="s">
        <v>129</v>
      </c>
      <c r="I2788" s="18"/>
      <c r="J2788" s="18"/>
      <c r="K2788" s="18"/>
      <c r="L2788" s="18" t="s">
        <v>129</v>
      </c>
      <c r="M2788" s="18" t="s">
        <v>129</v>
      </c>
      <c r="N2788" s="18"/>
      <c r="O2788" s="18"/>
      <c r="P2788" s="18" t="s">
        <v>11568</v>
      </c>
      <c r="Q2788" s="18" t="s">
        <v>131</v>
      </c>
      <c r="R2788" s="18" t="s">
        <v>11569</v>
      </c>
      <c r="S2788" s="18" t="s">
        <v>133</v>
      </c>
      <c r="T2788" s="18" t="s">
        <v>11570</v>
      </c>
      <c r="U2788" s="18"/>
      <c r="V2788" s="19" t="s">
        <v>29</v>
      </c>
      <c r="W2788" s="19"/>
      <c r="X2788" s="19"/>
      <c r="Y2788" s="20"/>
      <c r="Z2788" s="19"/>
      <c r="AA2788" s="18" t="str">
        <f aca="false">IF(OR(V2788="Aprobada"),R2788,IF(AND(OR(V2788="Aprobada con ajuste",V2788="Rechazada"),W2788&lt;&gt;""),W2788,""))</f>
        <v/>
      </c>
    </row>
    <row r="2789" customFormat="false" ht="74.6" hidden="false" customHeight="false" outlineLevel="0" collapsed="false">
      <c r="A2789" s="18" t="s">
        <v>11571</v>
      </c>
      <c r="B2789" s="18" t="s">
        <v>80</v>
      </c>
      <c r="C2789" s="18" t="s">
        <v>81</v>
      </c>
      <c r="D2789" s="18" t="s">
        <v>11561</v>
      </c>
      <c r="E2789" s="18" t="n">
        <v>1</v>
      </c>
      <c r="F2789" s="18" t="s">
        <v>3191</v>
      </c>
      <c r="G2789" s="18" t="s">
        <v>128</v>
      </c>
      <c r="H2789" s="18" t="s">
        <v>162</v>
      </c>
      <c r="I2789" s="18"/>
      <c r="J2789" s="18"/>
      <c r="K2789" s="18"/>
      <c r="L2789" s="18" t="s">
        <v>129</v>
      </c>
      <c r="M2789" s="18" t="s">
        <v>129</v>
      </c>
      <c r="N2789" s="18"/>
      <c r="O2789" s="18"/>
      <c r="P2789" s="18" t="s">
        <v>11572</v>
      </c>
      <c r="Q2789" s="18" t="s">
        <v>131</v>
      </c>
      <c r="R2789" s="18" t="s">
        <v>11573</v>
      </c>
      <c r="S2789" s="18" t="s">
        <v>133</v>
      </c>
      <c r="T2789" s="18" t="s">
        <v>11574</v>
      </c>
      <c r="U2789" s="18"/>
      <c r="V2789" s="19" t="s">
        <v>29</v>
      </c>
      <c r="W2789" s="19"/>
      <c r="X2789" s="19"/>
      <c r="Y2789" s="20"/>
      <c r="Z2789" s="19"/>
      <c r="AA2789" s="18" t="str">
        <f aca="false">IF(OR(V2789="Aprobada"),R2789,IF(AND(OR(V2789="Aprobada con ajuste",V2789="Rechazada"),W2789&lt;&gt;""),W2789,""))</f>
        <v/>
      </c>
    </row>
    <row r="2790" customFormat="false" ht="22.35" hidden="false" customHeight="false" outlineLevel="0" collapsed="false">
      <c r="A2790" s="18" t="s">
        <v>11575</v>
      </c>
      <c r="B2790" s="18" t="s">
        <v>80</v>
      </c>
      <c r="C2790" s="18" t="s">
        <v>81</v>
      </c>
      <c r="D2790" s="18" t="s">
        <v>11561</v>
      </c>
      <c r="E2790" s="18" t="n">
        <v>1</v>
      </c>
      <c r="F2790" s="18" t="s">
        <v>185</v>
      </c>
      <c r="G2790" s="18" t="s">
        <v>205</v>
      </c>
      <c r="H2790" s="18" t="s">
        <v>129</v>
      </c>
      <c r="I2790" s="18" t="s">
        <v>298</v>
      </c>
      <c r="J2790" s="18" t="s">
        <v>11576</v>
      </c>
      <c r="K2790" s="18"/>
      <c r="L2790" s="18" t="s">
        <v>162</v>
      </c>
      <c r="M2790" s="18" t="s">
        <v>129</v>
      </c>
      <c r="N2790" s="18"/>
      <c r="O2790" s="18"/>
      <c r="P2790" s="18" t="s">
        <v>11577</v>
      </c>
      <c r="Q2790" s="18" t="s">
        <v>138</v>
      </c>
      <c r="R2790" s="18" t="s">
        <v>11578</v>
      </c>
      <c r="S2790" s="18" t="s">
        <v>140</v>
      </c>
      <c r="T2790" s="18" t="s">
        <v>141</v>
      </c>
      <c r="U2790" s="18"/>
      <c r="V2790" s="19" t="s">
        <v>29</v>
      </c>
      <c r="W2790" s="19"/>
      <c r="X2790" s="19"/>
      <c r="Y2790" s="20"/>
      <c r="Z2790" s="19"/>
      <c r="AA2790" s="18" t="str">
        <f aca="false">IF(OR(V2790="Aprobada"),R2790,IF(AND(OR(V2790="Aprobada con ajuste",V2790="Rechazada"),W2790&lt;&gt;""),W2790,""))</f>
        <v/>
      </c>
    </row>
    <row r="2791" customFormat="false" ht="22.35" hidden="false" customHeight="false" outlineLevel="0" collapsed="false">
      <c r="A2791" s="18" t="s">
        <v>11579</v>
      </c>
      <c r="B2791" s="18" t="s">
        <v>80</v>
      </c>
      <c r="C2791" s="18" t="s">
        <v>81</v>
      </c>
      <c r="D2791" s="18" t="s">
        <v>11561</v>
      </c>
      <c r="E2791" s="18" t="n">
        <v>1</v>
      </c>
      <c r="F2791" s="18" t="s">
        <v>2016</v>
      </c>
      <c r="G2791" s="18" t="s">
        <v>454</v>
      </c>
      <c r="H2791" s="18" t="s">
        <v>162</v>
      </c>
      <c r="I2791" s="18"/>
      <c r="J2791" s="18"/>
      <c r="K2791" s="18"/>
      <c r="L2791" s="18" t="s">
        <v>129</v>
      </c>
      <c r="M2791" s="18" t="s">
        <v>129</v>
      </c>
      <c r="N2791" s="18"/>
      <c r="O2791" s="18"/>
      <c r="P2791" s="18" t="s">
        <v>11580</v>
      </c>
      <c r="Q2791" s="18" t="s">
        <v>138</v>
      </c>
      <c r="R2791" s="18" t="s">
        <v>2017</v>
      </c>
      <c r="S2791" s="18" t="s">
        <v>140</v>
      </c>
      <c r="T2791" s="18" t="s">
        <v>141</v>
      </c>
      <c r="U2791" s="18"/>
      <c r="V2791" s="19" t="s">
        <v>29</v>
      </c>
      <c r="W2791" s="19"/>
      <c r="X2791" s="19"/>
      <c r="Y2791" s="20"/>
      <c r="Z2791" s="19"/>
      <c r="AA2791" s="18" t="str">
        <f aca="false">IF(OR(V2791="Aprobada"),R2791,IF(AND(OR(V2791="Aprobada con ajuste",V2791="Rechazada"),W2791&lt;&gt;""),W2791,""))</f>
        <v/>
      </c>
    </row>
    <row r="2792" customFormat="false" ht="22.35" hidden="false" customHeight="false" outlineLevel="0" collapsed="false">
      <c r="A2792" s="18" t="s">
        <v>11581</v>
      </c>
      <c r="B2792" s="18" t="s">
        <v>80</v>
      </c>
      <c r="C2792" s="18" t="s">
        <v>81</v>
      </c>
      <c r="D2792" s="18" t="s">
        <v>11561</v>
      </c>
      <c r="E2792" s="18" t="n">
        <v>1</v>
      </c>
      <c r="F2792" s="18" t="s">
        <v>11582</v>
      </c>
      <c r="G2792" s="18" t="s">
        <v>584</v>
      </c>
      <c r="H2792" s="18" t="s">
        <v>129</v>
      </c>
      <c r="I2792" s="18"/>
      <c r="J2792" s="18"/>
      <c r="K2792" s="18"/>
      <c r="L2792" s="18" t="s">
        <v>129</v>
      </c>
      <c r="M2792" s="18" t="s">
        <v>129</v>
      </c>
      <c r="N2792" s="18"/>
      <c r="O2792" s="18"/>
      <c r="P2792" s="18" t="s">
        <v>11583</v>
      </c>
      <c r="Q2792" s="18" t="s">
        <v>138</v>
      </c>
      <c r="R2792" s="18" t="s">
        <v>10934</v>
      </c>
      <c r="S2792" s="18" t="s">
        <v>140</v>
      </c>
      <c r="T2792" s="18" t="s">
        <v>141</v>
      </c>
      <c r="U2792" s="18"/>
      <c r="V2792" s="19" t="s">
        <v>29</v>
      </c>
      <c r="W2792" s="19"/>
      <c r="X2792" s="19"/>
      <c r="Y2792" s="20"/>
      <c r="Z2792" s="19"/>
      <c r="AA2792" s="18" t="str">
        <f aca="false">IF(OR(V2792="Aprobada"),R2792,IF(AND(OR(V2792="Aprobada con ajuste",V2792="Rechazada"),W2792&lt;&gt;""),W2792,""))</f>
        <v/>
      </c>
    </row>
    <row r="2793" customFormat="false" ht="22.35" hidden="false" customHeight="false" outlineLevel="0" collapsed="false">
      <c r="A2793" s="18" t="s">
        <v>11584</v>
      </c>
      <c r="B2793" s="18" t="s">
        <v>80</v>
      </c>
      <c r="C2793" s="18" t="s">
        <v>81</v>
      </c>
      <c r="D2793" s="18" t="s">
        <v>11561</v>
      </c>
      <c r="E2793" s="18" t="n">
        <v>1</v>
      </c>
      <c r="F2793" s="18" t="s">
        <v>11463</v>
      </c>
      <c r="G2793" s="18" t="s">
        <v>584</v>
      </c>
      <c r="H2793" s="18" t="s">
        <v>162</v>
      </c>
      <c r="I2793" s="18" t="s">
        <v>298</v>
      </c>
      <c r="J2793" s="18"/>
      <c r="K2793" s="18"/>
      <c r="L2793" s="18" t="s">
        <v>129</v>
      </c>
      <c r="M2793" s="18" t="s">
        <v>129</v>
      </c>
      <c r="N2793" s="18"/>
      <c r="O2793" s="18"/>
      <c r="P2793" s="18" t="s">
        <v>11585</v>
      </c>
      <c r="Q2793" s="18" t="s">
        <v>138</v>
      </c>
      <c r="R2793" s="18" t="s">
        <v>11313</v>
      </c>
      <c r="S2793" s="18" t="s">
        <v>140</v>
      </c>
      <c r="T2793" s="18" t="s">
        <v>141</v>
      </c>
      <c r="U2793" s="18"/>
      <c r="V2793" s="19" t="s">
        <v>29</v>
      </c>
      <c r="W2793" s="19"/>
      <c r="X2793" s="19"/>
      <c r="Y2793" s="20"/>
      <c r="Z2793" s="19"/>
      <c r="AA2793" s="18" t="str">
        <f aca="false">IF(OR(V2793="Aprobada"),R2793,IF(AND(OR(V2793="Aprobada con ajuste",V2793="Rechazada"),W2793&lt;&gt;""),W2793,""))</f>
        <v/>
      </c>
    </row>
    <row r="2794" customFormat="false" ht="22.35" hidden="false" customHeight="false" outlineLevel="0" collapsed="false">
      <c r="A2794" s="18" t="s">
        <v>11586</v>
      </c>
      <c r="B2794" s="18" t="s">
        <v>80</v>
      </c>
      <c r="C2794" s="18" t="s">
        <v>81</v>
      </c>
      <c r="D2794" s="18" t="s">
        <v>11561</v>
      </c>
      <c r="E2794" s="18" t="n">
        <v>1</v>
      </c>
      <c r="F2794" s="18" t="s">
        <v>11319</v>
      </c>
      <c r="G2794" s="18" t="s">
        <v>128</v>
      </c>
      <c r="H2794" s="18" t="s">
        <v>162</v>
      </c>
      <c r="I2794" s="18" t="s">
        <v>298</v>
      </c>
      <c r="J2794" s="18"/>
      <c r="K2794" s="18"/>
      <c r="L2794" s="18" t="s">
        <v>129</v>
      </c>
      <c r="M2794" s="18" t="s">
        <v>129</v>
      </c>
      <c r="N2794" s="18"/>
      <c r="O2794" s="18"/>
      <c r="P2794" s="18" t="s">
        <v>11587</v>
      </c>
      <c r="Q2794" s="18" t="s">
        <v>138</v>
      </c>
      <c r="R2794" s="18" t="s">
        <v>11321</v>
      </c>
      <c r="S2794" s="18" t="s">
        <v>140</v>
      </c>
      <c r="T2794" s="18" t="s">
        <v>141</v>
      </c>
      <c r="U2794" s="18"/>
      <c r="V2794" s="19" t="s">
        <v>29</v>
      </c>
      <c r="W2794" s="19"/>
      <c r="X2794" s="19"/>
      <c r="Y2794" s="20"/>
      <c r="Z2794" s="19"/>
      <c r="AA2794" s="18" t="str">
        <f aca="false">IF(OR(V2794="Aprobada"),R2794,IF(AND(OR(V2794="Aprobada con ajuste",V2794="Rechazada"),W2794&lt;&gt;""),W2794,""))</f>
        <v/>
      </c>
    </row>
    <row r="2795" customFormat="false" ht="74.6" hidden="false" customHeight="false" outlineLevel="0" collapsed="false">
      <c r="A2795" s="18" t="s">
        <v>11588</v>
      </c>
      <c r="B2795" s="18" t="s">
        <v>80</v>
      </c>
      <c r="C2795" s="18" t="s">
        <v>81</v>
      </c>
      <c r="D2795" s="18" t="s">
        <v>11589</v>
      </c>
      <c r="E2795" s="18" t="n">
        <v>3</v>
      </c>
      <c r="F2795" s="18" t="s">
        <v>11590</v>
      </c>
      <c r="G2795" s="18" t="s">
        <v>137</v>
      </c>
      <c r="H2795" s="18" t="s">
        <v>129</v>
      </c>
      <c r="I2795" s="18"/>
      <c r="J2795" s="18"/>
      <c r="K2795" s="18"/>
      <c r="L2795" s="18" t="s">
        <v>129</v>
      </c>
      <c r="M2795" s="18" t="s">
        <v>129</v>
      </c>
      <c r="N2795" s="18"/>
      <c r="O2795" s="18"/>
      <c r="P2795" s="18" t="s">
        <v>11591</v>
      </c>
      <c r="Q2795" s="18" t="s">
        <v>131</v>
      </c>
      <c r="R2795" s="18" t="s">
        <v>11592</v>
      </c>
      <c r="S2795" s="18" t="s">
        <v>133</v>
      </c>
      <c r="T2795" s="18" t="s">
        <v>11593</v>
      </c>
      <c r="U2795" s="18"/>
      <c r="V2795" s="19" t="s">
        <v>29</v>
      </c>
      <c r="W2795" s="19"/>
      <c r="X2795" s="19"/>
      <c r="Y2795" s="20"/>
      <c r="Z2795" s="19"/>
      <c r="AA2795" s="18" t="str">
        <f aca="false">IF(OR(V2795="Aprobada"),R2795,IF(AND(OR(V2795="Aprobada con ajuste",V2795="Rechazada"),W2795&lt;&gt;""),W2795,""))</f>
        <v/>
      </c>
    </row>
    <row r="2796" customFormat="false" ht="64.15" hidden="false" customHeight="false" outlineLevel="0" collapsed="false">
      <c r="A2796" s="18" t="s">
        <v>11594</v>
      </c>
      <c r="B2796" s="18" t="s">
        <v>80</v>
      </c>
      <c r="C2796" s="18" t="s">
        <v>81</v>
      </c>
      <c r="D2796" s="18" t="s">
        <v>11589</v>
      </c>
      <c r="E2796" s="18" t="n">
        <v>3</v>
      </c>
      <c r="F2796" s="18" t="s">
        <v>886</v>
      </c>
      <c r="G2796" s="18" t="s">
        <v>128</v>
      </c>
      <c r="H2796" s="18" t="s">
        <v>162</v>
      </c>
      <c r="I2796" s="18"/>
      <c r="J2796" s="18"/>
      <c r="K2796" s="18"/>
      <c r="L2796" s="18" t="s">
        <v>129</v>
      </c>
      <c r="M2796" s="18" t="s">
        <v>129</v>
      </c>
      <c r="N2796" s="18"/>
      <c r="O2796" s="18"/>
      <c r="P2796" s="18" t="s">
        <v>11595</v>
      </c>
      <c r="Q2796" s="18" t="s">
        <v>138</v>
      </c>
      <c r="R2796" s="18" t="s">
        <v>1693</v>
      </c>
      <c r="S2796" s="18" t="s">
        <v>140</v>
      </c>
      <c r="T2796" s="18" t="s">
        <v>141</v>
      </c>
      <c r="U2796" s="18"/>
      <c r="V2796" s="19" t="s">
        <v>29</v>
      </c>
      <c r="W2796" s="19"/>
      <c r="X2796" s="19"/>
      <c r="Y2796" s="20"/>
      <c r="Z2796" s="19"/>
      <c r="AA2796" s="18" t="str">
        <f aca="false">IF(OR(V2796="Aprobada"),R2796,IF(AND(OR(V2796="Aprobada con ajuste",V2796="Rechazada"),W2796&lt;&gt;""),W2796,""))</f>
        <v/>
      </c>
    </row>
    <row r="2797" customFormat="false" ht="22.35" hidden="false" customHeight="false" outlineLevel="0" collapsed="false">
      <c r="A2797" s="18" t="s">
        <v>11596</v>
      </c>
      <c r="B2797" s="18" t="s">
        <v>80</v>
      </c>
      <c r="C2797" s="18" t="s">
        <v>81</v>
      </c>
      <c r="D2797" s="18" t="s">
        <v>11589</v>
      </c>
      <c r="E2797" s="18" t="n">
        <v>3</v>
      </c>
      <c r="F2797" s="18" t="s">
        <v>11254</v>
      </c>
      <c r="G2797" s="18" t="s">
        <v>454</v>
      </c>
      <c r="H2797" s="18" t="s">
        <v>162</v>
      </c>
      <c r="I2797" s="18"/>
      <c r="J2797" s="18"/>
      <c r="K2797" s="18"/>
      <c r="L2797" s="18" t="s">
        <v>129</v>
      </c>
      <c r="M2797" s="18" t="s">
        <v>129</v>
      </c>
      <c r="N2797" s="18"/>
      <c r="O2797" s="18"/>
      <c r="P2797" s="18" t="s">
        <v>11597</v>
      </c>
      <c r="Q2797" s="18" t="s">
        <v>138</v>
      </c>
      <c r="R2797" s="18" t="s">
        <v>2017</v>
      </c>
      <c r="S2797" s="18" t="s">
        <v>140</v>
      </c>
      <c r="T2797" s="18" t="s">
        <v>141</v>
      </c>
      <c r="U2797" s="18"/>
      <c r="V2797" s="19" t="s">
        <v>29</v>
      </c>
      <c r="W2797" s="19"/>
      <c r="X2797" s="19"/>
      <c r="Y2797" s="20"/>
      <c r="Z2797" s="19"/>
      <c r="AA2797" s="18" t="str">
        <f aca="false">IF(OR(V2797="Aprobada"),R2797,IF(AND(OR(V2797="Aprobada con ajuste",V2797="Rechazada"),W2797&lt;&gt;""),W2797,""))</f>
        <v/>
      </c>
    </row>
    <row r="2798" customFormat="false" ht="43.25" hidden="false" customHeight="false" outlineLevel="0" collapsed="false">
      <c r="A2798" s="18" t="s">
        <v>11598</v>
      </c>
      <c r="B2798" s="18" t="s">
        <v>80</v>
      </c>
      <c r="C2798" s="18" t="s">
        <v>81</v>
      </c>
      <c r="D2798" s="18" t="s">
        <v>11589</v>
      </c>
      <c r="E2798" s="18" t="n">
        <v>3</v>
      </c>
      <c r="F2798" s="18" t="s">
        <v>11463</v>
      </c>
      <c r="G2798" s="18" t="s">
        <v>584</v>
      </c>
      <c r="H2798" s="18" t="s">
        <v>162</v>
      </c>
      <c r="I2798" s="18"/>
      <c r="J2798" s="18"/>
      <c r="K2798" s="18"/>
      <c r="L2798" s="18" t="s">
        <v>129</v>
      </c>
      <c r="M2798" s="18" t="s">
        <v>129</v>
      </c>
      <c r="N2798" s="18"/>
      <c r="O2798" s="18"/>
      <c r="P2798" s="18" t="s">
        <v>11599</v>
      </c>
      <c r="Q2798" s="18" t="s">
        <v>131</v>
      </c>
      <c r="R2798" s="18" t="s">
        <v>11600</v>
      </c>
      <c r="S2798" s="18" t="s">
        <v>133</v>
      </c>
      <c r="T2798" s="18" t="s">
        <v>11601</v>
      </c>
      <c r="U2798" s="18"/>
      <c r="V2798" s="19" t="s">
        <v>29</v>
      </c>
      <c r="W2798" s="19"/>
      <c r="X2798" s="19"/>
      <c r="Y2798" s="20"/>
      <c r="Z2798" s="19"/>
      <c r="AA2798" s="18" t="str">
        <f aca="false">IF(OR(V2798="Aprobada"),R2798,IF(AND(OR(V2798="Aprobada con ajuste",V2798="Rechazada"),W2798&lt;&gt;""),W2798,""))</f>
        <v/>
      </c>
    </row>
    <row r="2799" customFormat="false" ht="22.35" hidden="false" customHeight="false" outlineLevel="0" collapsed="false">
      <c r="A2799" s="18" t="s">
        <v>11602</v>
      </c>
      <c r="B2799" s="18" t="s">
        <v>80</v>
      </c>
      <c r="C2799" s="18" t="s">
        <v>81</v>
      </c>
      <c r="D2799" s="18" t="s">
        <v>11589</v>
      </c>
      <c r="E2799" s="18" t="n">
        <v>3</v>
      </c>
      <c r="F2799" s="18" t="s">
        <v>11466</v>
      </c>
      <c r="G2799" s="18" t="s">
        <v>454</v>
      </c>
      <c r="H2799" s="18" t="s">
        <v>162</v>
      </c>
      <c r="I2799" s="18"/>
      <c r="J2799" s="18"/>
      <c r="K2799" s="18"/>
      <c r="L2799" s="18" t="s">
        <v>129</v>
      </c>
      <c r="M2799" s="18" t="s">
        <v>129</v>
      </c>
      <c r="N2799" s="18"/>
      <c r="O2799" s="18"/>
      <c r="P2799" s="18" t="s">
        <v>11603</v>
      </c>
      <c r="Q2799" s="18" t="s">
        <v>138</v>
      </c>
      <c r="R2799" s="18" t="s">
        <v>11317</v>
      </c>
      <c r="S2799" s="18" t="s">
        <v>140</v>
      </c>
      <c r="T2799" s="18" t="s">
        <v>141</v>
      </c>
      <c r="U2799" s="18"/>
      <c r="V2799" s="19" t="s">
        <v>29</v>
      </c>
      <c r="W2799" s="19"/>
      <c r="X2799" s="19"/>
      <c r="Y2799" s="20"/>
      <c r="Z2799" s="19"/>
      <c r="AA2799" s="18" t="str">
        <f aca="false">IF(OR(V2799="Aprobada"),R2799,IF(AND(OR(V2799="Aprobada con ajuste",V2799="Rechazada"),W2799&lt;&gt;""),W2799,""))</f>
        <v/>
      </c>
    </row>
    <row r="2800" customFormat="false" ht="22.35" hidden="false" customHeight="false" outlineLevel="0" collapsed="false">
      <c r="A2800" s="18" t="s">
        <v>11604</v>
      </c>
      <c r="B2800" s="18" t="s">
        <v>80</v>
      </c>
      <c r="C2800" s="18" t="s">
        <v>81</v>
      </c>
      <c r="D2800" s="18" t="s">
        <v>11589</v>
      </c>
      <c r="E2800" s="18" t="n">
        <v>3</v>
      </c>
      <c r="F2800" s="18" t="s">
        <v>11319</v>
      </c>
      <c r="G2800" s="18" t="s">
        <v>128</v>
      </c>
      <c r="H2800" s="18" t="s">
        <v>162</v>
      </c>
      <c r="I2800" s="18"/>
      <c r="J2800" s="18"/>
      <c r="K2800" s="18"/>
      <c r="L2800" s="18" t="s">
        <v>129</v>
      </c>
      <c r="M2800" s="18" t="s">
        <v>129</v>
      </c>
      <c r="N2800" s="18"/>
      <c r="O2800" s="18"/>
      <c r="P2800" s="18" t="s">
        <v>11605</v>
      </c>
      <c r="Q2800" s="18" t="s">
        <v>138</v>
      </c>
      <c r="R2800" s="18" t="s">
        <v>11321</v>
      </c>
      <c r="S2800" s="18" t="s">
        <v>140</v>
      </c>
      <c r="T2800" s="18" t="s">
        <v>141</v>
      </c>
      <c r="U2800" s="18"/>
      <c r="V2800" s="19" t="s">
        <v>29</v>
      </c>
      <c r="W2800" s="19"/>
      <c r="X2800" s="19"/>
      <c r="Y2800" s="20"/>
      <c r="Z2800" s="19"/>
      <c r="AA2800" s="18" t="str">
        <f aca="false">IF(OR(V2800="Aprobada"),R2800,IF(AND(OR(V2800="Aprobada con ajuste",V2800="Rechazada"),W2800&lt;&gt;""),W2800,""))</f>
        <v/>
      </c>
    </row>
    <row r="2801" customFormat="false" ht="43.25" hidden="false" customHeight="false" outlineLevel="0" collapsed="false">
      <c r="A2801" s="18" t="s">
        <v>11606</v>
      </c>
      <c r="B2801" s="18" t="s">
        <v>80</v>
      </c>
      <c r="C2801" s="18" t="s">
        <v>81</v>
      </c>
      <c r="D2801" s="18" t="s">
        <v>11607</v>
      </c>
      <c r="E2801" s="18" t="n">
        <v>0</v>
      </c>
      <c r="F2801" s="18" t="s">
        <v>11608</v>
      </c>
      <c r="G2801" s="18" t="s">
        <v>584</v>
      </c>
      <c r="H2801" s="18" t="s">
        <v>129</v>
      </c>
      <c r="I2801" s="18"/>
      <c r="J2801" s="18"/>
      <c r="K2801" s="18"/>
      <c r="L2801" s="18" t="s">
        <v>129</v>
      </c>
      <c r="M2801" s="18" t="s">
        <v>129</v>
      </c>
      <c r="N2801" s="18"/>
      <c r="O2801" s="18" t="s">
        <v>11609</v>
      </c>
      <c r="P2801" s="18" t="s">
        <v>11610</v>
      </c>
      <c r="Q2801" s="18" t="s">
        <v>131</v>
      </c>
      <c r="R2801" s="18" t="s">
        <v>11611</v>
      </c>
      <c r="S2801" s="18" t="s">
        <v>133</v>
      </c>
      <c r="T2801" s="18" t="s">
        <v>11612</v>
      </c>
      <c r="U2801" s="18"/>
      <c r="V2801" s="19" t="s">
        <v>29</v>
      </c>
      <c r="W2801" s="19"/>
      <c r="X2801" s="19"/>
      <c r="Y2801" s="20"/>
      <c r="Z2801" s="19"/>
      <c r="AA2801" s="18" t="str">
        <f aca="false">IF(OR(V2801="Aprobada"),R2801,IF(AND(OR(V2801="Aprobada con ajuste",V2801="Rechazada"),W2801&lt;&gt;""),W2801,""))</f>
        <v/>
      </c>
    </row>
    <row r="2802" customFormat="false" ht="53.7" hidden="false" customHeight="false" outlineLevel="0" collapsed="false">
      <c r="A2802" s="18" t="s">
        <v>11613</v>
      </c>
      <c r="B2802" s="18" t="s">
        <v>80</v>
      </c>
      <c r="C2802" s="18" t="s">
        <v>81</v>
      </c>
      <c r="D2802" s="18" t="s">
        <v>11607</v>
      </c>
      <c r="E2802" s="18" t="n">
        <v>0</v>
      </c>
      <c r="F2802" s="18" t="s">
        <v>11434</v>
      </c>
      <c r="G2802" s="18" t="s">
        <v>128</v>
      </c>
      <c r="H2802" s="18" t="s">
        <v>162</v>
      </c>
      <c r="I2802" s="18"/>
      <c r="J2802" s="18"/>
      <c r="K2802" s="18"/>
      <c r="L2802" s="18" t="s">
        <v>129</v>
      </c>
      <c r="M2802" s="18" t="s">
        <v>129</v>
      </c>
      <c r="N2802" s="18"/>
      <c r="O2802" s="18"/>
      <c r="P2802" s="18" t="s">
        <v>11614</v>
      </c>
      <c r="Q2802" s="18" t="s">
        <v>131</v>
      </c>
      <c r="R2802" s="18" t="s">
        <v>11615</v>
      </c>
      <c r="S2802" s="18" t="s">
        <v>133</v>
      </c>
      <c r="T2802" s="18" t="s">
        <v>11616</v>
      </c>
      <c r="U2802" s="18"/>
      <c r="V2802" s="19" t="s">
        <v>29</v>
      </c>
      <c r="W2802" s="19"/>
      <c r="X2802" s="19"/>
      <c r="Y2802" s="20"/>
      <c r="Z2802" s="19"/>
      <c r="AA2802" s="18" t="str">
        <f aca="false">IF(OR(V2802="Aprobada"),R2802,IF(AND(OR(V2802="Aprobada con ajuste",V2802="Rechazada"),W2802&lt;&gt;""),W2802,""))</f>
        <v/>
      </c>
    </row>
    <row r="2803" customFormat="false" ht="22.35" hidden="false" customHeight="false" outlineLevel="0" collapsed="false">
      <c r="A2803" s="18" t="s">
        <v>11617</v>
      </c>
      <c r="B2803" s="18" t="s">
        <v>80</v>
      </c>
      <c r="C2803" s="18" t="s">
        <v>81</v>
      </c>
      <c r="D2803" s="18" t="s">
        <v>11607</v>
      </c>
      <c r="E2803" s="18" t="n">
        <v>0</v>
      </c>
      <c r="F2803" s="18" t="s">
        <v>185</v>
      </c>
      <c r="G2803" s="18" t="s">
        <v>205</v>
      </c>
      <c r="H2803" s="18" t="s">
        <v>129</v>
      </c>
      <c r="I2803" s="18" t="s">
        <v>298</v>
      </c>
      <c r="J2803" s="18" t="s">
        <v>11618</v>
      </c>
      <c r="K2803" s="18"/>
      <c r="L2803" s="18" t="s">
        <v>162</v>
      </c>
      <c r="M2803" s="18" t="s">
        <v>129</v>
      </c>
      <c r="N2803" s="18"/>
      <c r="O2803" s="18"/>
      <c r="P2803" s="18" t="s">
        <v>11619</v>
      </c>
      <c r="Q2803" s="18" t="s">
        <v>138</v>
      </c>
      <c r="R2803" s="18" t="s">
        <v>11620</v>
      </c>
      <c r="S2803" s="18" t="s">
        <v>140</v>
      </c>
      <c r="T2803" s="18" t="s">
        <v>141</v>
      </c>
      <c r="U2803" s="18"/>
      <c r="V2803" s="19" t="s">
        <v>29</v>
      </c>
      <c r="W2803" s="19"/>
      <c r="X2803" s="19"/>
      <c r="Y2803" s="20"/>
      <c r="Z2803" s="19"/>
      <c r="AA2803" s="18" t="str">
        <f aca="false">IF(OR(V2803="Aprobada"),R2803,IF(AND(OR(V2803="Aprobada con ajuste",V2803="Rechazada"),W2803&lt;&gt;""),W2803,""))</f>
        <v/>
      </c>
    </row>
    <row r="2804" customFormat="false" ht="43.25" hidden="false" customHeight="false" outlineLevel="0" collapsed="false">
      <c r="A2804" s="18" t="s">
        <v>11621</v>
      </c>
      <c r="B2804" s="18" t="s">
        <v>80</v>
      </c>
      <c r="C2804" s="18" t="s">
        <v>81</v>
      </c>
      <c r="D2804" s="18" t="s">
        <v>11607</v>
      </c>
      <c r="E2804" s="18" t="n">
        <v>0</v>
      </c>
      <c r="F2804" s="18" t="s">
        <v>11622</v>
      </c>
      <c r="G2804" s="18" t="s">
        <v>137</v>
      </c>
      <c r="H2804" s="18" t="s">
        <v>162</v>
      </c>
      <c r="I2804" s="18" t="s">
        <v>298</v>
      </c>
      <c r="J2804" s="18"/>
      <c r="K2804" s="18"/>
      <c r="L2804" s="18" t="s">
        <v>129</v>
      </c>
      <c r="M2804" s="18" t="s">
        <v>129</v>
      </c>
      <c r="N2804" s="18"/>
      <c r="O2804" s="18"/>
      <c r="P2804" s="18" t="s">
        <v>11623</v>
      </c>
      <c r="Q2804" s="18" t="s">
        <v>131</v>
      </c>
      <c r="R2804" s="18" t="s">
        <v>11624</v>
      </c>
      <c r="S2804" s="18" t="s">
        <v>140</v>
      </c>
      <c r="T2804" s="18" t="s">
        <v>11625</v>
      </c>
      <c r="U2804" s="18" t="s">
        <v>11626</v>
      </c>
      <c r="V2804" s="19" t="s">
        <v>29</v>
      </c>
      <c r="W2804" s="19"/>
      <c r="X2804" s="19"/>
      <c r="Y2804" s="20"/>
      <c r="Z2804" s="19"/>
      <c r="AA2804" s="18" t="str">
        <f aca="false">IF(OR(V2804="Aprobada"),R2804,IF(AND(OR(V2804="Aprobada con ajuste",V2804="Rechazada"),W2804&lt;&gt;""),W2804,""))</f>
        <v/>
      </c>
    </row>
    <row r="2805" customFormat="false" ht="85.05" hidden="false" customHeight="false" outlineLevel="0" collapsed="false">
      <c r="A2805" s="18" t="s">
        <v>11627</v>
      </c>
      <c r="B2805" s="18" t="s">
        <v>80</v>
      </c>
      <c r="C2805" s="18" t="s">
        <v>81</v>
      </c>
      <c r="D2805" s="18" t="s">
        <v>11607</v>
      </c>
      <c r="E2805" s="18" t="n">
        <v>0</v>
      </c>
      <c r="F2805" s="18" t="s">
        <v>3191</v>
      </c>
      <c r="G2805" s="18" t="s">
        <v>128</v>
      </c>
      <c r="H2805" s="18" t="s">
        <v>162</v>
      </c>
      <c r="I2805" s="18" t="s">
        <v>298</v>
      </c>
      <c r="J2805" s="18"/>
      <c r="K2805" s="18"/>
      <c r="L2805" s="18" t="s">
        <v>129</v>
      </c>
      <c r="M2805" s="18" t="s">
        <v>129</v>
      </c>
      <c r="N2805" s="18"/>
      <c r="O2805" s="18"/>
      <c r="P2805" s="18" t="s">
        <v>11628</v>
      </c>
      <c r="Q2805" s="18" t="s">
        <v>131</v>
      </c>
      <c r="R2805" s="18" t="s">
        <v>11629</v>
      </c>
      <c r="S2805" s="18" t="s">
        <v>133</v>
      </c>
      <c r="T2805" s="18" t="s">
        <v>11630</v>
      </c>
      <c r="U2805" s="18"/>
      <c r="V2805" s="19" t="s">
        <v>29</v>
      </c>
      <c r="W2805" s="19"/>
      <c r="X2805" s="19"/>
      <c r="Y2805" s="20"/>
      <c r="Z2805" s="19"/>
      <c r="AA2805" s="18" t="str">
        <f aca="false">IF(OR(V2805="Aprobada"),R2805,IF(AND(OR(V2805="Aprobada con ajuste",V2805="Rechazada"),W2805&lt;&gt;""),W2805,""))</f>
        <v/>
      </c>
    </row>
    <row r="2806" customFormat="false" ht="116.4" hidden="false" customHeight="false" outlineLevel="0" collapsed="false">
      <c r="A2806" s="18" t="s">
        <v>11631</v>
      </c>
      <c r="B2806" s="18" t="s">
        <v>80</v>
      </c>
      <c r="C2806" s="18" t="s">
        <v>81</v>
      </c>
      <c r="D2806" s="18" t="s">
        <v>11607</v>
      </c>
      <c r="E2806" s="18" t="n">
        <v>0</v>
      </c>
      <c r="F2806" s="18" t="s">
        <v>3036</v>
      </c>
      <c r="G2806" s="18" t="s">
        <v>128</v>
      </c>
      <c r="H2806" s="18" t="s">
        <v>162</v>
      </c>
      <c r="I2806" s="18" t="s">
        <v>298</v>
      </c>
      <c r="J2806" s="18"/>
      <c r="K2806" s="18"/>
      <c r="L2806" s="18" t="s">
        <v>129</v>
      </c>
      <c r="M2806" s="18" t="s">
        <v>129</v>
      </c>
      <c r="N2806" s="18"/>
      <c r="O2806" s="18"/>
      <c r="P2806" s="18" t="s">
        <v>11632</v>
      </c>
      <c r="Q2806" s="18" t="s">
        <v>131</v>
      </c>
      <c r="R2806" s="18" t="s">
        <v>11633</v>
      </c>
      <c r="S2806" s="18" t="s">
        <v>133</v>
      </c>
      <c r="T2806" s="18" t="s">
        <v>11634</v>
      </c>
      <c r="U2806" s="18"/>
      <c r="V2806" s="19" t="s">
        <v>29</v>
      </c>
      <c r="W2806" s="19"/>
      <c r="X2806" s="19"/>
      <c r="Y2806" s="20"/>
      <c r="Z2806" s="19"/>
      <c r="AA2806" s="18" t="str">
        <f aca="false">IF(OR(V2806="Aprobada"),R2806,IF(AND(OR(V2806="Aprobada con ajuste",V2806="Rechazada"),W2806&lt;&gt;""),W2806,""))</f>
        <v/>
      </c>
    </row>
    <row r="2807" customFormat="false" ht="22.35" hidden="false" customHeight="false" outlineLevel="0" collapsed="false">
      <c r="A2807" s="18" t="s">
        <v>11635</v>
      </c>
      <c r="B2807" s="18" t="s">
        <v>80</v>
      </c>
      <c r="C2807" s="18" t="s">
        <v>81</v>
      </c>
      <c r="D2807" s="18" t="s">
        <v>11607</v>
      </c>
      <c r="E2807" s="18" t="n">
        <v>0</v>
      </c>
      <c r="F2807" s="18" t="s">
        <v>11636</v>
      </c>
      <c r="G2807" s="18" t="s">
        <v>454</v>
      </c>
      <c r="H2807" s="18" t="s">
        <v>162</v>
      </c>
      <c r="I2807" s="18"/>
      <c r="J2807" s="18"/>
      <c r="K2807" s="18"/>
      <c r="L2807" s="18" t="s">
        <v>129</v>
      </c>
      <c r="M2807" s="18" t="s">
        <v>129</v>
      </c>
      <c r="N2807" s="18"/>
      <c r="O2807" s="18"/>
      <c r="P2807" s="18" t="s">
        <v>11637</v>
      </c>
      <c r="Q2807" s="18" t="s">
        <v>149</v>
      </c>
      <c r="R2807" s="18" t="s">
        <v>11638</v>
      </c>
      <c r="S2807" s="18" t="s">
        <v>140</v>
      </c>
      <c r="T2807" s="18" t="s">
        <v>11404</v>
      </c>
      <c r="U2807" s="18" t="s">
        <v>4673</v>
      </c>
      <c r="V2807" s="19" t="s">
        <v>29</v>
      </c>
      <c r="W2807" s="19"/>
      <c r="X2807" s="19"/>
      <c r="Y2807" s="20"/>
      <c r="Z2807" s="19"/>
      <c r="AA2807" s="18" t="str">
        <f aca="false">IF(OR(V2807="Aprobada"),R2807,IF(AND(OR(V2807="Aprobada con ajuste",V2807="Rechazada"),W2807&lt;&gt;""),W2807,""))</f>
        <v/>
      </c>
    </row>
    <row r="2808" customFormat="false" ht="22.35" hidden="false" customHeight="false" outlineLevel="0" collapsed="false">
      <c r="A2808" s="18" t="s">
        <v>11639</v>
      </c>
      <c r="B2808" s="18" t="s">
        <v>80</v>
      </c>
      <c r="C2808" s="18" t="s">
        <v>81</v>
      </c>
      <c r="D2808" s="18" t="s">
        <v>11607</v>
      </c>
      <c r="E2808" s="18" t="n">
        <v>0</v>
      </c>
      <c r="F2808" s="18" t="s">
        <v>2016</v>
      </c>
      <c r="G2808" s="18" t="s">
        <v>454</v>
      </c>
      <c r="H2808" s="18" t="s">
        <v>162</v>
      </c>
      <c r="I2808" s="18"/>
      <c r="J2808" s="18"/>
      <c r="K2808" s="18"/>
      <c r="L2808" s="18" t="s">
        <v>129</v>
      </c>
      <c r="M2808" s="18" t="s">
        <v>129</v>
      </c>
      <c r="N2808" s="18"/>
      <c r="O2808" s="18"/>
      <c r="P2808" s="18" t="s">
        <v>11640</v>
      </c>
      <c r="Q2808" s="18" t="s">
        <v>138</v>
      </c>
      <c r="R2808" s="18" t="s">
        <v>2017</v>
      </c>
      <c r="S2808" s="18" t="s">
        <v>140</v>
      </c>
      <c r="T2808" s="18" t="s">
        <v>141</v>
      </c>
      <c r="U2808" s="18"/>
      <c r="V2808" s="19" t="s">
        <v>29</v>
      </c>
      <c r="W2808" s="19"/>
      <c r="X2808" s="19"/>
      <c r="Y2808" s="20"/>
      <c r="Z2808" s="19"/>
      <c r="AA2808" s="18" t="str">
        <f aca="false">IF(OR(V2808="Aprobada"),R2808,IF(AND(OR(V2808="Aprobada con ajuste",V2808="Rechazada"),W2808&lt;&gt;""),W2808,""))</f>
        <v/>
      </c>
    </row>
    <row r="2809" customFormat="false" ht="22.35" hidden="false" customHeight="false" outlineLevel="0" collapsed="false">
      <c r="A2809" s="18" t="s">
        <v>11641</v>
      </c>
      <c r="B2809" s="18" t="s">
        <v>80</v>
      </c>
      <c r="C2809" s="18" t="s">
        <v>81</v>
      </c>
      <c r="D2809" s="18" t="s">
        <v>11642</v>
      </c>
      <c r="E2809" s="18" t="n">
        <v>0</v>
      </c>
      <c r="F2809" s="18" t="s">
        <v>172</v>
      </c>
      <c r="G2809" s="18" t="s">
        <v>173</v>
      </c>
      <c r="H2809" s="18" t="s">
        <v>129</v>
      </c>
      <c r="I2809" s="18"/>
      <c r="J2809" s="18"/>
      <c r="K2809" s="18"/>
      <c r="L2809" s="18" t="s">
        <v>129</v>
      </c>
      <c r="M2809" s="18" t="s">
        <v>129</v>
      </c>
      <c r="N2809" s="18"/>
      <c r="O2809" s="18"/>
      <c r="P2809" s="18"/>
      <c r="Q2809" s="18" t="s">
        <v>138</v>
      </c>
      <c r="R2809" s="18" t="s">
        <v>176</v>
      </c>
      <c r="S2809" s="18" t="s">
        <v>140</v>
      </c>
      <c r="T2809" s="18" t="s">
        <v>141</v>
      </c>
      <c r="U2809" s="18"/>
      <c r="V2809" s="19" t="s">
        <v>29</v>
      </c>
      <c r="W2809" s="19"/>
      <c r="X2809" s="19"/>
      <c r="Y2809" s="20"/>
      <c r="Z2809" s="19"/>
      <c r="AA2809" s="18" t="str">
        <f aca="false">IF(OR(V2809="Aprobada"),R2809,IF(AND(OR(V2809="Aprobada con ajuste",V2809="Rechazada"),W2809&lt;&gt;""),W2809,""))</f>
        <v/>
      </c>
    </row>
    <row r="2810" customFormat="false" ht="43.25" hidden="false" customHeight="false" outlineLevel="0" collapsed="false">
      <c r="A2810" s="18" t="s">
        <v>11643</v>
      </c>
      <c r="B2810" s="18" t="s">
        <v>80</v>
      </c>
      <c r="C2810" s="18" t="s">
        <v>81</v>
      </c>
      <c r="D2810" s="18" t="s">
        <v>11642</v>
      </c>
      <c r="E2810" s="18" t="n">
        <v>0</v>
      </c>
      <c r="F2810" s="18" t="s">
        <v>11644</v>
      </c>
      <c r="G2810" s="18" t="s">
        <v>192</v>
      </c>
      <c r="H2810" s="18" t="s">
        <v>129</v>
      </c>
      <c r="I2810" s="18"/>
      <c r="J2810" s="18"/>
      <c r="K2810" s="18"/>
      <c r="L2810" s="18" t="s">
        <v>129</v>
      </c>
      <c r="M2810" s="18" t="s">
        <v>129</v>
      </c>
      <c r="N2810" s="18"/>
      <c r="O2810" s="18"/>
      <c r="P2810" s="18" t="s">
        <v>11645</v>
      </c>
      <c r="Q2810" s="18" t="s">
        <v>131</v>
      </c>
      <c r="R2810" s="18" t="s">
        <v>11646</v>
      </c>
      <c r="S2810" s="18" t="s">
        <v>133</v>
      </c>
      <c r="T2810" s="18" t="s">
        <v>11647</v>
      </c>
      <c r="U2810" s="18"/>
      <c r="V2810" s="19" t="s">
        <v>29</v>
      </c>
      <c r="W2810" s="19"/>
      <c r="X2810" s="19"/>
      <c r="Y2810" s="20"/>
      <c r="Z2810" s="19"/>
      <c r="AA2810" s="18" t="str">
        <f aca="false">IF(OR(V2810="Aprobada"),R2810,IF(AND(OR(V2810="Aprobada con ajuste",V2810="Rechazada"),W2810&lt;&gt;""),W2810,""))</f>
        <v/>
      </c>
    </row>
    <row r="2811" customFormat="false" ht="32.8" hidden="false" customHeight="false" outlineLevel="0" collapsed="false">
      <c r="A2811" s="18" t="s">
        <v>11648</v>
      </c>
      <c r="B2811" s="18" t="s">
        <v>80</v>
      </c>
      <c r="C2811" s="18" t="s">
        <v>81</v>
      </c>
      <c r="D2811" s="18" t="s">
        <v>11642</v>
      </c>
      <c r="E2811" s="18" t="n">
        <v>0</v>
      </c>
      <c r="F2811" s="18" t="s">
        <v>2989</v>
      </c>
      <c r="G2811" s="18" t="s">
        <v>192</v>
      </c>
      <c r="H2811" s="18" t="s">
        <v>129</v>
      </c>
      <c r="I2811" s="18"/>
      <c r="J2811" s="18"/>
      <c r="K2811" s="18"/>
      <c r="L2811" s="18" t="s">
        <v>129</v>
      </c>
      <c r="M2811" s="18" t="s">
        <v>129</v>
      </c>
      <c r="N2811" s="18"/>
      <c r="O2811" s="18"/>
      <c r="P2811" s="18" t="s">
        <v>11649</v>
      </c>
      <c r="Q2811" s="18" t="s">
        <v>131</v>
      </c>
      <c r="R2811" s="18" t="s">
        <v>11650</v>
      </c>
      <c r="S2811" s="18" t="s">
        <v>140</v>
      </c>
      <c r="T2811" s="18" t="s">
        <v>11651</v>
      </c>
      <c r="U2811" s="18" t="s">
        <v>11652</v>
      </c>
      <c r="V2811" s="19" t="s">
        <v>29</v>
      </c>
      <c r="W2811" s="19"/>
      <c r="X2811" s="19"/>
      <c r="Y2811" s="20"/>
      <c r="Z2811" s="19"/>
      <c r="AA2811" s="18" t="str">
        <f aca="false">IF(OR(V2811="Aprobada"),R2811,IF(AND(OR(V2811="Aprobada con ajuste",V2811="Rechazada"),W2811&lt;&gt;""),W2811,""))</f>
        <v/>
      </c>
    </row>
    <row r="2812" customFormat="false" ht="22.35" hidden="false" customHeight="false" outlineLevel="0" collapsed="false">
      <c r="A2812" s="18" t="s">
        <v>11653</v>
      </c>
      <c r="B2812" s="18" t="s">
        <v>80</v>
      </c>
      <c r="C2812" s="18" t="s">
        <v>81</v>
      </c>
      <c r="D2812" s="18" t="s">
        <v>11654</v>
      </c>
      <c r="E2812" s="18" t="n">
        <v>156</v>
      </c>
      <c r="F2812" s="18" t="s">
        <v>11655</v>
      </c>
      <c r="G2812" s="18" t="s">
        <v>584</v>
      </c>
      <c r="H2812" s="18" t="s">
        <v>129</v>
      </c>
      <c r="I2812" s="18"/>
      <c r="J2812" s="18"/>
      <c r="K2812" s="18"/>
      <c r="L2812" s="18" t="s">
        <v>129</v>
      </c>
      <c r="M2812" s="18" t="s">
        <v>129</v>
      </c>
      <c r="N2812" s="18"/>
      <c r="O2812" s="18"/>
      <c r="P2812" s="18"/>
      <c r="Q2812" s="18" t="s">
        <v>149</v>
      </c>
      <c r="R2812" s="18" t="s">
        <v>11656</v>
      </c>
      <c r="S2812" s="18" t="s">
        <v>133</v>
      </c>
      <c r="T2812" s="18" t="s">
        <v>11657</v>
      </c>
      <c r="U2812" s="18"/>
      <c r="V2812" s="19" t="s">
        <v>29</v>
      </c>
      <c r="W2812" s="19"/>
      <c r="X2812" s="19"/>
      <c r="Y2812" s="20"/>
      <c r="Z2812" s="19"/>
      <c r="AA2812" s="18" t="str">
        <f aca="false">IF(OR(V2812="Aprobada"),R2812,IF(AND(OR(V2812="Aprobada con ajuste",V2812="Rechazada"),W2812&lt;&gt;""),W2812,""))</f>
        <v/>
      </c>
    </row>
    <row r="2813" customFormat="false" ht="32.8" hidden="false" customHeight="false" outlineLevel="0" collapsed="false">
      <c r="A2813" s="18" t="s">
        <v>11658</v>
      </c>
      <c r="B2813" s="18" t="s">
        <v>80</v>
      </c>
      <c r="C2813" s="18" t="s">
        <v>81</v>
      </c>
      <c r="D2813" s="18" t="s">
        <v>11659</v>
      </c>
      <c r="E2813" s="18" t="n">
        <v>13</v>
      </c>
      <c r="F2813" s="18" t="s">
        <v>11660</v>
      </c>
      <c r="G2813" s="18" t="s">
        <v>205</v>
      </c>
      <c r="H2813" s="18" t="s">
        <v>129</v>
      </c>
      <c r="I2813" s="18"/>
      <c r="J2813" s="18"/>
      <c r="K2813" s="18"/>
      <c r="L2813" s="18" t="s">
        <v>129</v>
      </c>
      <c r="M2813" s="18" t="s">
        <v>129</v>
      </c>
      <c r="N2813" s="18"/>
      <c r="O2813" s="18" t="s">
        <v>11661</v>
      </c>
      <c r="P2813" s="18" t="s">
        <v>11662</v>
      </c>
      <c r="Q2813" s="18" t="s">
        <v>149</v>
      </c>
      <c r="R2813" s="18" t="s">
        <v>11663</v>
      </c>
      <c r="S2813" s="18" t="s">
        <v>133</v>
      </c>
      <c r="T2813" s="18" t="s">
        <v>11664</v>
      </c>
      <c r="U2813" s="18"/>
      <c r="V2813" s="19" t="s">
        <v>29</v>
      </c>
      <c r="W2813" s="19"/>
      <c r="X2813" s="19"/>
      <c r="Y2813" s="20"/>
      <c r="Z2813" s="19"/>
      <c r="AA2813" s="18" t="str">
        <f aca="false">IF(OR(V2813="Aprobada"),R2813,IF(AND(OR(V2813="Aprobada con ajuste",V2813="Rechazada"),W2813&lt;&gt;""),W2813,""))</f>
        <v/>
      </c>
    </row>
    <row r="2814" customFormat="false" ht="43.25" hidden="false" customHeight="false" outlineLevel="0" collapsed="false">
      <c r="A2814" s="18" t="s">
        <v>11665</v>
      </c>
      <c r="B2814" s="18" t="s">
        <v>80</v>
      </c>
      <c r="C2814" s="18" t="s">
        <v>81</v>
      </c>
      <c r="D2814" s="18" t="s">
        <v>11659</v>
      </c>
      <c r="E2814" s="18" t="n">
        <v>13</v>
      </c>
      <c r="F2814" s="18" t="s">
        <v>611</v>
      </c>
      <c r="G2814" s="18" t="s">
        <v>282</v>
      </c>
      <c r="H2814" s="18" t="s">
        <v>129</v>
      </c>
      <c r="I2814" s="18"/>
      <c r="J2814" s="18"/>
      <c r="K2814" s="18"/>
      <c r="L2814" s="18" t="s">
        <v>129</v>
      </c>
      <c r="M2814" s="18" t="s">
        <v>129</v>
      </c>
      <c r="N2814" s="18"/>
      <c r="O2814" s="18" t="s">
        <v>11666</v>
      </c>
      <c r="P2814" s="18" t="s">
        <v>11667</v>
      </c>
      <c r="Q2814" s="18" t="s">
        <v>138</v>
      </c>
      <c r="R2814" s="18" t="s">
        <v>11668</v>
      </c>
      <c r="S2814" s="18" t="s">
        <v>140</v>
      </c>
      <c r="T2814" s="18" t="s">
        <v>141</v>
      </c>
      <c r="U2814" s="18"/>
      <c r="V2814" s="19" t="s">
        <v>29</v>
      </c>
      <c r="W2814" s="19"/>
      <c r="X2814" s="19"/>
      <c r="Y2814" s="20"/>
      <c r="Z2814" s="19"/>
      <c r="AA2814" s="18" t="str">
        <f aca="false">IF(OR(V2814="Aprobada"),R2814,IF(AND(OR(V2814="Aprobada con ajuste",V2814="Rechazada"),W2814&lt;&gt;""),W2814,""))</f>
        <v/>
      </c>
    </row>
    <row r="2815" customFormat="false" ht="32.8" hidden="false" customHeight="false" outlineLevel="0" collapsed="false">
      <c r="A2815" s="18" t="s">
        <v>11669</v>
      </c>
      <c r="B2815" s="18" t="s">
        <v>80</v>
      </c>
      <c r="C2815" s="18" t="s">
        <v>81</v>
      </c>
      <c r="D2815" s="18" t="s">
        <v>11659</v>
      </c>
      <c r="E2815" s="18" t="n">
        <v>13</v>
      </c>
      <c r="F2815" s="18" t="s">
        <v>3677</v>
      </c>
      <c r="G2815" s="18" t="s">
        <v>4598</v>
      </c>
      <c r="H2815" s="18" t="s">
        <v>129</v>
      </c>
      <c r="I2815" s="18"/>
      <c r="J2815" s="18"/>
      <c r="K2815" s="18"/>
      <c r="L2815" s="18" t="s">
        <v>129</v>
      </c>
      <c r="M2815" s="18" t="s">
        <v>129</v>
      </c>
      <c r="N2815" s="18"/>
      <c r="O2815" s="18"/>
      <c r="P2815" s="18" t="s">
        <v>11670</v>
      </c>
      <c r="Q2815" s="18" t="s">
        <v>149</v>
      </c>
      <c r="R2815" s="18" t="s">
        <v>11671</v>
      </c>
      <c r="S2815" s="18" t="s">
        <v>133</v>
      </c>
      <c r="T2815" s="18" t="s">
        <v>11672</v>
      </c>
      <c r="U2815" s="18"/>
      <c r="V2815" s="19" t="s">
        <v>29</v>
      </c>
      <c r="W2815" s="19"/>
      <c r="X2815" s="19"/>
      <c r="Y2815" s="20"/>
      <c r="Z2815" s="19"/>
      <c r="AA2815" s="18" t="str">
        <f aca="false">IF(OR(V2815="Aprobada"),R2815,IF(AND(OR(V2815="Aprobada con ajuste",V2815="Rechazada"),W2815&lt;&gt;""),W2815,""))</f>
        <v/>
      </c>
    </row>
    <row r="2816" customFormat="false" ht="32.8" hidden="false" customHeight="false" outlineLevel="0" collapsed="false">
      <c r="A2816" s="18" t="s">
        <v>11673</v>
      </c>
      <c r="B2816" s="18" t="s">
        <v>80</v>
      </c>
      <c r="C2816" s="18" t="s">
        <v>81</v>
      </c>
      <c r="D2816" s="18" t="s">
        <v>11659</v>
      </c>
      <c r="E2816" s="18" t="n">
        <v>13</v>
      </c>
      <c r="F2816" s="18" t="s">
        <v>11674</v>
      </c>
      <c r="G2816" s="18" t="s">
        <v>128</v>
      </c>
      <c r="H2816" s="18" t="s">
        <v>162</v>
      </c>
      <c r="I2816" s="18"/>
      <c r="J2816" s="18"/>
      <c r="K2816" s="18"/>
      <c r="L2816" s="18" t="s">
        <v>129</v>
      </c>
      <c r="M2816" s="18" t="s">
        <v>129</v>
      </c>
      <c r="N2816" s="18"/>
      <c r="O2816" s="18"/>
      <c r="P2816" s="18" t="s">
        <v>11675</v>
      </c>
      <c r="Q2816" s="18" t="s">
        <v>149</v>
      </c>
      <c r="R2816" s="18" t="s">
        <v>11676</v>
      </c>
      <c r="S2816" s="18" t="s">
        <v>133</v>
      </c>
      <c r="T2816" s="18" t="s">
        <v>11543</v>
      </c>
      <c r="U2816" s="18"/>
      <c r="V2816" s="19" t="s">
        <v>29</v>
      </c>
      <c r="W2816" s="19"/>
      <c r="X2816" s="19"/>
      <c r="Y2816" s="20"/>
      <c r="Z2816" s="19"/>
      <c r="AA2816" s="18" t="str">
        <f aca="false">IF(OR(V2816="Aprobada"),R2816,IF(AND(OR(V2816="Aprobada con ajuste",V2816="Rechazada"),W2816&lt;&gt;""),W2816,""))</f>
        <v/>
      </c>
    </row>
    <row r="2817" customFormat="false" ht="179.1" hidden="false" customHeight="false" outlineLevel="0" collapsed="false">
      <c r="A2817" s="18" t="s">
        <v>11677</v>
      </c>
      <c r="B2817" s="18" t="s">
        <v>80</v>
      </c>
      <c r="C2817" s="18" t="s">
        <v>81</v>
      </c>
      <c r="D2817" s="18" t="s">
        <v>11659</v>
      </c>
      <c r="E2817" s="18" t="n">
        <v>13</v>
      </c>
      <c r="F2817" s="18" t="s">
        <v>127</v>
      </c>
      <c r="G2817" s="18" t="s">
        <v>186</v>
      </c>
      <c r="H2817" s="18" t="s">
        <v>129</v>
      </c>
      <c r="I2817" s="18" t="s">
        <v>298</v>
      </c>
      <c r="J2817" s="18" t="s">
        <v>11678</v>
      </c>
      <c r="K2817" s="18"/>
      <c r="L2817" s="18" t="s">
        <v>162</v>
      </c>
      <c r="M2817" s="18" t="s">
        <v>129</v>
      </c>
      <c r="N2817" s="18"/>
      <c r="O2817" s="18"/>
      <c r="P2817" s="18" t="s">
        <v>11679</v>
      </c>
      <c r="Q2817" s="18" t="s">
        <v>138</v>
      </c>
      <c r="R2817" s="18" t="s">
        <v>11680</v>
      </c>
      <c r="S2817" s="18" t="s">
        <v>140</v>
      </c>
      <c r="T2817" s="18" t="s">
        <v>141</v>
      </c>
      <c r="U2817" s="18"/>
      <c r="V2817" s="19" t="s">
        <v>29</v>
      </c>
      <c r="W2817" s="19"/>
      <c r="X2817" s="19"/>
      <c r="Y2817" s="20"/>
      <c r="Z2817" s="19"/>
      <c r="AA2817" s="18" t="str">
        <f aca="false">IF(OR(V2817="Aprobada"),R2817,IF(AND(OR(V2817="Aprobada con ajuste",V2817="Rechazada"),W2817&lt;&gt;""),W2817,""))</f>
        <v/>
      </c>
    </row>
    <row r="2818" customFormat="false" ht="32.8" hidden="false" customHeight="false" outlineLevel="0" collapsed="false">
      <c r="A2818" s="18" t="s">
        <v>11681</v>
      </c>
      <c r="B2818" s="18" t="s">
        <v>80</v>
      </c>
      <c r="C2818" s="18" t="s">
        <v>81</v>
      </c>
      <c r="D2818" s="18" t="s">
        <v>11659</v>
      </c>
      <c r="E2818" s="18" t="n">
        <v>13</v>
      </c>
      <c r="F2818" s="18" t="s">
        <v>907</v>
      </c>
      <c r="G2818" s="18" t="s">
        <v>173</v>
      </c>
      <c r="H2818" s="18" t="s">
        <v>129</v>
      </c>
      <c r="I2818" s="18"/>
      <c r="J2818" s="18"/>
      <c r="K2818" s="18"/>
      <c r="L2818" s="18" t="s">
        <v>129</v>
      </c>
      <c r="M2818" s="18" t="s">
        <v>129</v>
      </c>
      <c r="N2818" s="18"/>
      <c r="O2818" s="18"/>
      <c r="P2818" s="18" t="s">
        <v>11682</v>
      </c>
      <c r="Q2818" s="18" t="s">
        <v>138</v>
      </c>
      <c r="R2818" s="18" t="s">
        <v>909</v>
      </c>
      <c r="S2818" s="18" t="s">
        <v>140</v>
      </c>
      <c r="T2818" s="18" t="s">
        <v>141</v>
      </c>
      <c r="U2818" s="18"/>
      <c r="V2818" s="19" t="s">
        <v>29</v>
      </c>
      <c r="W2818" s="19"/>
      <c r="X2818" s="19"/>
      <c r="Y2818" s="20"/>
      <c r="Z2818" s="19"/>
      <c r="AA2818" s="18" t="str">
        <f aca="false">IF(OR(V2818="Aprobada"),R2818,IF(AND(OR(V2818="Aprobada con ajuste",V2818="Rechazada"),W2818&lt;&gt;""),W2818,""))</f>
        <v/>
      </c>
    </row>
    <row r="2819" customFormat="false" ht="32.8" hidden="false" customHeight="false" outlineLevel="0" collapsed="false">
      <c r="A2819" s="18" t="s">
        <v>11683</v>
      </c>
      <c r="B2819" s="18" t="s">
        <v>80</v>
      </c>
      <c r="C2819" s="18" t="s">
        <v>81</v>
      </c>
      <c r="D2819" s="18" t="s">
        <v>11659</v>
      </c>
      <c r="E2819" s="18" t="n">
        <v>13</v>
      </c>
      <c r="F2819" s="18" t="s">
        <v>1933</v>
      </c>
      <c r="G2819" s="18" t="s">
        <v>931</v>
      </c>
      <c r="H2819" s="18" t="s">
        <v>162</v>
      </c>
      <c r="I2819" s="18"/>
      <c r="J2819" s="18"/>
      <c r="K2819" s="18"/>
      <c r="L2819" s="18" t="s">
        <v>129</v>
      </c>
      <c r="M2819" s="18" t="s">
        <v>129</v>
      </c>
      <c r="N2819" s="18"/>
      <c r="O2819" s="18"/>
      <c r="P2819" s="18" t="s">
        <v>11684</v>
      </c>
      <c r="Q2819" s="18" t="s">
        <v>149</v>
      </c>
      <c r="R2819" s="18" t="s">
        <v>11685</v>
      </c>
      <c r="S2819" s="18" t="s">
        <v>133</v>
      </c>
      <c r="T2819" s="18" t="s">
        <v>11686</v>
      </c>
      <c r="U2819" s="18"/>
      <c r="V2819" s="19" t="s">
        <v>29</v>
      </c>
      <c r="W2819" s="19"/>
      <c r="X2819" s="19"/>
      <c r="Y2819" s="20"/>
      <c r="Z2819" s="19"/>
      <c r="AA2819" s="18" t="str">
        <f aca="false">IF(OR(V2819="Aprobada"),R2819,IF(AND(OR(V2819="Aprobada con ajuste",V2819="Rechazada"),W2819&lt;&gt;""),W2819,""))</f>
        <v/>
      </c>
    </row>
    <row r="2820" customFormat="false" ht="32.8" hidden="false" customHeight="false" outlineLevel="0" collapsed="false">
      <c r="A2820" s="18" t="s">
        <v>11687</v>
      </c>
      <c r="B2820" s="18" t="s">
        <v>80</v>
      </c>
      <c r="C2820" s="18" t="s">
        <v>81</v>
      </c>
      <c r="D2820" s="18" t="s">
        <v>11659</v>
      </c>
      <c r="E2820" s="18" t="n">
        <v>13</v>
      </c>
      <c r="F2820" s="18" t="s">
        <v>937</v>
      </c>
      <c r="G2820" s="18" t="s">
        <v>503</v>
      </c>
      <c r="H2820" s="18" t="s">
        <v>129</v>
      </c>
      <c r="I2820" s="18"/>
      <c r="J2820" s="18"/>
      <c r="K2820" s="18"/>
      <c r="L2820" s="18" t="s">
        <v>129</v>
      </c>
      <c r="M2820" s="18" t="s">
        <v>129</v>
      </c>
      <c r="N2820" s="18"/>
      <c r="O2820" s="18" t="s">
        <v>11688</v>
      </c>
      <c r="P2820" s="18" t="s">
        <v>11689</v>
      </c>
      <c r="Q2820" s="18" t="s">
        <v>138</v>
      </c>
      <c r="R2820" s="18" t="s">
        <v>939</v>
      </c>
      <c r="S2820" s="18" t="s">
        <v>140</v>
      </c>
      <c r="T2820" s="18" t="s">
        <v>141</v>
      </c>
      <c r="U2820" s="18"/>
      <c r="V2820" s="19" t="s">
        <v>29</v>
      </c>
      <c r="W2820" s="19"/>
      <c r="X2820" s="19"/>
      <c r="Y2820" s="20"/>
      <c r="Z2820" s="19"/>
      <c r="AA2820" s="18" t="str">
        <f aca="false">IF(OR(V2820="Aprobada"),R2820,IF(AND(OR(V2820="Aprobada con ajuste",V2820="Rechazada"),W2820&lt;&gt;""),W2820,""))</f>
        <v/>
      </c>
    </row>
    <row r="2821" customFormat="false" ht="22.35" hidden="false" customHeight="false" outlineLevel="0" collapsed="false">
      <c r="A2821" s="18" t="s">
        <v>11690</v>
      </c>
      <c r="B2821" s="18" t="s">
        <v>80</v>
      </c>
      <c r="C2821" s="18" t="s">
        <v>81</v>
      </c>
      <c r="D2821" s="18" t="s">
        <v>11659</v>
      </c>
      <c r="E2821" s="18" t="n">
        <v>13</v>
      </c>
      <c r="F2821" s="18" t="s">
        <v>11691</v>
      </c>
      <c r="G2821" s="18" t="s">
        <v>192</v>
      </c>
      <c r="H2821" s="18" t="s">
        <v>162</v>
      </c>
      <c r="I2821" s="18" t="s">
        <v>298</v>
      </c>
      <c r="J2821" s="18"/>
      <c r="K2821" s="18"/>
      <c r="L2821" s="18" t="s">
        <v>129</v>
      </c>
      <c r="M2821" s="18" t="s">
        <v>129</v>
      </c>
      <c r="N2821" s="18"/>
      <c r="O2821" s="18"/>
      <c r="P2821" s="18" t="s">
        <v>11692</v>
      </c>
      <c r="Q2821" s="18" t="s">
        <v>131</v>
      </c>
      <c r="R2821" s="18" t="s">
        <v>11693</v>
      </c>
      <c r="S2821" s="18" t="s">
        <v>140</v>
      </c>
      <c r="T2821" s="18" t="s">
        <v>11694</v>
      </c>
      <c r="U2821" s="18" t="s">
        <v>11695</v>
      </c>
      <c r="V2821" s="19" t="s">
        <v>29</v>
      </c>
      <c r="W2821" s="19"/>
      <c r="X2821" s="19"/>
      <c r="Y2821" s="20"/>
      <c r="Z2821" s="19"/>
      <c r="AA2821" s="18" t="str">
        <f aca="false">IF(OR(V2821="Aprobada"),R2821,IF(AND(OR(V2821="Aprobada con ajuste",V2821="Rechazada"),W2821&lt;&gt;""),W2821,""))</f>
        <v/>
      </c>
    </row>
    <row r="2822" customFormat="false" ht="32.8" hidden="false" customHeight="false" outlineLevel="0" collapsed="false">
      <c r="A2822" s="18" t="s">
        <v>11696</v>
      </c>
      <c r="B2822" s="18" t="s">
        <v>80</v>
      </c>
      <c r="C2822" s="18" t="s">
        <v>81</v>
      </c>
      <c r="D2822" s="18" t="s">
        <v>11659</v>
      </c>
      <c r="E2822" s="18" t="n">
        <v>13</v>
      </c>
      <c r="F2822" s="18" t="s">
        <v>172</v>
      </c>
      <c r="G2822" s="18" t="s">
        <v>173</v>
      </c>
      <c r="H2822" s="18" t="s">
        <v>129</v>
      </c>
      <c r="I2822" s="18"/>
      <c r="J2822" s="18"/>
      <c r="K2822" s="18"/>
      <c r="L2822" s="18" t="s">
        <v>129</v>
      </c>
      <c r="M2822" s="18" t="s">
        <v>129</v>
      </c>
      <c r="N2822" s="18"/>
      <c r="O2822" s="18"/>
      <c r="P2822" s="18" t="s">
        <v>11697</v>
      </c>
      <c r="Q2822" s="18" t="s">
        <v>138</v>
      </c>
      <c r="R2822" s="18" t="s">
        <v>176</v>
      </c>
      <c r="S2822" s="18" t="s">
        <v>140</v>
      </c>
      <c r="T2822" s="18" t="s">
        <v>141</v>
      </c>
      <c r="U2822" s="18"/>
      <c r="V2822" s="19" t="s">
        <v>29</v>
      </c>
      <c r="W2822" s="19"/>
      <c r="X2822" s="19"/>
      <c r="Y2822" s="20"/>
      <c r="Z2822" s="19"/>
      <c r="AA2822" s="18" t="str">
        <f aca="false">IF(OR(V2822="Aprobada"),R2822,IF(AND(OR(V2822="Aprobada con ajuste",V2822="Rechazada"),W2822&lt;&gt;""),W2822,""))</f>
        <v/>
      </c>
    </row>
    <row r="2823" customFormat="false" ht="53.7" hidden="false" customHeight="false" outlineLevel="0" collapsed="false">
      <c r="A2823" s="18" t="s">
        <v>11698</v>
      </c>
      <c r="B2823" s="18" t="s">
        <v>80</v>
      </c>
      <c r="C2823" s="18" t="s">
        <v>81</v>
      </c>
      <c r="D2823" s="18" t="s">
        <v>11659</v>
      </c>
      <c r="E2823" s="18" t="n">
        <v>13</v>
      </c>
      <c r="F2823" s="18" t="s">
        <v>11699</v>
      </c>
      <c r="G2823" s="18" t="s">
        <v>173</v>
      </c>
      <c r="H2823" s="18" t="s">
        <v>129</v>
      </c>
      <c r="I2823" s="18"/>
      <c r="J2823" s="18"/>
      <c r="K2823" s="18"/>
      <c r="L2823" s="18" t="s">
        <v>129</v>
      </c>
      <c r="M2823" s="18" t="s">
        <v>129</v>
      </c>
      <c r="N2823" s="18"/>
      <c r="O2823" s="18"/>
      <c r="P2823" s="18" t="s">
        <v>11700</v>
      </c>
      <c r="Q2823" s="18" t="s">
        <v>131</v>
      </c>
      <c r="R2823" s="18" t="s">
        <v>11701</v>
      </c>
      <c r="S2823" s="18" t="s">
        <v>133</v>
      </c>
      <c r="T2823" s="18" t="s">
        <v>11702</v>
      </c>
      <c r="U2823" s="18"/>
      <c r="V2823" s="19" t="s">
        <v>29</v>
      </c>
      <c r="W2823" s="19"/>
      <c r="X2823" s="19"/>
      <c r="Y2823" s="20"/>
      <c r="Z2823" s="19"/>
      <c r="AA2823" s="18" t="str">
        <f aca="false">IF(OR(V2823="Aprobada"),R2823,IF(AND(OR(V2823="Aprobada con ajuste",V2823="Rechazada"),W2823&lt;&gt;""),W2823,""))</f>
        <v/>
      </c>
    </row>
    <row r="2824" customFormat="false" ht="147.75" hidden="false" customHeight="false" outlineLevel="0" collapsed="false">
      <c r="A2824" s="18" t="s">
        <v>11703</v>
      </c>
      <c r="B2824" s="18" t="s">
        <v>80</v>
      </c>
      <c r="C2824" s="18" t="s">
        <v>81</v>
      </c>
      <c r="D2824" s="18" t="s">
        <v>11704</v>
      </c>
      <c r="E2824" s="18" t="n">
        <v>0</v>
      </c>
      <c r="F2824" s="18" t="s">
        <v>3036</v>
      </c>
      <c r="G2824" s="18" t="s">
        <v>128</v>
      </c>
      <c r="H2824" s="18" t="s">
        <v>129</v>
      </c>
      <c r="I2824" s="18" t="s">
        <v>298</v>
      </c>
      <c r="J2824" s="18"/>
      <c r="K2824" s="18"/>
      <c r="L2824" s="18" t="s">
        <v>129</v>
      </c>
      <c r="M2824" s="18" t="s">
        <v>129</v>
      </c>
      <c r="N2824" s="18"/>
      <c r="O2824" s="18"/>
      <c r="P2824" s="18" t="s">
        <v>11705</v>
      </c>
      <c r="Q2824" s="18" t="s">
        <v>131</v>
      </c>
      <c r="R2824" s="18" t="s">
        <v>11706</v>
      </c>
      <c r="S2824" s="18" t="s">
        <v>133</v>
      </c>
      <c r="T2824" s="18" t="s">
        <v>11707</v>
      </c>
      <c r="U2824" s="18"/>
      <c r="V2824" s="19" t="s">
        <v>29</v>
      </c>
      <c r="W2824" s="19"/>
      <c r="X2824" s="19"/>
      <c r="Y2824" s="20"/>
      <c r="Z2824" s="19"/>
      <c r="AA2824" s="18" t="str">
        <f aca="false">IF(OR(V2824="Aprobada"),R2824,IF(AND(OR(V2824="Aprobada con ajuste",V2824="Rechazada"),W2824&lt;&gt;""),W2824,""))</f>
        <v/>
      </c>
    </row>
    <row r="2825" customFormat="false" ht="105.95" hidden="false" customHeight="false" outlineLevel="0" collapsed="false">
      <c r="A2825" s="18" t="s">
        <v>11708</v>
      </c>
      <c r="B2825" s="18" t="s">
        <v>80</v>
      </c>
      <c r="C2825" s="18" t="s">
        <v>81</v>
      </c>
      <c r="D2825" s="18" t="s">
        <v>11704</v>
      </c>
      <c r="E2825" s="18" t="n">
        <v>0</v>
      </c>
      <c r="F2825" s="18" t="s">
        <v>11709</v>
      </c>
      <c r="G2825" s="18" t="s">
        <v>137</v>
      </c>
      <c r="H2825" s="18" t="s">
        <v>129</v>
      </c>
      <c r="I2825" s="18"/>
      <c r="J2825" s="18"/>
      <c r="K2825" s="18"/>
      <c r="L2825" s="18" t="s">
        <v>129</v>
      </c>
      <c r="M2825" s="18" t="s">
        <v>129</v>
      </c>
      <c r="N2825" s="18"/>
      <c r="O2825" s="18" t="s">
        <v>11710</v>
      </c>
      <c r="P2825" s="18" t="s">
        <v>11711</v>
      </c>
      <c r="Q2825" s="18" t="s">
        <v>131</v>
      </c>
      <c r="R2825" s="18" t="s">
        <v>11712</v>
      </c>
      <c r="S2825" s="18" t="s">
        <v>133</v>
      </c>
      <c r="T2825" s="18" t="s">
        <v>11713</v>
      </c>
      <c r="U2825" s="18"/>
      <c r="V2825" s="19" t="s">
        <v>29</v>
      </c>
      <c r="W2825" s="19"/>
      <c r="X2825" s="19"/>
      <c r="Y2825" s="20"/>
      <c r="Z2825" s="19"/>
      <c r="AA2825" s="18" t="str">
        <f aca="false">IF(OR(V2825="Aprobada"),R2825,IF(AND(OR(V2825="Aprobada con ajuste",V2825="Rechazada"),W2825&lt;&gt;""),W2825,""))</f>
        <v/>
      </c>
    </row>
    <row r="2826" customFormat="false" ht="43.25" hidden="false" customHeight="false" outlineLevel="0" collapsed="false">
      <c r="A2826" s="18" t="s">
        <v>11714</v>
      </c>
      <c r="B2826" s="18" t="s">
        <v>80</v>
      </c>
      <c r="C2826" s="18" t="s">
        <v>81</v>
      </c>
      <c r="D2826" s="18" t="s">
        <v>11704</v>
      </c>
      <c r="E2826" s="18" t="n">
        <v>0</v>
      </c>
      <c r="F2826" s="18" t="s">
        <v>10526</v>
      </c>
      <c r="G2826" s="18" t="s">
        <v>454</v>
      </c>
      <c r="H2826" s="18" t="s">
        <v>162</v>
      </c>
      <c r="I2826" s="18"/>
      <c r="J2826" s="18"/>
      <c r="K2826" s="18"/>
      <c r="L2826" s="18" t="s">
        <v>129</v>
      </c>
      <c r="M2826" s="18" t="s">
        <v>129</v>
      </c>
      <c r="N2826" s="18"/>
      <c r="O2826" s="18"/>
      <c r="P2826" s="18" t="s">
        <v>11715</v>
      </c>
      <c r="Q2826" s="18" t="s">
        <v>131</v>
      </c>
      <c r="R2826" s="18" t="s">
        <v>11716</v>
      </c>
      <c r="S2826" s="18" t="s">
        <v>140</v>
      </c>
      <c r="T2826" s="18" t="s">
        <v>11717</v>
      </c>
      <c r="U2826" s="18" t="s">
        <v>4673</v>
      </c>
      <c r="V2826" s="19" t="s">
        <v>29</v>
      </c>
      <c r="W2826" s="19"/>
      <c r="X2826" s="19"/>
      <c r="Y2826" s="20"/>
      <c r="Z2826" s="19"/>
      <c r="AA2826" s="18" t="str">
        <f aca="false">IF(OR(V2826="Aprobada"),R2826,IF(AND(OR(V2826="Aprobada con ajuste",V2826="Rechazada"),W2826&lt;&gt;""),W2826,""))</f>
        <v/>
      </c>
    </row>
    <row r="2827" customFormat="false" ht="95.5" hidden="false" customHeight="false" outlineLevel="0" collapsed="false">
      <c r="A2827" s="18" t="s">
        <v>11718</v>
      </c>
      <c r="B2827" s="18" t="s">
        <v>80</v>
      </c>
      <c r="C2827" s="18" t="s">
        <v>81</v>
      </c>
      <c r="D2827" s="18" t="s">
        <v>11719</v>
      </c>
      <c r="E2827" s="18" t="n">
        <v>14</v>
      </c>
      <c r="F2827" s="18" t="s">
        <v>275</v>
      </c>
      <c r="G2827" s="18" t="s">
        <v>4598</v>
      </c>
      <c r="H2827" s="18" t="s">
        <v>129</v>
      </c>
      <c r="I2827" s="18"/>
      <c r="J2827" s="18"/>
      <c r="K2827" s="18"/>
      <c r="L2827" s="18" t="s">
        <v>129</v>
      </c>
      <c r="M2827" s="18" t="s">
        <v>129</v>
      </c>
      <c r="N2827" s="18"/>
      <c r="O2827" s="18"/>
      <c r="P2827" s="18" t="s">
        <v>11720</v>
      </c>
      <c r="Q2827" s="18" t="s">
        <v>138</v>
      </c>
      <c r="R2827" s="18" t="s">
        <v>11721</v>
      </c>
      <c r="S2827" s="18" t="s">
        <v>140</v>
      </c>
      <c r="T2827" s="18" t="s">
        <v>141</v>
      </c>
      <c r="U2827" s="18"/>
      <c r="V2827" s="19" t="s">
        <v>29</v>
      </c>
      <c r="W2827" s="19"/>
      <c r="X2827" s="19"/>
      <c r="Y2827" s="20"/>
      <c r="Z2827" s="19"/>
      <c r="AA2827" s="18" t="str">
        <f aca="false">IF(OR(V2827="Aprobada"),R2827,IF(AND(OR(V2827="Aprobada con ajuste",V2827="Rechazada"),W2827&lt;&gt;""),W2827,""))</f>
        <v/>
      </c>
    </row>
    <row r="2828" customFormat="false" ht="43.25" hidden="false" customHeight="false" outlineLevel="0" collapsed="false">
      <c r="A2828" s="18" t="s">
        <v>11722</v>
      </c>
      <c r="B2828" s="18" t="s">
        <v>80</v>
      </c>
      <c r="C2828" s="18" t="s">
        <v>81</v>
      </c>
      <c r="D2828" s="18" t="s">
        <v>11719</v>
      </c>
      <c r="E2828" s="18" t="n">
        <v>14</v>
      </c>
      <c r="F2828" s="18" t="s">
        <v>11723</v>
      </c>
      <c r="G2828" s="18" t="s">
        <v>454</v>
      </c>
      <c r="H2828" s="18" t="s">
        <v>129</v>
      </c>
      <c r="I2828" s="18"/>
      <c r="J2828" s="18"/>
      <c r="K2828" s="18"/>
      <c r="L2828" s="18" t="s">
        <v>129</v>
      </c>
      <c r="M2828" s="18" t="s">
        <v>129</v>
      </c>
      <c r="N2828" s="18"/>
      <c r="O2828" s="18"/>
      <c r="P2828" s="18" t="s">
        <v>11724</v>
      </c>
      <c r="Q2828" s="18" t="s">
        <v>131</v>
      </c>
      <c r="R2828" s="18" t="s">
        <v>11725</v>
      </c>
      <c r="S2828" s="18" t="s">
        <v>133</v>
      </c>
      <c r="T2828" s="18" t="s">
        <v>11726</v>
      </c>
      <c r="U2828" s="18"/>
      <c r="V2828" s="19" t="s">
        <v>29</v>
      </c>
      <c r="W2828" s="19"/>
      <c r="X2828" s="19"/>
      <c r="Y2828" s="20"/>
      <c r="Z2828" s="19"/>
      <c r="AA2828" s="18" t="str">
        <f aca="false">IF(OR(V2828="Aprobada"),R2828,IF(AND(OR(V2828="Aprobada con ajuste",V2828="Rechazada"),W2828&lt;&gt;""),W2828,""))</f>
        <v/>
      </c>
    </row>
    <row r="2829" customFormat="false" ht="32.8" hidden="false" customHeight="false" outlineLevel="0" collapsed="false">
      <c r="A2829" s="18" t="s">
        <v>11727</v>
      </c>
      <c r="B2829" s="18" t="s">
        <v>80</v>
      </c>
      <c r="C2829" s="18" t="s">
        <v>81</v>
      </c>
      <c r="D2829" s="18" t="s">
        <v>11719</v>
      </c>
      <c r="E2829" s="18" t="n">
        <v>14</v>
      </c>
      <c r="F2829" s="18" t="s">
        <v>937</v>
      </c>
      <c r="G2829" s="18" t="s">
        <v>503</v>
      </c>
      <c r="H2829" s="18" t="s">
        <v>129</v>
      </c>
      <c r="I2829" s="18"/>
      <c r="J2829" s="18"/>
      <c r="K2829" s="18"/>
      <c r="L2829" s="18" t="s">
        <v>129</v>
      </c>
      <c r="M2829" s="18" t="s">
        <v>129</v>
      </c>
      <c r="N2829" s="18"/>
      <c r="O2829" s="18"/>
      <c r="P2829" s="18" t="s">
        <v>11728</v>
      </c>
      <c r="Q2829" s="18" t="s">
        <v>138</v>
      </c>
      <c r="R2829" s="18" t="s">
        <v>939</v>
      </c>
      <c r="S2829" s="18" t="s">
        <v>140</v>
      </c>
      <c r="T2829" s="18" t="s">
        <v>141</v>
      </c>
      <c r="U2829" s="18"/>
      <c r="V2829" s="19" t="s">
        <v>29</v>
      </c>
      <c r="W2829" s="19"/>
      <c r="X2829" s="19"/>
      <c r="Y2829" s="20"/>
      <c r="Z2829" s="19"/>
      <c r="AA2829" s="18" t="str">
        <f aca="false">IF(OR(V2829="Aprobada"),R2829,IF(AND(OR(V2829="Aprobada con ajuste",V2829="Rechazada"),W2829&lt;&gt;""),W2829,""))</f>
        <v/>
      </c>
    </row>
    <row r="2830" customFormat="false" ht="64.15" hidden="false" customHeight="false" outlineLevel="0" collapsed="false">
      <c r="A2830" s="18" t="s">
        <v>11729</v>
      </c>
      <c r="B2830" s="18" t="s">
        <v>80</v>
      </c>
      <c r="C2830" s="18" t="s">
        <v>81</v>
      </c>
      <c r="D2830" s="18" t="s">
        <v>11719</v>
      </c>
      <c r="E2830" s="18" t="n">
        <v>14</v>
      </c>
      <c r="F2830" s="18" t="s">
        <v>1688</v>
      </c>
      <c r="G2830" s="18" t="s">
        <v>173</v>
      </c>
      <c r="H2830" s="18" t="s">
        <v>129</v>
      </c>
      <c r="I2830" s="18"/>
      <c r="J2830" s="18"/>
      <c r="K2830" s="18"/>
      <c r="L2830" s="18" t="s">
        <v>129</v>
      </c>
      <c r="M2830" s="18" t="s">
        <v>129</v>
      </c>
      <c r="N2830" s="18"/>
      <c r="O2830" s="18"/>
      <c r="P2830" s="18" t="s">
        <v>11730</v>
      </c>
      <c r="Q2830" s="18" t="s">
        <v>131</v>
      </c>
      <c r="R2830" s="18" t="s">
        <v>11731</v>
      </c>
      <c r="S2830" s="18" t="s">
        <v>133</v>
      </c>
      <c r="T2830" s="18" t="s">
        <v>11732</v>
      </c>
      <c r="U2830" s="18"/>
      <c r="V2830" s="19" t="s">
        <v>29</v>
      </c>
      <c r="W2830" s="19"/>
      <c r="X2830" s="19"/>
      <c r="Y2830" s="20"/>
      <c r="Z2830" s="19"/>
      <c r="AA2830" s="18" t="str">
        <f aca="false">IF(OR(V2830="Aprobada"),R2830,IF(AND(OR(V2830="Aprobada con ajuste",V2830="Rechazada"),W2830&lt;&gt;""),W2830,""))</f>
        <v/>
      </c>
    </row>
    <row r="2831" customFormat="false" ht="126.85" hidden="false" customHeight="false" outlineLevel="0" collapsed="false">
      <c r="A2831" s="18" t="s">
        <v>11733</v>
      </c>
      <c r="B2831" s="18" t="s">
        <v>80</v>
      </c>
      <c r="C2831" s="18" t="s">
        <v>81</v>
      </c>
      <c r="D2831" s="18" t="s">
        <v>11734</v>
      </c>
      <c r="E2831" s="18" t="n">
        <v>4</v>
      </c>
      <c r="F2831" s="18" t="s">
        <v>676</v>
      </c>
      <c r="G2831" s="18" t="s">
        <v>2900</v>
      </c>
      <c r="H2831" s="18" t="s">
        <v>162</v>
      </c>
      <c r="I2831" s="18" t="s">
        <v>298</v>
      </c>
      <c r="J2831" s="18"/>
      <c r="K2831" s="18"/>
      <c r="L2831" s="18" t="s">
        <v>129</v>
      </c>
      <c r="M2831" s="18" t="s">
        <v>129</v>
      </c>
      <c r="N2831" s="18"/>
      <c r="O2831" s="18"/>
      <c r="P2831" s="18" t="s">
        <v>11735</v>
      </c>
      <c r="Q2831" s="18" t="s">
        <v>131</v>
      </c>
      <c r="R2831" s="18" t="s">
        <v>11736</v>
      </c>
      <c r="S2831" s="18" t="s">
        <v>133</v>
      </c>
      <c r="T2831" s="18" t="s">
        <v>11737</v>
      </c>
      <c r="U2831" s="18"/>
      <c r="V2831" s="19" t="s">
        <v>29</v>
      </c>
      <c r="W2831" s="19"/>
      <c r="X2831" s="19"/>
      <c r="Y2831" s="20"/>
      <c r="Z2831" s="19"/>
      <c r="AA2831" s="18" t="str">
        <f aca="false">IF(OR(V2831="Aprobada"),R2831,IF(AND(OR(V2831="Aprobada con ajuste",V2831="Rechazada"),W2831&lt;&gt;""),W2831,""))</f>
        <v/>
      </c>
    </row>
    <row r="2832" customFormat="false" ht="95.5" hidden="false" customHeight="false" outlineLevel="0" collapsed="false">
      <c r="A2832" s="18" t="s">
        <v>11738</v>
      </c>
      <c r="B2832" s="18" t="s">
        <v>80</v>
      </c>
      <c r="C2832" s="18" t="s">
        <v>81</v>
      </c>
      <c r="D2832" s="18" t="s">
        <v>11734</v>
      </c>
      <c r="E2832" s="18" t="n">
        <v>4</v>
      </c>
      <c r="F2832" s="18" t="s">
        <v>1922</v>
      </c>
      <c r="G2832" s="18" t="s">
        <v>11382</v>
      </c>
      <c r="H2832" s="18" t="s">
        <v>162</v>
      </c>
      <c r="I2832" s="18" t="s">
        <v>298</v>
      </c>
      <c r="J2832" s="18"/>
      <c r="K2832" s="18"/>
      <c r="L2832" s="18" t="s">
        <v>129</v>
      </c>
      <c r="M2832" s="18" t="s">
        <v>129</v>
      </c>
      <c r="N2832" s="18"/>
      <c r="O2832" s="18"/>
      <c r="P2832" s="18" t="s">
        <v>11739</v>
      </c>
      <c r="Q2832" s="18" t="s">
        <v>149</v>
      </c>
      <c r="R2832" s="18" t="s">
        <v>11740</v>
      </c>
      <c r="S2832" s="18" t="s">
        <v>140</v>
      </c>
      <c r="T2832" s="18" t="s">
        <v>11741</v>
      </c>
      <c r="U2832" s="18" t="s">
        <v>11742</v>
      </c>
      <c r="V2832" s="19" t="s">
        <v>29</v>
      </c>
      <c r="W2832" s="19"/>
      <c r="X2832" s="19"/>
      <c r="Y2832" s="20"/>
      <c r="Z2832" s="19"/>
      <c r="AA2832" s="18" t="str">
        <f aca="false">IF(OR(V2832="Aprobada"),R2832,IF(AND(OR(V2832="Aprobada con ajuste",V2832="Rechazada"),W2832&lt;&gt;""),W2832,""))</f>
        <v/>
      </c>
    </row>
    <row r="2833" customFormat="false" ht="53.7" hidden="false" customHeight="false" outlineLevel="0" collapsed="false">
      <c r="A2833" s="18" t="s">
        <v>11743</v>
      </c>
      <c r="B2833" s="18" t="s">
        <v>80</v>
      </c>
      <c r="C2833" s="18" t="s">
        <v>81</v>
      </c>
      <c r="D2833" s="18" t="s">
        <v>11734</v>
      </c>
      <c r="E2833" s="18" t="n">
        <v>4</v>
      </c>
      <c r="F2833" s="18" t="s">
        <v>11744</v>
      </c>
      <c r="G2833" s="18" t="s">
        <v>137</v>
      </c>
      <c r="H2833" s="18" t="s">
        <v>162</v>
      </c>
      <c r="I2833" s="18" t="s">
        <v>298</v>
      </c>
      <c r="J2833" s="18"/>
      <c r="K2833" s="18"/>
      <c r="L2833" s="18" t="s">
        <v>129</v>
      </c>
      <c r="M2833" s="18" t="s">
        <v>129</v>
      </c>
      <c r="N2833" s="18"/>
      <c r="O2833" s="18"/>
      <c r="P2833" s="18" t="s">
        <v>11745</v>
      </c>
      <c r="Q2833" s="18" t="s">
        <v>138</v>
      </c>
      <c r="R2833" s="18" t="s">
        <v>11746</v>
      </c>
      <c r="S2833" s="18" t="s">
        <v>140</v>
      </c>
      <c r="T2833" s="18" t="s">
        <v>141</v>
      </c>
      <c r="U2833" s="18"/>
      <c r="V2833" s="19" t="s">
        <v>29</v>
      </c>
      <c r="W2833" s="19"/>
      <c r="X2833" s="19"/>
      <c r="Y2833" s="20"/>
      <c r="Z2833" s="19"/>
      <c r="AA2833" s="18" t="str">
        <f aca="false">IF(OR(V2833="Aprobada"),R2833,IF(AND(OR(V2833="Aprobada con ajuste",V2833="Rechazada"),W2833&lt;&gt;""),W2833,""))</f>
        <v/>
      </c>
    </row>
    <row r="2834" customFormat="false" ht="74.6" hidden="false" customHeight="false" outlineLevel="0" collapsed="false">
      <c r="A2834" s="18" t="s">
        <v>11747</v>
      </c>
      <c r="B2834" s="18" t="s">
        <v>80</v>
      </c>
      <c r="C2834" s="18" t="s">
        <v>81</v>
      </c>
      <c r="D2834" s="18" t="s">
        <v>11734</v>
      </c>
      <c r="E2834" s="18" t="n">
        <v>4</v>
      </c>
      <c r="F2834" s="18" t="s">
        <v>11748</v>
      </c>
      <c r="G2834" s="18" t="s">
        <v>503</v>
      </c>
      <c r="H2834" s="18" t="s">
        <v>162</v>
      </c>
      <c r="I2834" s="18"/>
      <c r="J2834" s="18"/>
      <c r="K2834" s="18"/>
      <c r="L2834" s="18" t="s">
        <v>129</v>
      </c>
      <c r="M2834" s="18" t="s">
        <v>129</v>
      </c>
      <c r="N2834" s="18"/>
      <c r="O2834" s="18"/>
      <c r="P2834" s="18" t="s">
        <v>11749</v>
      </c>
      <c r="Q2834" s="18" t="s">
        <v>131</v>
      </c>
      <c r="R2834" s="18" t="s">
        <v>11750</v>
      </c>
      <c r="S2834" s="18" t="s">
        <v>133</v>
      </c>
      <c r="T2834" s="18" t="s">
        <v>11751</v>
      </c>
      <c r="U2834" s="18"/>
      <c r="V2834" s="19" t="s">
        <v>29</v>
      </c>
      <c r="W2834" s="19"/>
      <c r="X2834" s="19"/>
      <c r="Y2834" s="20"/>
      <c r="Z2834" s="19"/>
      <c r="AA2834" s="18" t="str">
        <f aca="false">IF(OR(V2834="Aprobada"),R2834,IF(AND(OR(V2834="Aprobada con ajuste",V2834="Rechazada"),W2834&lt;&gt;""),W2834,""))</f>
        <v/>
      </c>
    </row>
    <row r="2835" customFormat="false" ht="43.25" hidden="false" customHeight="false" outlineLevel="0" collapsed="false">
      <c r="A2835" s="18" t="s">
        <v>11752</v>
      </c>
      <c r="B2835" s="18" t="s">
        <v>80</v>
      </c>
      <c r="C2835" s="18" t="s">
        <v>81</v>
      </c>
      <c r="D2835" s="18" t="s">
        <v>11734</v>
      </c>
      <c r="E2835" s="18" t="n">
        <v>4</v>
      </c>
      <c r="F2835" s="18" t="s">
        <v>185</v>
      </c>
      <c r="G2835" s="18" t="s">
        <v>205</v>
      </c>
      <c r="H2835" s="18" t="s">
        <v>129</v>
      </c>
      <c r="I2835" s="18" t="s">
        <v>298</v>
      </c>
      <c r="J2835" s="18" t="s">
        <v>11753</v>
      </c>
      <c r="K2835" s="18"/>
      <c r="L2835" s="18" t="s">
        <v>162</v>
      </c>
      <c r="M2835" s="18" t="s">
        <v>129</v>
      </c>
      <c r="N2835" s="18"/>
      <c r="O2835" s="18"/>
      <c r="P2835" s="18" t="s">
        <v>11754</v>
      </c>
      <c r="Q2835" s="18" t="s">
        <v>131</v>
      </c>
      <c r="R2835" s="18" t="s">
        <v>11755</v>
      </c>
      <c r="S2835" s="18" t="s">
        <v>133</v>
      </c>
      <c r="T2835" s="18" t="s">
        <v>11756</v>
      </c>
      <c r="U2835" s="18"/>
      <c r="V2835" s="19" t="s">
        <v>29</v>
      </c>
      <c r="W2835" s="19"/>
      <c r="X2835" s="19"/>
      <c r="Y2835" s="20"/>
      <c r="Z2835" s="19"/>
      <c r="AA2835" s="18" t="str">
        <f aca="false">IF(OR(V2835="Aprobada"),R2835,IF(AND(OR(V2835="Aprobada con ajuste",V2835="Rechazada"),W2835&lt;&gt;""),W2835,""))</f>
        <v/>
      </c>
    </row>
    <row r="2836" customFormat="false" ht="95.5" hidden="false" customHeight="false" outlineLevel="0" collapsed="false">
      <c r="A2836" s="18" t="s">
        <v>11757</v>
      </c>
      <c r="B2836" s="18" t="s">
        <v>80</v>
      </c>
      <c r="C2836" s="18" t="s">
        <v>81</v>
      </c>
      <c r="D2836" s="18" t="s">
        <v>11734</v>
      </c>
      <c r="E2836" s="18" t="n">
        <v>4</v>
      </c>
      <c r="F2836" s="18" t="s">
        <v>886</v>
      </c>
      <c r="G2836" s="18" t="s">
        <v>128</v>
      </c>
      <c r="H2836" s="18" t="s">
        <v>162</v>
      </c>
      <c r="I2836" s="18" t="s">
        <v>298</v>
      </c>
      <c r="J2836" s="18"/>
      <c r="K2836" s="18"/>
      <c r="L2836" s="18" t="s">
        <v>129</v>
      </c>
      <c r="M2836" s="18" t="s">
        <v>129</v>
      </c>
      <c r="N2836" s="18"/>
      <c r="O2836" s="18"/>
      <c r="P2836" s="18" t="s">
        <v>11758</v>
      </c>
      <c r="Q2836" s="18" t="s">
        <v>131</v>
      </c>
      <c r="R2836" s="18" t="s">
        <v>11759</v>
      </c>
      <c r="S2836" s="18" t="s">
        <v>133</v>
      </c>
      <c r="T2836" s="18" t="s">
        <v>11760</v>
      </c>
      <c r="U2836" s="18"/>
      <c r="V2836" s="19" t="s">
        <v>29</v>
      </c>
      <c r="W2836" s="19"/>
      <c r="X2836" s="19"/>
      <c r="Y2836" s="20"/>
      <c r="Z2836" s="19"/>
      <c r="AA2836" s="18" t="str">
        <f aca="false">IF(OR(V2836="Aprobada"),R2836,IF(AND(OR(V2836="Aprobada con ajuste",V2836="Rechazada"),W2836&lt;&gt;""),W2836,""))</f>
        <v/>
      </c>
    </row>
    <row r="2837" customFormat="false" ht="22.35" hidden="false" customHeight="false" outlineLevel="0" collapsed="false">
      <c r="A2837" s="18" t="s">
        <v>11761</v>
      </c>
      <c r="B2837" s="18" t="s">
        <v>80</v>
      </c>
      <c r="C2837" s="18" t="s">
        <v>81</v>
      </c>
      <c r="D2837" s="18" t="s">
        <v>11734</v>
      </c>
      <c r="E2837" s="18" t="n">
        <v>4</v>
      </c>
      <c r="F2837" s="18" t="s">
        <v>6303</v>
      </c>
      <c r="G2837" s="18" t="s">
        <v>11001</v>
      </c>
      <c r="H2837" s="18" t="s">
        <v>162</v>
      </c>
      <c r="I2837" s="18"/>
      <c r="J2837" s="18"/>
      <c r="K2837" s="18"/>
      <c r="L2837" s="18" t="s">
        <v>129</v>
      </c>
      <c r="M2837" s="18" t="s">
        <v>129</v>
      </c>
      <c r="N2837" s="18"/>
      <c r="O2837" s="18"/>
      <c r="P2837" s="18" t="s">
        <v>11762</v>
      </c>
      <c r="Q2837" s="18" t="s">
        <v>138</v>
      </c>
      <c r="R2837" s="18" t="s">
        <v>6305</v>
      </c>
      <c r="S2837" s="18" t="s">
        <v>140</v>
      </c>
      <c r="T2837" s="18" t="s">
        <v>141</v>
      </c>
      <c r="U2837" s="18"/>
      <c r="V2837" s="19" t="s">
        <v>29</v>
      </c>
      <c r="W2837" s="19"/>
      <c r="X2837" s="19"/>
      <c r="Y2837" s="20"/>
      <c r="Z2837" s="19"/>
      <c r="AA2837" s="18" t="str">
        <f aca="false">IF(OR(V2837="Aprobada"),R2837,IF(AND(OR(V2837="Aprobada con ajuste",V2837="Rechazada"),W2837&lt;&gt;""),W2837,""))</f>
        <v/>
      </c>
    </row>
    <row r="2838" customFormat="false" ht="22.35" hidden="false" customHeight="false" outlineLevel="0" collapsed="false">
      <c r="A2838" s="18" t="s">
        <v>11763</v>
      </c>
      <c r="B2838" s="18" t="s">
        <v>80</v>
      </c>
      <c r="C2838" s="18" t="s">
        <v>81</v>
      </c>
      <c r="D2838" s="18" t="s">
        <v>11734</v>
      </c>
      <c r="E2838" s="18" t="n">
        <v>4</v>
      </c>
      <c r="F2838" s="18" t="s">
        <v>11764</v>
      </c>
      <c r="G2838" s="18" t="s">
        <v>584</v>
      </c>
      <c r="H2838" s="18" t="s">
        <v>129</v>
      </c>
      <c r="I2838" s="18"/>
      <c r="J2838" s="18"/>
      <c r="K2838" s="18"/>
      <c r="L2838" s="18" t="s">
        <v>129</v>
      </c>
      <c r="M2838" s="18" t="s">
        <v>129</v>
      </c>
      <c r="N2838" s="18"/>
      <c r="O2838" s="18"/>
      <c r="P2838" s="18" t="s">
        <v>11765</v>
      </c>
      <c r="Q2838" s="18" t="s">
        <v>138</v>
      </c>
      <c r="R2838" s="18" t="s">
        <v>11766</v>
      </c>
      <c r="S2838" s="18" t="s">
        <v>140</v>
      </c>
      <c r="T2838" s="18" t="s">
        <v>141</v>
      </c>
      <c r="U2838" s="18"/>
      <c r="V2838" s="19" t="s">
        <v>29</v>
      </c>
      <c r="W2838" s="19"/>
      <c r="X2838" s="19"/>
      <c r="Y2838" s="20"/>
      <c r="Z2838" s="19"/>
      <c r="AA2838" s="18" t="str">
        <f aca="false">IF(OR(V2838="Aprobada"),R2838,IF(AND(OR(V2838="Aprobada con ajuste",V2838="Rechazada"),W2838&lt;&gt;""),W2838,""))</f>
        <v/>
      </c>
    </row>
    <row r="2839" customFormat="false" ht="32.8" hidden="false" customHeight="false" outlineLevel="0" collapsed="false">
      <c r="A2839" s="18" t="s">
        <v>11767</v>
      </c>
      <c r="B2839" s="18" t="s">
        <v>80</v>
      </c>
      <c r="C2839" s="18" t="s">
        <v>81</v>
      </c>
      <c r="D2839" s="18" t="s">
        <v>11734</v>
      </c>
      <c r="E2839" s="18" t="n">
        <v>4</v>
      </c>
      <c r="F2839" s="18" t="s">
        <v>11768</v>
      </c>
      <c r="G2839" s="18" t="s">
        <v>11001</v>
      </c>
      <c r="H2839" s="18" t="s">
        <v>162</v>
      </c>
      <c r="I2839" s="18"/>
      <c r="J2839" s="18"/>
      <c r="K2839" s="18"/>
      <c r="L2839" s="18" t="s">
        <v>129</v>
      </c>
      <c r="M2839" s="18" t="s">
        <v>129</v>
      </c>
      <c r="N2839" s="18"/>
      <c r="O2839" s="18"/>
      <c r="P2839" s="18" t="s">
        <v>11769</v>
      </c>
      <c r="Q2839" s="18" t="s">
        <v>149</v>
      </c>
      <c r="R2839" s="18" t="s">
        <v>11770</v>
      </c>
      <c r="S2839" s="18" t="s">
        <v>140</v>
      </c>
      <c r="T2839" s="18" t="s">
        <v>11771</v>
      </c>
      <c r="U2839" s="18" t="s">
        <v>11772</v>
      </c>
      <c r="V2839" s="19" t="s">
        <v>29</v>
      </c>
      <c r="W2839" s="19"/>
      <c r="X2839" s="19"/>
      <c r="Y2839" s="20"/>
      <c r="Z2839" s="19"/>
      <c r="AA2839" s="18" t="str">
        <f aca="false">IF(OR(V2839="Aprobada"),R2839,IF(AND(OR(V2839="Aprobada con ajuste",V2839="Rechazada"),W2839&lt;&gt;""),W2839,""))</f>
        <v/>
      </c>
    </row>
    <row r="2840" customFormat="false" ht="43.25" hidden="false" customHeight="false" outlineLevel="0" collapsed="false">
      <c r="A2840" s="18" t="s">
        <v>11773</v>
      </c>
      <c r="B2840" s="18" t="s">
        <v>80</v>
      </c>
      <c r="C2840" s="18" t="s">
        <v>81</v>
      </c>
      <c r="D2840" s="18" t="s">
        <v>11774</v>
      </c>
      <c r="E2840" s="18" t="n">
        <v>0</v>
      </c>
      <c r="F2840" s="18" t="s">
        <v>7310</v>
      </c>
      <c r="G2840" s="18" t="s">
        <v>137</v>
      </c>
      <c r="H2840" s="18" t="s">
        <v>129</v>
      </c>
      <c r="I2840" s="18"/>
      <c r="J2840" s="18"/>
      <c r="K2840" s="18"/>
      <c r="L2840" s="18" t="s">
        <v>129</v>
      </c>
      <c r="M2840" s="18" t="s">
        <v>129</v>
      </c>
      <c r="N2840" s="18"/>
      <c r="O2840" s="18"/>
      <c r="P2840" s="18" t="s">
        <v>11775</v>
      </c>
      <c r="Q2840" s="18" t="s">
        <v>138</v>
      </c>
      <c r="R2840" s="18" t="s">
        <v>8854</v>
      </c>
      <c r="S2840" s="18" t="s">
        <v>140</v>
      </c>
      <c r="T2840" s="18" t="s">
        <v>141</v>
      </c>
      <c r="U2840" s="18"/>
      <c r="V2840" s="19" t="s">
        <v>29</v>
      </c>
      <c r="W2840" s="19"/>
      <c r="X2840" s="19"/>
      <c r="Y2840" s="20"/>
      <c r="Z2840" s="19"/>
      <c r="AA2840" s="18" t="str">
        <f aca="false">IF(OR(V2840="Aprobada"),R2840,IF(AND(OR(V2840="Aprobada con ajuste",V2840="Rechazada"),W2840&lt;&gt;""),W2840,""))</f>
        <v/>
      </c>
    </row>
    <row r="2841" customFormat="false" ht="32.8" hidden="false" customHeight="false" outlineLevel="0" collapsed="false">
      <c r="A2841" s="18" t="s">
        <v>11776</v>
      </c>
      <c r="B2841" s="18" t="s">
        <v>80</v>
      </c>
      <c r="C2841" s="18" t="s">
        <v>81</v>
      </c>
      <c r="D2841" s="18" t="s">
        <v>11774</v>
      </c>
      <c r="E2841" s="18" t="n">
        <v>0</v>
      </c>
      <c r="F2841" s="18" t="s">
        <v>11777</v>
      </c>
      <c r="G2841" s="18" t="s">
        <v>192</v>
      </c>
      <c r="H2841" s="18" t="s">
        <v>129</v>
      </c>
      <c r="I2841" s="18"/>
      <c r="J2841" s="18"/>
      <c r="K2841" s="18"/>
      <c r="L2841" s="18" t="s">
        <v>129</v>
      </c>
      <c r="M2841" s="18" t="s">
        <v>129</v>
      </c>
      <c r="N2841" s="18"/>
      <c r="O2841" s="18"/>
      <c r="P2841" s="18" t="s">
        <v>11778</v>
      </c>
      <c r="Q2841" s="18" t="s">
        <v>131</v>
      </c>
      <c r="R2841" s="18" t="s">
        <v>11779</v>
      </c>
      <c r="S2841" s="18" t="s">
        <v>140</v>
      </c>
      <c r="T2841" s="18" t="s">
        <v>11780</v>
      </c>
      <c r="U2841" s="18" t="s">
        <v>11781</v>
      </c>
      <c r="V2841" s="19" t="s">
        <v>29</v>
      </c>
      <c r="W2841" s="19"/>
      <c r="X2841" s="19"/>
      <c r="Y2841" s="20"/>
      <c r="Z2841" s="19"/>
      <c r="AA2841" s="18" t="str">
        <f aca="false">IF(OR(V2841="Aprobada"),R2841,IF(AND(OR(V2841="Aprobada con ajuste",V2841="Rechazada"),W2841&lt;&gt;""),W2841,""))</f>
        <v/>
      </c>
    </row>
    <row r="2842" customFormat="false" ht="53.7" hidden="false" customHeight="false" outlineLevel="0" collapsed="false">
      <c r="A2842" s="18" t="s">
        <v>11782</v>
      </c>
      <c r="B2842" s="18" t="s">
        <v>80</v>
      </c>
      <c r="C2842" s="18" t="s">
        <v>81</v>
      </c>
      <c r="D2842" s="18" t="s">
        <v>11774</v>
      </c>
      <c r="E2842" s="18" t="n">
        <v>0</v>
      </c>
      <c r="F2842" s="18" t="s">
        <v>11783</v>
      </c>
      <c r="G2842" s="18" t="s">
        <v>137</v>
      </c>
      <c r="H2842" s="18" t="s">
        <v>162</v>
      </c>
      <c r="I2842" s="18"/>
      <c r="J2842" s="18"/>
      <c r="K2842" s="18"/>
      <c r="L2842" s="18" t="s">
        <v>129</v>
      </c>
      <c r="M2842" s="18" t="s">
        <v>129</v>
      </c>
      <c r="N2842" s="18"/>
      <c r="O2842" s="18"/>
      <c r="P2842" s="18" t="s">
        <v>11784</v>
      </c>
      <c r="Q2842" s="18" t="s">
        <v>131</v>
      </c>
      <c r="R2842" s="18" t="s">
        <v>11785</v>
      </c>
      <c r="S2842" s="18" t="s">
        <v>133</v>
      </c>
      <c r="T2842" s="18" t="s">
        <v>11786</v>
      </c>
      <c r="U2842" s="18" t="s">
        <v>11787</v>
      </c>
      <c r="V2842" s="19" t="s">
        <v>29</v>
      </c>
      <c r="W2842" s="19"/>
      <c r="X2842" s="19"/>
      <c r="Y2842" s="20"/>
      <c r="Z2842" s="19"/>
      <c r="AA2842" s="18" t="str">
        <f aca="false">IF(OR(V2842="Aprobada"),R2842,IF(AND(OR(V2842="Aprobada con ajuste",V2842="Rechazada"),W2842&lt;&gt;""),W2842,""))</f>
        <v/>
      </c>
    </row>
    <row r="2843" customFormat="false" ht="64.15" hidden="false" customHeight="false" outlineLevel="0" collapsed="false">
      <c r="A2843" s="18" t="s">
        <v>11788</v>
      </c>
      <c r="B2843" s="18" t="s">
        <v>80</v>
      </c>
      <c r="C2843" s="18" t="s">
        <v>81</v>
      </c>
      <c r="D2843" s="18" t="s">
        <v>11774</v>
      </c>
      <c r="E2843" s="18" t="n">
        <v>0</v>
      </c>
      <c r="F2843" s="18" t="s">
        <v>886</v>
      </c>
      <c r="G2843" s="18" t="s">
        <v>128</v>
      </c>
      <c r="H2843" s="18" t="s">
        <v>162</v>
      </c>
      <c r="I2843" s="18"/>
      <c r="J2843" s="18"/>
      <c r="K2843" s="18"/>
      <c r="L2843" s="18" t="s">
        <v>129</v>
      </c>
      <c r="M2843" s="18" t="s">
        <v>129</v>
      </c>
      <c r="N2843" s="18"/>
      <c r="O2843" s="18"/>
      <c r="P2843" s="18" t="s">
        <v>11789</v>
      </c>
      <c r="Q2843" s="18" t="s">
        <v>138</v>
      </c>
      <c r="R2843" s="18" t="s">
        <v>1693</v>
      </c>
      <c r="S2843" s="18" t="s">
        <v>140</v>
      </c>
      <c r="T2843" s="18" t="s">
        <v>141</v>
      </c>
      <c r="U2843" s="18"/>
      <c r="V2843" s="19" t="s">
        <v>29</v>
      </c>
      <c r="W2843" s="19"/>
      <c r="X2843" s="19"/>
      <c r="Y2843" s="20"/>
      <c r="Z2843" s="19"/>
      <c r="AA2843" s="18" t="str">
        <f aca="false">IF(OR(V2843="Aprobada"),R2843,IF(AND(OR(V2843="Aprobada con ajuste",V2843="Rechazada"),W2843&lt;&gt;""),W2843,""))</f>
        <v/>
      </c>
    </row>
    <row r="2844" customFormat="false" ht="22.35" hidden="false" customHeight="false" outlineLevel="0" collapsed="false">
      <c r="A2844" s="18" t="s">
        <v>11790</v>
      </c>
      <c r="B2844" s="18" t="s">
        <v>80</v>
      </c>
      <c r="C2844" s="18" t="s">
        <v>81</v>
      </c>
      <c r="D2844" s="18" t="s">
        <v>11774</v>
      </c>
      <c r="E2844" s="18" t="n">
        <v>0</v>
      </c>
      <c r="F2844" s="18" t="s">
        <v>185</v>
      </c>
      <c r="G2844" s="18" t="s">
        <v>205</v>
      </c>
      <c r="H2844" s="18" t="s">
        <v>129</v>
      </c>
      <c r="I2844" s="18" t="s">
        <v>298</v>
      </c>
      <c r="J2844" s="18" t="s">
        <v>11791</v>
      </c>
      <c r="K2844" s="18"/>
      <c r="L2844" s="18" t="s">
        <v>162</v>
      </c>
      <c r="M2844" s="18" t="s">
        <v>129</v>
      </c>
      <c r="N2844" s="18"/>
      <c r="O2844" s="18"/>
      <c r="P2844" s="18" t="s">
        <v>11792</v>
      </c>
      <c r="Q2844" s="18" t="s">
        <v>138</v>
      </c>
      <c r="R2844" s="18" t="s">
        <v>11793</v>
      </c>
      <c r="S2844" s="18" t="s">
        <v>140</v>
      </c>
      <c r="T2844" s="18" t="s">
        <v>141</v>
      </c>
      <c r="U2844" s="18"/>
      <c r="V2844" s="19" t="s">
        <v>29</v>
      </c>
      <c r="W2844" s="19"/>
      <c r="X2844" s="19"/>
      <c r="Y2844" s="20"/>
      <c r="Z2844" s="19"/>
      <c r="AA2844" s="18" t="str">
        <f aca="false">IF(OR(V2844="Aprobada"),R2844,IF(AND(OR(V2844="Aprobada con ajuste",V2844="Rechazada"),W2844&lt;&gt;""),W2844,""))</f>
        <v/>
      </c>
    </row>
    <row r="2845" customFormat="false" ht="22.35" hidden="false" customHeight="false" outlineLevel="0" collapsed="false">
      <c r="A2845" s="18" t="s">
        <v>11794</v>
      </c>
      <c r="B2845" s="18" t="s">
        <v>80</v>
      </c>
      <c r="C2845" s="18" t="s">
        <v>81</v>
      </c>
      <c r="D2845" s="18" t="s">
        <v>11774</v>
      </c>
      <c r="E2845" s="18" t="n">
        <v>0</v>
      </c>
      <c r="F2845" s="18" t="s">
        <v>11795</v>
      </c>
      <c r="G2845" s="18" t="s">
        <v>454</v>
      </c>
      <c r="H2845" s="18" t="s">
        <v>162</v>
      </c>
      <c r="I2845" s="18"/>
      <c r="J2845" s="18"/>
      <c r="K2845" s="18"/>
      <c r="L2845" s="18" t="s">
        <v>129</v>
      </c>
      <c r="M2845" s="18" t="s">
        <v>129</v>
      </c>
      <c r="N2845" s="18"/>
      <c r="O2845" s="18"/>
      <c r="P2845" s="18" t="s">
        <v>11796</v>
      </c>
      <c r="Q2845" s="18" t="s">
        <v>138</v>
      </c>
      <c r="R2845" s="18" t="s">
        <v>11232</v>
      </c>
      <c r="S2845" s="18" t="s">
        <v>140</v>
      </c>
      <c r="T2845" s="18" t="s">
        <v>141</v>
      </c>
      <c r="U2845" s="18"/>
      <c r="V2845" s="19" t="s">
        <v>29</v>
      </c>
      <c r="W2845" s="19"/>
      <c r="X2845" s="19"/>
      <c r="Y2845" s="20"/>
      <c r="Z2845" s="19"/>
      <c r="AA2845" s="18" t="str">
        <f aca="false">IF(OR(V2845="Aprobada"),R2845,IF(AND(OR(V2845="Aprobada con ajuste",V2845="Rechazada"),W2845&lt;&gt;""),W2845,""))</f>
        <v/>
      </c>
    </row>
    <row r="2846" customFormat="false" ht="22.35" hidden="false" customHeight="false" outlineLevel="0" collapsed="false">
      <c r="A2846" s="18" t="s">
        <v>11797</v>
      </c>
      <c r="B2846" s="18" t="s">
        <v>80</v>
      </c>
      <c r="C2846" s="18" t="s">
        <v>81</v>
      </c>
      <c r="D2846" s="18" t="s">
        <v>11774</v>
      </c>
      <c r="E2846" s="18" t="n">
        <v>0</v>
      </c>
      <c r="F2846" s="18" t="s">
        <v>11798</v>
      </c>
      <c r="G2846" s="18" t="s">
        <v>584</v>
      </c>
      <c r="H2846" s="18" t="s">
        <v>162</v>
      </c>
      <c r="I2846" s="18" t="s">
        <v>298</v>
      </c>
      <c r="J2846" s="18"/>
      <c r="K2846" s="18"/>
      <c r="L2846" s="18" t="s">
        <v>129</v>
      </c>
      <c r="M2846" s="18" t="s">
        <v>129</v>
      </c>
      <c r="N2846" s="18"/>
      <c r="O2846" s="18"/>
      <c r="P2846" s="18" t="s">
        <v>11799</v>
      </c>
      <c r="Q2846" s="18" t="s">
        <v>149</v>
      </c>
      <c r="R2846" s="18" t="s">
        <v>11800</v>
      </c>
      <c r="S2846" s="18" t="s">
        <v>133</v>
      </c>
      <c r="T2846" s="18" t="s">
        <v>11801</v>
      </c>
      <c r="U2846" s="18"/>
      <c r="V2846" s="19" t="s">
        <v>29</v>
      </c>
      <c r="W2846" s="19"/>
      <c r="X2846" s="19"/>
      <c r="Y2846" s="20"/>
      <c r="Z2846" s="19"/>
      <c r="AA2846" s="18" t="str">
        <f aca="false">IF(OR(V2846="Aprobada"),R2846,IF(AND(OR(V2846="Aprobada con ajuste",V2846="Rechazada"),W2846&lt;&gt;""),W2846,""))</f>
        <v/>
      </c>
    </row>
    <row r="2847" customFormat="false" ht="22.35" hidden="false" customHeight="false" outlineLevel="0" collapsed="false">
      <c r="A2847" s="18" t="s">
        <v>11802</v>
      </c>
      <c r="B2847" s="18" t="s">
        <v>80</v>
      </c>
      <c r="C2847" s="18" t="s">
        <v>81</v>
      </c>
      <c r="D2847" s="18" t="s">
        <v>11774</v>
      </c>
      <c r="E2847" s="18" t="n">
        <v>0</v>
      </c>
      <c r="F2847" s="18" t="s">
        <v>11803</v>
      </c>
      <c r="G2847" s="18" t="s">
        <v>454</v>
      </c>
      <c r="H2847" s="18" t="s">
        <v>162</v>
      </c>
      <c r="I2847" s="18"/>
      <c r="J2847" s="18"/>
      <c r="K2847" s="18"/>
      <c r="L2847" s="18" t="s">
        <v>129</v>
      </c>
      <c r="M2847" s="18" t="s">
        <v>129</v>
      </c>
      <c r="N2847" s="18"/>
      <c r="O2847" s="18"/>
      <c r="P2847" s="18" t="s">
        <v>11804</v>
      </c>
      <c r="Q2847" s="18" t="s">
        <v>149</v>
      </c>
      <c r="R2847" s="18" t="s">
        <v>11805</v>
      </c>
      <c r="S2847" s="18" t="s">
        <v>140</v>
      </c>
      <c r="T2847" s="18" t="s">
        <v>11404</v>
      </c>
      <c r="U2847" s="18" t="s">
        <v>4673</v>
      </c>
      <c r="V2847" s="19" t="s">
        <v>29</v>
      </c>
      <c r="W2847" s="19"/>
      <c r="X2847" s="19"/>
      <c r="Y2847" s="20"/>
      <c r="Z2847" s="19"/>
      <c r="AA2847" s="18" t="str">
        <f aca="false">IF(OR(V2847="Aprobada"),R2847,IF(AND(OR(V2847="Aprobada con ajuste",V2847="Rechazada"),W2847&lt;&gt;""),W2847,""))</f>
        <v/>
      </c>
    </row>
    <row r="2848" customFormat="false" ht="22.35" hidden="false" customHeight="false" outlineLevel="0" collapsed="false">
      <c r="A2848" s="18" t="s">
        <v>11806</v>
      </c>
      <c r="B2848" s="18" t="s">
        <v>80</v>
      </c>
      <c r="C2848" s="18" t="s">
        <v>81</v>
      </c>
      <c r="D2848" s="18" t="s">
        <v>11774</v>
      </c>
      <c r="E2848" s="18" t="n">
        <v>0</v>
      </c>
      <c r="F2848" s="18" t="s">
        <v>11807</v>
      </c>
      <c r="G2848" s="18" t="s">
        <v>128</v>
      </c>
      <c r="H2848" s="18" t="s">
        <v>162</v>
      </c>
      <c r="I2848" s="18" t="s">
        <v>298</v>
      </c>
      <c r="J2848" s="18"/>
      <c r="K2848" s="18"/>
      <c r="L2848" s="18" t="s">
        <v>129</v>
      </c>
      <c r="M2848" s="18" t="s">
        <v>129</v>
      </c>
      <c r="N2848" s="18"/>
      <c r="O2848" s="18"/>
      <c r="P2848" s="18" t="s">
        <v>11808</v>
      </c>
      <c r="Q2848" s="18" t="s">
        <v>138</v>
      </c>
      <c r="R2848" s="18" t="s">
        <v>11809</v>
      </c>
      <c r="S2848" s="18" t="s">
        <v>140</v>
      </c>
      <c r="T2848" s="18" t="s">
        <v>141</v>
      </c>
      <c r="U2848" s="18"/>
      <c r="V2848" s="19" t="s">
        <v>29</v>
      </c>
      <c r="W2848" s="19"/>
      <c r="X2848" s="19"/>
      <c r="Y2848" s="20"/>
      <c r="Z2848" s="19"/>
      <c r="AA2848" s="18" t="str">
        <f aca="false">IF(OR(V2848="Aprobada"),R2848,IF(AND(OR(V2848="Aprobada con ajuste",V2848="Rechazada"),W2848&lt;&gt;""),W2848,""))</f>
        <v/>
      </c>
    </row>
    <row r="2849" customFormat="false" ht="43.25" hidden="false" customHeight="false" outlineLevel="0" collapsed="false">
      <c r="A2849" s="18" t="s">
        <v>11810</v>
      </c>
      <c r="B2849" s="18" t="s">
        <v>80</v>
      </c>
      <c r="C2849" s="18" t="s">
        <v>81</v>
      </c>
      <c r="D2849" s="18" t="s">
        <v>11811</v>
      </c>
      <c r="E2849" s="18" t="n">
        <v>0</v>
      </c>
      <c r="F2849" s="18" t="s">
        <v>11812</v>
      </c>
      <c r="G2849" s="18" t="s">
        <v>931</v>
      </c>
      <c r="H2849" s="18" t="s">
        <v>129</v>
      </c>
      <c r="I2849" s="18"/>
      <c r="J2849" s="18"/>
      <c r="K2849" s="18"/>
      <c r="L2849" s="18" t="s">
        <v>129</v>
      </c>
      <c r="M2849" s="18" t="s">
        <v>129</v>
      </c>
      <c r="N2849" s="18"/>
      <c r="O2849" s="18"/>
      <c r="P2849" s="18" t="s">
        <v>11813</v>
      </c>
      <c r="Q2849" s="18" t="s">
        <v>131</v>
      </c>
      <c r="R2849" s="18" t="s">
        <v>11814</v>
      </c>
      <c r="S2849" s="18" t="s">
        <v>140</v>
      </c>
      <c r="T2849" s="18" t="s">
        <v>11815</v>
      </c>
      <c r="U2849" s="18" t="s">
        <v>11816</v>
      </c>
      <c r="V2849" s="19" t="s">
        <v>29</v>
      </c>
      <c r="W2849" s="19"/>
      <c r="X2849" s="19"/>
      <c r="Y2849" s="20"/>
      <c r="Z2849" s="19"/>
      <c r="AA2849" s="18" t="str">
        <f aca="false">IF(OR(V2849="Aprobada"),R2849,IF(AND(OR(V2849="Aprobada con ajuste",V2849="Rechazada"),W2849&lt;&gt;""),W2849,""))</f>
        <v/>
      </c>
    </row>
    <row r="2850" customFormat="false" ht="43.25" hidden="false" customHeight="false" outlineLevel="0" collapsed="false">
      <c r="A2850" s="18" t="s">
        <v>11817</v>
      </c>
      <c r="B2850" s="18" t="s">
        <v>80</v>
      </c>
      <c r="C2850" s="18" t="s">
        <v>81</v>
      </c>
      <c r="D2850" s="18" t="s">
        <v>11811</v>
      </c>
      <c r="E2850" s="18" t="n">
        <v>0</v>
      </c>
      <c r="F2850" s="18" t="s">
        <v>11818</v>
      </c>
      <c r="G2850" s="18" t="s">
        <v>137</v>
      </c>
      <c r="H2850" s="18" t="s">
        <v>129</v>
      </c>
      <c r="I2850" s="18"/>
      <c r="J2850" s="18"/>
      <c r="K2850" s="18"/>
      <c r="L2850" s="18" t="s">
        <v>129</v>
      </c>
      <c r="M2850" s="18" t="s">
        <v>129</v>
      </c>
      <c r="N2850" s="18"/>
      <c r="O2850" s="18"/>
      <c r="P2850" s="18" t="s">
        <v>11819</v>
      </c>
      <c r="Q2850" s="18" t="s">
        <v>138</v>
      </c>
      <c r="R2850" s="18" t="s">
        <v>11820</v>
      </c>
      <c r="S2850" s="18" t="s">
        <v>140</v>
      </c>
      <c r="T2850" s="18" t="s">
        <v>141</v>
      </c>
      <c r="U2850" s="18"/>
      <c r="V2850" s="19" t="s">
        <v>29</v>
      </c>
      <c r="W2850" s="19"/>
      <c r="X2850" s="19"/>
      <c r="Y2850" s="20"/>
      <c r="Z2850" s="19"/>
      <c r="AA2850" s="18" t="str">
        <f aca="false">IF(OR(V2850="Aprobada"),R2850,IF(AND(OR(V2850="Aprobada con ajuste",V2850="Rechazada"),W2850&lt;&gt;""),W2850,""))</f>
        <v/>
      </c>
    </row>
    <row r="2851" customFormat="false" ht="22.35" hidden="false" customHeight="false" outlineLevel="0" collapsed="false">
      <c r="A2851" s="18" t="s">
        <v>11821</v>
      </c>
      <c r="B2851" s="18" t="s">
        <v>80</v>
      </c>
      <c r="C2851" s="18" t="s">
        <v>81</v>
      </c>
      <c r="D2851" s="18" t="s">
        <v>11811</v>
      </c>
      <c r="E2851" s="18" t="n">
        <v>0</v>
      </c>
      <c r="F2851" s="18" t="s">
        <v>11822</v>
      </c>
      <c r="G2851" s="18" t="s">
        <v>11382</v>
      </c>
      <c r="H2851" s="18" t="s">
        <v>129</v>
      </c>
      <c r="I2851" s="18"/>
      <c r="J2851" s="18"/>
      <c r="K2851" s="18"/>
      <c r="L2851" s="18" t="s">
        <v>129</v>
      </c>
      <c r="M2851" s="18" t="s">
        <v>129</v>
      </c>
      <c r="N2851" s="18"/>
      <c r="O2851" s="18"/>
      <c r="P2851" s="18" t="s">
        <v>11823</v>
      </c>
      <c r="Q2851" s="18" t="s">
        <v>149</v>
      </c>
      <c r="R2851" s="18" t="s">
        <v>11824</v>
      </c>
      <c r="S2851" s="18" t="s">
        <v>140</v>
      </c>
      <c r="T2851" s="18" t="s">
        <v>11825</v>
      </c>
      <c r="U2851" s="18" t="s">
        <v>11826</v>
      </c>
      <c r="V2851" s="19" t="s">
        <v>29</v>
      </c>
      <c r="W2851" s="19"/>
      <c r="X2851" s="19"/>
      <c r="Y2851" s="20"/>
      <c r="Z2851" s="19"/>
      <c r="AA2851" s="18" t="str">
        <f aca="false">IF(OR(V2851="Aprobada"),R2851,IF(AND(OR(V2851="Aprobada con ajuste",V2851="Rechazada"),W2851&lt;&gt;""),W2851,""))</f>
        <v/>
      </c>
    </row>
    <row r="2852" customFormat="false" ht="22.35" hidden="false" customHeight="false" outlineLevel="0" collapsed="false">
      <c r="A2852" s="18" t="s">
        <v>11827</v>
      </c>
      <c r="B2852" s="18" t="s">
        <v>80</v>
      </c>
      <c r="C2852" s="18" t="s">
        <v>81</v>
      </c>
      <c r="D2852" s="18" t="s">
        <v>11811</v>
      </c>
      <c r="E2852" s="18" t="n">
        <v>0</v>
      </c>
      <c r="F2852" s="18" t="s">
        <v>5947</v>
      </c>
      <c r="G2852" s="18" t="s">
        <v>11382</v>
      </c>
      <c r="H2852" s="18" t="s">
        <v>129</v>
      </c>
      <c r="I2852" s="18"/>
      <c r="J2852" s="18"/>
      <c r="K2852" s="18"/>
      <c r="L2852" s="18" t="s">
        <v>129</v>
      </c>
      <c r="M2852" s="18" t="s">
        <v>129</v>
      </c>
      <c r="N2852" s="18"/>
      <c r="O2852" s="18"/>
      <c r="P2852" s="18" t="s">
        <v>11828</v>
      </c>
      <c r="Q2852" s="18" t="s">
        <v>149</v>
      </c>
      <c r="R2852" s="18" t="s">
        <v>11829</v>
      </c>
      <c r="S2852" s="18" t="s">
        <v>140</v>
      </c>
      <c r="T2852" s="18" t="s">
        <v>11830</v>
      </c>
      <c r="U2852" s="18" t="s">
        <v>11831</v>
      </c>
      <c r="V2852" s="19" t="s">
        <v>29</v>
      </c>
      <c r="W2852" s="19"/>
      <c r="X2852" s="19"/>
      <c r="Y2852" s="20"/>
      <c r="Z2852" s="19"/>
      <c r="AA2852" s="18" t="str">
        <f aca="false">IF(OR(V2852="Aprobada"),R2852,IF(AND(OR(V2852="Aprobada con ajuste",V2852="Rechazada"),W2852&lt;&gt;""),W2852,""))</f>
        <v/>
      </c>
    </row>
    <row r="2853" customFormat="false" ht="43.25" hidden="false" customHeight="false" outlineLevel="0" collapsed="false">
      <c r="A2853" s="18" t="s">
        <v>11832</v>
      </c>
      <c r="B2853" s="18" t="s">
        <v>80</v>
      </c>
      <c r="C2853" s="18" t="s">
        <v>81</v>
      </c>
      <c r="D2853" s="18" t="s">
        <v>11811</v>
      </c>
      <c r="E2853" s="18" t="n">
        <v>0</v>
      </c>
      <c r="F2853" s="18" t="s">
        <v>11833</v>
      </c>
      <c r="G2853" s="18" t="s">
        <v>11382</v>
      </c>
      <c r="H2853" s="18" t="s">
        <v>129</v>
      </c>
      <c r="I2853" s="18" t="s">
        <v>298</v>
      </c>
      <c r="J2853" s="18"/>
      <c r="K2853" s="18"/>
      <c r="L2853" s="18" t="s">
        <v>129</v>
      </c>
      <c r="M2853" s="18" t="s">
        <v>129</v>
      </c>
      <c r="N2853" s="18"/>
      <c r="O2853" s="18"/>
      <c r="P2853" s="18" t="s">
        <v>11834</v>
      </c>
      <c r="Q2853" s="18" t="s">
        <v>131</v>
      </c>
      <c r="R2853" s="18" t="s">
        <v>11835</v>
      </c>
      <c r="S2853" s="18" t="s">
        <v>133</v>
      </c>
      <c r="T2853" s="18" t="s">
        <v>11836</v>
      </c>
      <c r="U2853" s="18" t="s">
        <v>11837</v>
      </c>
      <c r="V2853" s="19" t="s">
        <v>29</v>
      </c>
      <c r="W2853" s="19"/>
      <c r="X2853" s="19"/>
      <c r="Y2853" s="20"/>
      <c r="Z2853" s="19"/>
      <c r="AA2853" s="18" t="str">
        <f aca="false">IF(OR(V2853="Aprobada"),R2853,IF(AND(OR(V2853="Aprobada con ajuste",V2853="Rechazada"),W2853&lt;&gt;""),W2853,""))</f>
        <v/>
      </c>
    </row>
    <row r="2854" customFormat="false" ht="64.15" hidden="false" customHeight="false" outlineLevel="0" collapsed="false">
      <c r="A2854" s="18" t="s">
        <v>11838</v>
      </c>
      <c r="B2854" s="18" t="s">
        <v>80</v>
      </c>
      <c r="C2854" s="18" t="s">
        <v>81</v>
      </c>
      <c r="D2854" s="18" t="s">
        <v>11811</v>
      </c>
      <c r="E2854" s="18" t="n">
        <v>0</v>
      </c>
      <c r="F2854" s="18" t="s">
        <v>886</v>
      </c>
      <c r="G2854" s="18" t="s">
        <v>128</v>
      </c>
      <c r="H2854" s="18" t="s">
        <v>162</v>
      </c>
      <c r="I2854" s="18"/>
      <c r="J2854" s="18"/>
      <c r="K2854" s="18"/>
      <c r="L2854" s="18" t="s">
        <v>129</v>
      </c>
      <c r="M2854" s="18" t="s">
        <v>129</v>
      </c>
      <c r="N2854" s="18"/>
      <c r="O2854" s="18"/>
      <c r="P2854" s="18" t="s">
        <v>11839</v>
      </c>
      <c r="Q2854" s="18" t="s">
        <v>138</v>
      </c>
      <c r="R2854" s="18" t="s">
        <v>1693</v>
      </c>
      <c r="S2854" s="18" t="s">
        <v>140</v>
      </c>
      <c r="T2854" s="18" t="s">
        <v>141</v>
      </c>
      <c r="U2854" s="18"/>
      <c r="V2854" s="19" t="s">
        <v>29</v>
      </c>
      <c r="W2854" s="19"/>
      <c r="X2854" s="19"/>
      <c r="Y2854" s="20"/>
      <c r="Z2854" s="19"/>
      <c r="AA2854" s="18" t="str">
        <f aca="false">IF(OR(V2854="Aprobada"),R2854,IF(AND(OR(V2854="Aprobada con ajuste",V2854="Rechazada"),W2854&lt;&gt;""),W2854,""))</f>
        <v/>
      </c>
    </row>
    <row r="2855" customFormat="false" ht="22.35" hidden="false" customHeight="false" outlineLevel="0" collapsed="false">
      <c r="A2855" s="18" t="s">
        <v>11840</v>
      </c>
      <c r="B2855" s="18" t="s">
        <v>80</v>
      </c>
      <c r="C2855" s="18" t="s">
        <v>81</v>
      </c>
      <c r="D2855" s="18" t="s">
        <v>11811</v>
      </c>
      <c r="E2855" s="18" t="n">
        <v>0</v>
      </c>
      <c r="F2855" s="18" t="s">
        <v>185</v>
      </c>
      <c r="G2855" s="18" t="s">
        <v>205</v>
      </c>
      <c r="H2855" s="18" t="s">
        <v>129</v>
      </c>
      <c r="I2855" s="18" t="s">
        <v>298</v>
      </c>
      <c r="J2855" s="18" t="s">
        <v>11791</v>
      </c>
      <c r="K2855" s="18"/>
      <c r="L2855" s="18" t="s">
        <v>162</v>
      </c>
      <c r="M2855" s="18" t="s">
        <v>129</v>
      </c>
      <c r="N2855" s="18"/>
      <c r="O2855" s="18"/>
      <c r="P2855" s="18" t="s">
        <v>11841</v>
      </c>
      <c r="Q2855" s="18" t="s">
        <v>138</v>
      </c>
      <c r="R2855" s="18" t="s">
        <v>11842</v>
      </c>
      <c r="S2855" s="18" t="s">
        <v>140</v>
      </c>
      <c r="T2855" s="18" t="s">
        <v>141</v>
      </c>
      <c r="U2855" s="18"/>
      <c r="V2855" s="19" t="s">
        <v>29</v>
      </c>
      <c r="W2855" s="19"/>
      <c r="X2855" s="19"/>
      <c r="Y2855" s="20"/>
      <c r="Z2855" s="19"/>
      <c r="AA2855" s="18" t="str">
        <f aca="false">IF(OR(V2855="Aprobada"),R2855,IF(AND(OR(V2855="Aprobada con ajuste",V2855="Rechazada"),W2855&lt;&gt;""),W2855,""))</f>
        <v/>
      </c>
    </row>
    <row r="2856" customFormat="false" ht="22.35" hidden="false" customHeight="false" outlineLevel="0" collapsed="false">
      <c r="A2856" s="18" t="s">
        <v>11843</v>
      </c>
      <c r="B2856" s="18" t="s">
        <v>80</v>
      </c>
      <c r="C2856" s="18" t="s">
        <v>81</v>
      </c>
      <c r="D2856" s="18" t="s">
        <v>11811</v>
      </c>
      <c r="E2856" s="18" t="n">
        <v>0</v>
      </c>
      <c r="F2856" s="18" t="s">
        <v>11795</v>
      </c>
      <c r="G2856" s="18" t="s">
        <v>454</v>
      </c>
      <c r="H2856" s="18" t="s">
        <v>162</v>
      </c>
      <c r="I2856" s="18"/>
      <c r="J2856" s="18"/>
      <c r="K2856" s="18"/>
      <c r="L2856" s="18" t="s">
        <v>129</v>
      </c>
      <c r="M2856" s="18" t="s">
        <v>129</v>
      </c>
      <c r="N2856" s="18"/>
      <c r="O2856" s="18"/>
      <c r="P2856" s="18" t="s">
        <v>11844</v>
      </c>
      <c r="Q2856" s="18" t="s">
        <v>138</v>
      </c>
      <c r="R2856" s="18" t="s">
        <v>11232</v>
      </c>
      <c r="S2856" s="18" t="s">
        <v>140</v>
      </c>
      <c r="T2856" s="18" t="s">
        <v>141</v>
      </c>
      <c r="U2856" s="18"/>
      <c r="V2856" s="19" t="s">
        <v>29</v>
      </c>
      <c r="W2856" s="19"/>
      <c r="X2856" s="19"/>
      <c r="Y2856" s="20"/>
      <c r="Z2856" s="19"/>
      <c r="AA2856" s="18" t="str">
        <f aca="false">IF(OR(V2856="Aprobada"),R2856,IF(AND(OR(V2856="Aprobada con ajuste",V2856="Rechazada"),W2856&lt;&gt;""),W2856,""))</f>
        <v/>
      </c>
    </row>
    <row r="2857" customFormat="false" ht="22.35" hidden="false" customHeight="false" outlineLevel="0" collapsed="false">
      <c r="A2857" s="18" t="s">
        <v>11845</v>
      </c>
      <c r="B2857" s="18" t="s">
        <v>80</v>
      </c>
      <c r="C2857" s="18" t="s">
        <v>81</v>
      </c>
      <c r="D2857" s="18" t="s">
        <v>11811</v>
      </c>
      <c r="E2857" s="18" t="n">
        <v>0</v>
      </c>
      <c r="F2857" s="18" t="s">
        <v>11798</v>
      </c>
      <c r="G2857" s="18" t="s">
        <v>584</v>
      </c>
      <c r="H2857" s="18" t="s">
        <v>162</v>
      </c>
      <c r="I2857" s="18" t="s">
        <v>298</v>
      </c>
      <c r="J2857" s="18"/>
      <c r="K2857" s="18"/>
      <c r="L2857" s="18" t="s">
        <v>129</v>
      </c>
      <c r="M2857" s="18" t="s">
        <v>129</v>
      </c>
      <c r="N2857" s="18"/>
      <c r="O2857" s="18"/>
      <c r="P2857" s="18" t="s">
        <v>11846</v>
      </c>
      <c r="Q2857" s="18" t="s">
        <v>149</v>
      </c>
      <c r="R2857" s="18" t="s">
        <v>11847</v>
      </c>
      <c r="S2857" s="18" t="s">
        <v>133</v>
      </c>
      <c r="T2857" s="18" t="s">
        <v>11801</v>
      </c>
      <c r="U2857" s="18"/>
      <c r="V2857" s="19" t="s">
        <v>29</v>
      </c>
      <c r="W2857" s="19"/>
      <c r="X2857" s="19"/>
      <c r="Y2857" s="20"/>
      <c r="Z2857" s="19"/>
      <c r="AA2857" s="18" t="str">
        <f aca="false">IF(OR(V2857="Aprobada"),R2857,IF(AND(OR(V2857="Aprobada con ajuste",V2857="Rechazada"),W2857&lt;&gt;""),W2857,""))</f>
        <v/>
      </c>
    </row>
    <row r="2858" customFormat="false" ht="22.35" hidden="false" customHeight="false" outlineLevel="0" collapsed="false">
      <c r="A2858" s="18" t="s">
        <v>11848</v>
      </c>
      <c r="B2858" s="18" t="s">
        <v>80</v>
      </c>
      <c r="C2858" s="18" t="s">
        <v>81</v>
      </c>
      <c r="D2858" s="18" t="s">
        <v>11811</v>
      </c>
      <c r="E2858" s="18" t="n">
        <v>0</v>
      </c>
      <c r="F2858" s="18" t="s">
        <v>11803</v>
      </c>
      <c r="G2858" s="18" t="s">
        <v>454</v>
      </c>
      <c r="H2858" s="18" t="s">
        <v>162</v>
      </c>
      <c r="I2858" s="18"/>
      <c r="J2858" s="18"/>
      <c r="K2858" s="18"/>
      <c r="L2858" s="18" t="s">
        <v>129</v>
      </c>
      <c r="M2858" s="18" t="s">
        <v>129</v>
      </c>
      <c r="N2858" s="18"/>
      <c r="O2858" s="18"/>
      <c r="P2858" s="18" t="s">
        <v>11849</v>
      </c>
      <c r="Q2858" s="18" t="s">
        <v>149</v>
      </c>
      <c r="R2858" s="18" t="s">
        <v>11850</v>
      </c>
      <c r="S2858" s="18" t="s">
        <v>140</v>
      </c>
      <c r="T2858" s="18" t="s">
        <v>11404</v>
      </c>
      <c r="U2858" s="18" t="s">
        <v>4673</v>
      </c>
      <c r="V2858" s="19" t="s">
        <v>29</v>
      </c>
      <c r="W2858" s="19"/>
      <c r="X2858" s="19"/>
      <c r="Y2858" s="20"/>
      <c r="Z2858" s="19"/>
      <c r="AA2858" s="18" t="str">
        <f aca="false">IF(OR(V2858="Aprobada"),R2858,IF(AND(OR(V2858="Aprobada con ajuste",V2858="Rechazada"),W2858&lt;&gt;""),W2858,""))</f>
        <v/>
      </c>
    </row>
    <row r="2859" customFormat="false" ht="22.35" hidden="false" customHeight="false" outlineLevel="0" collapsed="false">
      <c r="A2859" s="18" t="s">
        <v>11851</v>
      </c>
      <c r="B2859" s="18" t="s">
        <v>80</v>
      </c>
      <c r="C2859" s="18" t="s">
        <v>81</v>
      </c>
      <c r="D2859" s="18" t="s">
        <v>11811</v>
      </c>
      <c r="E2859" s="18" t="n">
        <v>0</v>
      </c>
      <c r="F2859" s="18" t="s">
        <v>11807</v>
      </c>
      <c r="G2859" s="18" t="s">
        <v>128</v>
      </c>
      <c r="H2859" s="18" t="s">
        <v>162</v>
      </c>
      <c r="I2859" s="18" t="s">
        <v>298</v>
      </c>
      <c r="J2859" s="18"/>
      <c r="K2859" s="18"/>
      <c r="L2859" s="18" t="s">
        <v>129</v>
      </c>
      <c r="M2859" s="18" t="s">
        <v>129</v>
      </c>
      <c r="N2859" s="18"/>
      <c r="O2859" s="18"/>
      <c r="P2859" s="18" t="s">
        <v>11852</v>
      </c>
      <c r="Q2859" s="18" t="s">
        <v>138</v>
      </c>
      <c r="R2859" s="18" t="s">
        <v>11809</v>
      </c>
      <c r="S2859" s="18" t="s">
        <v>140</v>
      </c>
      <c r="T2859" s="18" t="s">
        <v>141</v>
      </c>
      <c r="U2859" s="18"/>
      <c r="V2859" s="19" t="s">
        <v>29</v>
      </c>
      <c r="W2859" s="19"/>
      <c r="X2859" s="19"/>
      <c r="Y2859" s="20"/>
      <c r="Z2859" s="19"/>
      <c r="AA2859" s="18" t="str">
        <f aca="false">IF(OR(V2859="Aprobada"),R2859,IF(AND(OR(V2859="Aprobada con ajuste",V2859="Rechazada"),W2859&lt;&gt;""),W2859,""))</f>
        <v/>
      </c>
    </row>
    <row r="2860" customFormat="false" ht="64.15" hidden="false" customHeight="false" outlineLevel="0" collapsed="false">
      <c r="A2860" s="18" t="s">
        <v>11853</v>
      </c>
      <c r="B2860" s="18" t="s">
        <v>80</v>
      </c>
      <c r="C2860" s="18" t="s">
        <v>81</v>
      </c>
      <c r="D2860" s="18" t="s">
        <v>11854</v>
      </c>
      <c r="E2860" s="18" t="n">
        <v>3</v>
      </c>
      <c r="F2860" s="18" t="s">
        <v>11855</v>
      </c>
      <c r="G2860" s="18" t="s">
        <v>137</v>
      </c>
      <c r="H2860" s="18" t="s">
        <v>129</v>
      </c>
      <c r="I2860" s="18"/>
      <c r="J2860" s="18"/>
      <c r="K2860" s="18"/>
      <c r="L2860" s="18" t="s">
        <v>129</v>
      </c>
      <c r="M2860" s="18" t="s">
        <v>129</v>
      </c>
      <c r="N2860" s="18"/>
      <c r="O2860" s="18"/>
      <c r="P2860" s="18" t="s">
        <v>11856</v>
      </c>
      <c r="Q2860" s="18" t="s">
        <v>131</v>
      </c>
      <c r="R2860" s="18" t="s">
        <v>11857</v>
      </c>
      <c r="S2860" s="18" t="s">
        <v>133</v>
      </c>
      <c r="T2860" s="18" t="s">
        <v>11858</v>
      </c>
      <c r="U2860" s="18"/>
      <c r="V2860" s="19" t="s">
        <v>29</v>
      </c>
      <c r="W2860" s="19"/>
      <c r="X2860" s="19"/>
      <c r="Y2860" s="20"/>
      <c r="Z2860" s="19"/>
      <c r="AA2860" s="18" t="str">
        <f aca="false">IF(OR(V2860="Aprobada"),R2860,IF(AND(OR(V2860="Aprobada con ajuste",V2860="Rechazada"),W2860&lt;&gt;""),W2860,""))</f>
        <v/>
      </c>
    </row>
    <row r="2861" customFormat="false" ht="22.35" hidden="false" customHeight="false" outlineLevel="0" collapsed="false">
      <c r="A2861" s="18" t="s">
        <v>11859</v>
      </c>
      <c r="B2861" s="18" t="s">
        <v>80</v>
      </c>
      <c r="C2861" s="18" t="s">
        <v>81</v>
      </c>
      <c r="D2861" s="18" t="s">
        <v>11854</v>
      </c>
      <c r="E2861" s="18" t="n">
        <v>3</v>
      </c>
      <c r="F2861" s="18" t="s">
        <v>11860</v>
      </c>
      <c r="G2861" s="18" t="s">
        <v>454</v>
      </c>
      <c r="H2861" s="18" t="s">
        <v>162</v>
      </c>
      <c r="I2861" s="18"/>
      <c r="J2861" s="18"/>
      <c r="K2861" s="18"/>
      <c r="L2861" s="18" t="s">
        <v>129</v>
      </c>
      <c r="M2861" s="18" t="s">
        <v>129</v>
      </c>
      <c r="N2861" s="18"/>
      <c r="O2861" s="18"/>
      <c r="P2861" s="18" t="s">
        <v>11861</v>
      </c>
      <c r="Q2861" s="18" t="s">
        <v>149</v>
      </c>
      <c r="R2861" s="18" t="s">
        <v>11862</v>
      </c>
      <c r="S2861" s="18" t="s">
        <v>140</v>
      </c>
      <c r="T2861" s="18" t="s">
        <v>11404</v>
      </c>
      <c r="U2861" s="18" t="s">
        <v>11863</v>
      </c>
      <c r="V2861" s="19" t="s">
        <v>29</v>
      </c>
      <c r="W2861" s="19"/>
      <c r="X2861" s="19"/>
      <c r="Y2861" s="20"/>
      <c r="Z2861" s="19"/>
      <c r="AA2861" s="18" t="str">
        <f aca="false">IF(OR(V2861="Aprobada"),R2861,IF(AND(OR(V2861="Aprobada con ajuste",V2861="Rechazada"),W2861&lt;&gt;""),W2861,""))</f>
        <v/>
      </c>
    </row>
    <row r="2862" customFormat="false" ht="22.35" hidden="false" customHeight="false" outlineLevel="0" collapsed="false">
      <c r="A2862" s="18" t="s">
        <v>11864</v>
      </c>
      <c r="B2862" s="18" t="s">
        <v>80</v>
      </c>
      <c r="C2862" s="18" t="s">
        <v>81</v>
      </c>
      <c r="D2862" s="18" t="s">
        <v>11854</v>
      </c>
      <c r="E2862" s="18" t="n">
        <v>3</v>
      </c>
      <c r="F2862" s="18" t="s">
        <v>185</v>
      </c>
      <c r="G2862" s="18" t="s">
        <v>205</v>
      </c>
      <c r="H2862" s="18" t="s">
        <v>129</v>
      </c>
      <c r="I2862" s="18" t="s">
        <v>298</v>
      </c>
      <c r="J2862" s="18" t="s">
        <v>11397</v>
      </c>
      <c r="K2862" s="18"/>
      <c r="L2862" s="18" t="s">
        <v>162</v>
      </c>
      <c r="M2862" s="18" t="s">
        <v>129</v>
      </c>
      <c r="N2862" s="18"/>
      <c r="O2862" s="18"/>
      <c r="P2862" s="18" t="s">
        <v>11865</v>
      </c>
      <c r="Q2862" s="18" t="s">
        <v>138</v>
      </c>
      <c r="R2862" s="18" t="s">
        <v>11866</v>
      </c>
      <c r="S2862" s="18" t="s">
        <v>140</v>
      </c>
      <c r="T2862" s="18" t="s">
        <v>141</v>
      </c>
      <c r="U2862" s="18"/>
      <c r="V2862" s="19" t="s">
        <v>29</v>
      </c>
      <c r="W2862" s="19"/>
      <c r="X2862" s="19"/>
      <c r="Y2862" s="20"/>
      <c r="Z2862" s="19"/>
      <c r="AA2862" s="18" t="str">
        <f aca="false">IF(OR(V2862="Aprobada"),R2862,IF(AND(OR(V2862="Aprobada con ajuste",V2862="Rechazada"),W2862&lt;&gt;""),W2862,""))</f>
        <v/>
      </c>
    </row>
    <row r="2863" customFormat="false" ht="22.35" hidden="false" customHeight="false" outlineLevel="0" collapsed="false">
      <c r="A2863" s="18" t="s">
        <v>11867</v>
      </c>
      <c r="B2863" s="18" t="s">
        <v>80</v>
      </c>
      <c r="C2863" s="18" t="s">
        <v>81</v>
      </c>
      <c r="D2863" s="18" t="s">
        <v>11854</v>
      </c>
      <c r="E2863" s="18" t="n">
        <v>3</v>
      </c>
      <c r="F2863" s="18" t="s">
        <v>11411</v>
      </c>
      <c r="G2863" s="18" t="s">
        <v>584</v>
      </c>
      <c r="H2863" s="18" t="s">
        <v>162</v>
      </c>
      <c r="I2863" s="18" t="s">
        <v>298</v>
      </c>
      <c r="J2863" s="18"/>
      <c r="K2863" s="18"/>
      <c r="L2863" s="18" t="s">
        <v>129</v>
      </c>
      <c r="M2863" s="18" t="s">
        <v>129</v>
      </c>
      <c r="N2863" s="18"/>
      <c r="O2863" s="18"/>
      <c r="P2863" s="18" t="s">
        <v>11868</v>
      </c>
      <c r="Q2863" s="18" t="s">
        <v>138</v>
      </c>
      <c r="R2863" s="18" t="s">
        <v>11869</v>
      </c>
      <c r="S2863" s="18" t="s">
        <v>140</v>
      </c>
      <c r="T2863" s="18" t="s">
        <v>141</v>
      </c>
      <c r="U2863" s="18"/>
      <c r="V2863" s="19" t="s">
        <v>29</v>
      </c>
      <c r="W2863" s="19"/>
      <c r="X2863" s="19"/>
      <c r="Y2863" s="20"/>
      <c r="Z2863" s="19"/>
      <c r="AA2863" s="18" t="str">
        <f aca="false">IF(OR(V2863="Aprobada"),R2863,IF(AND(OR(V2863="Aprobada con ajuste",V2863="Rechazada"),W2863&lt;&gt;""),W2863,""))</f>
        <v/>
      </c>
    </row>
    <row r="2864" customFormat="false" ht="22.35" hidden="false" customHeight="false" outlineLevel="0" collapsed="false">
      <c r="A2864" s="18" t="s">
        <v>11870</v>
      </c>
      <c r="B2864" s="18" t="s">
        <v>80</v>
      </c>
      <c r="C2864" s="18" t="s">
        <v>81</v>
      </c>
      <c r="D2864" s="18" t="s">
        <v>11854</v>
      </c>
      <c r="E2864" s="18" t="n">
        <v>3</v>
      </c>
      <c r="F2864" s="18" t="s">
        <v>11416</v>
      </c>
      <c r="G2864" s="18" t="s">
        <v>454</v>
      </c>
      <c r="H2864" s="18" t="s">
        <v>162</v>
      </c>
      <c r="I2864" s="18"/>
      <c r="J2864" s="18"/>
      <c r="K2864" s="18"/>
      <c r="L2864" s="18" t="s">
        <v>129</v>
      </c>
      <c r="M2864" s="18" t="s">
        <v>129</v>
      </c>
      <c r="N2864" s="18"/>
      <c r="O2864" s="18"/>
      <c r="P2864" s="18" t="s">
        <v>11871</v>
      </c>
      <c r="Q2864" s="18" t="s">
        <v>138</v>
      </c>
      <c r="R2864" s="18" t="s">
        <v>11418</v>
      </c>
      <c r="S2864" s="18" t="s">
        <v>140</v>
      </c>
      <c r="T2864" s="18" t="s">
        <v>141</v>
      </c>
      <c r="U2864" s="18"/>
      <c r="V2864" s="19" t="s">
        <v>29</v>
      </c>
      <c r="W2864" s="19"/>
      <c r="X2864" s="19"/>
      <c r="Y2864" s="20"/>
      <c r="Z2864" s="19"/>
      <c r="AA2864" s="18" t="str">
        <f aca="false">IF(OR(V2864="Aprobada"),R2864,IF(AND(OR(V2864="Aprobada con ajuste",V2864="Rechazada"),W2864&lt;&gt;""),W2864,""))</f>
        <v/>
      </c>
    </row>
    <row r="2865" customFormat="false" ht="22.35" hidden="false" customHeight="false" outlineLevel="0" collapsed="false">
      <c r="A2865" s="18" t="s">
        <v>11872</v>
      </c>
      <c r="B2865" s="18" t="s">
        <v>80</v>
      </c>
      <c r="C2865" s="18" t="s">
        <v>81</v>
      </c>
      <c r="D2865" s="18" t="s">
        <v>11854</v>
      </c>
      <c r="E2865" s="18" t="n">
        <v>3</v>
      </c>
      <c r="F2865" s="18" t="s">
        <v>11420</v>
      </c>
      <c r="G2865" s="18" t="s">
        <v>128</v>
      </c>
      <c r="H2865" s="18" t="s">
        <v>162</v>
      </c>
      <c r="I2865" s="18" t="s">
        <v>298</v>
      </c>
      <c r="J2865" s="18"/>
      <c r="K2865" s="18"/>
      <c r="L2865" s="18" t="s">
        <v>129</v>
      </c>
      <c r="M2865" s="18" t="s">
        <v>129</v>
      </c>
      <c r="N2865" s="18"/>
      <c r="O2865" s="18"/>
      <c r="P2865" s="18" t="s">
        <v>11873</v>
      </c>
      <c r="Q2865" s="18" t="s">
        <v>138</v>
      </c>
      <c r="R2865" s="18" t="s">
        <v>11422</v>
      </c>
      <c r="S2865" s="18" t="s">
        <v>140</v>
      </c>
      <c r="T2865" s="18" t="s">
        <v>141</v>
      </c>
      <c r="U2865" s="18"/>
      <c r="V2865" s="19" t="s">
        <v>29</v>
      </c>
      <c r="W2865" s="19"/>
      <c r="X2865" s="19"/>
      <c r="Y2865" s="20"/>
      <c r="Z2865" s="19"/>
      <c r="AA2865" s="18" t="str">
        <f aca="false">IF(OR(V2865="Aprobada"),R2865,IF(AND(OR(V2865="Aprobada con ajuste",V2865="Rechazada"),W2865&lt;&gt;""),W2865,""))</f>
        <v/>
      </c>
    </row>
    <row r="2866" customFormat="false" ht="137.3" hidden="false" customHeight="false" outlineLevel="0" collapsed="false">
      <c r="A2866" s="18" t="s">
        <v>11874</v>
      </c>
      <c r="B2866" s="18" t="s">
        <v>80</v>
      </c>
      <c r="C2866" s="18" t="s">
        <v>81</v>
      </c>
      <c r="D2866" s="18" t="s">
        <v>11875</v>
      </c>
      <c r="E2866" s="18" t="n">
        <v>1</v>
      </c>
      <c r="F2866" s="18" t="s">
        <v>676</v>
      </c>
      <c r="G2866" s="18" t="s">
        <v>2900</v>
      </c>
      <c r="H2866" s="18" t="s">
        <v>129</v>
      </c>
      <c r="I2866" s="18" t="s">
        <v>146</v>
      </c>
      <c r="J2866" s="18"/>
      <c r="K2866" s="18"/>
      <c r="L2866" s="18" t="s">
        <v>129</v>
      </c>
      <c r="M2866" s="18" t="s">
        <v>129</v>
      </c>
      <c r="N2866" s="18"/>
      <c r="O2866" s="18" t="s">
        <v>11876</v>
      </c>
      <c r="P2866" s="18" t="s">
        <v>11877</v>
      </c>
      <c r="Q2866" s="18" t="s">
        <v>131</v>
      </c>
      <c r="R2866" s="18" t="s">
        <v>11878</v>
      </c>
      <c r="S2866" s="18" t="s">
        <v>133</v>
      </c>
      <c r="T2866" s="18" t="s">
        <v>11879</v>
      </c>
      <c r="U2866" s="18"/>
      <c r="V2866" s="19" t="s">
        <v>29</v>
      </c>
      <c r="W2866" s="19"/>
      <c r="X2866" s="19"/>
      <c r="Y2866" s="20"/>
      <c r="Z2866" s="19"/>
      <c r="AA2866" s="18" t="str">
        <f aca="false">IF(OR(V2866="Aprobada"),R2866,IF(AND(OR(V2866="Aprobada con ajuste",V2866="Rechazada"),W2866&lt;&gt;""),W2866,""))</f>
        <v/>
      </c>
    </row>
    <row r="2867" customFormat="false" ht="105.95" hidden="false" customHeight="false" outlineLevel="0" collapsed="false">
      <c r="A2867" s="18" t="s">
        <v>11880</v>
      </c>
      <c r="B2867" s="18" t="s">
        <v>80</v>
      </c>
      <c r="C2867" s="18" t="s">
        <v>81</v>
      </c>
      <c r="D2867" s="18" t="s">
        <v>11875</v>
      </c>
      <c r="E2867" s="18" t="n">
        <v>1</v>
      </c>
      <c r="F2867" s="18" t="s">
        <v>1922</v>
      </c>
      <c r="G2867" s="18" t="s">
        <v>11382</v>
      </c>
      <c r="H2867" s="18" t="s">
        <v>129</v>
      </c>
      <c r="I2867" s="18" t="s">
        <v>298</v>
      </c>
      <c r="J2867" s="18"/>
      <c r="K2867" s="18"/>
      <c r="L2867" s="18" t="s">
        <v>129</v>
      </c>
      <c r="M2867" s="18" t="s">
        <v>129</v>
      </c>
      <c r="N2867" s="18"/>
      <c r="O2867" s="18"/>
      <c r="P2867" s="18" t="s">
        <v>11881</v>
      </c>
      <c r="Q2867" s="18" t="s">
        <v>131</v>
      </c>
      <c r="R2867" s="18" t="s">
        <v>11882</v>
      </c>
      <c r="S2867" s="18" t="s">
        <v>242</v>
      </c>
      <c r="T2867" s="18" t="s">
        <v>11883</v>
      </c>
      <c r="U2867" s="18" t="s">
        <v>11884</v>
      </c>
      <c r="V2867" s="19" t="s">
        <v>29</v>
      </c>
      <c r="W2867" s="19"/>
      <c r="X2867" s="19"/>
      <c r="Y2867" s="20"/>
      <c r="Z2867" s="19"/>
      <c r="AA2867" s="18" t="str">
        <f aca="false">IF(OR(V2867="Aprobada"),R2867,IF(AND(OR(V2867="Aprobada con ajuste",V2867="Rechazada"),W2867&lt;&gt;""),W2867,""))</f>
        <v/>
      </c>
    </row>
    <row r="2868" customFormat="false" ht="43.25" hidden="false" customHeight="false" outlineLevel="0" collapsed="false">
      <c r="A2868" s="18" t="s">
        <v>11885</v>
      </c>
      <c r="B2868" s="18" t="s">
        <v>80</v>
      </c>
      <c r="C2868" s="18" t="s">
        <v>81</v>
      </c>
      <c r="D2868" s="18" t="s">
        <v>11875</v>
      </c>
      <c r="E2868" s="18" t="n">
        <v>1</v>
      </c>
      <c r="F2868" s="18" t="s">
        <v>11886</v>
      </c>
      <c r="G2868" s="18" t="s">
        <v>503</v>
      </c>
      <c r="H2868" s="18" t="s">
        <v>162</v>
      </c>
      <c r="I2868" s="18"/>
      <c r="J2868" s="18"/>
      <c r="K2868" s="18"/>
      <c r="L2868" s="18" t="s">
        <v>129</v>
      </c>
      <c r="M2868" s="18" t="s">
        <v>129</v>
      </c>
      <c r="N2868" s="18"/>
      <c r="O2868" s="18"/>
      <c r="P2868" s="18" t="s">
        <v>11887</v>
      </c>
      <c r="Q2868" s="18" t="s">
        <v>149</v>
      </c>
      <c r="R2868" s="18" t="s">
        <v>11888</v>
      </c>
      <c r="S2868" s="18" t="s">
        <v>140</v>
      </c>
      <c r="T2868" s="18" t="s">
        <v>11889</v>
      </c>
      <c r="U2868" s="18" t="s">
        <v>11890</v>
      </c>
      <c r="V2868" s="19" t="s">
        <v>29</v>
      </c>
      <c r="W2868" s="19"/>
      <c r="X2868" s="19"/>
      <c r="Y2868" s="20"/>
      <c r="Z2868" s="19"/>
      <c r="AA2868" s="18" t="str">
        <f aca="false">IF(OR(V2868="Aprobada"),R2868,IF(AND(OR(V2868="Aprobada con ajuste",V2868="Rechazada"),W2868&lt;&gt;""),W2868,""))</f>
        <v/>
      </c>
    </row>
    <row r="2869" customFormat="false" ht="116.4" hidden="false" customHeight="false" outlineLevel="0" collapsed="false">
      <c r="A2869" s="18" t="s">
        <v>11891</v>
      </c>
      <c r="B2869" s="18" t="s">
        <v>80</v>
      </c>
      <c r="C2869" s="18" t="s">
        <v>81</v>
      </c>
      <c r="D2869" s="18" t="s">
        <v>11875</v>
      </c>
      <c r="E2869" s="18" t="n">
        <v>1</v>
      </c>
      <c r="F2869" s="18" t="s">
        <v>11892</v>
      </c>
      <c r="G2869" s="18" t="s">
        <v>288</v>
      </c>
      <c r="H2869" s="18" t="s">
        <v>129</v>
      </c>
      <c r="I2869" s="18"/>
      <c r="J2869" s="18"/>
      <c r="K2869" s="18"/>
      <c r="L2869" s="18" t="s">
        <v>129</v>
      </c>
      <c r="M2869" s="18" t="s">
        <v>129</v>
      </c>
      <c r="N2869" s="18"/>
      <c r="O2869" s="18"/>
      <c r="P2869" s="18" t="s">
        <v>11893</v>
      </c>
      <c r="Q2869" s="18" t="s">
        <v>131</v>
      </c>
      <c r="R2869" s="18" t="s">
        <v>11894</v>
      </c>
      <c r="S2869" s="18" t="s">
        <v>133</v>
      </c>
      <c r="T2869" s="18" t="s">
        <v>11895</v>
      </c>
      <c r="U2869" s="18"/>
      <c r="V2869" s="19" t="s">
        <v>29</v>
      </c>
      <c r="W2869" s="19"/>
      <c r="X2869" s="19"/>
      <c r="Y2869" s="20"/>
      <c r="Z2869" s="19"/>
      <c r="AA2869" s="18" t="str">
        <f aca="false">IF(OR(V2869="Aprobada"),R2869,IF(AND(OR(V2869="Aprobada con ajuste",V2869="Rechazada"),W2869&lt;&gt;""),W2869,""))</f>
        <v/>
      </c>
    </row>
    <row r="2870" customFormat="false" ht="32.8" hidden="false" customHeight="false" outlineLevel="0" collapsed="false">
      <c r="A2870" s="18" t="s">
        <v>11896</v>
      </c>
      <c r="B2870" s="18" t="s">
        <v>80</v>
      </c>
      <c r="C2870" s="18" t="s">
        <v>81</v>
      </c>
      <c r="D2870" s="18" t="s">
        <v>11875</v>
      </c>
      <c r="E2870" s="18" t="n">
        <v>1</v>
      </c>
      <c r="F2870" s="18" t="s">
        <v>11897</v>
      </c>
      <c r="G2870" s="18" t="s">
        <v>4598</v>
      </c>
      <c r="H2870" s="18" t="s">
        <v>129</v>
      </c>
      <c r="I2870" s="18"/>
      <c r="J2870" s="18"/>
      <c r="K2870" s="18"/>
      <c r="L2870" s="18" t="s">
        <v>129</v>
      </c>
      <c r="M2870" s="18" t="s">
        <v>129</v>
      </c>
      <c r="N2870" s="18"/>
      <c r="O2870" s="18"/>
      <c r="P2870" s="18" t="s">
        <v>11898</v>
      </c>
      <c r="Q2870" s="18" t="s">
        <v>149</v>
      </c>
      <c r="R2870" s="18" t="s">
        <v>11899</v>
      </c>
      <c r="S2870" s="18" t="s">
        <v>133</v>
      </c>
      <c r="T2870" s="18" t="s">
        <v>11672</v>
      </c>
      <c r="U2870" s="18"/>
      <c r="V2870" s="19" t="s">
        <v>29</v>
      </c>
      <c r="W2870" s="19"/>
      <c r="X2870" s="19"/>
      <c r="Y2870" s="20"/>
      <c r="Z2870" s="19"/>
      <c r="AA2870" s="18" t="str">
        <f aca="false">IF(OR(V2870="Aprobada"),R2870,IF(AND(OR(V2870="Aprobada con ajuste",V2870="Rechazada"),W2870&lt;&gt;""),W2870,""))</f>
        <v/>
      </c>
    </row>
    <row r="2871" customFormat="false" ht="74.6" hidden="false" customHeight="false" outlineLevel="0" collapsed="false">
      <c r="A2871" s="18" t="s">
        <v>11900</v>
      </c>
      <c r="B2871" s="18" t="s">
        <v>80</v>
      </c>
      <c r="C2871" s="18" t="s">
        <v>81</v>
      </c>
      <c r="D2871" s="18" t="s">
        <v>11875</v>
      </c>
      <c r="E2871" s="18" t="n">
        <v>1</v>
      </c>
      <c r="F2871" s="18" t="s">
        <v>11901</v>
      </c>
      <c r="G2871" s="18" t="s">
        <v>205</v>
      </c>
      <c r="H2871" s="18" t="s">
        <v>129</v>
      </c>
      <c r="I2871" s="18" t="s">
        <v>298</v>
      </c>
      <c r="J2871" s="18" t="s">
        <v>11902</v>
      </c>
      <c r="K2871" s="18"/>
      <c r="L2871" s="18" t="s">
        <v>162</v>
      </c>
      <c r="M2871" s="18" t="s">
        <v>129</v>
      </c>
      <c r="N2871" s="18"/>
      <c r="O2871" s="18"/>
      <c r="P2871" s="18" t="s">
        <v>11903</v>
      </c>
      <c r="Q2871" s="18" t="s">
        <v>131</v>
      </c>
      <c r="R2871" s="18" t="s">
        <v>11904</v>
      </c>
      <c r="S2871" s="18" t="s">
        <v>133</v>
      </c>
      <c r="T2871" s="18" t="s">
        <v>11905</v>
      </c>
      <c r="U2871" s="18"/>
      <c r="V2871" s="19" t="s">
        <v>29</v>
      </c>
      <c r="W2871" s="19"/>
      <c r="X2871" s="19"/>
      <c r="Y2871" s="20"/>
      <c r="Z2871" s="19"/>
      <c r="AA2871" s="18" t="str">
        <f aca="false">IF(OR(V2871="Aprobada"),R2871,IF(AND(OR(V2871="Aprobada con ajuste",V2871="Rechazada"),W2871&lt;&gt;""),W2871,""))</f>
        <v/>
      </c>
    </row>
    <row r="2872" customFormat="false" ht="22.35" hidden="false" customHeight="false" outlineLevel="0" collapsed="false">
      <c r="A2872" s="18" t="s">
        <v>11906</v>
      </c>
      <c r="B2872" s="18" t="s">
        <v>80</v>
      </c>
      <c r="C2872" s="18" t="s">
        <v>81</v>
      </c>
      <c r="D2872" s="18" t="s">
        <v>11875</v>
      </c>
      <c r="E2872" s="18" t="n">
        <v>1</v>
      </c>
      <c r="F2872" s="18" t="s">
        <v>7666</v>
      </c>
      <c r="G2872" s="18" t="s">
        <v>454</v>
      </c>
      <c r="H2872" s="18" t="s">
        <v>162</v>
      </c>
      <c r="I2872" s="18"/>
      <c r="J2872" s="18"/>
      <c r="K2872" s="18"/>
      <c r="L2872" s="18" t="s">
        <v>129</v>
      </c>
      <c r="M2872" s="18" t="s">
        <v>129</v>
      </c>
      <c r="N2872" s="18"/>
      <c r="O2872" s="18"/>
      <c r="P2872" s="18" t="s">
        <v>11907</v>
      </c>
      <c r="Q2872" s="18" t="s">
        <v>138</v>
      </c>
      <c r="R2872" s="18" t="s">
        <v>7668</v>
      </c>
      <c r="S2872" s="18" t="s">
        <v>140</v>
      </c>
      <c r="T2872" s="18" t="s">
        <v>141</v>
      </c>
      <c r="U2872" s="18"/>
      <c r="V2872" s="19" t="s">
        <v>29</v>
      </c>
      <c r="W2872" s="19"/>
      <c r="X2872" s="19"/>
      <c r="Y2872" s="20"/>
      <c r="Z2872" s="19"/>
      <c r="AA2872" s="18" t="str">
        <f aca="false">IF(OR(V2872="Aprobada"),R2872,IF(AND(OR(V2872="Aprobada con ajuste",V2872="Rechazada"),W2872&lt;&gt;""),W2872,""))</f>
        <v/>
      </c>
    </row>
    <row r="2873" customFormat="false" ht="22.35" hidden="false" customHeight="false" outlineLevel="0" collapsed="false">
      <c r="A2873" s="18" t="s">
        <v>11908</v>
      </c>
      <c r="B2873" s="18" t="s">
        <v>80</v>
      </c>
      <c r="C2873" s="18" t="s">
        <v>81</v>
      </c>
      <c r="D2873" s="18" t="s">
        <v>11875</v>
      </c>
      <c r="E2873" s="18" t="n">
        <v>1</v>
      </c>
      <c r="F2873" s="18" t="s">
        <v>11909</v>
      </c>
      <c r="G2873" s="18" t="s">
        <v>584</v>
      </c>
      <c r="H2873" s="18" t="s">
        <v>129</v>
      </c>
      <c r="I2873" s="18"/>
      <c r="J2873" s="18"/>
      <c r="K2873" s="18"/>
      <c r="L2873" s="18" t="s">
        <v>129</v>
      </c>
      <c r="M2873" s="18" t="s">
        <v>129</v>
      </c>
      <c r="N2873" s="18"/>
      <c r="O2873" s="18"/>
      <c r="P2873" s="18" t="s">
        <v>11910</v>
      </c>
      <c r="Q2873" s="18" t="s">
        <v>138</v>
      </c>
      <c r="R2873" s="18" t="s">
        <v>6771</v>
      </c>
      <c r="S2873" s="18" t="s">
        <v>140</v>
      </c>
      <c r="T2873" s="18" t="s">
        <v>141</v>
      </c>
      <c r="U2873" s="18"/>
      <c r="V2873" s="19" t="s">
        <v>29</v>
      </c>
      <c r="W2873" s="19"/>
      <c r="X2873" s="19"/>
      <c r="Y2873" s="20"/>
      <c r="Z2873" s="19"/>
      <c r="AA2873" s="18" t="str">
        <f aca="false">IF(OR(V2873="Aprobada"),R2873,IF(AND(OR(V2873="Aprobada con ajuste",V2873="Rechazada"),W2873&lt;&gt;""),W2873,""))</f>
        <v/>
      </c>
    </row>
    <row r="2874" customFormat="false" ht="43.25" hidden="false" customHeight="false" outlineLevel="0" collapsed="false">
      <c r="A2874" s="18" t="s">
        <v>11911</v>
      </c>
      <c r="B2874" s="18" t="s">
        <v>80</v>
      </c>
      <c r="C2874" s="18" t="s">
        <v>81</v>
      </c>
      <c r="D2874" s="18" t="s">
        <v>11875</v>
      </c>
      <c r="E2874" s="18" t="n">
        <v>1</v>
      </c>
      <c r="F2874" s="18" t="s">
        <v>11912</v>
      </c>
      <c r="G2874" s="18" t="s">
        <v>584</v>
      </c>
      <c r="H2874" s="18" t="s">
        <v>162</v>
      </c>
      <c r="I2874" s="18" t="s">
        <v>298</v>
      </c>
      <c r="J2874" s="18"/>
      <c r="K2874" s="18"/>
      <c r="L2874" s="18" t="s">
        <v>129</v>
      </c>
      <c r="M2874" s="18" t="s">
        <v>129</v>
      </c>
      <c r="N2874" s="18"/>
      <c r="O2874" s="18"/>
      <c r="P2874" s="18" t="s">
        <v>11913</v>
      </c>
      <c r="Q2874" s="18" t="s">
        <v>131</v>
      </c>
      <c r="R2874" s="18" t="s">
        <v>11914</v>
      </c>
      <c r="S2874" s="18" t="s">
        <v>133</v>
      </c>
      <c r="T2874" s="18" t="s">
        <v>11915</v>
      </c>
      <c r="U2874" s="18"/>
      <c r="V2874" s="19" t="s">
        <v>29</v>
      </c>
      <c r="W2874" s="19"/>
      <c r="X2874" s="19"/>
      <c r="Y2874" s="20"/>
      <c r="Z2874" s="19"/>
      <c r="AA2874" s="18" t="str">
        <f aca="false">IF(OR(V2874="Aprobada"),R2874,IF(AND(OR(V2874="Aprobada con ajuste",V2874="Rechazada"),W2874&lt;&gt;""),W2874,""))</f>
        <v/>
      </c>
    </row>
    <row r="2875" customFormat="false" ht="43.25" hidden="false" customHeight="false" outlineLevel="0" collapsed="false">
      <c r="A2875" s="18" t="s">
        <v>11916</v>
      </c>
      <c r="B2875" s="18" t="s">
        <v>80</v>
      </c>
      <c r="C2875" s="18" t="s">
        <v>81</v>
      </c>
      <c r="D2875" s="18" t="s">
        <v>11875</v>
      </c>
      <c r="E2875" s="18" t="n">
        <v>1</v>
      </c>
      <c r="F2875" s="18" t="s">
        <v>11917</v>
      </c>
      <c r="G2875" s="18" t="s">
        <v>454</v>
      </c>
      <c r="H2875" s="18" t="s">
        <v>162</v>
      </c>
      <c r="I2875" s="18" t="s">
        <v>298</v>
      </c>
      <c r="J2875" s="18"/>
      <c r="K2875" s="18"/>
      <c r="L2875" s="18" t="s">
        <v>129</v>
      </c>
      <c r="M2875" s="18" t="s">
        <v>129</v>
      </c>
      <c r="N2875" s="18"/>
      <c r="O2875" s="18"/>
      <c r="P2875" s="18" t="s">
        <v>11918</v>
      </c>
      <c r="Q2875" s="18" t="s">
        <v>149</v>
      </c>
      <c r="R2875" s="18" t="s">
        <v>11919</v>
      </c>
      <c r="S2875" s="18" t="s">
        <v>140</v>
      </c>
      <c r="T2875" s="18" t="s">
        <v>11920</v>
      </c>
      <c r="U2875" s="18" t="s">
        <v>11921</v>
      </c>
      <c r="V2875" s="19" t="s">
        <v>29</v>
      </c>
      <c r="W2875" s="19"/>
      <c r="X2875" s="19"/>
      <c r="Y2875" s="20"/>
      <c r="Z2875" s="19"/>
      <c r="AA2875" s="18" t="str">
        <f aca="false">IF(OR(V2875="Aprobada"),R2875,IF(AND(OR(V2875="Aprobada con ajuste",V2875="Rechazada"),W2875&lt;&gt;""),W2875,""))</f>
        <v/>
      </c>
    </row>
    <row r="2876" customFormat="false" ht="22.35" hidden="false" customHeight="false" outlineLevel="0" collapsed="false">
      <c r="A2876" s="18" t="s">
        <v>11922</v>
      </c>
      <c r="B2876" s="18" t="s">
        <v>80</v>
      </c>
      <c r="C2876" s="18" t="s">
        <v>81</v>
      </c>
      <c r="D2876" s="18" t="s">
        <v>11875</v>
      </c>
      <c r="E2876" s="18" t="n">
        <v>1</v>
      </c>
      <c r="F2876" s="18" t="s">
        <v>11923</v>
      </c>
      <c r="G2876" s="18" t="s">
        <v>128</v>
      </c>
      <c r="H2876" s="18" t="s">
        <v>162</v>
      </c>
      <c r="I2876" s="18"/>
      <c r="J2876" s="18"/>
      <c r="K2876" s="18"/>
      <c r="L2876" s="18" t="s">
        <v>129</v>
      </c>
      <c r="M2876" s="18" t="s">
        <v>129</v>
      </c>
      <c r="N2876" s="18"/>
      <c r="O2876" s="18"/>
      <c r="P2876" s="18" t="s">
        <v>11924</v>
      </c>
      <c r="Q2876" s="18" t="s">
        <v>149</v>
      </c>
      <c r="R2876" s="18" t="s">
        <v>11925</v>
      </c>
      <c r="S2876" s="18" t="s">
        <v>133</v>
      </c>
      <c r="T2876" s="18" t="s">
        <v>11926</v>
      </c>
      <c r="U2876" s="18"/>
      <c r="V2876" s="19" t="s">
        <v>29</v>
      </c>
      <c r="W2876" s="19"/>
      <c r="X2876" s="19"/>
      <c r="Y2876" s="20"/>
      <c r="Z2876" s="19"/>
      <c r="AA2876" s="18" t="str">
        <f aca="false">IF(OR(V2876="Aprobada"),R2876,IF(AND(OR(V2876="Aprobada con ajuste",V2876="Rechazada"),W2876&lt;&gt;""),W2876,""))</f>
        <v/>
      </c>
    </row>
    <row r="2877" customFormat="false" ht="22.35" hidden="false" customHeight="false" outlineLevel="0" collapsed="false">
      <c r="A2877" s="18" t="s">
        <v>11927</v>
      </c>
      <c r="B2877" s="18" t="s">
        <v>80</v>
      </c>
      <c r="C2877" s="18" t="s">
        <v>81</v>
      </c>
      <c r="D2877" s="18" t="s">
        <v>11875</v>
      </c>
      <c r="E2877" s="18" t="n">
        <v>1</v>
      </c>
      <c r="F2877" s="18" t="s">
        <v>11928</v>
      </c>
      <c r="G2877" s="18" t="s">
        <v>584</v>
      </c>
      <c r="H2877" s="18" t="s">
        <v>162</v>
      </c>
      <c r="I2877" s="18" t="s">
        <v>298</v>
      </c>
      <c r="J2877" s="18"/>
      <c r="K2877" s="18"/>
      <c r="L2877" s="18" t="s">
        <v>129</v>
      </c>
      <c r="M2877" s="18" t="s">
        <v>129</v>
      </c>
      <c r="N2877" s="18"/>
      <c r="O2877" s="18"/>
      <c r="P2877" s="18" t="s">
        <v>11929</v>
      </c>
      <c r="Q2877" s="18" t="s">
        <v>138</v>
      </c>
      <c r="R2877" s="18" t="s">
        <v>11930</v>
      </c>
      <c r="S2877" s="18" t="s">
        <v>140</v>
      </c>
      <c r="T2877" s="18" t="s">
        <v>141</v>
      </c>
      <c r="U2877" s="18"/>
      <c r="V2877" s="19" t="s">
        <v>29</v>
      </c>
      <c r="W2877" s="19"/>
      <c r="X2877" s="19"/>
      <c r="Y2877" s="20"/>
      <c r="Z2877" s="19"/>
      <c r="AA2877" s="18" t="str">
        <f aca="false">IF(OR(V2877="Aprobada"),R2877,IF(AND(OR(V2877="Aprobada con ajuste",V2877="Rechazada"),W2877&lt;&gt;""),W2877,""))</f>
        <v/>
      </c>
    </row>
    <row r="2878" customFormat="false" ht="43.25" hidden="false" customHeight="false" outlineLevel="0" collapsed="false">
      <c r="A2878" s="18" t="s">
        <v>11931</v>
      </c>
      <c r="B2878" s="18" t="s">
        <v>80</v>
      </c>
      <c r="C2878" s="18" t="s">
        <v>81</v>
      </c>
      <c r="D2878" s="18" t="s">
        <v>11875</v>
      </c>
      <c r="E2878" s="18" t="n">
        <v>1</v>
      </c>
      <c r="F2878" s="18" t="s">
        <v>6873</v>
      </c>
      <c r="G2878" s="18" t="s">
        <v>454</v>
      </c>
      <c r="H2878" s="18" t="s">
        <v>162</v>
      </c>
      <c r="I2878" s="18"/>
      <c r="J2878" s="18"/>
      <c r="K2878" s="18"/>
      <c r="L2878" s="18" t="s">
        <v>129</v>
      </c>
      <c r="M2878" s="18" t="s">
        <v>129</v>
      </c>
      <c r="N2878" s="18"/>
      <c r="O2878" s="18"/>
      <c r="P2878" s="18" t="s">
        <v>11932</v>
      </c>
      <c r="Q2878" s="18" t="s">
        <v>138</v>
      </c>
      <c r="R2878" s="18" t="s">
        <v>6875</v>
      </c>
      <c r="S2878" s="18" t="s">
        <v>140</v>
      </c>
      <c r="T2878" s="18" t="s">
        <v>141</v>
      </c>
      <c r="U2878" s="18"/>
      <c r="V2878" s="19" t="s">
        <v>29</v>
      </c>
      <c r="W2878" s="19"/>
      <c r="X2878" s="19"/>
      <c r="Y2878" s="20"/>
      <c r="Z2878" s="19"/>
      <c r="AA2878" s="18" t="str">
        <f aca="false">IF(OR(V2878="Aprobada"),R2878,IF(AND(OR(V2878="Aprobada con ajuste",V2878="Rechazada"),W2878&lt;&gt;""),W2878,""))</f>
        <v/>
      </c>
    </row>
    <row r="2879" customFormat="false" ht="22.35" hidden="false" customHeight="false" outlineLevel="0" collapsed="false">
      <c r="A2879" s="18" t="s">
        <v>11933</v>
      </c>
      <c r="B2879" s="18" t="s">
        <v>80</v>
      </c>
      <c r="C2879" s="18" t="s">
        <v>81</v>
      </c>
      <c r="D2879" s="18" t="s">
        <v>11875</v>
      </c>
      <c r="E2879" s="18" t="n">
        <v>1</v>
      </c>
      <c r="F2879" s="18" t="s">
        <v>6800</v>
      </c>
      <c r="G2879" s="18" t="s">
        <v>128</v>
      </c>
      <c r="H2879" s="18" t="s">
        <v>162</v>
      </c>
      <c r="I2879" s="18" t="s">
        <v>298</v>
      </c>
      <c r="J2879" s="18"/>
      <c r="K2879" s="18"/>
      <c r="L2879" s="18" t="s">
        <v>129</v>
      </c>
      <c r="M2879" s="18" t="s">
        <v>129</v>
      </c>
      <c r="N2879" s="18"/>
      <c r="O2879" s="18"/>
      <c r="P2879" s="18" t="s">
        <v>11934</v>
      </c>
      <c r="Q2879" s="18" t="s">
        <v>138</v>
      </c>
      <c r="R2879" s="18" t="s">
        <v>6801</v>
      </c>
      <c r="S2879" s="18" t="s">
        <v>140</v>
      </c>
      <c r="T2879" s="18" t="s">
        <v>141</v>
      </c>
      <c r="U2879" s="18"/>
      <c r="V2879" s="19" t="s">
        <v>29</v>
      </c>
      <c r="W2879" s="19"/>
      <c r="X2879" s="19"/>
      <c r="Y2879" s="20"/>
      <c r="Z2879" s="19"/>
      <c r="AA2879" s="18" t="str">
        <f aca="false">IF(OR(V2879="Aprobada"),R2879,IF(AND(OR(V2879="Aprobada con ajuste",V2879="Rechazada"),W2879&lt;&gt;""),W2879,""))</f>
        <v/>
      </c>
    </row>
    <row r="2880" customFormat="false" ht="32.8" hidden="false" customHeight="false" outlineLevel="0" collapsed="false">
      <c r="A2880" s="18" t="s">
        <v>11935</v>
      </c>
      <c r="B2880" s="18" t="s">
        <v>80</v>
      </c>
      <c r="C2880" s="18" t="s">
        <v>81</v>
      </c>
      <c r="D2880" s="18" t="s">
        <v>11875</v>
      </c>
      <c r="E2880" s="18" t="n">
        <v>1</v>
      </c>
      <c r="F2880" s="18" t="s">
        <v>11936</v>
      </c>
      <c r="G2880" s="18" t="s">
        <v>584</v>
      </c>
      <c r="H2880" s="18" t="s">
        <v>162</v>
      </c>
      <c r="I2880" s="18" t="s">
        <v>298</v>
      </c>
      <c r="J2880" s="18"/>
      <c r="K2880" s="18"/>
      <c r="L2880" s="18" t="s">
        <v>129</v>
      </c>
      <c r="M2880" s="18" t="s">
        <v>129</v>
      </c>
      <c r="N2880" s="18"/>
      <c r="O2880" s="18"/>
      <c r="P2880" s="18" t="s">
        <v>11937</v>
      </c>
      <c r="Q2880" s="18" t="s">
        <v>131</v>
      </c>
      <c r="R2880" s="18" t="s">
        <v>11938</v>
      </c>
      <c r="S2880" s="18" t="s">
        <v>133</v>
      </c>
      <c r="T2880" s="18" t="s">
        <v>11939</v>
      </c>
      <c r="U2880" s="18"/>
      <c r="V2880" s="19" t="s">
        <v>29</v>
      </c>
      <c r="W2880" s="19"/>
      <c r="X2880" s="19"/>
      <c r="Y2880" s="20"/>
      <c r="Z2880" s="19"/>
      <c r="AA2880" s="18" t="str">
        <f aca="false">IF(OR(V2880="Aprobada"),R2880,IF(AND(OR(V2880="Aprobada con ajuste",V2880="Rechazada"),W2880&lt;&gt;""),W2880,""))</f>
        <v/>
      </c>
    </row>
    <row r="2881" customFormat="false" ht="43.25" hidden="false" customHeight="false" outlineLevel="0" collapsed="false">
      <c r="A2881" s="18" t="s">
        <v>11940</v>
      </c>
      <c r="B2881" s="18" t="s">
        <v>80</v>
      </c>
      <c r="C2881" s="18" t="s">
        <v>81</v>
      </c>
      <c r="D2881" s="18" t="s">
        <v>11875</v>
      </c>
      <c r="E2881" s="18" t="n">
        <v>1</v>
      </c>
      <c r="F2881" s="18" t="s">
        <v>11941</v>
      </c>
      <c r="G2881" s="18" t="s">
        <v>584</v>
      </c>
      <c r="H2881" s="18" t="s">
        <v>162</v>
      </c>
      <c r="I2881" s="18" t="s">
        <v>298</v>
      </c>
      <c r="J2881" s="18"/>
      <c r="K2881" s="18"/>
      <c r="L2881" s="18" t="s">
        <v>129</v>
      </c>
      <c r="M2881" s="18" t="s">
        <v>129</v>
      </c>
      <c r="N2881" s="18"/>
      <c r="O2881" s="18"/>
      <c r="P2881" s="18" t="s">
        <v>11942</v>
      </c>
      <c r="Q2881" s="18" t="s">
        <v>131</v>
      </c>
      <c r="R2881" s="18" t="s">
        <v>11943</v>
      </c>
      <c r="S2881" s="18" t="s">
        <v>133</v>
      </c>
      <c r="T2881" s="18" t="s">
        <v>11944</v>
      </c>
      <c r="U2881" s="18"/>
      <c r="V2881" s="19" t="s">
        <v>29</v>
      </c>
      <c r="W2881" s="19"/>
      <c r="X2881" s="19"/>
      <c r="Y2881" s="20"/>
      <c r="Z2881" s="19"/>
      <c r="AA2881" s="18" t="str">
        <f aca="false">IF(OR(V2881="Aprobada"),R2881,IF(AND(OR(V2881="Aprobada con ajuste",V2881="Rechazada"),W2881&lt;&gt;""),W2881,""))</f>
        <v/>
      </c>
    </row>
    <row r="2882" customFormat="false" ht="105.95" hidden="false" customHeight="false" outlineLevel="0" collapsed="false">
      <c r="A2882" s="18" t="s">
        <v>11945</v>
      </c>
      <c r="B2882" s="18" t="s">
        <v>80</v>
      </c>
      <c r="C2882" s="18" t="s">
        <v>81</v>
      </c>
      <c r="D2882" s="18" t="s">
        <v>11946</v>
      </c>
      <c r="E2882" s="18" t="n">
        <v>0</v>
      </c>
      <c r="F2882" s="18" t="s">
        <v>11947</v>
      </c>
      <c r="G2882" s="18" t="s">
        <v>186</v>
      </c>
      <c r="H2882" s="18" t="s">
        <v>129</v>
      </c>
      <c r="I2882" s="18" t="s">
        <v>298</v>
      </c>
      <c r="J2882" s="18" t="s">
        <v>11948</v>
      </c>
      <c r="K2882" s="18"/>
      <c r="L2882" s="18" t="s">
        <v>162</v>
      </c>
      <c r="M2882" s="18" t="s">
        <v>129</v>
      </c>
      <c r="N2882" s="18"/>
      <c r="O2882" s="18"/>
      <c r="P2882" s="18" t="s">
        <v>11949</v>
      </c>
      <c r="Q2882" s="18" t="s">
        <v>131</v>
      </c>
      <c r="R2882" s="18" t="s">
        <v>11950</v>
      </c>
      <c r="S2882" s="18" t="s">
        <v>133</v>
      </c>
      <c r="T2882" s="18" t="s">
        <v>11951</v>
      </c>
      <c r="U2882" s="18"/>
      <c r="V2882" s="19" t="s">
        <v>29</v>
      </c>
      <c r="W2882" s="19"/>
      <c r="X2882" s="19"/>
      <c r="Y2882" s="20"/>
      <c r="Z2882" s="19"/>
      <c r="AA2882" s="18" t="str">
        <f aca="false">IF(OR(V2882="Aprobada"),R2882,IF(AND(OR(V2882="Aprobada con ajuste",V2882="Rechazada"),W2882&lt;&gt;""),W2882,""))</f>
        <v/>
      </c>
    </row>
    <row r="2883" customFormat="false" ht="158.2" hidden="false" customHeight="false" outlineLevel="0" collapsed="false">
      <c r="A2883" s="18" t="s">
        <v>11952</v>
      </c>
      <c r="B2883" s="18" t="s">
        <v>80</v>
      </c>
      <c r="C2883" s="18" t="s">
        <v>81</v>
      </c>
      <c r="D2883" s="18" t="s">
        <v>11946</v>
      </c>
      <c r="E2883" s="18" t="n">
        <v>0</v>
      </c>
      <c r="F2883" s="18" t="s">
        <v>3036</v>
      </c>
      <c r="G2883" s="18" t="s">
        <v>128</v>
      </c>
      <c r="H2883" s="18" t="s">
        <v>129</v>
      </c>
      <c r="I2883" s="18"/>
      <c r="J2883" s="18"/>
      <c r="K2883" s="18"/>
      <c r="L2883" s="18" t="s">
        <v>129</v>
      </c>
      <c r="M2883" s="18" t="s">
        <v>129</v>
      </c>
      <c r="N2883" s="18"/>
      <c r="O2883" s="18"/>
      <c r="P2883" s="18" t="s">
        <v>11953</v>
      </c>
      <c r="Q2883" s="18" t="s">
        <v>131</v>
      </c>
      <c r="R2883" s="18" t="s">
        <v>11954</v>
      </c>
      <c r="S2883" s="18" t="s">
        <v>133</v>
      </c>
      <c r="T2883" s="18" t="s">
        <v>11955</v>
      </c>
      <c r="U2883" s="18"/>
      <c r="V2883" s="19" t="s">
        <v>29</v>
      </c>
      <c r="W2883" s="19"/>
      <c r="X2883" s="19"/>
      <c r="Y2883" s="20"/>
      <c r="Z2883" s="19"/>
      <c r="AA2883" s="18" t="str">
        <f aca="false">IF(OR(V2883="Aprobada"),R2883,IF(AND(OR(V2883="Aprobada con ajuste",V2883="Rechazada"),W2883&lt;&gt;""),W2883,""))</f>
        <v/>
      </c>
    </row>
    <row r="2884" customFormat="false" ht="53.7" hidden="false" customHeight="false" outlineLevel="0" collapsed="false">
      <c r="A2884" s="18" t="s">
        <v>11956</v>
      </c>
      <c r="B2884" s="18" t="s">
        <v>80</v>
      </c>
      <c r="C2884" s="18" t="s">
        <v>81</v>
      </c>
      <c r="D2884" s="18" t="s">
        <v>11946</v>
      </c>
      <c r="E2884" s="18" t="n">
        <v>0</v>
      </c>
      <c r="F2884" s="18" t="s">
        <v>11372</v>
      </c>
      <c r="G2884" s="18" t="s">
        <v>2900</v>
      </c>
      <c r="H2884" s="18" t="s">
        <v>129</v>
      </c>
      <c r="I2884" s="18"/>
      <c r="J2884" s="18"/>
      <c r="K2884" s="18"/>
      <c r="L2884" s="18" t="s">
        <v>129</v>
      </c>
      <c r="M2884" s="18" t="s">
        <v>129</v>
      </c>
      <c r="N2884" s="18"/>
      <c r="O2884" s="18"/>
      <c r="P2884" s="18" t="s">
        <v>11957</v>
      </c>
      <c r="Q2884" s="18" t="s">
        <v>131</v>
      </c>
      <c r="R2884" s="18" t="s">
        <v>11958</v>
      </c>
      <c r="S2884" s="18" t="s">
        <v>133</v>
      </c>
      <c r="T2884" s="18" t="s">
        <v>11959</v>
      </c>
      <c r="U2884" s="18"/>
      <c r="V2884" s="19" t="s">
        <v>29</v>
      </c>
      <c r="W2884" s="19"/>
      <c r="X2884" s="19"/>
      <c r="Y2884" s="20"/>
      <c r="Z2884" s="19"/>
      <c r="AA2884" s="18" t="str">
        <f aca="false">IF(OR(V2884="Aprobada"),R2884,IF(AND(OR(V2884="Aprobada con ajuste",V2884="Rechazada"),W2884&lt;&gt;""),W2884,""))</f>
        <v/>
      </c>
    </row>
    <row r="2885" customFormat="false" ht="43.25" hidden="false" customHeight="false" outlineLevel="0" collapsed="false">
      <c r="A2885" s="18" t="s">
        <v>11960</v>
      </c>
      <c r="B2885" s="18" t="s">
        <v>80</v>
      </c>
      <c r="C2885" s="18" t="s">
        <v>81</v>
      </c>
      <c r="D2885" s="18" t="s">
        <v>11946</v>
      </c>
      <c r="E2885" s="18" t="n">
        <v>0</v>
      </c>
      <c r="F2885" s="18" t="s">
        <v>11377</v>
      </c>
      <c r="G2885" s="18" t="s">
        <v>137</v>
      </c>
      <c r="H2885" s="18" t="s">
        <v>129</v>
      </c>
      <c r="I2885" s="18"/>
      <c r="J2885" s="18"/>
      <c r="K2885" s="18"/>
      <c r="L2885" s="18" t="s">
        <v>129</v>
      </c>
      <c r="M2885" s="18" t="s">
        <v>129</v>
      </c>
      <c r="N2885" s="18"/>
      <c r="O2885" s="18"/>
      <c r="P2885" s="18" t="s">
        <v>11961</v>
      </c>
      <c r="Q2885" s="18" t="s">
        <v>138</v>
      </c>
      <c r="R2885" s="18" t="s">
        <v>11379</v>
      </c>
      <c r="S2885" s="18" t="s">
        <v>140</v>
      </c>
      <c r="T2885" s="18" t="s">
        <v>141</v>
      </c>
      <c r="U2885" s="18"/>
      <c r="V2885" s="19" t="s">
        <v>29</v>
      </c>
      <c r="W2885" s="19"/>
      <c r="X2885" s="19"/>
      <c r="Y2885" s="20"/>
      <c r="Z2885" s="19"/>
      <c r="AA2885" s="18" t="str">
        <f aca="false">IF(OR(V2885="Aprobada"),R2885,IF(AND(OR(V2885="Aprobada con ajuste",V2885="Rechazada"),W2885&lt;&gt;""),W2885,""))</f>
        <v/>
      </c>
    </row>
    <row r="2886" customFormat="false" ht="64.15" hidden="false" customHeight="false" outlineLevel="0" collapsed="false">
      <c r="A2886" s="18" t="s">
        <v>11962</v>
      </c>
      <c r="B2886" s="18" t="s">
        <v>80</v>
      </c>
      <c r="C2886" s="18" t="s">
        <v>81</v>
      </c>
      <c r="D2886" s="18" t="s">
        <v>11946</v>
      </c>
      <c r="E2886" s="18" t="n">
        <v>0</v>
      </c>
      <c r="F2886" s="18" t="s">
        <v>11963</v>
      </c>
      <c r="G2886" s="18" t="s">
        <v>503</v>
      </c>
      <c r="H2886" s="18" t="s">
        <v>129</v>
      </c>
      <c r="I2886" s="18" t="s">
        <v>298</v>
      </c>
      <c r="J2886" s="18"/>
      <c r="K2886" s="18"/>
      <c r="L2886" s="18" t="s">
        <v>129</v>
      </c>
      <c r="M2886" s="18" t="s">
        <v>129</v>
      </c>
      <c r="N2886" s="18"/>
      <c r="O2886" s="18"/>
      <c r="P2886" s="18" t="s">
        <v>11964</v>
      </c>
      <c r="Q2886" s="18" t="s">
        <v>131</v>
      </c>
      <c r="R2886" s="18" t="s">
        <v>11965</v>
      </c>
      <c r="S2886" s="18" t="s">
        <v>133</v>
      </c>
      <c r="T2886" s="18" t="s">
        <v>11966</v>
      </c>
      <c r="U2886" s="18" t="s">
        <v>11967</v>
      </c>
      <c r="V2886" s="19" t="s">
        <v>29</v>
      </c>
      <c r="W2886" s="19"/>
      <c r="X2886" s="19"/>
      <c r="Y2886" s="20"/>
      <c r="Z2886" s="19"/>
      <c r="AA2886" s="18" t="str">
        <f aca="false">IF(OR(V2886="Aprobada"),R2886,IF(AND(OR(V2886="Aprobada con ajuste",V2886="Rechazada"),W2886&lt;&gt;""),W2886,""))</f>
        <v/>
      </c>
    </row>
    <row r="2887" customFormat="false" ht="64.15" hidden="false" customHeight="false" outlineLevel="0" collapsed="false">
      <c r="A2887" s="18" t="s">
        <v>11968</v>
      </c>
      <c r="B2887" s="18" t="s">
        <v>80</v>
      </c>
      <c r="C2887" s="18" t="s">
        <v>81</v>
      </c>
      <c r="D2887" s="18" t="s">
        <v>11946</v>
      </c>
      <c r="E2887" s="18" t="n">
        <v>0</v>
      </c>
      <c r="F2887" s="18" t="s">
        <v>11969</v>
      </c>
      <c r="G2887" s="18" t="s">
        <v>584</v>
      </c>
      <c r="H2887" s="18" t="s">
        <v>162</v>
      </c>
      <c r="I2887" s="18"/>
      <c r="J2887" s="18"/>
      <c r="K2887" s="18"/>
      <c r="L2887" s="18" t="s">
        <v>129</v>
      </c>
      <c r="M2887" s="18" t="s">
        <v>129</v>
      </c>
      <c r="N2887" s="18"/>
      <c r="O2887" s="18"/>
      <c r="P2887" s="18" t="s">
        <v>11970</v>
      </c>
      <c r="Q2887" s="18" t="s">
        <v>131</v>
      </c>
      <c r="R2887" s="18" t="s">
        <v>11971</v>
      </c>
      <c r="S2887" s="18" t="s">
        <v>133</v>
      </c>
      <c r="T2887" s="18" t="s">
        <v>11972</v>
      </c>
      <c r="U2887" s="18"/>
      <c r="V2887" s="19" t="s">
        <v>29</v>
      </c>
      <c r="W2887" s="19"/>
      <c r="X2887" s="19"/>
      <c r="Y2887" s="20"/>
      <c r="Z2887" s="19"/>
      <c r="AA2887" s="18" t="str">
        <f aca="false">IF(OR(V2887="Aprobada"),R2887,IF(AND(OR(V2887="Aprobada con ajuste",V2887="Rechazada"),W2887&lt;&gt;""),W2887,""))</f>
        <v/>
      </c>
    </row>
    <row r="2888" customFormat="false" ht="22.35" hidden="false" customHeight="false" outlineLevel="0" collapsed="false">
      <c r="A2888" s="18" t="s">
        <v>11973</v>
      </c>
      <c r="B2888" s="18" t="s">
        <v>80</v>
      </c>
      <c r="C2888" s="18" t="s">
        <v>81</v>
      </c>
      <c r="D2888" s="18" t="s">
        <v>11946</v>
      </c>
      <c r="E2888" s="18" t="n">
        <v>0</v>
      </c>
      <c r="F2888" s="18" t="s">
        <v>11974</v>
      </c>
      <c r="G2888" s="18" t="s">
        <v>584</v>
      </c>
      <c r="H2888" s="18" t="s">
        <v>162</v>
      </c>
      <c r="I2888" s="18" t="s">
        <v>298</v>
      </c>
      <c r="J2888" s="18"/>
      <c r="K2888" s="18"/>
      <c r="L2888" s="18" t="s">
        <v>129</v>
      </c>
      <c r="M2888" s="18" t="s">
        <v>129</v>
      </c>
      <c r="N2888" s="18"/>
      <c r="O2888" s="18"/>
      <c r="P2888" s="18" t="s">
        <v>11975</v>
      </c>
      <c r="Q2888" s="18" t="s">
        <v>138</v>
      </c>
      <c r="R2888" s="18" t="s">
        <v>11395</v>
      </c>
      <c r="S2888" s="18" t="s">
        <v>140</v>
      </c>
      <c r="T2888" s="18" t="s">
        <v>141</v>
      </c>
      <c r="U2888" s="18"/>
      <c r="V2888" s="19" t="s">
        <v>29</v>
      </c>
      <c r="W2888" s="19"/>
      <c r="X2888" s="19"/>
      <c r="Y2888" s="20"/>
      <c r="Z2888" s="19"/>
      <c r="AA2888" s="18" t="str">
        <f aca="false">IF(OR(V2888="Aprobada"),R2888,IF(AND(OR(V2888="Aprobada con ajuste",V2888="Rechazada"),W2888&lt;&gt;""),W2888,""))</f>
        <v/>
      </c>
    </row>
    <row r="2889" customFormat="false" ht="22.35" hidden="false" customHeight="false" outlineLevel="0" collapsed="false">
      <c r="A2889" s="18" t="s">
        <v>11976</v>
      </c>
      <c r="B2889" s="18" t="s">
        <v>80</v>
      </c>
      <c r="C2889" s="18" t="s">
        <v>81</v>
      </c>
      <c r="D2889" s="18" t="s">
        <v>11946</v>
      </c>
      <c r="E2889" s="18" t="n">
        <v>0</v>
      </c>
      <c r="F2889" s="18" t="s">
        <v>185</v>
      </c>
      <c r="G2889" s="18" t="s">
        <v>205</v>
      </c>
      <c r="H2889" s="18" t="s">
        <v>129</v>
      </c>
      <c r="I2889" s="18" t="s">
        <v>298</v>
      </c>
      <c r="J2889" s="18" t="s">
        <v>11977</v>
      </c>
      <c r="K2889" s="18"/>
      <c r="L2889" s="18" t="s">
        <v>162</v>
      </c>
      <c r="M2889" s="18" t="s">
        <v>129</v>
      </c>
      <c r="N2889" s="18"/>
      <c r="O2889" s="18"/>
      <c r="P2889" s="18" t="s">
        <v>11978</v>
      </c>
      <c r="Q2889" s="18" t="s">
        <v>138</v>
      </c>
      <c r="R2889" s="18" t="s">
        <v>11979</v>
      </c>
      <c r="S2889" s="18" t="s">
        <v>140</v>
      </c>
      <c r="T2889" s="18" t="s">
        <v>141</v>
      </c>
      <c r="U2889" s="18"/>
      <c r="V2889" s="19" t="s">
        <v>29</v>
      </c>
      <c r="W2889" s="19"/>
      <c r="X2889" s="19"/>
      <c r="Y2889" s="20"/>
      <c r="Z2889" s="19"/>
      <c r="AA2889" s="18" t="str">
        <f aca="false">IF(OR(V2889="Aprobada"),R2889,IF(AND(OR(V2889="Aprobada con ajuste",V2889="Rechazada"),W2889&lt;&gt;""),W2889,""))</f>
        <v/>
      </c>
    </row>
    <row r="2890" customFormat="false" ht="22.35" hidden="false" customHeight="false" outlineLevel="0" collapsed="false">
      <c r="A2890" s="18" t="s">
        <v>11980</v>
      </c>
      <c r="B2890" s="18" t="s">
        <v>80</v>
      </c>
      <c r="C2890" s="18" t="s">
        <v>81</v>
      </c>
      <c r="D2890" s="18" t="s">
        <v>11946</v>
      </c>
      <c r="E2890" s="18" t="n">
        <v>0</v>
      </c>
      <c r="F2890" s="18" t="s">
        <v>11981</v>
      </c>
      <c r="G2890" s="18" t="s">
        <v>454</v>
      </c>
      <c r="H2890" s="18" t="s">
        <v>162</v>
      </c>
      <c r="I2890" s="18"/>
      <c r="J2890" s="18"/>
      <c r="K2890" s="18"/>
      <c r="L2890" s="18" t="s">
        <v>129</v>
      </c>
      <c r="M2890" s="18" t="s">
        <v>129</v>
      </c>
      <c r="N2890" s="18"/>
      <c r="O2890" s="18"/>
      <c r="P2890" s="18" t="s">
        <v>11982</v>
      </c>
      <c r="Q2890" s="18" t="s">
        <v>149</v>
      </c>
      <c r="R2890" s="18" t="s">
        <v>11983</v>
      </c>
      <c r="S2890" s="18" t="s">
        <v>140</v>
      </c>
      <c r="T2890" s="18" t="s">
        <v>11404</v>
      </c>
      <c r="U2890" s="18" t="s">
        <v>4673</v>
      </c>
      <c r="V2890" s="19" t="s">
        <v>29</v>
      </c>
      <c r="W2890" s="19"/>
      <c r="X2890" s="19"/>
      <c r="Y2890" s="20"/>
      <c r="Z2890" s="19"/>
      <c r="AA2890" s="18" t="str">
        <f aca="false">IF(OR(V2890="Aprobada"),R2890,IF(AND(OR(V2890="Aprobada con ajuste",V2890="Rechazada"),W2890&lt;&gt;""),W2890,""))</f>
        <v/>
      </c>
    </row>
    <row r="2891" customFormat="false" ht="22.35" hidden="false" customHeight="false" outlineLevel="0" collapsed="false">
      <c r="A2891" s="18" t="s">
        <v>11984</v>
      </c>
      <c r="B2891" s="18" t="s">
        <v>80</v>
      </c>
      <c r="C2891" s="18" t="s">
        <v>81</v>
      </c>
      <c r="D2891" s="18" t="s">
        <v>11946</v>
      </c>
      <c r="E2891" s="18" t="n">
        <v>0</v>
      </c>
      <c r="F2891" s="18" t="s">
        <v>11985</v>
      </c>
      <c r="G2891" s="18" t="s">
        <v>584</v>
      </c>
      <c r="H2891" s="18" t="s">
        <v>129</v>
      </c>
      <c r="I2891" s="18"/>
      <c r="J2891" s="18"/>
      <c r="K2891" s="18"/>
      <c r="L2891" s="18" t="s">
        <v>129</v>
      </c>
      <c r="M2891" s="18" t="s">
        <v>129</v>
      </c>
      <c r="N2891" s="18"/>
      <c r="O2891" s="18"/>
      <c r="P2891" s="18" t="s">
        <v>11986</v>
      </c>
      <c r="Q2891" s="18" t="s">
        <v>149</v>
      </c>
      <c r="R2891" s="18" t="s">
        <v>11987</v>
      </c>
      <c r="S2891" s="18" t="s">
        <v>133</v>
      </c>
      <c r="T2891" s="18" t="s">
        <v>11409</v>
      </c>
      <c r="U2891" s="18"/>
      <c r="V2891" s="19" t="s">
        <v>29</v>
      </c>
      <c r="W2891" s="19"/>
      <c r="X2891" s="19"/>
      <c r="Y2891" s="20"/>
      <c r="Z2891" s="19"/>
      <c r="AA2891" s="18" t="str">
        <f aca="false">IF(OR(V2891="Aprobada"),R2891,IF(AND(OR(V2891="Aprobada con ajuste",V2891="Rechazada"),W2891&lt;&gt;""),W2891,""))</f>
        <v/>
      </c>
    </row>
    <row r="2892" customFormat="false" ht="32.8" hidden="false" customHeight="false" outlineLevel="0" collapsed="false">
      <c r="A2892" s="18" t="s">
        <v>11988</v>
      </c>
      <c r="B2892" s="18" t="s">
        <v>80</v>
      </c>
      <c r="C2892" s="18" t="s">
        <v>81</v>
      </c>
      <c r="D2892" s="18" t="s">
        <v>11946</v>
      </c>
      <c r="E2892" s="18" t="n">
        <v>0</v>
      </c>
      <c r="F2892" s="18" t="s">
        <v>11989</v>
      </c>
      <c r="G2892" s="18" t="s">
        <v>584</v>
      </c>
      <c r="H2892" s="18" t="s">
        <v>162</v>
      </c>
      <c r="I2892" s="18" t="s">
        <v>298</v>
      </c>
      <c r="J2892" s="18"/>
      <c r="K2892" s="18"/>
      <c r="L2892" s="18" t="s">
        <v>129</v>
      </c>
      <c r="M2892" s="18" t="s">
        <v>129</v>
      </c>
      <c r="N2892" s="18"/>
      <c r="O2892" s="18"/>
      <c r="P2892" s="18" t="s">
        <v>11990</v>
      </c>
      <c r="Q2892" s="18" t="s">
        <v>131</v>
      </c>
      <c r="R2892" s="18" t="s">
        <v>11991</v>
      </c>
      <c r="S2892" s="18" t="s">
        <v>133</v>
      </c>
      <c r="T2892" s="18" t="s">
        <v>11992</v>
      </c>
      <c r="U2892" s="18"/>
      <c r="V2892" s="19" t="s">
        <v>29</v>
      </c>
      <c r="W2892" s="19"/>
      <c r="X2892" s="19"/>
      <c r="Y2892" s="20"/>
      <c r="Z2892" s="19"/>
      <c r="AA2892" s="18" t="str">
        <f aca="false">IF(OR(V2892="Aprobada"),R2892,IF(AND(OR(V2892="Aprobada con ajuste",V2892="Rechazada"),W2892&lt;&gt;""),W2892,""))</f>
        <v/>
      </c>
    </row>
    <row r="2893" customFormat="false" ht="22.35" hidden="false" customHeight="false" outlineLevel="0" collapsed="false">
      <c r="A2893" s="18" t="s">
        <v>11993</v>
      </c>
      <c r="B2893" s="18" t="s">
        <v>80</v>
      </c>
      <c r="C2893" s="18" t="s">
        <v>81</v>
      </c>
      <c r="D2893" s="18" t="s">
        <v>11946</v>
      </c>
      <c r="E2893" s="18" t="n">
        <v>0</v>
      </c>
      <c r="F2893" s="18" t="s">
        <v>11994</v>
      </c>
      <c r="G2893" s="18" t="s">
        <v>454</v>
      </c>
      <c r="H2893" s="18" t="s">
        <v>162</v>
      </c>
      <c r="I2893" s="18"/>
      <c r="J2893" s="18"/>
      <c r="K2893" s="18"/>
      <c r="L2893" s="18" t="s">
        <v>129</v>
      </c>
      <c r="M2893" s="18" t="s">
        <v>129</v>
      </c>
      <c r="N2893" s="18"/>
      <c r="O2893" s="18"/>
      <c r="P2893" s="18" t="s">
        <v>11995</v>
      </c>
      <c r="Q2893" s="18" t="s">
        <v>138</v>
      </c>
      <c r="R2893" s="18" t="s">
        <v>11418</v>
      </c>
      <c r="S2893" s="18" t="s">
        <v>140</v>
      </c>
      <c r="T2893" s="18" t="s">
        <v>141</v>
      </c>
      <c r="U2893" s="18"/>
      <c r="V2893" s="19" t="s">
        <v>29</v>
      </c>
      <c r="W2893" s="19"/>
      <c r="X2893" s="19"/>
      <c r="Y2893" s="20"/>
      <c r="Z2893" s="19"/>
      <c r="AA2893" s="18" t="str">
        <f aca="false">IF(OR(V2893="Aprobada"),R2893,IF(AND(OR(V2893="Aprobada con ajuste",V2893="Rechazada"),W2893&lt;&gt;""),W2893,""))</f>
        <v/>
      </c>
    </row>
    <row r="2894" customFormat="false" ht="22.35" hidden="false" customHeight="false" outlineLevel="0" collapsed="false">
      <c r="A2894" s="18" t="s">
        <v>11996</v>
      </c>
      <c r="B2894" s="18" t="s">
        <v>80</v>
      </c>
      <c r="C2894" s="18" t="s">
        <v>81</v>
      </c>
      <c r="D2894" s="18" t="s">
        <v>11946</v>
      </c>
      <c r="E2894" s="18" t="n">
        <v>0</v>
      </c>
      <c r="F2894" s="18" t="s">
        <v>11420</v>
      </c>
      <c r="G2894" s="18" t="s">
        <v>128</v>
      </c>
      <c r="H2894" s="18" t="s">
        <v>162</v>
      </c>
      <c r="I2894" s="18" t="s">
        <v>298</v>
      </c>
      <c r="J2894" s="18"/>
      <c r="K2894" s="18"/>
      <c r="L2894" s="18" t="s">
        <v>129</v>
      </c>
      <c r="M2894" s="18" t="s">
        <v>129</v>
      </c>
      <c r="N2894" s="18"/>
      <c r="O2894" s="18"/>
      <c r="P2894" s="18" t="s">
        <v>11997</v>
      </c>
      <c r="Q2894" s="18" t="s">
        <v>138</v>
      </c>
      <c r="R2894" s="18" t="s">
        <v>11422</v>
      </c>
      <c r="S2894" s="18" t="s">
        <v>140</v>
      </c>
      <c r="T2894" s="18" t="s">
        <v>141</v>
      </c>
      <c r="U2894" s="18"/>
      <c r="V2894" s="19" t="s">
        <v>29</v>
      </c>
      <c r="W2894" s="19"/>
      <c r="X2894" s="19"/>
      <c r="Y2894" s="20"/>
      <c r="Z2894" s="19"/>
      <c r="AA2894" s="18" t="str">
        <f aca="false">IF(OR(V2894="Aprobada"),R2894,IF(AND(OR(V2894="Aprobada con ajuste",V2894="Rechazada"),W2894&lt;&gt;""),W2894,""))</f>
        <v/>
      </c>
    </row>
    <row r="2895" customFormat="false" ht="64.15" hidden="false" customHeight="false" outlineLevel="0" collapsed="false">
      <c r="A2895" s="18" t="s">
        <v>11998</v>
      </c>
      <c r="B2895" s="18" t="s">
        <v>80</v>
      </c>
      <c r="C2895" s="18" t="s">
        <v>81</v>
      </c>
      <c r="D2895" s="18" t="s">
        <v>11999</v>
      </c>
      <c r="E2895" s="18" t="n">
        <v>0</v>
      </c>
      <c r="F2895" s="18" t="s">
        <v>160</v>
      </c>
      <c r="G2895" s="18" t="s">
        <v>931</v>
      </c>
      <c r="H2895" s="18" t="s">
        <v>129</v>
      </c>
      <c r="I2895" s="18"/>
      <c r="J2895" s="18"/>
      <c r="K2895" s="18"/>
      <c r="L2895" s="18" t="s">
        <v>162</v>
      </c>
      <c r="M2895" s="18" t="s">
        <v>129</v>
      </c>
      <c r="N2895" s="18"/>
      <c r="O2895" s="18"/>
      <c r="P2895" s="18" t="s">
        <v>12000</v>
      </c>
      <c r="Q2895" s="18" t="s">
        <v>138</v>
      </c>
      <c r="R2895" s="18" t="s">
        <v>12001</v>
      </c>
      <c r="S2895" s="18" t="s">
        <v>140</v>
      </c>
      <c r="T2895" s="18" t="s">
        <v>141</v>
      </c>
      <c r="U2895" s="18"/>
      <c r="V2895" s="19" t="s">
        <v>29</v>
      </c>
      <c r="W2895" s="19"/>
      <c r="X2895" s="19"/>
      <c r="Y2895" s="20"/>
      <c r="Z2895" s="19"/>
      <c r="AA2895" s="18" t="str">
        <f aca="false">IF(OR(V2895="Aprobada"),R2895,IF(AND(OR(V2895="Aprobada con ajuste",V2895="Rechazada"),W2895&lt;&gt;""),W2895,""))</f>
        <v/>
      </c>
    </row>
    <row r="2896" customFormat="false" ht="32.8" hidden="false" customHeight="false" outlineLevel="0" collapsed="false">
      <c r="A2896" s="18" t="s">
        <v>12002</v>
      </c>
      <c r="B2896" s="18" t="s">
        <v>80</v>
      </c>
      <c r="C2896" s="18" t="s">
        <v>81</v>
      </c>
      <c r="D2896" s="18" t="s">
        <v>5096</v>
      </c>
      <c r="E2896" s="18" t="n">
        <v>130</v>
      </c>
      <c r="F2896" s="18" t="s">
        <v>11660</v>
      </c>
      <c r="G2896" s="18" t="s">
        <v>205</v>
      </c>
      <c r="H2896" s="18" t="s">
        <v>162</v>
      </c>
      <c r="I2896" s="18"/>
      <c r="J2896" s="18"/>
      <c r="K2896" s="18"/>
      <c r="L2896" s="18" t="s">
        <v>129</v>
      </c>
      <c r="M2896" s="18" t="s">
        <v>129</v>
      </c>
      <c r="N2896" s="18"/>
      <c r="O2896" s="18"/>
      <c r="P2896" s="18" t="s">
        <v>12003</v>
      </c>
      <c r="Q2896" s="18" t="s">
        <v>149</v>
      </c>
      <c r="R2896" s="18" t="s">
        <v>12004</v>
      </c>
      <c r="S2896" s="18" t="s">
        <v>133</v>
      </c>
      <c r="T2896" s="18" t="s">
        <v>12005</v>
      </c>
      <c r="U2896" s="18"/>
      <c r="V2896" s="19" t="s">
        <v>29</v>
      </c>
      <c r="W2896" s="19"/>
      <c r="X2896" s="19"/>
      <c r="Y2896" s="20"/>
      <c r="Z2896" s="19"/>
      <c r="AA2896" s="18" t="str">
        <f aca="false">IF(OR(V2896="Aprobada"),R2896,IF(AND(OR(V2896="Aprobada con ajuste",V2896="Rechazada"),W2896&lt;&gt;""),W2896,""))</f>
        <v/>
      </c>
    </row>
    <row r="2897" customFormat="false" ht="252.2" hidden="false" customHeight="false" outlineLevel="0" collapsed="false">
      <c r="A2897" s="18" t="s">
        <v>12006</v>
      </c>
      <c r="B2897" s="18" t="s">
        <v>80</v>
      </c>
      <c r="C2897" s="18" t="s">
        <v>81</v>
      </c>
      <c r="D2897" s="18" t="s">
        <v>5096</v>
      </c>
      <c r="E2897" s="18" t="n">
        <v>130</v>
      </c>
      <c r="F2897" s="18" t="s">
        <v>127</v>
      </c>
      <c r="G2897" s="18" t="s">
        <v>186</v>
      </c>
      <c r="H2897" s="18" t="s">
        <v>129</v>
      </c>
      <c r="I2897" s="18" t="s">
        <v>298</v>
      </c>
      <c r="J2897" s="18" t="s">
        <v>12007</v>
      </c>
      <c r="K2897" s="18"/>
      <c r="L2897" s="18" t="s">
        <v>162</v>
      </c>
      <c r="M2897" s="18" t="s">
        <v>162</v>
      </c>
      <c r="N2897" s="18" t="s">
        <v>2272</v>
      </c>
      <c r="O2897" s="18"/>
      <c r="P2897" s="18" t="s">
        <v>12008</v>
      </c>
      <c r="Q2897" s="18" t="s">
        <v>131</v>
      </c>
      <c r="R2897" s="18" t="s">
        <v>12009</v>
      </c>
      <c r="S2897" s="18" t="s">
        <v>133</v>
      </c>
      <c r="T2897" s="18" t="s">
        <v>12010</v>
      </c>
      <c r="U2897" s="18"/>
      <c r="V2897" s="19" t="s">
        <v>29</v>
      </c>
      <c r="W2897" s="19"/>
      <c r="X2897" s="19"/>
      <c r="Y2897" s="20"/>
      <c r="Z2897" s="19"/>
      <c r="AA2897" s="18" t="str">
        <f aca="false">IF(OR(V2897="Aprobada"),R2897,IF(AND(OR(V2897="Aprobada con ajuste",V2897="Rechazada"),W2897&lt;&gt;""),W2897,""))</f>
        <v/>
      </c>
    </row>
    <row r="2898" customFormat="false" ht="85.05" hidden="false" customHeight="false" outlineLevel="0" collapsed="false">
      <c r="A2898" s="18" t="s">
        <v>12011</v>
      </c>
      <c r="B2898" s="18" t="s">
        <v>80</v>
      </c>
      <c r="C2898" s="18" t="s">
        <v>81</v>
      </c>
      <c r="D2898" s="18" t="s">
        <v>5096</v>
      </c>
      <c r="E2898" s="18" t="n">
        <v>130</v>
      </c>
      <c r="F2898" s="18" t="s">
        <v>275</v>
      </c>
      <c r="G2898" s="18" t="s">
        <v>4598</v>
      </c>
      <c r="H2898" s="18" t="s">
        <v>129</v>
      </c>
      <c r="I2898" s="18"/>
      <c r="J2898" s="18"/>
      <c r="K2898" s="18"/>
      <c r="L2898" s="18" t="s">
        <v>129</v>
      </c>
      <c r="M2898" s="18" t="s">
        <v>129</v>
      </c>
      <c r="N2898" s="18"/>
      <c r="O2898" s="18"/>
      <c r="P2898" s="18" t="s">
        <v>12012</v>
      </c>
      <c r="Q2898" s="18" t="s">
        <v>138</v>
      </c>
      <c r="R2898" s="18" t="s">
        <v>12013</v>
      </c>
      <c r="S2898" s="18" t="s">
        <v>140</v>
      </c>
      <c r="T2898" s="18" t="s">
        <v>141</v>
      </c>
      <c r="U2898" s="18"/>
      <c r="V2898" s="19" t="s">
        <v>29</v>
      </c>
      <c r="W2898" s="19"/>
      <c r="X2898" s="19"/>
      <c r="Y2898" s="20"/>
      <c r="Z2898" s="19"/>
      <c r="AA2898" s="18" t="str">
        <f aca="false">IF(OR(V2898="Aprobada"),R2898,IF(AND(OR(V2898="Aprobada con ajuste",V2898="Rechazada"),W2898&lt;&gt;""),W2898,""))</f>
        <v/>
      </c>
    </row>
    <row r="2899" customFormat="false" ht="32.8" hidden="false" customHeight="false" outlineLevel="0" collapsed="false">
      <c r="A2899" s="18" t="s">
        <v>12014</v>
      </c>
      <c r="B2899" s="18" t="s">
        <v>80</v>
      </c>
      <c r="C2899" s="18" t="s">
        <v>81</v>
      </c>
      <c r="D2899" s="18" t="s">
        <v>5096</v>
      </c>
      <c r="E2899" s="18" t="n">
        <v>130</v>
      </c>
      <c r="F2899" s="18" t="s">
        <v>4240</v>
      </c>
      <c r="G2899" s="18" t="s">
        <v>128</v>
      </c>
      <c r="H2899" s="18" t="s">
        <v>162</v>
      </c>
      <c r="I2899" s="18" t="s">
        <v>298</v>
      </c>
      <c r="J2899" s="18"/>
      <c r="K2899" s="18"/>
      <c r="L2899" s="18" t="s">
        <v>129</v>
      </c>
      <c r="M2899" s="18" t="s">
        <v>129</v>
      </c>
      <c r="N2899" s="18"/>
      <c r="O2899" s="18"/>
      <c r="P2899" s="18" t="s">
        <v>12015</v>
      </c>
      <c r="Q2899" s="18" t="s">
        <v>149</v>
      </c>
      <c r="R2899" s="18" t="s">
        <v>12016</v>
      </c>
      <c r="S2899" s="18" t="s">
        <v>140</v>
      </c>
      <c r="T2899" s="18" t="s">
        <v>12017</v>
      </c>
      <c r="U2899" s="18" t="s">
        <v>12018</v>
      </c>
      <c r="V2899" s="19" t="s">
        <v>29</v>
      </c>
      <c r="W2899" s="19"/>
      <c r="X2899" s="19"/>
      <c r="Y2899" s="20"/>
      <c r="Z2899" s="19"/>
      <c r="AA2899" s="18" t="str">
        <f aca="false">IF(OR(V2899="Aprobada"),R2899,IF(AND(OR(V2899="Aprobada con ajuste",V2899="Rechazada"),W2899&lt;&gt;""),W2899,""))</f>
        <v/>
      </c>
    </row>
    <row r="2900" customFormat="false" ht="32.8" hidden="false" customHeight="false" outlineLevel="0" collapsed="false">
      <c r="A2900" s="18" t="s">
        <v>12019</v>
      </c>
      <c r="B2900" s="18" t="s">
        <v>80</v>
      </c>
      <c r="C2900" s="18" t="s">
        <v>81</v>
      </c>
      <c r="D2900" s="18" t="s">
        <v>5096</v>
      </c>
      <c r="E2900" s="18" t="n">
        <v>130</v>
      </c>
      <c r="F2900" s="18" t="s">
        <v>12020</v>
      </c>
      <c r="G2900" s="18" t="s">
        <v>192</v>
      </c>
      <c r="H2900" s="18" t="s">
        <v>162</v>
      </c>
      <c r="I2900" s="18" t="s">
        <v>298</v>
      </c>
      <c r="J2900" s="18"/>
      <c r="K2900" s="18"/>
      <c r="L2900" s="18" t="s">
        <v>129</v>
      </c>
      <c r="M2900" s="18" t="s">
        <v>129</v>
      </c>
      <c r="N2900" s="18"/>
      <c r="O2900" s="18"/>
      <c r="P2900" s="18" t="s">
        <v>12021</v>
      </c>
      <c r="Q2900" s="18" t="s">
        <v>149</v>
      </c>
      <c r="R2900" s="18" t="s">
        <v>12022</v>
      </c>
      <c r="S2900" s="18" t="s">
        <v>140</v>
      </c>
      <c r="T2900" s="18" t="s">
        <v>12023</v>
      </c>
      <c r="U2900" s="18" t="s">
        <v>12024</v>
      </c>
      <c r="V2900" s="19" t="s">
        <v>29</v>
      </c>
      <c r="W2900" s="19"/>
      <c r="X2900" s="19"/>
      <c r="Y2900" s="20"/>
      <c r="Z2900" s="19"/>
      <c r="AA2900" s="18" t="str">
        <f aca="false">IF(OR(V2900="Aprobada"),R2900,IF(AND(OR(V2900="Aprobada con ajuste",V2900="Rechazada"),W2900&lt;&gt;""),W2900,""))</f>
        <v/>
      </c>
    </row>
    <row r="2901" customFormat="false" ht="22.35" hidden="false" customHeight="false" outlineLevel="0" collapsed="false">
      <c r="A2901" s="18" t="s">
        <v>12025</v>
      </c>
      <c r="B2901" s="18" t="s">
        <v>80</v>
      </c>
      <c r="C2901" s="18" t="s">
        <v>81</v>
      </c>
      <c r="D2901" s="18" t="s">
        <v>5096</v>
      </c>
      <c r="E2901" s="18" t="n">
        <v>130</v>
      </c>
      <c r="F2901" s="18" t="s">
        <v>5104</v>
      </c>
      <c r="G2901" s="18" t="s">
        <v>4598</v>
      </c>
      <c r="H2901" s="18" t="s">
        <v>162</v>
      </c>
      <c r="I2901" s="18"/>
      <c r="J2901" s="18"/>
      <c r="K2901" s="18"/>
      <c r="L2901" s="18" t="s">
        <v>129</v>
      </c>
      <c r="M2901" s="18" t="s">
        <v>129</v>
      </c>
      <c r="N2901" s="18"/>
      <c r="O2901" s="18"/>
      <c r="P2901" s="18" t="s">
        <v>12026</v>
      </c>
      <c r="Q2901" s="18" t="s">
        <v>149</v>
      </c>
      <c r="R2901" s="18" t="s">
        <v>3234</v>
      </c>
      <c r="S2901" s="18" t="s">
        <v>133</v>
      </c>
      <c r="T2901" s="18" t="s">
        <v>11672</v>
      </c>
      <c r="U2901" s="18"/>
      <c r="V2901" s="19" t="s">
        <v>29</v>
      </c>
      <c r="W2901" s="19"/>
      <c r="X2901" s="19"/>
      <c r="Y2901" s="20"/>
      <c r="Z2901" s="19"/>
      <c r="AA2901" s="18" t="str">
        <f aca="false">IF(OR(V2901="Aprobada"),R2901,IF(AND(OR(V2901="Aprobada con ajuste",V2901="Rechazada"),W2901&lt;&gt;""),W2901,""))</f>
        <v/>
      </c>
    </row>
    <row r="2902" customFormat="false" ht="22.35" hidden="false" customHeight="false" outlineLevel="0" collapsed="false">
      <c r="A2902" s="18" t="s">
        <v>12027</v>
      </c>
      <c r="B2902" s="18" t="s">
        <v>80</v>
      </c>
      <c r="C2902" s="18" t="s">
        <v>81</v>
      </c>
      <c r="D2902" s="18" t="s">
        <v>5096</v>
      </c>
      <c r="E2902" s="18" t="n">
        <v>130</v>
      </c>
      <c r="F2902" s="18" t="s">
        <v>5110</v>
      </c>
      <c r="G2902" s="18" t="s">
        <v>931</v>
      </c>
      <c r="H2902" s="18" t="s">
        <v>162</v>
      </c>
      <c r="I2902" s="18"/>
      <c r="J2902" s="18"/>
      <c r="K2902" s="18"/>
      <c r="L2902" s="18" t="s">
        <v>129</v>
      </c>
      <c r="M2902" s="18" t="s">
        <v>129</v>
      </c>
      <c r="N2902" s="18"/>
      <c r="O2902" s="18"/>
      <c r="P2902" s="18" t="s">
        <v>12028</v>
      </c>
      <c r="Q2902" s="18" t="s">
        <v>149</v>
      </c>
      <c r="R2902" s="18" t="s">
        <v>12029</v>
      </c>
      <c r="S2902" s="18" t="s">
        <v>133</v>
      </c>
      <c r="T2902" s="18" t="s">
        <v>12030</v>
      </c>
      <c r="U2902" s="18"/>
      <c r="V2902" s="19" t="s">
        <v>29</v>
      </c>
      <c r="W2902" s="19"/>
      <c r="X2902" s="19"/>
      <c r="Y2902" s="20"/>
      <c r="Z2902" s="19"/>
      <c r="AA2902" s="18" t="str">
        <f aca="false">IF(OR(V2902="Aprobada"),R2902,IF(AND(OR(V2902="Aprobada con ajuste",V2902="Rechazada"),W2902&lt;&gt;""),W2902,""))</f>
        <v/>
      </c>
    </row>
    <row r="2903" customFormat="false" ht="22.35" hidden="false" customHeight="false" outlineLevel="0" collapsed="false">
      <c r="A2903" s="18" t="s">
        <v>12031</v>
      </c>
      <c r="B2903" s="18" t="s">
        <v>80</v>
      </c>
      <c r="C2903" s="18" t="s">
        <v>81</v>
      </c>
      <c r="D2903" s="18" t="s">
        <v>5096</v>
      </c>
      <c r="E2903" s="18" t="n">
        <v>130</v>
      </c>
      <c r="F2903" s="18" t="s">
        <v>4244</v>
      </c>
      <c r="G2903" s="18" t="s">
        <v>294</v>
      </c>
      <c r="H2903" s="18" t="s">
        <v>162</v>
      </c>
      <c r="I2903" s="18"/>
      <c r="J2903" s="18"/>
      <c r="K2903" s="18"/>
      <c r="L2903" s="18" t="s">
        <v>129</v>
      </c>
      <c r="M2903" s="18" t="s">
        <v>129</v>
      </c>
      <c r="N2903" s="18"/>
      <c r="O2903" s="18"/>
      <c r="P2903" s="18" t="s">
        <v>12032</v>
      </c>
      <c r="Q2903" s="18" t="s">
        <v>149</v>
      </c>
      <c r="R2903" s="18" t="s">
        <v>12033</v>
      </c>
      <c r="S2903" s="18" t="s">
        <v>140</v>
      </c>
      <c r="T2903" s="18" t="s">
        <v>12034</v>
      </c>
      <c r="U2903" s="18" t="s">
        <v>12035</v>
      </c>
      <c r="V2903" s="19" t="s">
        <v>29</v>
      </c>
      <c r="W2903" s="19"/>
      <c r="X2903" s="19"/>
      <c r="Y2903" s="20"/>
      <c r="Z2903" s="19"/>
      <c r="AA2903" s="18" t="str">
        <f aca="false">IF(OR(V2903="Aprobada"),R2903,IF(AND(OR(V2903="Aprobada con ajuste",V2903="Rechazada"),W2903&lt;&gt;""),W2903,""))</f>
        <v/>
      </c>
    </row>
    <row r="2904" customFormat="false" ht="53.7" hidden="false" customHeight="false" outlineLevel="0" collapsed="false">
      <c r="A2904" s="18" t="s">
        <v>12036</v>
      </c>
      <c r="B2904" s="18" t="s">
        <v>80</v>
      </c>
      <c r="C2904" s="18" t="s">
        <v>81</v>
      </c>
      <c r="D2904" s="18" t="s">
        <v>5096</v>
      </c>
      <c r="E2904" s="18" t="n">
        <v>130</v>
      </c>
      <c r="F2904" s="18" t="s">
        <v>12037</v>
      </c>
      <c r="G2904" s="18" t="s">
        <v>2003</v>
      </c>
      <c r="H2904" s="18" t="s">
        <v>129</v>
      </c>
      <c r="I2904" s="18"/>
      <c r="J2904" s="18"/>
      <c r="K2904" s="18"/>
      <c r="L2904" s="18" t="s">
        <v>129</v>
      </c>
      <c r="M2904" s="18" t="s">
        <v>129</v>
      </c>
      <c r="N2904" s="18"/>
      <c r="O2904" s="18"/>
      <c r="P2904" s="18" t="s">
        <v>12038</v>
      </c>
      <c r="Q2904" s="18" t="s">
        <v>131</v>
      </c>
      <c r="R2904" s="18" t="s">
        <v>12039</v>
      </c>
      <c r="S2904" s="18" t="s">
        <v>133</v>
      </c>
      <c r="T2904" s="18" t="s">
        <v>12040</v>
      </c>
      <c r="U2904" s="18"/>
      <c r="V2904" s="19" t="s">
        <v>29</v>
      </c>
      <c r="W2904" s="19"/>
      <c r="X2904" s="19"/>
      <c r="Y2904" s="20"/>
      <c r="Z2904" s="19"/>
      <c r="AA2904" s="18" t="str">
        <f aca="false">IF(OR(V2904="Aprobada"),R2904,IF(AND(OR(V2904="Aprobada con ajuste",V2904="Rechazada"),W2904&lt;&gt;""),W2904,""))</f>
        <v/>
      </c>
    </row>
    <row r="2905" customFormat="false" ht="22.35" hidden="false" customHeight="false" outlineLevel="0" collapsed="false">
      <c r="A2905" s="18" t="s">
        <v>12041</v>
      </c>
      <c r="B2905" s="18" t="s">
        <v>80</v>
      </c>
      <c r="C2905" s="18" t="s">
        <v>81</v>
      </c>
      <c r="D2905" s="18" t="s">
        <v>5096</v>
      </c>
      <c r="E2905" s="18" t="n">
        <v>130</v>
      </c>
      <c r="F2905" s="18" t="s">
        <v>1018</v>
      </c>
      <c r="G2905" s="18" t="s">
        <v>503</v>
      </c>
      <c r="H2905" s="18" t="s">
        <v>129</v>
      </c>
      <c r="I2905" s="18"/>
      <c r="J2905" s="18"/>
      <c r="K2905" s="18"/>
      <c r="L2905" s="18" t="s">
        <v>129</v>
      </c>
      <c r="M2905" s="18" t="s">
        <v>129</v>
      </c>
      <c r="N2905" s="18"/>
      <c r="O2905" s="18"/>
      <c r="P2905" s="18" t="s">
        <v>12042</v>
      </c>
      <c r="Q2905" s="18" t="s">
        <v>138</v>
      </c>
      <c r="R2905" s="18" t="s">
        <v>2302</v>
      </c>
      <c r="S2905" s="18" t="s">
        <v>140</v>
      </c>
      <c r="T2905" s="18" t="s">
        <v>141</v>
      </c>
      <c r="U2905" s="18"/>
      <c r="V2905" s="19" t="s">
        <v>29</v>
      </c>
      <c r="W2905" s="19"/>
      <c r="X2905" s="19"/>
      <c r="Y2905" s="20"/>
      <c r="Z2905" s="19"/>
      <c r="AA2905" s="18" t="str">
        <f aca="false">IF(OR(V2905="Aprobada"),R2905,IF(AND(OR(V2905="Aprobada con ajuste",V2905="Rechazada"),W2905&lt;&gt;""),W2905,""))</f>
        <v/>
      </c>
    </row>
    <row r="2906" customFormat="false" ht="22.35" hidden="false" customHeight="false" outlineLevel="0" collapsed="false">
      <c r="A2906" s="18" t="s">
        <v>12043</v>
      </c>
      <c r="B2906" s="18" t="s">
        <v>80</v>
      </c>
      <c r="C2906" s="18" t="s">
        <v>81</v>
      </c>
      <c r="D2906" s="18" t="s">
        <v>5096</v>
      </c>
      <c r="E2906" s="18" t="n">
        <v>130</v>
      </c>
      <c r="F2906" s="18" t="s">
        <v>5125</v>
      </c>
      <c r="G2906" s="18" t="s">
        <v>931</v>
      </c>
      <c r="H2906" s="18" t="s">
        <v>162</v>
      </c>
      <c r="I2906" s="18"/>
      <c r="J2906" s="18"/>
      <c r="K2906" s="18"/>
      <c r="L2906" s="18" t="s">
        <v>129</v>
      </c>
      <c r="M2906" s="18" t="s">
        <v>129</v>
      </c>
      <c r="N2906" s="18"/>
      <c r="O2906" s="18"/>
      <c r="P2906" s="18" t="s">
        <v>12044</v>
      </c>
      <c r="Q2906" s="18" t="s">
        <v>138</v>
      </c>
      <c r="R2906" s="18" t="s">
        <v>5152</v>
      </c>
      <c r="S2906" s="18" t="s">
        <v>140</v>
      </c>
      <c r="T2906" s="18" t="s">
        <v>141</v>
      </c>
      <c r="U2906" s="18"/>
      <c r="V2906" s="19" t="s">
        <v>29</v>
      </c>
      <c r="W2906" s="19"/>
      <c r="X2906" s="19"/>
      <c r="Y2906" s="20"/>
      <c r="Z2906" s="19"/>
      <c r="AA2906" s="18" t="str">
        <f aca="false">IF(OR(V2906="Aprobada"),R2906,IF(AND(OR(V2906="Aprobada con ajuste",V2906="Rechazada"),W2906&lt;&gt;""),W2906,""))</f>
        <v/>
      </c>
    </row>
    <row r="2907" customFormat="false" ht="43.25" hidden="false" customHeight="false" outlineLevel="0" collapsed="false">
      <c r="A2907" s="18" t="s">
        <v>12045</v>
      </c>
      <c r="B2907" s="18" t="s">
        <v>80</v>
      </c>
      <c r="C2907" s="18" t="s">
        <v>81</v>
      </c>
      <c r="D2907" s="18" t="s">
        <v>12046</v>
      </c>
      <c r="E2907" s="18" t="n">
        <v>40</v>
      </c>
      <c r="F2907" s="18" t="s">
        <v>11660</v>
      </c>
      <c r="G2907" s="18" t="s">
        <v>205</v>
      </c>
      <c r="H2907" s="18" t="s">
        <v>129</v>
      </c>
      <c r="I2907" s="18"/>
      <c r="J2907" s="18"/>
      <c r="K2907" s="18"/>
      <c r="L2907" s="18" t="s">
        <v>129</v>
      </c>
      <c r="M2907" s="18" t="s">
        <v>129</v>
      </c>
      <c r="N2907" s="18"/>
      <c r="O2907" s="18" t="s">
        <v>12047</v>
      </c>
      <c r="P2907" s="18" t="s">
        <v>12048</v>
      </c>
      <c r="Q2907" s="18" t="s">
        <v>149</v>
      </c>
      <c r="R2907" s="18" t="s">
        <v>12049</v>
      </c>
      <c r="S2907" s="18" t="s">
        <v>133</v>
      </c>
      <c r="T2907" s="18" t="s">
        <v>12050</v>
      </c>
      <c r="U2907" s="18"/>
      <c r="V2907" s="19" t="s">
        <v>29</v>
      </c>
      <c r="W2907" s="19"/>
      <c r="X2907" s="19"/>
      <c r="Y2907" s="20"/>
      <c r="Z2907" s="19"/>
      <c r="AA2907" s="18" t="str">
        <f aca="false">IF(OR(V2907="Aprobada"),R2907,IF(AND(OR(V2907="Aprobada con ajuste",V2907="Rechazada"),W2907&lt;&gt;""),W2907,""))</f>
        <v/>
      </c>
    </row>
    <row r="2908" customFormat="false" ht="43.25" hidden="false" customHeight="false" outlineLevel="0" collapsed="false">
      <c r="A2908" s="18" t="s">
        <v>12051</v>
      </c>
      <c r="B2908" s="18" t="s">
        <v>80</v>
      </c>
      <c r="C2908" s="18" t="s">
        <v>81</v>
      </c>
      <c r="D2908" s="18" t="s">
        <v>12046</v>
      </c>
      <c r="E2908" s="18" t="n">
        <v>40</v>
      </c>
      <c r="F2908" s="18" t="s">
        <v>611</v>
      </c>
      <c r="G2908" s="18" t="s">
        <v>2900</v>
      </c>
      <c r="H2908" s="18" t="s">
        <v>129</v>
      </c>
      <c r="I2908" s="18"/>
      <c r="J2908" s="18"/>
      <c r="K2908" s="18"/>
      <c r="L2908" s="18" t="s">
        <v>129</v>
      </c>
      <c r="M2908" s="18" t="s">
        <v>129</v>
      </c>
      <c r="N2908" s="18"/>
      <c r="O2908" s="18" t="s">
        <v>12052</v>
      </c>
      <c r="P2908" s="18" t="s">
        <v>12053</v>
      </c>
      <c r="Q2908" s="18" t="s">
        <v>131</v>
      </c>
      <c r="R2908" s="18" t="s">
        <v>12054</v>
      </c>
      <c r="S2908" s="18" t="s">
        <v>133</v>
      </c>
      <c r="T2908" s="18" t="s">
        <v>12055</v>
      </c>
      <c r="U2908" s="18"/>
      <c r="V2908" s="19" t="s">
        <v>29</v>
      </c>
      <c r="W2908" s="19"/>
      <c r="X2908" s="19"/>
      <c r="Y2908" s="20"/>
      <c r="Z2908" s="19"/>
      <c r="AA2908" s="18" t="str">
        <f aca="false">IF(OR(V2908="Aprobada"),R2908,IF(AND(OR(V2908="Aprobada con ajuste",V2908="Rechazada"),W2908&lt;&gt;""),W2908,""))</f>
        <v/>
      </c>
    </row>
    <row r="2909" customFormat="false" ht="22.35" hidden="false" customHeight="false" outlineLevel="0" collapsed="false">
      <c r="A2909" s="18" t="s">
        <v>12056</v>
      </c>
      <c r="B2909" s="18" t="s">
        <v>80</v>
      </c>
      <c r="C2909" s="18" t="s">
        <v>81</v>
      </c>
      <c r="D2909" s="18" t="s">
        <v>12046</v>
      </c>
      <c r="E2909" s="18" t="n">
        <v>40</v>
      </c>
      <c r="F2909" s="18" t="s">
        <v>3131</v>
      </c>
      <c r="G2909" s="18" t="s">
        <v>454</v>
      </c>
      <c r="H2909" s="18" t="s">
        <v>162</v>
      </c>
      <c r="I2909" s="18"/>
      <c r="J2909" s="18"/>
      <c r="K2909" s="18"/>
      <c r="L2909" s="18" t="s">
        <v>129</v>
      </c>
      <c r="M2909" s="18" t="s">
        <v>129</v>
      </c>
      <c r="N2909" s="18"/>
      <c r="O2909" s="18"/>
      <c r="P2909" s="18" t="s">
        <v>12057</v>
      </c>
      <c r="Q2909" s="18" t="s">
        <v>138</v>
      </c>
      <c r="R2909" s="18" t="s">
        <v>5152</v>
      </c>
      <c r="S2909" s="18" t="s">
        <v>140</v>
      </c>
      <c r="T2909" s="18" t="s">
        <v>141</v>
      </c>
      <c r="U2909" s="18"/>
      <c r="V2909" s="19" t="s">
        <v>29</v>
      </c>
      <c r="W2909" s="19"/>
      <c r="X2909" s="19"/>
      <c r="Y2909" s="20"/>
      <c r="Z2909" s="19"/>
      <c r="AA2909" s="18" t="str">
        <f aca="false">IF(OR(V2909="Aprobada"),R2909,IF(AND(OR(V2909="Aprobada con ajuste",V2909="Rechazada"),W2909&lt;&gt;""),W2909,""))</f>
        <v/>
      </c>
    </row>
    <row r="2910" customFormat="false" ht="43.25" hidden="false" customHeight="false" outlineLevel="0" collapsed="false">
      <c r="A2910" s="18" t="s">
        <v>12058</v>
      </c>
      <c r="B2910" s="18" t="s">
        <v>80</v>
      </c>
      <c r="C2910" s="18" t="s">
        <v>81</v>
      </c>
      <c r="D2910" s="18" t="s">
        <v>12046</v>
      </c>
      <c r="E2910" s="18" t="n">
        <v>40</v>
      </c>
      <c r="F2910" s="18" t="s">
        <v>11311</v>
      </c>
      <c r="G2910" s="18" t="s">
        <v>584</v>
      </c>
      <c r="H2910" s="18" t="s">
        <v>162</v>
      </c>
      <c r="I2910" s="18"/>
      <c r="J2910" s="18"/>
      <c r="K2910" s="18"/>
      <c r="L2910" s="18" t="s">
        <v>129</v>
      </c>
      <c r="M2910" s="18" t="s">
        <v>129</v>
      </c>
      <c r="N2910" s="18"/>
      <c r="O2910" s="18"/>
      <c r="P2910" s="18" t="s">
        <v>12059</v>
      </c>
      <c r="Q2910" s="18" t="s">
        <v>131</v>
      </c>
      <c r="R2910" s="18" t="s">
        <v>12060</v>
      </c>
      <c r="S2910" s="18" t="s">
        <v>133</v>
      </c>
      <c r="T2910" s="18" t="s">
        <v>12061</v>
      </c>
      <c r="U2910" s="18"/>
      <c r="V2910" s="19" t="s">
        <v>29</v>
      </c>
      <c r="W2910" s="19"/>
      <c r="X2910" s="19"/>
      <c r="Y2910" s="20"/>
      <c r="Z2910" s="19"/>
      <c r="AA2910" s="18" t="str">
        <f aca="false">IF(OR(V2910="Aprobada"),R2910,IF(AND(OR(V2910="Aprobada con ajuste",V2910="Rechazada"),W2910&lt;&gt;""),W2910,""))</f>
        <v/>
      </c>
    </row>
    <row r="2911" customFormat="false" ht="22.35" hidden="false" customHeight="false" outlineLevel="0" collapsed="false">
      <c r="A2911" s="18" t="s">
        <v>12062</v>
      </c>
      <c r="B2911" s="18" t="s">
        <v>80</v>
      </c>
      <c r="C2911" s="18" t="s">
        <v>81</v>
      </c>
      <c r="D2911" s="18" t="s">
        <v>12046</v>
      </c>
      <c r="E2911" s="18" t="n">
        <v>40</v>
      </c>
      <c r="F2911" s="18" t="s">
        <v>11315</v>
      </c>
      <c r="G2911" s="18" t="s">
        <v>454</v>
      </c>
      <c r="H2911" s="18" t="s">
        <v>162</v>
      </c>
      <c r="I2911" s="18"/>
      <c r="J2911" s="18"/>
      <c r="K2911" s="18"/>
      <c r="L2911" s="18" t="s">
        <v>129</v>
      </c>
      <c r="M2911" s="18" t="s">
        <v>129</v>
      </c>
      <c r="N2911" s="18"/>
      <c r="O2911" s="18"/>
      <c r="P2911" s="18" t="s">
        <v>12063</v>
      </c>
      <c r="Q2911" s="18" t="s">
        <v>138</v>
      </c>
      <c r="R2911" s="18" t="s">
        <v>11317</v>
      </c>
      <c r="S2911" s="18" t="s">
        <v>140</v>
      </c>
      <c r="T2911" s="18" t="s">
        <v>141</v>
      </c>
      <c r="U2911" s="18"/>
      <c r="V2911" s="19" t="s">
        <v>29</v>
      </c>
      <c r="W2911" s="19"/>
      <c r="X2911" s="19"/>
      <c r="Y2911" s="20"/>
      <c r="Z2911" s="19"/>
      <c r="AA2911" s="18" t="str">
        <f aca="false">IF(OR(V2911="Aprobada"),R2911,IF(AND(OR(V2911="Aprobada con ajuste",V2911="Rechazada"),W2911&lt;&gt;""),W2911,""))</f>
        <v/>
      </c>
    </row>
    <row r="2912" customFormat="false" ht="32.8" hidden="false" customHeight="false" outlineLevel="0" collapsed="false">
      <c r="A2912" s="18" t="s">
        <v>12064</v>
      </c>
      <c r="B2912" s="18" t="s">
        <v>80</v>
      </c>
      <c r="C2912" s="18" t="s">
        <v>81</v>
      </c>
      <c r="D2912" s="18" t="s">
        <v>12065</v>
      </c>
      <c r="E2912" s="18" t="n">
        <v>23</v>
      </c>
      <c r="F2912" s="18" t="s">
        <v>11660</v>
      </c>
      <c r="G2912" s="18" t="s">
        <v>205</v>
      </c>
      <c r="H2912" s="18" t="s">
        <v>129</v>
      </c>
      <c r="I2912" s="18"/>
      <c r="J2912" s="18"/>
      <c r="K2912" s="18"/>
      <c r="L2912" s="18" t="s">
        <v>129</v>
      </c>
      <c r="M2912" s="18" t="s">
        <v>129</v>
      </c>
      <c r="N2912" s="18"/>
      <c r="O2912" s="18" t="s">
        <v>12066</v>
      </c>
      <c r="P2912" s="18" t="s">
        <v>12067</v>
      </c>
      <c r="Q2912" s="18" t="s">
        <v>131</v>
      </c>
      <c r="R2912" s="18" t="s">
        <v>12068</v>
      </c>
      <c r="S2912" s="18" t="s">
        <v>133</v>
      </c>
      <c r="T2912" s="18" t="s">
        <v>12069</v>
      </c>
      <c r="U2912" s="18"/>
      <c r="V2912" s="19" t="s">
        <v>29</v>
      </c>
      <c r="W2912" s="19"/>
      <c r="X2912" s="19"/>
      <c r="Y2912" s="20"/>
      <c r="Z2912" s="19"/>
      <c r="AA2912" s="18" t="str">
        <f aca="false">IF(OR(V2912="Aprobada"),R2912,IF(AND(OR(V2912="Aprobada con ajuste",V2912="Rechazada"),W2912&lt;&gt;""),W2912,""))</f>
        <v/>
      </c>
    </row>
    <row r="2913" customFormat="false" ht="53.7" hidden="false" customHeight="false" outlineLevel="0" collapsed="false">
      <c r="A2913" s="18" t="s">
        <v>12070</v>
      </c>
      <c r="B2913" s="18" t="s">
        <v>80</v>
      </c>
      <c r="C2913" s="18" t="s">
        <v>81</v>
      </c>
      <c r="D2913" s="18" t="s">
        <v>12065</v>
      </c>
      <c r="E2913" s="18" t="n">
        <v>23</v>
      </c>
      <c r="F2913" s="18" t="s">
        <v>611</v>
      </c>
      <c r="G2913" s="18" t="s">
        <v>2900</v>
      </c>
      <c r="H2913" s="18" t="s">
        <v>129</v>
      </c>
      <c r="I2913" s="18"/>
      <c r="J2913" s="18"/>
      <c r="K2913" s="18"/>
      <c r="L2913" s="18" t="s">
        <v>129</v>
      </c>
      <c r="M2913" s="18" t="s">
        <v>129</v>
      </c>
      <c r="N2913" s="18"/>
      <c r="O2913" s="18" t="s">
        <v>12066</v>
      </c>
      <c r="P2913" s="18" t="s">
        <v>12071</v>
      </c>
      <c r="Q2913" s="18" t="s">
        <v>131</v>
      </c>
      <c r="R2913" s="18" t="s">
        <v>12072</v>
      </c>
      <c r="S2913" s="18" t="s">
        <v>133</v>
      </c>
      <c r="T2913" s="18" t="s">
        <v>12073</v>
      </c>
      <c r="U2913" s="18"/>
      <c r="V2913" s="19" t="s">
        <v>29</v>
      </c>
      <c r="W2913" s="19"/>
      <c r="X2913" s="19"/>
      <c r="Y2913" s="20"/>
      <c r="Z2913" s="19"/>
      <c r="AA2913" s="18" t="str">
        <f aca="false">IF(OR(V2913="Aprobada"),R2913,IF(AND(OR(V2913="Aprobada con ajuste",V2913="Rechazada"),W2913&lt;&gt;""),W2913,""))</f>
        <v/>
      </c>
    </row>
    <row r="2914" customFormat="false" ht="95.5" hidden="false" customHeight="false" outlineLevel="0" collapsed="false">
      <c r="A2914" s="18" t="s">
        <v>12074</v>
      </c>
      <c r="B2914" s="18" t="s">
        <v>80</v>
      </c>
      <c r="C2914" s="18" t="s">
        <v>81</v>
      </c>
      <c r="D2914" s="18" t="s">
        <v>12065</v>
      </c>
      <c r="E2914" s="18" t="n">
        <v>23</v>
      </c>
      <c r="F2914" s="18" t="s">
        <v>275</v>
      </c>
      <c r="G2914" s="18" t="s">
        <v>454</v>
      </c>
      <c r="H2914" s="18" t="s">
        <v>129</v>
      </c>
      <c r="I2914" s="18"/>
      <c r="J2914" s="18"/>
      <c r="K2914" s="18"/>
      <c r="L2914" s="18" t="s">
        <v>129</v>
      </c>
      <c r="M2914" s="18" t="s">
        <v>129</v>
      </c>
      <c r="N2914" s="18"/>
      <c r="O2914" s="18"/>
      <c r="P2914" s="18" t="s">
        <v>12075</v>
      </c>
      <c r="Q2914" s="18" t="s">
        <v>138</v>
      </c>
      <c r="R2914" s="18" t="s">
        <v>12076</v>
      </c>
      <c r="S2914" s="18" t="s">
        <v>140</v>
      </c>
      <c r="T2914" s="18" t="s">
        <v>141</v>
      </c>
      <c r="U2914" s="18"/>
      <c r="V2914" s="19" t="s">
        <v>29</v>
      </c>
      <c r="W2914" s="19"/>
      <c r="X2914" s="19"/>
      <c r="Y2914" s="20"/>
      <c r="Z2914" s="19"/>
      <c r="AA2914" s="18" t="str">
        <f aca="false">IF(OR(V2914="Aprobada"),R2914,IF(AND(OR(V2914="Aprobada con ajuste",V2914="Rechazada"),W2914&lt;&gt;""),W2914,""))</f>
        <v/>
      </c>
    </row>
    <row r="2915" customFormat="false" ht="74.6" hidden="false" customHeight="false" outlineLevel="0" collapsed="false">
      <c r="A2915" s="18" t="s">
        <v>12077</v>
      </c>
      <c r="B2915" s="18" t="s">
        <v>80</v>
      </c>
      <c r="C2915" s="18" t="s">
        <v>81</v>
      </c>
      <c r="D2915" s="18" t="s">
        <v>12065</v>
      </c>
      <c r="E2915" s="18" t="n">
        <v>23</v>
      </c>
      <c r="F2915" s="18" t="s">
        <v>160</v>
      </c>
      <c r="G2915" s="18" t="s">
        <v>128</v>
      </c>
      <c r="H2915" s="18" t="s">
        <v>162</v>
      </c>
      <c r="I2915" s="18"/>
      <c r="J2915" s="18"/>
      <c r="K2915" s="18"/>
      <c r="L2915" s="18" t="s">
        <v>129</v>
      </c>
      <c r="M2915" s="18" t="s">
        <v>129</v>
      </c>
      <c r="N2915" s="18"/>
      <c r="O2915" s="18"/>
      <c r="P2915" s="18" t="s">
        <v>12078</v>
      </c>
      <c r="Q2915" s="18" t="s">
        <v>138</v>
      </c>
      <c r="R2915" s="18" t="s">
        <v>12079</v>
      </c>
      <c r="S2915" s="18" t="s">
        <v>140</v>
      </c>
      <c r="T2915" s="18" t="s">
        <v>141</v>
      </c>
      <c r="U2915" s="18"/>
      <c r="V2915" s="19" t="s">
        <v>29</v>
      </c>
      <c r="W2915" s="19"/>
      <c r="X2915" s="19"/>
      <c r="Y2915" s="20"/>
      <c r="Z2915" s="19"/>
      <c r="AA2915" s="18" t="str">
        <f aca="false">IF(OR(V2915="Aprobada"),R2915,IF(AND(OR(V2915="Aprobada con ajuste",V2915="Rechazada"),W2915&lt;&gt;""),W2915,""))</f>
        <v/>
      </c>
    </row>
    <row r="2916" customFormat="false" ht="64.15" hidden="false" customHeight="false" outlineLevel="0" collapsed="false">
      <c r="A2916" s="18" t="s">
        <v>12080</v>
      </c>
      <c r="B2916" s="18" t="s">
        <v>80</v>
      </c>
      <c r="C2916" s="18" t="s">
        <v>81</v>
      </c>
      <c r="D2916" s="18" t="s">
        <v>12065</v>
      </c>
      <c r="E2916" s="18" t="n">
        <v>23</v>
      </c>
      <c r="F2916" s="18" t="s">
        <v>12081</v>
      </c>
      <c r="G2916" s="18" t="s">
        <v>192</v>
      </c>
      <c r="H2916" s="18" t="s">
        <v>129</v>
      </c>
      <c r="I2916" s="18"/>
      <c r="J2916" s="18"/>
      <c r="K2916" s="18"/>
      <c r="L2916" s="18" t="s">
        <v>129</v>
      </c>
      <c r="M2916" s="18" t="s">
        <v>129</v>
      </c>
      <c r="N2916" s="18"/>
      <c r="O2916" s="18"/>
      <c r="P2916" s="18" t="s">
        <v>12082</v>
      </c>
      <c r="Q2916" s="18" t="s">
        <v>131</v>
      </c>
      <c r="R2916" s="18" t="s">
        <v>12083</v>
      </c>
      <c r="S2916" s="18" t="s">
        <v>133</v>
      </c>
      <c r="T2916" s="18" t="s">
        <v>12084</v>
      </c>
      <c r="U2916" s="18"/>
      <c r="V2916" s="19" t="s">
        <v>29</v>
      </c>
      <c r="W2916" s="19"/>
      <c r="X2916" s="19"/>
      <c r="Y2916" s="20"/>
      <c r="Z2916" s="19"/>
      <c r="AA2916" s="18" t="str">
        <f aca="false">IF(OR(V2916="Aprobada"),R2916,IF(AND(OR(V2916="Aprobada con ajuste",V2916="Rechazada"),W2916&lt;&gt;""),W2916,""))</f>
        <v/>
      </c>
    </row>
    <row r="2917" customFormat="false" ht="32.8" hidden="false" customHeight="false" outlineLevel="0" collapsed="false">
      <c r="A2917" s="18" t="s">
        <v>12085</v>
      </c>
      <c r="B2917" s="18" t="s">
        <v>80</v>
      </c>
      <c r="C2917" s="18" t="s">
        <v>81</v>
      </c>
      <c r="D2917" s="18" t="s">
        <v>12065</v>
      </c>
      <c r="E2917" s="18" t="n">
        <v>23</v>
      </c>
      <c r="F2917" s="18" t="s">
        <v>907</v>
      </c>
      <c r="G2917" s="18" t="s">
        <v>173</v>
      </c>
      <c r="H2917" s="18" t="s">
        <v>129</v>
      </c>
      <c r="I2917" s="18" t="s">
        <v>298</v>
      </c>
      <c r="J2917" s="18"/>
      <c r="K2917" s="18"/>
      <c r="L2917" s="18" t="s">
        <v>129</v>
      </c>
      <c r="M2917" s="18" t="s">
        <v>129</v>
      </c>
      <c r="N2917" s="18"/>
      <c r="O2917" s="18"/>
      <c r="P2917" s="18" t="s">
        <v>12086</v>
      </c>
      <c r="Q2917" s="18" t="s">
        <v>138</v>
      </c>
      <c r="R2917" s="18" t="s">
        <v>909</v>
      </c>
      <c r="S2917" s="18" t="s">
        <v>140</v>
      </c>
      <c r="T2917" s="18" t="s">
        <v>141</v>
      </c>
      <c r="U2917" s="18"/>
      <c r="V2917" s="19" t="s">
        <v>29</v>
      </c>
      <c r="W2917" s="19"/>
      <c r="X2917" s="19"/>
      <c r="Y2917" s="20"/>
      <c r="Z2917" s="19"/>
      <c r="AA2917" s="18" t="str">
        <f aca="false">IF(OR(V2917="Aprobada"),R2917,IF(AND(OR(V2917="Aprobada con ajuste",V2917="Rechazada"),W2917&lt;&gt;""),W2917,""))</f>
        <v/>
      </c>
    </row>
    <row r="2918" customFormat="false" ht="32.8" hidden="false" customHeight="false" outlineLevel="0" collapsed="false">
      <c r="A2918" s="18" t="s">
        <v>12087</v>
      </c>
      <c r="B2918" s="18" t="s">
        <v>80</v>
      </c>
      <c r="C2918" s="18" t="s">
        <v>81</v>
      </c>
      <c r="D2918" s="18" t="s">
        <v>12065</v>
      </c>
      <c r="E2918" s="18" t="n">
        <v>23</v>
      </c>
      <c r="F2918" s="18" t="s">
        <v>937</v>
      </c>
      <c r="G2918" s="18" t="s">
        <v>503</v>
      </c>
      <c r="H2918" s="18" t="s">
        <v>129</v>
      </c>
      <c r="I2918" s="18"/>
      <c r="J2918" s="18"/>
      <c r="K2918" s="18"/>
      <c r="L2918" s="18" t="s">
        <v>129</v>
      </c>
      <c r="M2918" s="18" t="s">
        <v>129</v>
      </c>
      <c r="N2918" s="18"/>
      <c r="O2918" s="18"/>
      <c r="P2918" s="18" t="s">
        <v>12088</v>
      </c>
      <c r="Q2918" s="18" t="s">
        <v>138</v>
      </c>
      <c r="R2918" s="18" t="s">
        <v>939</v>
      </c>
      <c r="S2918" s="18" t="s">
        <v>140</v>
      </c>
      <c r="T2918" s="18" t="s">
        <v>141</v>
      </c>
      <c r="U2918" s="18"/>
      <c r="V2918" s="19" t="s">
        <v>29</v>
      </c>
      <c r="W2918" s="19"/>
      <c r="X2918" s="19"/>
      <c r="Y2918" s="20"/>
      <c r="Z2918" s="19"/>
      <c r="AA2918" s="18" t="str">
        <f aca="false">IF(OR(V2918="Aprobada"),R2918,IF(AND(OR(V2918="Aprobada con ajuste",V2918="Rechazada"),W2918&lt;&gt;""),W2918,""))</f>
        <v/>
      </c>
    </row>
    <row r="2919" customFormat="false" ht="32.8" hidden="false" customHeight="false" outlineLevel="0" collapsed="false">
      <c r="A2919" s="18" t="s">
        <v>12089</v>
      </c>
      <c r="B2919" s="18" t="s">
        <v>80</v>
      </c>
      <c r="C2919" s="18" t="s">
        <v>81</v>
      </c>
      <c r="D2919" s="18" t="s">
        <v>12065</v>
      </c>
      <c r="E2919" s="18" t="n">
        <v>23</v>
      </c>
      <c r="F2919" s="18" t="s">
        <v>172</v>
      </c>
      <c r="G2919" s="18" t="s">
        <v>173</v>
      </c>
      <c r="H2919" s="18" t="s">
        <v>129</v>
      </c>
      <c r="I2919" s="18"/>
      <c r="J2919" s="18"/>
      <c r="K2919" s="18"/>
      <c r="L2919" s="18" t="s">
        <v>129</v>
      </c>
      <c r="M2919" s="18" t="s">
        <v>129</v>
      </c>
      <c r="N2919" s="18"/>
      <c r="O2919" s="18"/>
      <c r="P2919" s="18" t="s">
        <v>12090</v>
      </c>
      <c r="Q2919" s="18" t="s">
        <v>138</v>
      </c>
      <c r="R2919" s="18" t="s">
        <v>176</v>
      </c>
      <c r="S2919" s="18" t="s">
        <v>140</v>
      </c>
      <c r="T2919" s="18" t="s">
        <v>141</v>
      </c>
      <c r="U2919" s="18"/>
      <c r="V2919" s="19" t="s">
        <v>29</v>
      </c>
      <c r="W2919" s="19"/>
      <c r="X2919" s="19"/>
      <c r="Y2919" s="20"/>
      <c r="Z2919" s="19"/>
      <c r="AA2919" s="18" t="str">
        <f aca="false">IF(OR(V2919="Aprobada"),R2919,IF(AND(OR(V2919="Aprobada con ajuste",V2919="Rechazada"),W2919&lt;&gt;""),W2919,""))</f>
        <v/>
      </c>
    </row>
    <row r="2920" customFormat="false" ht="74.6" hidden="false" customHeight="false" outlineLevel="0" collapsed="false">
      <c r="A2920" s="18" t="s">
        <v>12091</v>
      </c>
      <c r="B2920" s="18" t="s">
        <v>80</v>
      </c>
      <c r="C2920" s="18" t="s">
        <v>81</v>
      </c>
      <c r="D2920" s="18" t="s">
        <v>12092</v>
      </c>
      <c r="E2920" s="18" t="n">
        <v>0</v>
      </c>
      <c r="F2920" s="18" t="s">
        <v>160</v>
      </c>
      <c r="G2920" s="18" t="s">
        <v>161</v>
      </c>
      <c r="H2920" s="18" t="s">
        <v>129</v>
      </c>
      <c r="I2920" s="18"/>
      <c r="J2920" s="18"/>
      <c r="K2920" s="18"/>
      <c r="L2920" s="18" t="s">
        <v>129</v>
      </c>
      <c r="M2920" s="18" t="s">
        <v>129</v>
      </c>
      <c r="N2920" s="18"/>
      <c r="O2920" s="18"/>
      <c r="P2920" s="18" t="s">
        <v>12093</v>
      </c>
      <c r="Q2920" s="18" t="s">
        <v>138</v>
      </c>
      <c r="R2920" s="18" t="s">
        <v>12094</v>
      </c>
      <c r="S2920" s="18" t="s">
        <v>140</v>
      </c>
      <c r="T2920" s="18" t="s">
        <v>141</v>
      </c>
      <c r="U2920" s="18"/>
      <c r="V2920" s="19" t="s">
        <v>29</v>
      </c>
      <c r="W2920" s="19"/>
      <c r="X2920" s="19"/>
      <c r="Y2920" s="20"/>
      <c r="Z2920" s="19"/>
      <c r="AA2920" s="18" t="str">
        <f aca="false">IF(OR(V2920="Aprobada"),R2920,IF(AND(OR(V2920="Aprobada con ajuste",V2920="Rechazada"),W2920&lt;&gt;""),W2920,""))</f>
        <v/>
      </c>
    </row>
    <row r="2921" customFormat="false" ht="85.05" hidden="false" customHeight="false" outlineLevel="0" collapsed="false">
      <c r="A2921" s="18" t="s">
        <v>12095</v>
      </c>
      <c r="B2921" s="18" t="s">
        <v>80</v>
      </c>
      <c r="C2921" s="18" t="s">
        <v>81</v>
      </c>
      <c r="D2921" s="18" t="s">
        <v>12092</v>
      </c>
      <c r="E2921" s="18" t="n">
        <v>0</v>
      </c>
      <c r="F2921" s="18" t="s">
        <v>7612</v>
      </c>
      <c r="G2921" s="18" t="s">
        <v>137</v>
      </c>
      <c r="H2921" s="18" t="s">
        <v>162</v>
      </c>
      <c r="I2921" s="18"/>
      <c r="J2921" s="18"/>
      <c r="K2921" s="18"/>
      <c r="L2921" s="18" t="s">
        <v>129</v>
      </c>
      <c r="M2921" s="18" t="s">
        <v>129</v>
      </c>
      <c r="N2921" s="18"/>
      <c r="O2921" s="18"/>
      <c r="P2921" s="18" t="s">
        <v>12096</v>
      </c>
      <c r="Q2921" s="18" t="s">
        <v>131</v>
      </c>
      <c r="R2921" s="18" t="s">
        <v>12097</v>
      </c>
      <c r="S2921" s="18" t="s">
        <v>133</v>
      </c>
      <c r="T2921" s="18" t="s">
        <v>12098</v>
      </c>
      <c r="U2921" s="18"/>
      <c r="V2921" s="19" t="s">
        <v>29</v>
      </c>
      <c r="W2921" s="19"/>
      <c r="X2921" s="19"/>
      <c r="Y2921" s="20"/>
      <c r="Z2921" s="19"/>
      <c r="AA2921" s="18" t="str">
        <f aca="false">IF(OR(V2921="Aprobada"),R2921,IF(AND(OR(V2921="Aprobada con ajuste",V2921="Rechazada"),W2921&lt;&gt;""),W2921,""))</f>
        <v/>
      </c>
    </row>
    <row r="2922" customFormat="false" ht="53.7" hidden="false" customHeight="false" outlineLevel="0" collapsed="false">
      <c r="A2922" s="18" t="s">
        <v>12099</v>
      </c>
      <c r="B2922" s="18" t="s">
        <v>80</v>
      </c>
      <c r="C2922" s="18" t="s">
        <v>81</v>
      </c>
      <c r="D2922" s="18" t="s">
        <v>12092</v>
      </c>
      <c r="E2922" s="18" t="n">
        <v>0</v>
      </c>
      <c r="F2922" s="18" t="s">
        <v>3100</v>
      </c>
      <c r="G2922" s="18" t="s">
        <v>128</v>
      </c>
      <c r="H2922" s="18" t="s">
        <v>162</v>
      </c>
      <c r="I2922" s="18"/>
      <c r="J2922" s="18"/>
      <c r="K2922" s="18"/>
      <c r="L2922" s="18" t="s">
        <v>129</v>
      </c>
      <c r="M2922" s="18" t="s">
        <v>129</v>
      </c>
      <c r="N2922" s="18"/>
      <c r="O2922" s="18"/>
      <c r="P2922" s="18" t="s">
        <v>12100</v>
      </c>
      <c r="Q2922" s="18" t="s">
        <v>138</v>
      </c>
      <c r="R2922" s="18" t="s">
        <v>3728</v>
      </c>
      <c r="S2922" s="18" t="s">
        <v>140</v>
      </c>
      <c r="T2922" s="18" t="s">
        <v>141</v>
      </c>
      <c r="U2922" s="18"/>
      <c r="V2922" s="19" t="s">
        <v>29</v>
      </c>
      <c r="W2922" s="19"/>
      <c r="X2922" s="19"/>
      <c r="Y2922" s="20"/>
      <c r="Z2922" s="19"/>
      <c r="AA2922" s="18" t="str">
        <f aca="false">IF(OR(V2922="Aprobada"),R2922,IF(AND(OR(V2922="Aprobada con ajuste",V2922="Rechazada"),W2922&lt;&gt;""),W2922,""))</f>
        <v/>
      </c>
    </row>
    <row r="2923" customFormat="false" ht="116.4" hidden="false" customHeight="false" outlineLevel="0" collapsed="false">
      <c r="A2923" s="18" t="s">
        <v>12101</v>
      </c>
      <c r="B2923" s="18" t="s">
        <v>80</v>
      </c>
      <c r="C2923" s="18" t="s">
        <v>81</v>
      </c>
      <c r="D2923" s="18" t="s">
        <v>12102</v>
      </c>
      <c r="E2923" s="18" t="n">
        <v>0</v>
      </c>
      <c r="F2923" s="18" t="s">
        <v>160</v>
      </c>
      <c r="G2923" s="18" t="s">
        <v>4598</v>
      </c>
      <c r="H2923" s="18" t="s">
        <v>129</v>
      </c>
      <c r="I2923" s="18"/>
      <c r="J2923" s="18"/>
      <c r="K2923" s="18"/>
      <c r="L2923" s="18" t="s">
        <v>129</v>
      </c>
      <c r="M2923" s="18" t="s">
        <v>129</v>
      </c>
      <c r="N2923" s="18"/>
      <c r="O2923" s="18"/>
      <c r="P2923" s="18" t="s">
        <v>12103</v>
      </c>
      <c r="Q2923" s="18" t="s">
        <v>131</v>
      </c>
      <c r="R2923" s="18" t="s">
        <v>12104</v>
      </c>
      <c r="S2923" s="18" t="s">
        <v>133</v>
      </c>
      <c r="T2923" s="18" t="s">
        <v>12105</v>
      </c>
      <c r="U2923" s="18"/>
      <c r="V2923" s="19" t="s">
        <v>29</v>
      </c>
      <c r="W2923" s="19"/>
      <c r="X2923" s="19"/>
      <c r="Y2923" s="20"/>
      <c r="Z2923" s="19"/>
      <c r="AA2923" s="18" t="str">
        <f aca="false">IF(OR(V2923="Aprobada"),R2923,IF(AND(OR(V2923="Aprobada con ajuste",V2923="Rechazada"),W2923&lt;&gt;""),W2923,""))</f>
        <v/>
      </c>
    </row>
    <row r="2924" customFormat="false" ht="22.35" hidden="false" customHeight="false" outlineLevel="0" collapsed="false">
      <c r="A2924" s="18" t="s">
        <v>12106</v>
      </c>
      <c r="B2924" s="18" t="s">
        <v>80</v>
      </c>
      <c r="C2924" s="18" t="s">
        <v>81</v>
      </c>
      <c r="D2924" s="18" t="s">
        <v>12102</v>
      </c>
      <c r="E2924" s="18" t="n">
        <v>0</v>
      </c>
      <c r="F2924" s="18" t="s">
        <v>12107</v>
      </c>
      <c r="G2924" s="18" t="s">
        <v>454</v>
      </c>
      <c r="H2924" s="18" t="s">
        <v>162</v>
      </c>
      <c r="I2924" s="18"/>
      <c r="J2924" s="18"/>
      <c r="K2924" s="18"/>
      <c r="L2924" s="18" t="s">
        <v>129</v>
      </c>
      <c r="M2924" s="18" t="s">
        <v>129</v>
      </c>
      <c r="N2924" s="18"/>
      <c r="O2924" s="18"/>
      <c r="P2924" s="18" t="s">
        <v>12108</v>
      </c>
      <c r="Q2924" s="18" t="s">
        <v>138</v>
      </c>
      <c r="R2924" s="18" t="s">
        <v>5152</v>
      </c>
      <c r="S2924" s="18" t="s">
        <v>140</v>
      </c>
      <c r="T2924" s="18" t="s">
        <v>141</v>
      </c>
      <c r="U2924" s="18"/>
      <c r="V2924" s="19" t="s">
        <v>29</v>
      </c>
      <c r="W2924" s="19"/>
      <c r="X2924" s="19"/>
      <c r="Y2924" s="20"/>
      <c r="Z2924" s="19"/>
      <c r="AA2924" s="18" t="str">
        <f aca="false">IF(OR(V2924="Aprobada"),R2924,IF(AND(OR(V2924="Aprobada con ajuste",V2924="Rechazada"),W2924&lt;&gt;""),W2924,""))</f>
        <v/>
      </c>
    </row>
    <row r="2925" customFormat="false" ht="22.35" hidden="false" customHeight="false" outlineLevel="0" collapsed="false">
      <c r="A2925" s="18" t="s">
        <v>12109</v>
      </c>
      <c r="B2925" s="18" t="s">
        <v>80</v>
      </c>
      <c r="C2925" s="18" t="s">
        <v>81</v>
      </c>
      <c r="D2925" s="18" t="s">
        <v>5234</v>
      </c>
      <c r="E2925" s="18" t="n">
        <v>10</v>
      </c>
      <c r="F2925" s="18" t="s">
        <v>12110</v>
      </c>
      <c r="G2925" s="18" t="s">
        <v>2900</v>
      </c>
      <c r="H2925" s="18" t="s">
        <v>129</v>
      </c>
      <c r="I2925" s="18" t="s">
        <v>146</v>
      </c>
      <c r="J2925" s="18"/>
      <c r="K2925" s="18"/>
      <c r="L2925" s="18" t="s">
        <v>129</v>
      </c>
      <c r="M2925" s="18" t="s">
        <v>129</v>
      </c>
      <c r="N2925" s="18"/>
      <c r="O2925" s="18" t="s">
        <v>12111</v>
      </c>
      <c r="P2925" s="18" t="s">
        <v>12112</v>
      </c>
      <c r="Q2925" s="18" t="s">
        <v>149</v>
      </c>
      <c r="R2925" s="18" t="s">
        <v>12113</v>
      </c>
      <c r="S2925" s="18" t="s">
        <v>133</v>
      </c>
      <c r="T2925" s="18" t="s">
        <v>3029</v>
      </c>
      <c r="U2925" s="18"/>
      <c r="V2925" s="19" t="s">
        <v>29</v>
      </c>
      <c r="W2925" s="19"/>
      <c r="X2925" s="19"/>
      <c r="Y2925" s="20"/>
      <c r="Z2925" s="19"/>
      <c r="AA2925" s="18" t="str">
        <f aca="false">IF(OR(V2925="Aprobada"),R2925,IF(AND(OR(V2925="Aprobada con ajuste",V2925="Rechazada"),W2925&lt;&gt;""),W2925,""))</f>
        <v/>
      </c>
    </row>
    <row r="2926" customFormat="false" ht="22.35" hidden="false" customHeight="false" outlineLevel="0" collapsed="false">
      <c r="A2926" s="18" t="s">
        <v>12114</v>
      </c>
      <c r="B2926" s="18" t="s">
        <v>80</v>
      </c>
      <c r="C2926" s="18" t="s">
        <v>81</v>
      </c>
      <c r="D2926" s="18" t="s">
        <v>5234</v>
      </c>
      <c r="E2926" s="18" t="n">
        <v>10</v>
      </c>
      <c r="F2926" s="18" t="s">
        <v>185</v>
      </c>
      <c r="G2926" s="18" t="s">
        <v>288</v>
      </c>
      <c r="H2926" s="18" t="s">
        <v>129</v>
      </c>
      <c r="I2926" s="18" t="s">
        <v>298</v>
      </c>
      <c r="J2926" s="18" t="s">
        <v>12115</v>
      </c>
      <c r="K2926" s="18"/>
      <c r="L2926" s="18" t="s">
        <v>162</v>
      </c>
      <c r="M2926" s="18" t="s">
        <v>129</v>
      </c>
      <c r="N2926" s="18"/>
      <c r="O2926" s="18" t="s">
        <v>12116</v>
      </c>
      <c r="P2926" s="18" t="s">
        <v>12117</v>
      </c>
      <c r="Q2926" s="18" t="s">
        <v>138</v>
      </c>
      <c r="R2926" s="18" t="s">
        <v>12118</v>
      </c>
      <c r="S2926" s="18" t="s">
        <v>140</v>
      </c>
      <c r="T2926" s="18" t="s">
        <v>141</v>
      </c>
      <c r="U2926" s="18"/>
      <c r="V2926" s="19" t="s">
        <v>29</v>
      </c>
      <c r="W2926" s="19"/>
      <c r="X2926" s="19"/>
      <c r="Y2926" s="20"/>
      <c r="Z2926" s="19"/>
      <c r="AA2926" s="18" t="str">
        <f aca="false">IF(OR(V2926="Aprobada"),R2926,IF(AND(OR(V2926="Aprobada con ajuste",V2926="Rechazada"),W2926&lt;&gt;""),W2926,""))</f>
        <v/>
      </c>
    </row>
    <row r="2927" customFormat="false" ht="22.35" hidden="false" customHeight="false" outlineLevel="0" collapsed="false">
      <c r="A2927" s="18" t="s">
        <v>12119</v>
      </c>
      <c r="B2927" s="18" t="s">
        <v>80</v>
      </c>
      <c r="C2927" s="18" t="s">
        <v>81</v>
      </c>
      <c r="D2927" s="18" t="s">
        <v>5234</v>
      </c>
      <c r="E2927" s="18" t="n">
        <v>10</v>
      </c>
      <c r="F2927" s="18" t="s">
        <v>3427</v>
      </c>
      <c r="G2927" s="18" t="s">
        <v>584</v>
      </c>
      <c r="H2927" s="18" t="s">
        <v>129</v>
      </c>
      <c r="I2927" s="18"/>
      <c r="J2927" s="18"/>
      <c r="K2927" s="18"/>
      <c r="L2927" s="18" t="s">
        <v>129</v>
      </c>
      <c r="M2927" s="18" t="s">
        <v>129</v>
      </c>
      <c r="N2927" s="18"/>
      <c r="O2927" s="18"/>
      <c r="P2927" s="18" t="s">
        <v>12120</v>
      </c>
      <c r="Q2927" s="18" t="s">
        <v>138</v>
      </c>
      <c r="R2927" s="18" t="s">
        <v>3428</v>
      </c>
      <c r="S2927" s="18" t="s">
        <v>140</v>
      </c>
      <c r="T2927" s="18" t="s">
        <v>141</v>
      </c>
      <c r="U2927" s="18"/>
      <c r="V2927" s="19" t="s">
        <v>29</v>
      </c>
      <c r="W2927" s="19"/>
      <c r="X2927" s="19"/>
      <c r="Y2927" s="20"/>
      <c r="Z2927" s="19"/>
      <c r="AA2927" s="18" t="str">
        <f aca="false">IF(OR(V2927="Aprobada"),R2927,IF(AND(OR(V2927="Aprobada con ajuste",V2927="Rechazada"),W2927&lt;&gt;""),W2927,""))</f>
        <v/>
      </c>
    </row>
    <row r="2928" customFormat="false" ht="43.25" hidden="false" customHeight="false" outlineLevel="0" collapsed="false">
      <c r="A2928" s="18" t="s">
        <v>12121</v>
      </c>
      <c r="B2928" s="18" t="s">
        <v>80</v>
      </c>
      <c r="C2928" s="18" t="s">
        <v>81</v>
      </c>
      <c r="D2928" s="18" t="s">
        <v>5234</v>
      </c>
      <c r="E2928" s="18" t="n">
        <v>10</v>
      </c>
      <c r="F2928" s="18" t="s">
        <v>12122</v>
      </c>
      <c r="G2928" s="18" t="s">
        <v>584</v>
      </c>
      <c r="H2928" s="18" t="s">
        <v>162</v>
      </c>
      <c r="I2928" s="18" t="s">
        <v>298</v>
      </c>
      <c r="J2928" s="18"/>
      <c r="K2928" s="18"/>
      <c r="L2928" s="18" t="s">
        <v>129</v>
      </c>
      <c r="M2928" s="18" t="s">
        <v>129</v>
      </c>
      <c r="N2928" s="18"/>
      <c r="O2928" s="18"/>
      <c r="P2928" s="18" t="s">
        <v>12123</v>
      </c>
      <c r="Q2928" s="18" t="s">
        <v>131</v>
      </c>
      <c r="R2928" s="18" t="s">
        <v>12124</v>
      </c>
      <c r="S2928" s="18" t="s">
        <v>140</v>
      </c>
      <c r="T2928" s="18" t="s">
        <v>12125</v>
      </c>
      <c r="U2928" s="18" t="s">
        <v>12126</v>
      </c>
      <c r="V2928" s="19" t="s">
        <v>29</v>
      </c>
      <c r="W2928" s="19"/>
      <c r="X2928" s="19"/>
      <c r="Y2928" s="20"/>
      <c r="Z2928" s="19"/>
      <c r="AA2928" s="18" t="str">
        <f aca="false">IF(OR(V2928="Aprobada"),R2928,IF(AND(OR(V2928="Aprobada con ajuste",V2928="Rechazada"),W2928&lt;&gt;""),W2928,""))</f>
        <v/>
      </c>
    </row>
    <row r="2929" customFormat="false" ht="22.35" hidden="false" customHeight="false" outlineLevel="0" collapsed="false">
      <c r="A2929" s="18" t="s">
        <v>12127</v>
      </c>
      <c r="B2929" s="18" t="s">
        <v>80</v>
      </c>
      <c r="C2929" s="18" t="s">
        <v>81</v>
      </c>
      <c r="D2929" s="18" t="s">
        <v>5234</v>
      </c>
      <c r="E2929" s="18" t="n">
        <v>10</v>
      </c>
      <c r="F2929" s="18" t="s">
        <v>12128</v>
      </c>
      <c r="G2929" s="18" t="s">
        <v>454</v>
      </c>
      <c r="H2929" s="18" t="s">
        <v>162</v>
      </c>
      <c r="I2929" s="18"/>
      <c r="J2929" s="18"/>
      <c r="K2929" s="18"/>
      <c r="L2929" s="18" t="s">
        <v>129</v>
      </c>
      <c r="M2929" s="18" t="s">
        <v>129</v>
      </c>
      <c r="N2929" s="18"/>
      <c r="O2929" s="18"/>
      <c r="P2929" s="18" t="s">
        <v>12129</v>
      </c>
      <c r="Q2929" s="18" t="s">
        <v>131</v>
      </c>
      <c r="R2929" s="18" t="s">
        <v>12130</v>
      </c>
      <c r="S2929" s="18" t="s">
        <v>140</v>
      </c>
      <c r="T2929" s="18" t="s">
        <v>873</v>
      </c>
      <c r="U2929" s="18" t="s">
        <v>4673</v>
      </c>
      <c r="V2929" s="19" t="s">
        <v>29</v>
      </c>
      <c r="W2929" s="19"/>
      <c r="X2929" s="19"/>
      <c r="Y2929" s="20"/>
      <c r="Z2929" s="19"/>
      <c r="AA2929" s="18" t="str">
        <f aca="false">IF(OR(V2929="Aprobada"),R2929,IF(AND(OR(V2929="Aprobada con ajuste",V2929="Rechazada"),W2929&lt;&gt;""),W2929,""))</f>
        <v/>
      </c>
    </row>
    <row r="2930" customFormat="false" ht="105.95" hidden="false" customHeight="false" outlineLevel="0" collapsed="false">
      <c r="A2930" s="18" t="s">
        <v>12131</v>
      </c>
      <c r="B2930" s="18" t="s">
        <v>80</v>
      </c>
      <c r="C2930" s="18" t="s">
        <v>81</v>
      </c>
      <c r="D2930" s="18" t="s">
        <v>5234</v>
      </c>
      <c r="E2930" s="18" t="n">
        <v>10</v>
      </c>
      <c r="F2930" s="18" t="s">
        <v>12132</v>
      </c>
      <c r="G2930" s="18" t="s">
        <v>931</v>
      </c>
      <c r="H2930" s="18" t="s">
        <v>162</v>
      </c>
      <c r="I2930" s="18"/>
      <c r="J2930" s="18"/>
      <c r="K2930" s="18"/>
      <c r="L2930" s="18" t="s">
        <v>129</v>
      </c>
      <c r="M2930" s="18" t="s">
        <v>129</v>
      </c>
      <c r="N2930" s="18"/>
      <c r="O2930" s="18"/>
      <c r="P2930" s="18" t="s">
        <v>12133</v>
      </c>
      <c r="Q2930" s="18" t="s">
        <v>131</v>
      </c>
      <c r="R2930" s="18" t="s">
        <v>12134</v>
      </c>
      <c r="S2930" s="18" t="s">
        <v>133</v>
      </c>
      <c r="T2930" s="18" t="s">
        <v>12135</v>
      </c>
      <c r="U2930" s="18"/>
      <c r="V2930" s="19" t="s">
        <v>29</v>
      </c>
      <c r="W2930" s="19"/>
      <c r="X2930" s="19"/>
      <c r="Y2930" s="20"/>
      <c r="Z2930" s="19"/>
      <c r="AA2930" s="18" t="str">
        <f aca="false">IF(OR(V2930="Aprobada"),R2930,IF(AND(OR(V2930="Aprobada con ajuste",V2930="Rechazada"),W2930&lt;&gt;""),W2930,""))</f>
        <v/>
      </c>
    </row>
    <row r="2931" customFormat="false" ht="22.35" hidden="false" customHeight="false" outlineLevel="0" collapsed="false">
      <c r="A2931" s="18" t="s">
        <v>12136</v>
      </c>
      <c r="B2931" s="18" t="s">
        <v>80</v>
      </c>
      <c r="C2931" s="18" t="s">
        <v>81</v>
      </c>
      <c r="D2931" s="18" t="s">
        <v>5234</v>
      </c>
      <c r="E2931" s="18" t="n">
        <v>10</v>
      </c>
      <c r="F2931" s="18" t="s">
        <v>12137</v>
      </c>
      <c r="G2931" s="18" t="s">
        <v>128</v>
      </c>
      <c r="H2931" s="18" t="s">
        <v>162</v>
      </c>
      <c r="I2931" s="18"/>
      <c r="J2931" s="18"/>
      <c r="K2931" s="18"/>
      <c r="L2931" s="18" t="s">
        <v>129</v>
      </c>
      <c r="M2931" s="18" t="s">
        <v>129</v>
      </c>
      <c r="N2931" s="18"/>
      <c r="O2931" s="18"/>
      <c r="P2931" s="18" t="s">
        <v>12138</v>
      </c>
      <c r="Q2931" s="18" t="s">
        <v>131</v>
      </c>
      <c r="R2931" s="18" t="s">
        <v>12139</v>
      </c>
      <c r="S2931" s="18" t="s">
        <v>133</v>
      </c>
      <c r="T2931" s="18" t="s">
        <v>183</v>
      </c>
      <c r="U2931" s="18"/>
      <c r="V2931" s="19" t="s">
        <v>29</v>
      </c>
      <c r="W2931" s="19"/>
      <c r="X2931" s="19"/>
      <c r="Y2931" s="20"/>
      <c r="Z2931" s="19"/>
      <c r="AA2931" s="18" t="str">
        <f aca="false">IF(OR(V2931="Aprobada"),R2931,IF(AND(OR(V2931="Aprobada con ajuste",V2931="Rechazada"),W2931&lt;&gt;""),W2931,""))</f>
        <v/>
      </c>
    </row>
    <row r="2932" customFormat="false" ht="64.15" hidden="false" customHeight="false" outlineLevel="0" collapsed="false">
      <c r="A2932" s="18" t="s">
        <v>12140</v>
      </c>
      <c r="B2932" s="18" t="s">
        <v>80</v>
      </c>
      <c r="C2932" s="18" t="s">
        <v>81</v>
      </c>
      <c r="D2932" s="18" t="s">
        <v>5234</v>
      </c>
      <c r="E2932" s="18" t="n">
        <v>10</v>
      </c>
      <c r="F2932" s="18" t="s">
        <v>12141</v>
      </c>
      <c r="G2932" s="18" t="s">
        <v>584</v>
      </c>
      <c r="H2932" s="18" t="s">
        <v>162</v>
      </c>
      <c r="I2932" s="18" t="s">
        <v>298</v>
      </c>
      <c r="J2932" s="18"/>
      <c r="K2932" s="18"/>
      <c r="L2932" s="18" t="s">
        <v>129</v>
      </c>
      <c r="M2932" s="18" t="s">
        <v>129</v>
      </c>
      <c r="N2932" s="18"/>
      <c r="O2932" s="18"/>
      <c r="P2932" s="18" t="s">
        <v>12142</v>
      </c>
      <c r="Q2932" s="18" t="s">
        <v>131</v>
      </c>
      <c r="R2932" s="18" t="s">
        <v>12143</v>
      </c>
      <c r="S2932" s="18" t="s">
        <v>133</v>
      </c>
      <c r="T2932" s="18" t="s">
        <v>12144</v>
      </c>
      <c r="U2932" s="18"/>
      <c r="V2932" s="19" t="s">
        <v>29</v>
      </c>
      <c r="W2932" s="19"/>
      <c r="X2932" s="19"/>
      <c r="Y2932" s="20"/>
      <c r="Z2932" s="19"/>
      <c r="AA2932" s="18" t="str">
        <f aca="false">IF(OR(V2932="Aprobada"),R2932,IF(AND(OR(V2932="Aprobada con ajuste",V2932="Rechazada"),W2932&lt;&gt;""),W2932,""))</f>
        <v/>
      </c>
    </row>
    <row r="2933" customFormat="false" ht="22.35" hidden="false" customHeight="false" outlineLevel="0" collapsed="false">
      <c r="A2933" s="18" t="s">
        <v>12145</v>
      </c>
      <c r="B2933" s="18" t="s">
        <v>80</v>
      </c>
      <c r="C2933" s="18" t="s">
        <v>81</v>
      </c>
      <c r="D2933" s="18" t="s">
        <v>5234</v>
      </c>
      <c r="E2933" s="18" t="n">
        <v>10</v>
      </c>
      <c r="F2933" s="18" t="s">
        <v>12146</v>
      </c>
      <c r="G2933" s="18" t="s">
        <v>454</v>
      </c>
      <c r="H2933" s="18" t="s">
        <v>162</v>
      </c>
      <c r="I2933" s="18"/>
      <c r="J2933" s="18"/>
      <c r="K2933" s="18"/>
      <c r="L2933" s="18" t="s">
        <v>129</v>
      </c>
      <c r="M2933" s="18" t="s">
        <v>129</v>
      </c>
      <c r="N2933" s="18"/>
      <c r="O2933" s="18"/>
      <c r="P2933" s="18" t="s">
        <v>12147</v>
      </c>
      <c r="Q2933" s="18" t="s">
        <v>131</v>
      </c>
      <c r="R2933" s="18" t="s">
        <v>12148</v>
      </c>
      <c r="S2933" s="18" t="s">
        <v>140</v>
      </c>
      <c r="T2933" s="18" t="s">
        <v>183</v>
      </c>
      <c r="U2933" s="18" t="s">
        <v>4673</v>
      </c>
      <c r="V2933" s="19" t="s">
        <v>29</v>
      </c>
      <c r="W2933" s="19"/>
      <c r="X2933" s="19"/>
      <c r="Y2933" s="20"/>
      <c r="Z2933" s="19"/>
      <c r="AA2933" s="18" t="str">
        <f aca="false">IF(OR(V2933="Aprobada"),R2933,IF(AND(OR(V2933="Aprobada con ajuste",V2933="Rechazada"),W2933&lt;&gt;""),W2933,""))</f>
        <v/>
      </c>
    </row>
    <row r="2934" customFormat="false" ht="22.35" hidden="false" customHeight="false" outlineLevel="0" collapsed="false">
      <c r="A2934" s="18" t="s">
        <v>12149</v>
      </c>
      <c r="B2934" s="18" t="s">
        <v>80</v>
      </c>
      <c r="C2934" s="18" t="s">
        <v>81</v>
      </c>
      <c r="D2934" s="18" t="s">
        <v>5234</v>
      </c>
      <c r="E2934" s="18" t="n">
        <v>10</v>
      </c>
      <c r="F2934" s="18" t="s">
        <v>12150</v>
      </c>
      <c r="G2934" s="18" t="s">
        <v>128</v>
      </c>
      <c r="H2934" s="18" t="s">
        <v>162</v>
      </c>
      <c r="I2934" s="18" t="s">
        <v>298</v>
      </c>
      <c r="J2934" s="18"/>
      <c r="K2934" s="18"/>
      <c r="L2934" s="18" t="s">
        <v>129</v>
      </c>
      <c r="M2934" s="18" t="s">
        <v>129</v>
      </c>
      <c r="N2934" s="18"/>
      <c r="O2934" s="18"/>
      <c r="P2934" s="18" t="s">
        <v>12151</v>
      </c>
      <c r="Q2934" s="18" t="s">
        <v>131</v>
      </c>
      <c r="R2934" s="18" t="s">
        <v>12152</v>
      </c>
      <c r="S2934" s="18" t="s">
        <v>133</v>
      </c>
      <c r="T2934" s="18" t="s">
        <v>873</v>
      </c>
      <c r="U2934" s="18"/>
      <c r="V2934" s="19" t="s">
        <v>29</v>
      </c>
      <c r="W2934" s="19"/>
      <c r="X2934" s="19"/>
      <c r="Y2934" s="20"/>
      <c r="Z2934" s="19"/>
      <c r="AA2934" s="18" t="str">
        <f aca="false">IF(OR(V2934="Aprobada"),R2934,IF(AND(OR(V2934="Aprobada con ajuste",V2934="Rechazada"),W2934&lt;&gt;""),W2934,""))</f>
        <v/>
      </c>
    </row>
    <row r="2935" customFormat="false" ht="74.6" hidden="false" customHeight="false" outlineLevel="0" collapsed="false">
      <c r="A2935" s="18" t="s">
        <v>12153</v>
      </c>
      <c r="B2935" s="18" t="s">
        <v>80</v>
      </c>
      <c r="C2935" s="18" t="s">
        <v>81</v>
      </c>
      <c r="D2935" s="18" t="s">
        <v>12154</v>
      </c>
      <c r="E2935" s="18" t="n">
        <v>2</v>
      </c>
      <c r="F2935" s="18" t="s">
        <v>12155</v>
      </c>
      <c r="G2935" s="18" t="s">
        <v>205</v>
      </c>
      <c r="H2935" s="18" t="s">
        <v>129</v>
      </c>
      <c r="I2935" s="18" t="s">
        <v>298</v>
      </c>
      <c r="J2935" s="18" t="s">
        <v>12156</v>
      </c>
      <c r="K2935" s="18"/>
      <c r="L2935" s="18" t="s">
        <v>162</v>
      </c>
      <c r="M2935" s="18" t="s">
        <v>129</v>
      </c>
      <c r="N2935" s="18"/>
      <c r="O2935" s="18" t="s">
        <v>12157</v>
      </c>
      <c r="P2935" s="18" t="s">
        <v>12158</v>
      </c>
      <c r="Q2935" s="18" t="s">
        <v>131</v>
      </c>
      <c r="R2935" s="18" t="s">
        <v>12159</v>
      </c>
      <c r="S2935" s="18" t="s">
        <v>133</v>
      </c>
      <c r="T2935" s="18" t="s">
        <v>12160</v>
      </c>
      <c r="U2935" s="18"/>
      <c r="V2935" s="19" t="s">
        <v>29</v>
      </c>
      <c r="W2935" s="19"/>
      <c r="X2935" s="19"/>
      <c r="Y2935" s="20"/>
      <c r="Z2935" s="19"/>
      <c r="AA2935" s="18" t="str">
        <f aca="false">IF(OR(V2935="Aprobada"),R2935,IF(AND(OR(V2935="Aprobada con ajuste",V2935="Rechazada"),W2935&lt;&gt;""),W2935,""))</f>
        <v/>
      </c>
    </row>
    <row r="2936" customFormat="false" ht="85.05" hidden="false" customHeight="false" outlineLevel="0" collapsed="false">
      <c r="A2936" s="18" t="s">
        <v>12161</v>
      </c>
      <c r="B2936" s="18" t="s">
        <v>80</v>
      </c>
      <c r="C2936" s="18" t="s">
        <v>81</v>
      </c>
      <c r="D2936" s="18" t="s">
        <v>12154</v>
      </c>
      <c r="E2936" s="18" t="n">
        <v>2</v>
      </c>
      <c r="F2936" s="18" t="s">
        <v>12162</v>
      </c>
      <c r="G2936" s="18" t="s">
        <v>4598</v>
      </c>
      <c r="H2936" s="18" t="s">
        <v>129</v>
      </c>
      <c r="I2936" s="18"/>
      <c r="J2936" s="18"/>
      <c r="K2936" s="18"/>
      <c r="L2936" s="18" t="s">
        <v>129</v>
      </c>
      <c r="M2936" s="18" t="s">
        <v>129</v>
      </c>
      <c r="N2936" s="18"/>
      <c r="O2936" s="18"/>
      <c r="P2936" s="18" t="s">
        <v>12163</v>
      </c>
      <c r="Q2936" s="18" t="s">
        <v>131</v>
      </c>
      <c r="R2936" s="18" t="s">
        <v>12164</v>
      </c>
      <c r="S2936" s="18" t="s">
        <v>133</v>
      </c>
      <c r="T2936" s="18" t="s">
        <v>12165</v>
      </c>
      <c r="U2936" s="18"/>
      <c r="V2936" s="19" t="s">
        <v>29</v>
      </c>
      <c r="W2936" s="19"/>
      <c r="X2936" s="19"/>
      <c r="Y2936" s="20"/>
      <c r="Z2936" s="19"/>
      <c r="AA2936" s="18" t="str">
        <f aca="false">IF(OR(V2936="Aprobada"),R2936,IF(AND(OR(V2936="Aprobada con ajuste",V2936="Rechazada"),W2936&lt;&gt;""),W2936,""))</f>
        <v/>
      </c>
    </row>
    <row r="2937" customFormat="false" ht="32.8" hidden="false" customHeight="false" outlineLevel="0" collapsed="false">
      <c r="A2937" s="18" t="s">
        <v>12166</v>
      </c>
      <c r="B2937" s="18" t="s">
        <v>80</v>
      </c>
      <c r="C2937" s="18" t="s">
        <v>81</v>
      </c>
      <c r="D2937" s="18" t="s">
        <v>12154</v>
      </c>
      <c r="E2937" s="18" t="n">
        <v>2</v>
      </c>
      <c r="F2937" s="18" t="s">
        <v>12167</v>
      </c>
      <c r="G2937" s="18" t="s">
        <v>288</v>
      </c>
      <c r="H2937" s="18" t="s">
        <v>162</v>
      </c>
      <c r="I2937" s="18"/>
      <c r="J2937" s="18"/>
      <c r="K2937" s="18"/>
      <c r="L2937" s="18" t="s">
        <v>129</v>
      </c>
      <c r="M2937" s="18" t="s">
        <v>129</v>
      </c>
      <c r="N2937" s="18"/>
      <c r="O2937" s="18"/>
      <c r="P2937" s="18" t="s">
        <v>12168</v>
      </c>
      <c r="Q2937" s="18" t="s">
        <v>149</v>
      </c>
      <c r="R2937" s="18" t="s">
        <v>12169</v>
      </c>
      <c r="S2937" s="18" t="s">
        <v>133</v>
      </c>
      <c r="T2937" s="18" t="s">
        <v>12170</v>
      </c>
      <c r="U2937" s="18"/>
      <c r="V2937" s="19" t="s">
        <v>29</v>
      </c>
      <c r="W2937" s="19"/>
      <c r="X2937" s="19"/>
      <c r="Y2937" s="20"/>
      <c r="Z2937" s="19"/>
      <c r="AA2937" s="18" t="str">
        <f aca="false">IF(OR(V2937="Aprobada"),R2937,IF(AND(OR(V2937="Aprobada con ajuste",V2937="Rechazada"),W2937&lt;&gt;""),W2937,""))</f>
        <v/>
      </c>
    </row>
    <row r="2938" customFormat="false" ht="74.6" hidden="false" customHeight="false" outlineLevel="0" collapsed="false">
      <c r="A2938" s="18" t="s">
        <v>12171</v>
      </c>
      <c r="B2938" s="18" t="s">
        <v>80</v>
      </c>
      <c r="C2938" s="18" t="s">
        <v>81</v>
      </c>
      <c r="D2938" s="18" t="s">
        <v>12154</v>
      </c>
      <c r="E2938" s="18" t="n">
        <v>2</v>
      </c>
      <c r="F2938" s="18" t="s">
        <v>2016</v>
      </c>
      <c r="G2938" s="18" t="s">
        <v>454</v>
      </c>
      <c r="H2938" s="18" t="s">
        <v>162</v>
      </c>
      <c r="I2938" s="18"/>
      <c r="J2938" s="18"/>
      <c r="K2938" s="18"/>
      <c r="L2938" s="18" t="s">
        <v>129</v>
      </c>
      <c r="M2938" s="18" t="s">
        <v>129</v>
      </c>
      <c r="N2938" s="18"/>
      <c r="O2938" s="18"/>
      <c r="P2938" s="18" t="s">
        <v>12172</v>
      </c>
      <c r="Q2938" s="18" t="s">
        <v>131</v>
      </c>
      <c r="R2938" s="18" t="s">
        <v>12173</v>
      </c>
      <c r="S2938" s="18" t="s">
        <v>133</v>
      </c>
      <c r="T2938" s="18" t="s">
        <v>12174</v>
      </c>
      <c r="U2938" s="18"/>
      <c r="V2938" s="19" t="s">
        <v>29</v>
      </c>
      <c r="W2938" s="19"/>
      <c r="X2938" s="19"/>
      <c r="Y2938" s="20"/>
      <c r="Z2938" s="19"/>
      <c r="AA2938" s="18" t="str">
        <f aca="false">IF(OR(V2938="Aprobada"),R2938,IF(AND(OR(V2938="Aprobada con ajuste",V2938="Rechazada"),W2938&lt;&gt;""),W2938,""))</f>
        <v/>
      </c>
    </row>
    <row r="2939" customFormat="false" ht="64.15" hidden="false" customHeight="false" outlineLevel="0" collapsed="false">
      <c r="A2939" s="18" t="s">
        <v>12175</v>
      </c>
      <c r="B2939" s="18" t="s">
        <v>80</v>
      </c>
      <c r="C2939" s="18" t="s">
        <v>81</v>
      </c>
      <c r="D2939" s="18" t="s">
        <v>12154</v>
      </c>
      <c r="E2939" s="18" t="n">
        <v>2</v>
      </c>
      <c r="F2939" s="18" t="s">
        <v>12176</v>
      </c>
      <c r="G2939" s="18" t="s">
        <v>137</v>
      </c>
      <c r="H2939" s="18" t="s">
        <v>129</v>
      </c>
      <c r="I2939" s="18"/>
      <c r="J2939" s="18"/>
      <c r="K2939" s="18"/>
      <c r="L2939" s="18" t="s">
        <v>129</v>
      </c>
      <c r="M2939" s="18" t="s">
        <v>129</v>
      </c>
      <c r="N2939" s="18"/>
      <c r="O2939" s="18"/>
      <c r="P2939" s="18" t="s">
        <v>12177</v>
      </c>
      <c r="Q2939" s="18" t="s">
        <v>131</v>
      </c>
      <c r="R2939" s="18" t="s">
        <v>12178</v>
      </c>
      <c r="S2939" s="18" t="s">
        <v>133</v>
      </c>
      <c r="T2939" s="18" t="s">
        <v>12179</v>
      </c>
      <c r="U2939" s="18"/>
      <c r="V2939" s="19" t="s">
        <v>29</v>
      </c>
      <c r="W2939" s="19"/>
      <c r="X2939" s="19"/>
      <c r="Y2939" s="20"/>
      <c r="Z2939" s="19"/>
      <c r="AA2939" s="18" t="str">
        <f aca="false">IF(OR(V2939="Aprobada"),R2939,IF(AND(OR(V2939="Aprobada con ajuste",V2939="Rechazada"),W2939&lt;&gt;""),W2939,""))</f>
        <v/>
      </c>
    </row>
    <row r="2940" customFormat="false" ht="32.8" hidden="false" customHeight="false" outlineLevel="0" collapsed="false">
      <c r="A2940" s="18" t="s">
        <v>12180</v>
      </c>
      <c r="B2940" s="18" t="s">
        <v>80</v>
      </c>
      <c r="C2940" s="18" t="s">
        <v>81</v>
      </c>
      <c r="D2940" s="18" t="s">
        <v>12154</v>
      </c>
      <c r="E2940" s="18" t="n">
        <v>2</v>
      </c>
      <c r="F2940" s="18" t="s">
        <v>12181</v>
      </c>
      <c r="G2940" s="18" t="s">
        <v>2003</v>
      </c>
      <c r="H2940" s="18" t="s">
        <v>162</v>
      </c>
      <c r="I2940" s="18"/>
      <c r="J2940" s="18"/>
      <c r="K2940" s="18"/>
      <c r="L2940" s="18" t="s">
        <v>129</v>
      </c>
      <c r="M2940" s="18" t="s">
        <v>129</v>
      </c>
      <c r="N2940" s="18"/>
      <c r="O2940" s="18"/>
      <c r="P2940" s="18" t="s">
        <v>12182</v>
      </c>
      <c r="Q2940" s="18" t="s">
        <v>131</v>
      </c>
      <c r="R2940" s="18" t="s">
        <v>12183</v>
      </c>
      <c r="S2940" s="18" t="s">
        <v>133</v>
      </c>
      <c r="T2940" s="18" t="s">
        <v>12184</v>
      </c>
      <c r="U2940" s="18" t="s">
        <v>12185</v>
      </c>
      <c r="V2940" s="19" t="s">
        <v>29</v>
      </c>
      <c r="W2940" s="19"/>
      <c r="X2940" s="19"/>
      <c r="Y2940" s="20"/>
      <c r="Z2940" s="19"/>
      <c r="AA2940" s="18" t="str">
        <f aca="false">IF(OR(V2940="Aprobada"),R2940,IF(AND(OR(V2940="Aprobada con ajuste",V2940="Rechazada"),W2940&lt;&gt;""),W2940,""))</f>
        <v/>
      </c>
    </row>
    <row r="2941" customFormat="false" ht="43.25" hidden="false" customHeight="false" outlineLevel="0" collapsed="false">
      <c r="A2941" s="18" t="s">
        <v>12186</v>
      </c>
      <c r="B2941" s="18" t="s">
        <v>80</v>
      </c>
      <c r="C2941" s="18" t="s">
        <v>81</v>
      </c>
      <c r="D2941" s="18" t="s">
        <v>12187</v>
      </c>
      <c r="E2941" s="18" t="n">
        <v>1</v>
      </c>
      <c r="F2941" s="18" t="s">
        <v>12188</v>
      </c>
      <c r="G2941" s="18" t="s">
        <v>454</v>
      </c>
      <c r="H2941" s="18" t="s">
        <v>129</v>
      </c>
      <c r="I2941" s="18"/>
      <c r="J2941" s="18"/>
      <c r="K2941" s="18"/>
      <c r="L2941" s="18" t="s">
        <v>129</v>
      </c>
      <c r="M2941" s="18" t="s">
        <v>129</v>
      </c>
      <c r="N2941" s="18"/>
      <c r="O2941" s="18"/>
      <c r="P2941" s="18" t="s">
        <v>12189</v>
      </c>
      <c r="Q2941" s="18" t="s">
        <v>149</v>
      </c>
      <c r="R2941" s="18" t="s">
        <v>12190</v>
      </c>
      <c r="S2941" s="18" t="s">
        <v>133</v>
      </c>
      <c r="T2941" s="18" t="s">
        <v>3165</v>
      </c>
      <c r="U2941" s="18"/>
      <c r="V2941" s="19" t="s">
        <v>29</v>
      </c>
      <c r="W2941" s="19"/>
      <c r="X2941" s="19"/>
      <c r="Y2941" s="20"/>
      <c r="Z2941" s="19"/>
      <c r="AA2941" s="18" t="str">
        <f aca="false">IF(OR(V2941="Aprobada"),R2941,IF(AND(OR(V2941="Aprobada con ajuste",V2941="Rechazada"),W2941&lt;&gt;""),W2941,""))</f>
        <v/>
      </c>
    </row>
    <row r="2942" customFormat="false" ht="32.8" hidden="false" customHeight="false" outlineLevel="0" collapsed="false">
      <c r="A2942" s="18" t="s">
        <v>12191</v>
      </c>
      <c r="B2942" s="18" t="s">
        <v>80</v>
      </c>
      <c r="C2942" s="18" t="s">
        <v>81</v>
      </c>
      <c r="D2942" s="18" t="s">
        <v>12187</v>
      </c>
      <c r="E2942" s="18" t="n">
        <v>1</v>
      </c>
      <c r="F2942" s="18" t="s">
        <v>12192</v>
      </c>
      <c r="G2942" s="18" t="s">
        <v>282</v>
      </c>
      <c r="H2942" s="18" t="s">
        <v>129</v>
      </c>
      <c r="I2942" s="18"/>
      <c r="J2942" s="18"/>
      <c r="K2942" s="18"/>
      <c r="L2942" s="18" t="s">
        <v>129</v>
      </c>
      <c r="M2942" s="18" t="s">
        <v>129</v>
      </c>
      <c r="N2942" s="18"/>
      <c r="O2942" s="18" t="s">
        <v>12193</v>
      </c>
      <c r="P2942" s="18" t="s">
        <v>12194</v>
      </c>
      <c r="Q2942" s="18" t="s">
        <v>149</v>
      </c>
      <c r="R2942" s="18" t="s">
        <v>12195</v>
      </c>
      <c r="S2942" s="18" t="s">
        <v>133</v>
      </c>
      <c r="T2942" s="18" t="s">
        <v>12196</v>
      </c>
      <c r="U2942" s="18"/>
      <c r="V2942" s="19" t="s">
        <v>29</v>
      </c>
      <c r="W2942" s="19"/>
      <c r="X2942" s="19"/>
      <c r="Y2942" s="20"/>
      <c r="Z2942" s="19"/>
      <c r="AA2942" s="18" t="str">
        <f aca="false">IF(OR(V2942="Aprobada"),R2942,IF(AND(OR(V2942="Aprobada con ajuste",V2942="Rechazada"),W2942&lt;&gt;""),W2942,""))</f>
        <v/>
      </c>
    </row>
    <row r="2943" customFormat="false" ht="22.35" hidden="false" customHeight="false" outlineLevel="0" collapsed="false">
      <c r="A2943" s="18" t="s">
        <v>12197</v>
      </c>
      <c r="B2943" s="18" t="s">
        <v>80</v>
      </c>
      <c r="C2943" s="18" t="s">
        <v>81</v>
      </c>
      <c r="D2943" s="18" t="s">
        <v>12187</v>
      </c>
      <c r="E2943" s="18" t="n">
        <v>1</v>
      </c>
      <c r="F2943" s="18" t="s">
        <v>185</v>
      </c>
      <c r="G2943" s="18" t="s">
        <v>205</v>
      </c>
      <c r="H2943" s="18" t="s">
        <v>129</v>
      </c>
      <c r="I2943" s="18" t="s">
        <v>298</v>
      </c>
      <c r="J2943" s="18" t="s">
        <v>12198</v>
      </c>
      <c r="K2943" s="18"/>
      <c r="L2943" s="18" t="s">
        <v>162</v>
      </c>
      <c r="M2943" s="18" t="s">
        <v>129</v>
      </c>
      <c r="N2943" s="18"/>
      <c r="O2943" s="18"/>
      <c r="P2943" s="18" t="s">
        <v>12199</v>
      </c>
      <c r="Q2943" s="18" t="s">
        <v>138</v>
      </c>
      <c r="R2943" s="18" t="s">
        <v>12200</v>
      </c>
      <c r="S2943" s="18" t="s">
        <v>140</v>
      </c>
      <c r="T2943" s="18" t="s">
        <v>141</v>
      </c>
      <c r="U2943" s="18"/>
      <c r="V2943" s="19" t="s">
        <v>29</v>
      </c>
      <c r="W2943" s="19"/>
      <c r="X2943" s="19"/>
      <c r="Y2943" s="20"/>
      <c r="Z2943" s="19"/>
      <c r="AA2943" s="18" t="str">
        <f aca="false">IF(OR(V2943="Aprobada"),R2943,IF(AND(OR(V2943="Aprobada con ajuste",V2943="Rechazada"),W2943&lt;&gt;""),W2943,""))</f>
        <v/>
      </c>
    </row>
    <row r="2944" customFormat="false" ht="22.35" hidden="false" customHeight="false" outlineLevel="0" collapsed="false">
      <c r="A2944" s="18" t="s">
        <v>12201</v>
      </c>
      <c r="B2944" s="18" t="s">
        <v>80</v>
      </c>
      <c r="C2944" s="18" t="s">
        <v>81</v>
      </c>
      <c r="D2944" s="18" t="s">
        <v>12187</v>
      </c>
      <c r="E2944" s="18" t="n">
        <v>1</v>
      </c>
      <c r="F2944" s="18" t="s">
        <v>12107</v>
      </c>
      <c r="G2944" s="18" t="s">
        <v>454</v>
      </c>
      <c r="H2944" s="18" t="s">
        <v>162</v>
      </c>
      <c r="I2944" s="18"/>
      <c r="J2944" s="18"/>
      <c r="K2944" s="18"/>
      <c r="L2944" s="18" t="s">
        <v>129</v>
      </c>
      <c r="M2944" s="18" t="s">
        <v>129</v>
      </c>
      <c r="N2944" s="18"/>
      <c r="O2944" s="18"/>
      <c r="P2944" s="18" t="s">
        <v>12202</v>
      </c>
      <c r="Q2944" s="18" t="s">
        <v>138</v>
      </c>
      <c r="R2944" s="18" t="s">
        <v>5152</v>
      </c>
      <c r="S2944" s="18" t="s">
        <v>140</v>
      </c>
      <c r="T2944" s="18" t="s">
        <v>141</v>
      </c>
      <c r="U2944" s="18"/>
      <c r="V2944" s="19" t="s">
        <v>29</v>
      </c>
      <c r="W2944" s="19"/>
      <c r="X2944" s="19"/>
      <c r="Y2944" s="20"/>
      <c r="Z2944" s="19"/>
      <c r="AA2944" s="18" t="str">
        <f aca="false">IF(OR(V2944="Aprobada"),R2944,IF(AND(OR(V2944="Aprobada con ajuste",V2944="Rechazada"),W2944&lt;&gt;""),W2944,""))</f>
        <v/>
      </c>
    </row>
    <row r="2945" customFormat="false" ht="32.8" hidden="false" customHeight="false" outlineLevel="0" collapsed="false">
      <c r="A2945" s="18" t="s">
        <v>12203</v>
      </c>
      <c r="B2945" s="18" t="s">
        <v>80</v>
      </c>
      <c r="C2945" s="18" t="s">
        <v>81</v>
      </c>
      <c r="D2945" s="18" t="s">
        <v>12187</v>
      </c>
      <c r="E2945" s="18" t="n">
        <v>1</v>
      </c>
      <c r="F2945" s="18" t="s">
        <v>12204</v>
      </c>
      <c r="G2945" s="18" t="s">
        <v>454</v>
      </c>
      <c r="H2945" s="18" t="s">
        <v>162</v>
      </c>
      <c r="I2945" s="18" t="s">
        <v>298</v>
      </c>
      <c r="J2945" s="18"/>
      <c r="K2945" s="18"/>
      <c r="L2945" s="18" t="s">
        <v>129</v>
      </c>
      <c r="M2945" s="18" t="s">
        <v>129</v>
      </c>
      <c r="N2945" s="18"/>
      <c r="O2945" s="18"/>
      <c r="P2945" s="18" t="s">
        <v>12205</v>
      </c>
      <c r="Q2945" s="18" t="s">
        <v>131</v>
      </c>
      <c r="R2945" s="18" t="s">
        <v>12206</v>
      </c>
      <c r="S2945" s="18" t="s">
        <v>133</v>
      </c>
      <c r="T2945" s="18" t="s">
        <v>12207</v>
      </c>
      <c r="U2945" s="18"/>
      <c r="V2945" s="19" t="s">
        <v>29</v>
      </c>
      <c r="W2945" s="19"/>
      <c r="X2945" s="19"/>
      <c r="Y2945" s="20"/>
      <c r="Z2945" s="19"/>
      <c r="AA2945" s="18" t="str">
        <f aca="false">IF(OR(V2945="Aprobada"),R2945,IF(AND(OR(V2945="Aprobada con ajuste",V2945="Rechazada"),W2945&lt;&gt;""),W2945,""))</f>
        <v/>
      </c>
    </row>
    <row r="2946" customFormat="false" ht="22.35" hidden="false" customHeight="false" outlineLevel="0" collapsed="false">
      <c r="A2946" s="18" t="s">
        <v>12208</v>
      </c>
      <c r="B2946" s="18" t="s">
        <v>80</v>
      </c>
      <c r="C2946" s="18" t="s">
        <v>81</v>
      </c>
      <c r="D2946" s="18" t="s">
        <v>12187</v>
      </c>
      <c r="E2946" s="18" t="n">
        <v>1</v>
      </c>
      <c r="F2946" s="18" t="s">
        <v>12209</v>
      </c>
      <c r="G2946" s="18" t="s">
        <v>584</v>
      </c>
      <c r="H2946" s="18" t="s">
        <v>162</v>
      </c>
      <c r="I2946" s="18" t="s">
        <v>298</v>
      </c>
      <c r="J2946" s="18"/>
      <c r="K2946" s="18"/>
      <c r="L2946" s="18" t="s">
        <v>129</v>
      </c>
      <c r="M2946" s="18" t="s">
        <v>129</v>
      </c>
      <c r="N2946" s="18"/>
      <c r="O2946" s="18"/>
      <c r="P2946" s="18" t="s">
        <v>12210</v>
      </c>
      <c r="Q2946" s="18" t="s">
        <v>138</v>
      </c>
      <c r="R2946" s="18" t="s">
        <v>1324</v>
      </c>
      <c r="S2946" s="18" t="s">
        <v>140</v>
      </c>
      <c r="T2946" s="18" t="s">
        <v>141</v>
      </c>
      <c r="U2946" s="18"/>
      <c r="V2946" s="19" t="s">
        <v>29</v>
      </c>
      <c r="W2946" s="19"/>
      <c r="X2946" s="19"/>
      <c r="Y2946" s="20"/>
      <c r="Z2946" s="19"/>
      <c r="AA2946" s="18" t="str">
        <f aca="false">IF(OR(V2946="Aprobada"),R2946,IF(AND(OR(V2946="Aprobada con ajuste",V2946="Rechazada"),W2946&lt;&gt;""),W2946,""))</f>
        <v/>
      </c>
    </row>
    <row r="2947" customFormat="false" ht="22.35" hidden="false" customHeight="false" outlineLevel="0" collapsed="false">
      <c r="A2947" s="18" t="s">
        <v>12211</v>
      </c>
      <c r="B2947" s="18" t="s">
        <v>80</v>
      </c>
      <c r="C2947" s="18" t="s">
        <v>81</v>
      </c>
      <c r="D2947" s="18" t="s">
        <v>12187</v>
      </c>
      <c r="E2947" s="18" t="n">
        <v>1</v>
      </c>
      <c r="F2947" s="18" t="s">
        <v>6800</v>
      </c>
      <c r="G2947" s="18" t="s">
        <v>128</v>
      </c>
      <c r="H2947" s="18" t="s">
        <v>162</v>
      </c>
      <c r="I2947" s="18" t="s">
        <v>298</v>
      </c>
      <c r="J2947" s="18"/>
      <c r="K2947" s="18"/>
      <c r="L2947" s="18" t="s">
        <v>129</v>
      </c>
      <c r="M2947" s="18" t="s">
        <v>129</v>
      </c>
      <c r="N2947" s="18"/>
      <c r="O2947" s="18"/>
      <c r="P2947" s="18" t="s">
        <v>12212</v>
      </c>
      <c r="Q2947" s="18" t="s">
        <v>138</v>
      </c>
      <c r="R2947" s="18" t="s">
        <v>6801</v>
      </c>
      <c r="S2947" s="18" t="s">
        <v>140</v>
      </c>
      <c r="T2947" s="18" t="s">
        <v>141</v>
      </c>
      <c r="U2947" s="18"/>
      <c r="V2947" s="19" t="s">
        <v>29</v>
      </c>
      <c r="W2947" s="19"/>
      <c r="X2947" s="19"/>
      <c r="Y2947" s="20"/>
      <c r="Z2947" s="19"/>
      <c r="AA2947" s="18" t="str">
        <f aca="false">IF(OR(V2947="Aprobada"),R2947,IF(AND(OR(V2947="Aprobada con ajuste",V2947="Rechazada"),W2947&lt;&gt;""),W2947,""))</f>
        <v/>
      </c>
    </row>
    <row r="2948" customFormat="false" ht="22.35" hidden="false" customHeight="false" outlineLevel="0" collapsed="false">
      <c r="A2948" s="18" t="s">
        <v>12213</v>
      </c>
      <c r="B2948" s="18" t="s">
        <v>80</v>
      </c>
      <c r="C2948" s="18" t="s">
        <v>81</v>
      </c>
      <c r="D2948" s="18" t="s">
        <v>12214</v>
      </c>
      <c r="E2948" s="18" t="n">
        <v>1</v>
      </c>
      <c r="F2948" s="18" t="s">
        <v>1766</v>
      </c>
      <c r="G2948" s="18" t="s">
        <v>192</v>
      </c>
      <c r="H2948" s="18" t="s">
        <v>129</v>
      </c>
      <c r="I2948" s="18"/>
      <c r="J2948" s="18"/>
      <c r="K2948" s="18"/>
      <c r="L2948" s="18" t="s">
        <v>129</v>
      </c>
      <c r="M2948" s="18" t="s">
        <v>129</v>
      </c>
      <c r="N2948" s="18"/>
      <c r="O2948" s="18"/>
      <c r="P2948" s="18" t="s">
        <v>12215</v>
      </c>
      <c r="Q2948" s="18" t="s">
        <v>149</v>
      </c>
      <c r="R2948" s="18" t="s">
        <v>12216</v>
      </c>
      <c r="S2948" s="18" t="s">
        <v>140</v>
      </c>
      <c r="T2948" s="18" t="s">
        <v>11270</v>
      </c>
      <c r="U2948" s="18" t="s">
        <v>12217</v>
      </c>
      <c r="V2948" s="19" t="s">
        <v>29</v>
      </c>
      <c r="W2948" s="19"/>
      <c r="X2948" s="19"/>
      <c r="Y2948" s="20"/>
      <c r="Z2948" s="19"/>
      <c r="AA2948" s="18" t="str">
        <f aca="false">IF(OR(V2948="Aprobada"),R2948,IF(AND(OR(V2948="Aprobada con ajuste",V2948="Rechazada"),W2948&lt;&gt;""),W2948,""))</f>
        <v/>
      </c>
    </row>
    <row r="2949" customFormat="false" ht="43.25" hidden="false" customHeight="false" outlineLevel="0" collapsed="false">
      <c r="A2949" s="18" t="s">
        <v>12218</v>
      </c>
      <c r="B2949" s="18" t="s">
        <v>80</v>
      </c>
      <c r="C2949" s="18" t="s">
        <v>81</v>
      </c>
      <c r="D2949" s="18" t="s">
        <v>12214</v>
      </c>
      <c r="E2949" s="18" t="n">
        <v>1</v>
      </c>
      <c r="F2949" s="18" t="s">
        <v>9529</v>
      </c>
      <c r="G2949" s="18" t="s">
        <v>192</v>
      </c>
      <c r="H2949" s="18" t="s">
        <v>129</v>
      </c>
      <c r="I2949" s="18"/>
      <c r="J2949" s="18"/>
      <c r="K2949" s="18"/>
      <c r="L2949" s="18" t="s">
        <v>129</v>
      </c>
      <c r="M2949" s="18" t="s">
        <v>129</v>
      </c>
      <c r="N2949" s="18"/>
      <c r="O2949" s="18"/>
      <c r="P2949" s="18" t="s">
        <v>12219</v>
      </c>
      <c r="Q2949" s="18" t="s">
        <v>131</v>
      </c>
      <c r="R2949" s="18" t="s">
        <v>12220</v>
      </c>
      <c r="S2949" s="18" t="s">
        <v>133</v>
      </c>
      <c r="T2949" s="18" t="s">
        <v>12221</v>
      </c>
      <c r="U2949" s="18" t="s">
        <v>12222</v>
      </c>
      <c r="V2949" s="19" t="s">
        <v>29</v>
      </c>
      <c r="W2949" s="19"/>
      <c r="X2949" s="19"/>
      <c r="Y2949" s="20"/>
      <c r="Z2949" s="19"/>
      <c r="AA2949" s="18" t="str">
        <f aca="false">IF(OR(V2949="Aprobada"),R2949,IF(AND(OR(V2949="Aprobada con ajuste",V2949="Rechazada"),W2949&lt;&gt;""),W2949,""))</f>
        <v/>
      </c>
    </row>
    <row r="2950" customFormat="false" ht="22.35" hidden="false" customHeight="false" outlineLevel="0" collapsed="false">
      <c r="A2950" s="18" t="s">
        <v>12223</v>
      </c>
      <c r="B2950" s="18" t="s">
        <v>80</v>
      </c>
      <c r="C2950" s="18" t="s">
        <v>81</v>
      </c>
      <c r="D2950" s="18" t="s">
        <v>12214</v>
      </c>
      <c r="E2950" s="18" t="n">
        <v>1</v>
      </c>
      <c r="F2950" s="18" t="s">
        <v>11963</v>
      </c>
      <c r="G2950" s="18" t="s">
        <v>503</v>
      </c>
      <c r="H2950" s="18" t="s">
        <v>129</v>
      </c>
      <c r="I2950" s="18"/>
      <c r="J2950" s="18"/>
      <c r="K2950" s="18"/>
      <c r="L2950" s="18" t="s">
        <v>129</v>
      </c>
      <c r="M2950" s="18" t="s">
        <v>129</v>
      </c>
      <c r="N2950" s="18"/>
      <c r="O2950" s="18"/>
      <c r="P2950" s="18" t="s">
        <v>12224</v>
      </c>
      <c r="Q2950" s="18" t="s">
        <v>149</v>
      </c>
      <c r="R2950" s="18" t="s">
        <v>12225</v>
      </c>
      <c r="S2950" s="18" t="s">
        <v>133</v>
      </c>
      <c r="T2950" s="18" t="s">
        <v>12226</v>
      </c>
      <c r="U2950" s="18"/>
      <c r="V2950" s="19" t="s">
        <v>29</v>
      </c>
      <c r="W2950" s="19"/>
      <c r="X2950" s="19"/>
      <c r="Y2950" s="20"/>
      <c r="Z2950" s="19"/>
      <c r="AA2950" s="18" t="str">
        <f aca="false">IF(OR(V2950="Aprobada"),R2950,IF(AND(OR(V2950="Aprobada con ajuste",V2950="Rechazada"),W2950&lt;&gt;""),W2950,""))</f>
        <v/>
      </c>
    </row>
    <row r="2951" customFormat="false" ht="22.35" hidden="false" customHeight="false" outlineLevel="0" collapsed="false">
      <c r="A2951" s="18" t="s">
        <v>12227</v>
      </c>
      <c r="B2951" s="18" t="s">
        <v>80</v>
      </c>
      <c r="C2951" s="18" t="s">
        <v>81</v>
      </c>
      <c r="D2951" s="18" t="s">
        <v>12214</v>
      </c>
      <c r="E2951" s="18" t="n">
        <v>1</v>
      </c>
      <c r="F2951" s="18" t="s">
        <v>185</v>
      </c>
      <c r="G2951" s="18" t="s">
        <v>205</v>
      </c>
      <c r="H2951" s="18" t="s">
        <v>129</v>
      </c>
      <c r="I2951" s="18" t="s">
        <v>298</v>
      </c>
      <c r="J2951" s="18" t="s">
        <v>12228</v>
      </c>
      <c r="K2951" s="18"/>
      <c r="L2951" s="18" t="s">
        <v>162</v>
      </c>
      <c r="M2951" s="18" t="s">
        <v>129</v>
      </c>
      <c r="N2951" s="18"/>
      <c r="O2951" s="18"/>
      <c r="P2951" s="18" t="s">
        <v>12229</v>
      </c>
      <c r="Q2951" s="18" t="s">
        <v>138</v>
      </c>
      <c r="R2951" s="18" t="s">
        <v>12230</v>
      </c>
      <c r="S2951" s="18" t="s">
        <v>140</v>
      </c>
      <c r="T2951" s="18" t="s">
        <v>141</v>
      </c>
      <c r="U2951" s="18"/>
      <c r="V2951" s="19" t="s">
        <v>29</v>
      </c>
      <c r="W2951" s="19"/>
      <c r="X2951" s="19"/>
      <c r="Y2951" s="20"/>
      <c r="Z2951" s="19"/>
      <c r="AA2951" s="18" t="str">
        <f aca="false">IF(OR(V2951="Aprobada"),R2951,IF(AND(OR(V2951="Aprobada con ajuste",V2951="Rechazada"),W2951&lt;&gt;""),W2951,""))</f>
        <v/>
      </c>
    </row>
    <row r="2952" customFormat="false" ht="22.35" hidden="false" customHeight="false" outlineLevel="0" collapsed="false">
      <c r="A2952" s="18" t="s">
        <v>12231</v>
      </c>
      <c r="B2952" s="18" t="s">
        <v>80</v>
      </c>
      <c r="C2952" s="18" t="s">
        <v>81</v>
      </c>
      <c r="D2952" s="18" t="s">
        <v>12214</v>
      </c>
      <c r="E2952" s="18" t="n">
        <v>1</v>
      </c>
      <c r="F2952" s="18" t="s">
        <v>7666</v>
      </c>
      <c r="G2952" s="18" t="s">
        <v>454</v>
      </c>
      <c r="H2952" s="18" t="s">
        <v>162</v>
      </c>
      <c r="I2952" s="18"/>
      <c r="J2952" s="18"/>
      <c r="K2952" s="18"/>
      <c r="L2952" s="18" t="s">
        <v>129</v>
      </c>
      <c r="M2952" s="18" t="s">
        <v>129</v>
      </c>
      <c r="N2952" s="18"/>
      <c r="O2952" s="18"/>
      <c r="P2952" s="18" t="s">
        <v>12232</v>
      </c>
      <c r="Q2952" s="18" t="s">
        <v>138</v>
      </c>
      <c r="R2952" s="18" t="s">
        <v>7668</v>
      </c>
      <c r="S2952" s="18" t="s">
        <v>140</v>
      </c>
      <c r="T2952" s="18" t="s">
        <v>141</v>
      </c>
      <c r="U2952" s="18"/>
      <c r="V2952" s="19" t="s">
        <v>29</v>
      </c>
      <c r="W2952" s="19"/>
      <c r="X2952" s="19"/>
      <c r="Y2952" s="20"/>
      <c r="Z2952" s="19"/>
      <c r="AA2952" s="18" t="str">
        <f aca="false">IF(OR(V2952="Aprobada"),R2952,IF(AND(OR(V2952="Aprobada con ajuste",V2952="Rechazada"),W2952&lt;&gt;""),W2952,""))</f>
        <v/>
      </c>
    </row>
    <row r="2953" customFormat="false" ht="22.35" hidden="false" customHeight="false" outlineLevel="0" collapsed="false">
      <c r="A2953" s="18" t="s">
        <v>12233</v>
      </c>
      <c r="B2953" s="18" t="s">
        <v>80</v>
      </c>
      <c r="C2953" s="18" t="s">
        <v>81</v>
      </c>
      <c r="D2953" s="18" t="s">
        <v>12214</v>
      </c>
      <c r="E2953" s="18" t="n">
        <v>1</v>
      </c>
      <c r="F2953" s="18" t="s">
        <v>11909</v>
      </c>
      <c r="G2953" s="18" t="s">
        <v>584</v>
      </c>
      <c r="H2953" s="18" t="s">
        <v>129</v>
      </c>
      <c r="I2953" s="18"/>
      <c r="J2953" s="18"/>
      <c r="K2953" s="18"/>
      <c r="L2953" s="18" t="s">
        <v>129</v>
      </c>
      <c r="M2953" s="18" t="s">
        <v>129</v>
      </c>
      <c r="N2953" s="18"/>
      <c r="O2953" s="18"/>
      <c r="P2953" s="18" t="s">
        <v>12234</v>
      </c>
      <c r="Q2953" s="18" t="s">
        <v>138</v>
      </c>
      <c r="R2953" s="18" t="s">
        <v>6771</v>
      </c>
      <c r="S2953" s="18" t="s">
        <v>140</v>
      </c>
      <c r="T2953" s="18" t="s">
        <v>141</v>
      </c>
      <c r="U2953" s="18"/>
      <c r="V2953" s="19" t="s">
        <v>29</v>
      </c>
      <c r="W2953" s="19"/>
      <c r="X2953" s="19"/>
      <c r="Y2953" s="20"/>
      <c r="Z2953" s="19"/>
      <c r="AA2953" s="18" t="str">
        <f aca="false">IF(OR(V2953="Aprobada"),R2953,IF(AND(OR(V2953="Aprobada con ajuste",V2953="Rechazada"),W2953&lt;&gt;""),W2953,""))</f>
        <v/>
      </c>
    </row>
    <row r="2954" customFormat="false" ht="22.35" hidden="false" customHeight="false" outlineLevel="0" collapsed="false">
      <c r="A2954" s="18" t="s">
        <v>12235</v>
      </c>
      <c r="B2954" s="18" t="s">
        <v>80</v>
      </c>
      <c r="C2954" s="18" t="s">
        <v>81</v>
      </c>
      <c r="D2954" s="18" t="s">
        <v>12214</v>
      </c>
      <c r="E2954" s="18" t="n">
        <v>1</v>
      </c>
      <c r="F2954" s="18" t="s">
        <v>12236</v>
      </c>
      <c r="G2954" s="18" t="s">
        <v>454</v>
      </c>
      <c r="H2954" s="18" t="s">
        <v>162</v>
      </c>
      <c r="I2954" s="18"/>
      <c r="J2954" s="18"/>
      <c r="K2954" s="18"/>
      <c r="L2954" s="18" t="s">
        <v>129</v>
      </c>
      <c r="M2954" s="18" t="s">
        <v>129</v>
      </c>
      <c r="N2954" s="18"/>
      <c r="O2954" s="18"/>
      <c r="P2954" s="18" t="s">
        <v>12237</v>
      </c>
      <c r="Q2954" s="18" t="s">
        <v>138</v>
      </c>
      <c r="R2954" s="18" t="s">
        <v>11455</v>
      </c>
      <c r="S2954" s="18" t="s">
        <v>140</v>
      </c>
      <c r="T2954" s="18" t="s">
        <v>141</v>
      </c>
      <c r="U2954" s="18"/>
      <c r="V2954" s="19" t="s">
        <v>29</v>
      </c>
      <c r="W2954" s="19"/>
      <c r="X2954" s="19"/>
      <c r="Y2954" s="20"/>
      <c r="Z2954" s="19"/>
      <c r="AA2954" s="18" t="str">
        <f aca="false">IF(OR(V2954="Aprobada"),R2954,IF(AND(OR(V2954="Aprobada con ajuste",V2954="Rechazada"),W2954&lt;&gt;""),W2954,""))</f>
        <v/>
      </c>
    </row>
    <row r="2955" customFormat="false" ht="22.35" hidden="false" customHeight="false" outlineLevel="0" collapsed="false">
      <c r="A2955" s="18" t="s">
        <v>12238</v>
      </c>
      <c r="B2955" s="18" t="s">
        <v>80</v>
      </c>
      <c r="C2955" s="18" t="s">
        <v>81</v>
      </c>
      <c r="D2955" s="18" t="s">
        <v>12214</v>
      </c>
      <c r="E2955" s="18" t="n">
        <v>1</v>
      </c>
      <c r="F2955" s="18" t="s">
        <v>11393</v>
      </c>
      <c r="G2955" s="18" t="s">
        <v>584</v>
      </c>
      <c r="H2955" s="18" t="s">
        <v>162</v>
      </c>
      <c r="I2955" s="18" t="s">
        <v>298</v>
      </c>
      <c r="J2955" s="18"/>
      <c r="K2955" s="18"/>
      <c r="L2955" s="18" t="s">
        <v>129</v>
      </c>
      <c r="M2955" s="18" t="s">
        <v>129</v>
      </c>
      <c r="N2955" s="18"/>
      <c r="O2955" s="18"/>
      <c r="P2955" s="18" t="s">
        <v>12239</v>
      </c>
      <c r="Q2955" s="18" t="s">
        <v>138</v>
      </c>
      <c r="R2955" s="18" t="s">
        <v>11395</v>
      </c>
      <c r="S2955" s="18" t="s">
        <v>140</v>
      </c>
      <c r="T2955" s="18" t="s">
        <v>141</v>
      </c>
      <c r="U2955" s="18"/>
      <c r="V2955" s="19" t="s">
        <v>29</v>
      </c>
      <c r="W2955" s="19"/>
      <c r="X2955" s="19"/>
      <c r="Y2955" s="20"/>
      <c r="Z2955" s="19"/>
      <c r="AA2955" s="18" t="str">
        <f aca="false">IF(OR(V2955="Aprobada"),R2955,IF(AND(OR(V2955="Aprobada con ajuste",V2955="Rechazada"),W2955&lt;&gt;""),W2955,""))</f>
        <v/>
      </c>
    </row>
    <row r="2956" customFormat="false" ht="22.35" hidden="false" customHeight="false" outlineLevel="0" collapsed="false">
      <c r="A2956" s="18" t="s">
        <v>12240</v>
      </c>
      <c r="B2956" s="18" t="s">
        <v>80</v>
      </c>
      <c r="C2956" s="18" t="s">
        <v>81</v>
      </c>
      <c r="D2956" s="18" t="s">
        <v>12214</v>
      </c>
      <c r="E2956" s="18" t="n">
        <v>1</v>
      </c>
      <c r="F2956" s="18" t="s">
        <v>11311</v>
      </c>
      <c r="G2956" s="18" t="s">
        <v>584</v>
      </c>
      <c r="H2956" s="18" t="s">
        <v>162</v>
      </c>
      <c r="I2956" s="18" t="s">
        <v>298</v>
      </c>
      <c r="J2956" s="18"/>
      <c r="K2956" s="18"/>
      <c r="L2956" s="18" t="s">
        <v>129</v>
      </c>
      <c r="M2956" s="18" t="s">
        <v>129</v>
      </c>
      <c r="N2956" s="18"/>
      <c r="O2956" s="18"/>
      <c r="P2956" s="18" t="s">
        <v>12241</v>
      </c>
      <c r="Q2956" s="18" t="s">
        <v>138</v>
      </c>
      <c r="R2956" s="18" t="s">
        <v>11313</v>
      </c>
      <c r="S2956" s="18" t="s">
        <v>140</v>
      </c>
      <c r="T2956" s="18" t="s">
        <v>141</v>
      </c>
      <c r="U2956" s="18"/>
      <c r="V2956" s="19" t="s">
        <v>29</v>
      </c>
      <c r="W2956" s="19"/>
      <c r="X2956" s="19"/>
      <c r="Y2956" s="20"/>
      <c r="Z2956" s="19"/>
      <c r="AA2956" s="18" t="str">
        <f aca="false">IF(OR(V2956="Aprobada"),R2956,IF(AND(OR(V2956="Aprobada con ajuste",V2956="Rechazada"),W2956&lt;&gt;""),W2956,""))</f>
        <v/>
      </c>
    </row>
    <row r="2957" customFormat="false" ht="22.35" hidden="false" customHeight="false" outlineLevel="0" collapsed="false">
      <c r="A2957" s="18" t="s">
        <v>12242</v>
      </c>
      <c r="B2957" s="18" t="s">
        <v>80</v>
      </c>
      <c r="C2957" s="18" t="s">
        <v>81</v>
      </c>
      <c r="D2957" s="18" t="s">
        <v>12214</v>
      </c>
      <c r="E2957" s="18" t="n">
        <v>1</v>
      </c>
      <c r="F2957" s="18" t="s">
        <v>11319</v>
      </c>
      <c r="G2957" s="18" t="s">
        <v>128</v>
      </c>
      <c r="H2957" s="18" t="s">
        <v>162</v>
      </c>
      <c r="I2957" s="18" t="s">
        <v>298</v>
      </c>
      <c r="J2957" s="18"/>
      <c r="K2957" s="18"/>
      <c r="L2957" s="18" t="s">
        <v>129</v>
      </c>
      <c r="M2957" s="18" t="s">
        <v>129</v>
      </c>
      <c r="N2957" s="18"/>
      <c r="O2957" s="18"/>
      <c r="P2957" s="18" t="s">
        <v>12243</v>
      </c>
      <c r="Q2957" s="18" t="s">
        <v>138</v>
      </c>
      <c r="R2957" s="18" t="s">
        <v>11321</v>
      </c>
      <c r="S2957" s="18" t="s">
        <v>140</v>
      </c>
      <c r="T2957" s="18" t="s">
        <v>141</v>
      </c>
      <c r="U2957" s="18"/>
      <c r="V2957" s="19" t="s">
        <v>29</v>
      </c>
      <c r="W2957" s="19"/>
      <c r="X2957" s="19"/>
      <c r="Y2957" s="20"/>
      <c r="Z2957" s="19"/>
      <c r="AA2957" s="18" t="str">
        <f aca="false">IF(OR(V2957="Aprobada"),R2957,IF(AND(OR(V2957="Aprobada con ajuste",V2957="Rechazada"),W2957&lt;&gt;""),W2957,""))</f>
        <v/>
      </c>
    </row>
    <row r="2958" customFormat="false" ht="137.3" hidden="false" customHeight="false" outlineLevel="0" collapsed="false">
      <c r="A2958" s="18" t="s">
        <v>12244</v>
      </c>
      <c r="B2958" s="18" t="s">
        <v>80</v>
      </c>
      <c r="C2958" s="18" t="s">
        <v>81</v>
      </c>
      <c r="D2958" s="18" t="s">
        <v>12245</v>
      </c>
      <c r="E2958" s="18" t="n">
        <v>2</v>
      </c>
      <c r="F2958" s="18" t="s">
        <v>676</v>
      </c>
      <c r="G2958" s="18" t="s">
        <v>503</v>
      </c>
      <c r="H2958" s="18" t="s">
        <v>129</v>
      </c>
      <c r="I2958" s="18"/>
      <c r="J2958" s="18"/>
      <c r="K2958" s="18"/>
      <c r="L2958" s="18" t="s">
        <v>129</v>
      </c>
      <c r="M2958" s="18" t="s">
        <v>129</v>
      </c>
      <c r="N2958" s="18"/>
      <c r="O2958" s="18" t="s">
        <v>12246</v>
      </c>
      <c r="P2958" s="18" t="s">
        <v>12247</v>
      </c>
      <c r="Q2958" s="18" t="s">
        <v>131</v>
      </c>
      <c r="R2958" s="18" t="s">
        <v>12248</v>
      </c>
      <c r="S2958" s="18" t="s">
        <v>133</v>
      </c>
      <c r="T2958" s="18" t="s">
        <v>12249</v>
      </c>
      <c r="U2958" s="18"/>
      <c r="V2958" s="19" t="s">
        <v>29</v>
      </c>
      <c r="W2958" s="19"/>
      <c r="X2958" s="19"/>
      <c r="Y2958" s="20"/>
      <c r="Z2958" s="19"/>
      <c r="AA2958" s="18" t="str">
        <f aca="false">IF(OR(V2958="Aprobada"),R2958,IF(AND(OR(V2958="Aprobada con ajuste",V2958="Rechazada"),W2958&lt;&gt;""),W2958,""))</f>
        <v/>
      </c>
    </row>
    <row r="2959" customFormat="false" ht="64.15" hidden="false" customHeight="false" outlineLevel="0" collapsed="false">
      <c r="A2959" s="18" t="s">
        <v>12250</v>
      </c>
      <c r="B2959" s="18" t="s">
        <v>80</v>
      </c>
      <c r="C2959" s="18" t="s">
        <v>81</v>
      </c>
      <c r="D2959" s="18" t="s">
        <v>12245</v>
      </c>
      <c r="E2959" s="18" t="n">
        <v>2</v>
      </c>
      <c r="F2959" s="18" t="s">
        <v>1766</v>
      </c>
      <c r="G2959" s="18" t="s">
        <v>192</v>
      </c>
      <c r="H2959" s="18" t="s">
        <v>129</v>
      </c>
      <c r="I2959" s="18"/>
      <c r="J2959" s="18"/>
      <c r="K2959" s="18"/>
      <c r="L2959" s="18" t="s">
        <v>129</v>
      </c>
      <c r="M2959" s="18" t="s">
        <v>129</v>
      </c>
      <c r="N2959" s="18"/>
      <c r="O2959" s="18"/>
      <c r="P2959" s="18" t="s">
        <v>12251</v>
      </c>
      <c r="Q2959" s="18" t="s">
        <v>131</v>
      </c>
      <c r="R2959" s="18" t="s">
        <v>12252</v>
      </c>
      <c r="S2959" s="18" t="s">
        <v>133</v>
      </c>
      <c r="T2959" s="18" t="s">
        <v>12253</v>
      </c>
      <c r="U2959" s="18"/>
      <c r="V2959" s="19" t="s">
        <v>29</v>
      </c>
      <c r="W2959" s="19"/>
      <c r="X2959" s="19"/>
      <c r="Y2959" s="20"/>
      <c r="Z2959" s="19"/>
      <c r="AA2959" s="18" t="str">
        <f aca="false">IF(OR(V2959="Aprobada"),R2959,IF(AND(OR(V2959="Aprobada con ajuste",V2959="Rechazada"),W2959&lt;&gt;""),W2959,""))</f>
        <v/>
      </c>
    </row>
    <row r="2960" customFormat="false" ht="126.85" hidden="false" customHeight="false" outlineLevel="0" collapsed="false">
      <c r="A2960" s="18" t="s">
        <v>12254</v>
      </c>
      <c r="B2960" s="18" t="s">
        <v>80</v>
      </c>
      <c r="C2960" s="18" t="s">
        <v>81</v>
      </c>
      <c r="D2960" s="18" t="s">
        <v>12245</v>
      </c>
      <c r="E2960" s="18" t="n">
        <v>2</v>
      </c>
      <c r="F2960" s="18" t="s">
        <v>11963</v>
      </c>
      <c r="G2960" s="18" t="s">
        <v>503</v>
      </c>
      <c r="H2960" s="18" t="s">
        <v>129</v>
      </c>
      <c r="I2960" s="18"/>
      <c r="J2960" s="18"/>
      <c r="K2960" s="18"/>
      <c r="L2960" s="18" t="s">
        <v>129</v>
      </c>
      <c r="M2960" s="18" t="s">
        <v>129</v>
      </c>
      <c r="N2960" s="18"/>
      <c r="O2960" s="18"/>
      <c r="P2960" s="18" t="s">
        <v>12255</v>
      </c>
      <c r="Q2960" s="18" t="s">
        <v>131</v>
      </c>
      <c r="R2960" s="18" t="s">
        <v>12256</v>
      </c>
      <c r="S2960" s="18" t="s">
        <v>133</v>
      </c>
      <c r="T2960" s="18" t="s">
        <v>12257</v>
      </c>
      <c r="U2960" s="18"/>
      <c r="V2960" s="19" t="s">
        <v>29</v>
      </c>
      <c r="W2960" s="19"/>
      <c r="X2960" s="19"/>
      <c r="Y2960" s="20"/>
      <c r="Z2960" s="19"/>
      <c r="AA2960" s="18" t="str">
        <f aca="false">IF(OR(V2960="Aprobada"),R2960,IF(AND(OR(V2960="Aprobada con ajuste",V2960="Rechazada"),W2960&lt;&gt;""),W2960,""))</f>
        <v/>
      </c>
    </row>
    <row r="2961" customFormat="false" ht="95.5" hidden="false" customHeight="false" outlineLevel="0" collapsed="false">
      <c r="A2961" s="18" t="s">
        <v>12258</v>
      </c>
      <c r="B2961" s="18" t="s">
        <v>80</v>
      </c>
      <c r="C2961" s="18" t="s">
        <v>81</v>
      </c>
      <c r="D2961" s="18" t="s">
        <v>12245</v>
      </c>
      <c r="E2961" s="18" t="n">
        <v>2</v>
      </c>
      <c r="F2961" s="18" t="s">
        <v>12259</v>
      </c>
      <c r="G2961" s="18" t="s">
        <v>128</v>
      </c>
      <c r="H2961" s="18" t="s">
        <v>162</v>
      </c>
      <c r="I2961" s="18"/>
      <c r="J2961" s="18"/>
      <c r="K2961" s="18"/>
      <c r="L2961" s="18" t="s">
        <v>129</v>
      </c>
      <c r="M2961" s="18" t="s">
        <v>129</v>
      </c>
      <c r="N2961" s="18"/>
      <c r="O2961" s="18"/>
      <c r="P2961" s="18" t="s">
        <v>12260</v>
      </c>
      <c r="Q2961" s="18" t="s">
        <v>131</v>
      </c>
      <c r="R2961" s="18" t="s">
        <v>12261</v>
      </c>
      <c r="S2961" s="18" t="s">
        <v>133</v>
      </c>
      <c r="T2961" s="18" t="s">
        <v>12262</v>
      </c>
      <c r="U2961" s="18" t="s">
        <v>12263</v>
      </c>
      <c r="V2961" s="19" t="s">
        <v>29</v>
      </c>
      <c r="W2961" s="19"/>
      <c r="X2961" s="19"/>
      <c r="Y2961" s="20"/>
      <c r="Z2961" s="19"/>
      <c r="AA2961" s="18" t="str">
        <f aca="false">IF(OR(V2961="Aprobada"),R2961,IF(AND(OR(V2961="Aprobada con ajuste",V2961="Rechazada"),W2961&lt;&gt;""),W2961,""))</f>
        <v/>
      </c>
    </row>
    <row r="2962" customFormat="false" ht="22.35" hidden="false" customHeight="false" outlineLevel="0" collapsed="false">
      <c r="A2962" s="18" t="s">
        <v>12264</v>
      </c>
      <c r="B2962" s="18" t="s">
        <v>80</v>
      </c>
      <c r="C2962" s="18" t="s">
        <v>81</v>
      </c>
      <c r="D2962" s="18" t="s">
        <v>12245</v>
      </c>
      <c r="E2962" s="18" t="n">
        <v>2</v>
      </c>
      <c r="F2962" s="18" t="s">
        <v>185</v>
      </c>
      <c r="G2962" s="18" t="s">
        <v>205</v>
      </c>
      <c r="H2962" s="18" t="s">
        <v>129</v>
      </c>
      <c r="I2962" s="18" t="s">
        <v>298</v>
      </c>
      <c r="J2962" s="18" t="s">
        <v>12265</v>
      </c>
      <c r="K2962" s="18"/>
      <c r="L2962" s="18" t="s">
        <v>162</v>
      </c>
      <c r="M2962" s="18" t="s">
        <v>129</v>
      </c>
      <c r="N2962" s="18"/>
      <c r="O2962" s="18"/>
      <c r="P2962" s="18" t="s">
        <v>12266</v>
      </c>
      <c r="Q2962" s="18" t="s">
        <v>138</v>
      </c>
      <c r="R2962" s="18" t="s">
        <v>12267</v>
      </c>
      <c r="S2962" s="18" t="s">
        <v>140</v>
      </c>
      <c r="T2962" s="18" t="s">
        <v>141</v>
      </c>
      <c r="U2962" s="18"/>
      <c r="V2962" s="19" t="s">
        <v>29</v>
      </c>
      <c r="W2962" s="19"/>
      <c r="X2962" s="19"/>
      <c r="Y2962" s="20"/>
      <c r="Z2962" s="19"/>
      <c r="AA2962" s="18" t="str">
        <f aca="false">IF(OR(V2962="Aprobada"),R2962,IF(AND(OR(V2962="Aprobada con ajuste",V2962="Rechazada"),W2962&lt;&gt;""),W2962,""))</f>
        <v/>
      </c>
    </row>
    <row r="2963" customFormat="false" ht="22.35" hidden="false" customHeight="false" outlineLevel="0" collapsed="false">
      <c r="A2963" s="18" t="s">
        <v>12268</v>
      </c>
      <c r="B2963" s="18" t="s">
        <v>80</v>
      </c>
      <c r="C2963" s="18" t="s">
        <v>81</v>
      </c>
      <c r="D2963" s="18" t="s">
        <v>12245</v>
      </c>
      <c r="E2963" s="18" t="n">
        <v>2</v>
      </c>
      <c r="F2963" s="18" t="s">
        <v>7666</v>
      </c>
      <c r="G2963" s="18" t="s">
        <v>931</v>
      </c>
      <c r="H2963" s="18" t="s">
        <v>162</v>
      </c>
      <c r="I2963" s="18"/>
      <c r="J2963" s="18"/>
      <c r="K2963" s="18"/>
      <c r="L2963" s="18" t="s">
        <v>129</v>
      </c>
      <c r="M2963" s="18" t="s">
        <v>129</v>
      </c>
      <c r="N2963" s="18"/>
      <c r="O2963" s="18"/>
      <c r="P2963" s="18" t="s">
        <v>12269</v>
      </c>
      <c r="Q2963" s="18" t="s">
        <v>138</v>
      </c>
      <c r="R2963" s="18" t="s">
        <v>7668</v>
      </c>
      <c r="S2963" s="18" t="s">
        <v>140</v>
      </c>
      <c r="T2963" s="18" t="s">
        <v>141</v>
      </c>
      <c r="U2963" s="18"/>
      <c r="V2963" s="19" t="s">
        <v>29</v>
      </c>
      <c r="W2963" s="19"/>
      <c r="X2963" s="19"/>
      <c r="Y2963" s="20"/>
      <c r="Z2963" s="19"/>
      <c r="AA2963" s="18" t="str">
        <f aca="false">IF(OR(V2963="Aprobada"),R2963,IF(AND(OR(V2963="Aprobada con ajuste",V2963="Rechazada"),W2963&lt;&gt;""),W2963,""))</f>
        <v/>
      </c>
    </row>
    <row r="2964" customFormat="false" ht="22.35" hidden="false" customHeight="false" outlineLevel="0" collapsed="false">
      <c r="A2964" s="18" t="s">
        <v>12270</v>
      </c>
      <c r="B2964" s="18" t="s">
        <v>80</v>
      </c>
      <c r="C2964" s="18" t="s">
        <v>81</v>
      </c>
      <c r="D2964" s="18" t="s">
        <v>12245</v>
      </c>
      <c r="E2964" s="18" t="n">
        <v>2</v>
      </c>
      <c r="F2964" s="18" t="s">
        <v>11909</v>
      </c>
      <c r="G2964" s="18" t="s">
        <v>584</v>
      </c>
      <c r="H2964" s="18" t="s">
        <v>129</v>
      </c>
      <c r="I2964" s="18"/>
      <c r="J2964" s="18"/>
      <c r="K2964" s="18"/>
      <c r="L2964" s="18" t="s">
        <v>129</v>
      </c>
      <c r="M2964" s="18" t="s">
        <v>129</v>
      </c>
      <c r="N2964" s="18"/>
      <c r="O2964" s="18"/>
      <c r="P2964" s="18" t="s">
        <v>12271</v>
      </c>
      <c r="Q2964" s="18" t="s">
        <v>138</v>
      </c>
      <c r="R2964" s="18" t="s">
        <v>6771</v>
      </c>
      <c r="S2964" s="18" t="s">
        <v>140</v>
      </c>
      <c r="T2964" s="18" t="s">
        <v>141</v>
      </c>
      <c r="U2964" s="18"/>
      <c r="V2964" s="19" t="s">
        <v>29</v>
      </c>
      <c r="W2964" s="19"/>
      <c r="X2964" s="19"/>
      <c r="Y2964" s="20"/>
      <c r="Z2964" s="19"/>
      <c r="AA2964" s="18" t="str">
        <f aca="false">IF(OR(V2964="Aprobada"),R2964,IF(AND(OR(V2964="Aprobada con ajuste",V2964="Rechazada"),W2964&lt;&gt;""),W2964,""))</f>
        <v/>
      </c>
    </row>
    <row r="2965" customFormat="false" ht="22.35" hidden="false" customHeight="false" outlineLevel="0" collapsed="false">
      <c r="A2965" s="18" t="s">
        <v>12272</v>
      </c>
      <c r="B2965" s="18" t="s">
        <v>80</v>
      </c>
      <c r="C2965" s="18" t="s">
        <v>81</v>
      </c>
      <c r="D2965" s="18" t="s">
        <v>12245</v>
      </c>
      <c r="E2965" s="18" t="n">
        <v>2</v>
      </c>
      <c r="F2965" s="18" t="s">
        <v>12273</v>
      </c>
      <c r="G2965" s="18" t="s">
        <v>931</v>
      </c>
      <c r="H2965" s="18" t="s">
        <v>162</v>
      </c>
      <c r="I2965" s="18"/>
      <c r="J2965" s="18"/>
      <c r="K2965" s="18"/>
      <c r="L2965" s="18" t="s">
        <v>129</v>
      </c>
      <c r="M2965" s="18" t="s">
        <v>129</v>
      </c>
      <c r="N2965" s="18"/>
      <c r="O2965" s="18"/>
      <c r="P2965" s="18" t="s">
        <v>12274</v>
      </c>
      <c r="Q2965" s="18" t="s">
        <v>149</v>
      </c>
      <c r="R2965" s="18" t="s">
        <v>12275</v>
      </c>
      <c r="S2965" s="18" t="s">
        <v>140</v>
      </c>
      <c r="T2965" s="18" t="s">
        <v>12030</v>
      </c>
      <c r="U2965" s="18" t="s">
        <v>4673</v>
      </c>
      <c r="V2965" s="19" t="s">
        <v>29</v>
      </c>
      <c r="W2965" s="19"/>
      <c r="X2965" s="19"/>
      <c r="Y2965" s="20"/>
      <c r="Z2965" s="19"/>
      <c r="AA2965" s="18" t="str">
        <f aca="false">IF(OR(V2965="Aprobada"),R2965,IF(AND(OR(V2965="Aprobada con ajuste",V2965="Rechazada"),W2965&lt;&gt;""),W2965,""))</f>
        <v/>
      </c>
    </row>
    <row r="2966" customFormat="false" ht="32.8" hidden="false" customHeight="false" outlineLevel="0" collapsed="false">
      <c r="A2966" s="18" t="s">
        <v>12276</v>
      </c>
      <c r="B2966" s="18" t="s">
        <v>80</v>
      </c>
      <c r="C2966" s="18" t="s">
        <v>81</v>
      </c>
      <c r="D2966" s="18" t="s">
        <v>12245</v>
      </c>
      <c r="E2966" s="18" t="n">
        <v>2</v>
      </c>
      <c r="F2966" s="18" t="s">
        <v>12277</v>
      </c>
      <c r="G2966" s="18" t="s">
        <v>584</v>
      </c>
      <c r="H2966" s="18" t="s">
        <v>162</v>
      </c>
      <c r="I2966" s="18" t="s">
        <v>298</v>
      </c>
      <c r="J2966" s="18"/>
      <c r="K2966" s="18"/>
      <c r="L2966" s="18" t="s">
        <v>129</v>
      </c>
      <c r="M2966" s="18" t="s">
        <v>129</v>
      </c>
      <c r="N2966" s="18"/>
      <c r="O2966" s="18"/>
      <c r="P2966" s="18" t="s">
        <v>12278</v>
      </c>
      <c r="Q2966" s="18" t="s">
        <v>149</v>
      </c>
      <c r="R2966" s="18" t="s">
        <v>12279</v>
      </c>
      <c r="S2966" s="18" t="s">
        <v>140</v>
      </c>
      <c r="T2966" s="18" t="s">
        <v>12280</v>
      </c>
      <c r="U2966" s="18" t="s">
        <v>12281</v>
      </c>
      <c r="V2966" s="19" t="s">
        <v>29</v>
      </c>
      <c r="W2966" s="19"/>
      <c r="X2966" s="19"/>
      <c r="Y2966" s="20"/>
      <c r="Z2966" s="19"/>
      <c r="AA2966" s="18" t="str">
        <f aca="false">IF(OR(V2966="Aprobada"),R2966,IF(AND(OR(V2966="Aprobada con ajuste",V2966="Rechazada"),W2966&lt;&gt;""),W2966,""))</f>
        <v/>
      </c>
    </row>
    <row r="2967" customFormat="false" ht="74.6" hidden="false" customHeight="false" outlineLevel="0" collapsed="false">
      <c r="A2967" s="18" t="s">
        <v>12282</v>
      </c>
      <c r="B2967" s="18" t="s">
        <v>80</v>
      </c>
      <c r="C2967" s="18" t="s">
        <v>81</v>
      </c>
      <c r="D2967" s="18" t="s">
        <v>12245</v>
      </c>
      <c r="E2967" s="18" t="n">
        <v>2</v>
      </c>
      <c r="F2967" s="18" t="s">
        <v>12283</v>
      </c>
      <c r="G2967" s="18" t="s">
        <v>503</v>
      </c>
      <c r="H2967" s="18" t="s">
        <v>162</v>
      </c>
      <c r="I2967" s="18"/>
      <c r="J2967" s="18"/>
      <c r="K2967" s="18"/>
      <c r="L2967" s="18" t="s">
        <v>129</v>
      </c>
      <c r="M2967" s="18" t="s">
        <v>129</v>
      </c>
      <c r="N2967" s="18"/>
      <c r="O2967" s="18"/>
      <c r="P2967" s="18" t="s">
        <v>12284</v>
      </c>
      <c r="Q2967" s="18" t="s">
        <v>131</v>
      </c>
      <c r="R2967" s="18" t="s">
        <v>12285</v>
      </c>
      <c r="S2967" s="18" t="s">
        <v>133</v>
      </c>
      <c r="T2967" s="18" t="s">
        <v>12286</v>
      </c>
      <c r="U2967" s="18"/>
      <c r="V2967" s="19" t="s">
        <v>29</v>
      </c>
      <c r="W2967" s="19"/>
      <c r="X2967" s="19"/>
      <c r="Y2967" s="20"/>
      <c r="Z2967" s="19"/>
      <c r="AA2967" s="18" t="str">
        <f aca="false">IF(OR(V2967="Aprobada"),R2967,IF(AND(OR(V2967="Aprobada con ajuste",V2967="Rechazada"),W2967&lt;&gt;""),W2967,""))</f>
        <v/>
      </c>
    </row>
    <row r="2968" customFormat="false" ht="74.6" hidden="false" customHeight="false" outlineLevel="0" collapsed="false">
      <c r="A2968" s="18" t="s">
        <v>12287</v>
      </c>
      <c r="B2968" s="18" t="s">
        <v>80</v>
      </c>
      <c r="C2968" s="18" t="s">
        <v>81</v>
      </c>
      <c r="D2968" s="18" t="s">
        <v>12245</v>
      </c>
      <c r="E2968" s="18" t="n">
        <v>2</v>
      </c>
      <c r="F2968" s="18" t="s">
        <v>12288</v>
      </c>
      <c r="G2968" s="18" t="s">
        <v>137</v>
      </c>
      <c r="H2968" s="18" t="s">
        <v>162</v>
      </c>
      <c r="I2968" s="18" t="s">
        <v>298</v>
      </c>
      <c r="J2968" s="18"/>
      <c r="K2968" s="18"/>
      <c r="L2968" s="18" t="s">
        <v>129</v>
      </c>
      <c r="M2968" s="18" t="s">
        <v>129</v>
      </c>
      <c r="N2968" s="18"/>
      <c r="O2968" s="18"/>
      <c r="P2968" s="18" t="s">
        <v>12289</v>
      </c>
      <c r="Q2968" s="18" t="s">
        <v>131</v>
      </c>
      <c r="R2968" s="18" t="s">
        <v>12290</v>
      </c>
      <c r="S2968" s="18" t="s">
        <v>133</v>
      </c>
      <c r="T2968" s="18" t="s">
        <v>12291</v>
      </c>
      <c r="U2968" s="18"/>
      <c r="V2968" s="19" t="s">
        <v>29</v>
      </c>
      <c r="W2968" s="19"/>
      <c r="X2968" s="19"/>
      <c r="Y2968" s="20"/>
      <c r="Z2968" s="19"/>
      <c r="AA2968" s="18" t="str">
        <f aca="false">IF(OR(V2968="Aprobada"),R2968,IF(AND(OR(V2968="Aprobada con ajuste",V2968="Rechazada"),W2968&lt;&gt;""),W2968,""))</f>
        <v/>
      </c>
    </row>
    <row r="2969" customFormat="false" ht="22.35" hidden="false" customHeight="false" outlineLevel="0" collapsed="false">
      <c r="A2969" s="18" t="s">
        <v>12292</v>
      </c>
      <c r="B2969" s="18" t="s">
        <v>80</v>
      </c>
      <c r="C2969" s="18" t="s">
        <v>81</v>
      </c>
      <c r="D2969" s="18" t="s">
        <v>12245</v>
      </c>
      <c r="E2969" s="18" t="n">
        <v>2</v>
      </c>
      <c r="F2969" s="18" t="s">
        <v>11795</v>
      </c>
      <c r="G2969" s="18" t="s">
        <v>931</v>
      </c>
      <c r="H2969" s="18" t="s">
        <v>162</v>
      </c>
      <c r="I2969" s="18"/>
      <c r="J2969" s="18"/>
      <c r="K2969" s="18"/>
      <c r="L2969" s="18" t="s">
        <v>129</v>
      </c>
      <c r="M2969" s="18" t="s">
        <v>129</v>
      </c>
      <c r="N2969" s="18"/>
      <c r="O2969" s="18"/>
      <c r="P2969" s="18" t="s">
        <v>12293</v>
      </c>
      <c r="Q2969" s="18" t="s">
        <v>138</v>
      </c>
      <c r="R2969" s="18" t="s">
        <v>11232</v>
      </c>
      <c r="S2969" s="18" t="s">
        <v>140</v>
      </c>
      <c r="T2969" s="18" t="s">
        <v>141</v>
      </c>
      <c r="U2969" s="18"/>
      <c r="V2969" s="19" t="s">
        <v>29</v>
      </c>
      <c r="W2969" s="19"/>
      <c r="X2969" s="19"/>
      <c r="Y2969" s="20"/>
      <c r="Z2969" s="19"/>
      <c r="AA2969" s="18" t="str">
        <f aca="false">IF(OR(V2969="Aprobada"),R2969,IF(AND(OR(V2969="Aprobada con ajuste",V2969="Rechazada"),W2969&lt;&gt;""),W2969,""))</f>
        <v/>
      </c>
    </row>
    <row r="2970" customFormat="false" ht="22.35" hidden="false" customHeight="false" outlineLevel="0" collapsed="false">
      <c r="A2970" s="18" t="s">
        <v>12294</v>
      </c>
      <c r="B2970" s="18" t="s">
        <v>80</v>
      </c>
      <c r="C2970" s="18" t="s">
        <v>81</v>
      </c>
      <c r="D2970" s="18" t="s">
        <v>12245</v>
      </c>
      <c r="E2970" s="18" t="n">
        <v>2</v>
      </c>
      <c r="F2970" s="18" t="s">
        <v>9081</v>
      </c>
      <c r="G2970" s="18" t="s">
        <v>584</v>
      </c>
      <c r="H2970" s="18" t="s">
        <v>162</v>
      </c>
      <c r="I2970" s="18"/>
      <c r="J2970" s="18"/>
      <c r="K2970" s="18"/>
      <c r="L2970" s="18" t="s">
        <v>129</v>
      </c>
      <c r="M2970" s="18" t="s">
        <v>129</v>
      </c>
      <c r="N2970" s="18"/>
      <c r="O2970" s="18"/>
      <c r="P2970" s="18" t="s">
        <v>12295</v>
      </c>
      <c r="Q2970" s="18" t="s">
        <v>138</v>
      </c>
      <c r="R2970" s="18" t="s">
        <v>6439</v>
      </c>
      <c r="S2970" s="18" t="s">
        <v>140</v>
      </c>
      <c r="T2970" s="18" t="s">
        <v>141</v>
      </c>
      <c r="U2970" s="18"/>
      <c r="V2970" s="19" t="s">
        <v>29</v>
      </c>
      <c r="W2970" s="19"/>
      <c r="X2970" s="19"/>
      <c r="Y2970" s="20"/>
      <c r="Z2970" s="19"/>
      <c r="AA2970" s="18" t="str">
        <f aca="false">IF(OR(V2970="Aprobada"),R2970,IF(AND(OR(V2970="Aprobada con ajuste",V2970="Rechazada"),W2970&lt;&gt;""),W2970,""))</f>
        <v/>
      </c>
    </row>
    <row r="2971" customFormat="false" ht="64.15" hidden="false" customHeight="false" outlineLevel="0" collapsed="false">
      <c r="A2971" s="18" t="s">
        <v>12296</v>
      </c>
      <c r="B2971" s="18" t="s">
        <v>80</v>
      </c>
      <c r="C2971" s="18" t="s">
        <v>81</v>
      </c>
      <c r="D2971" s="18" t="s">
        <v>12245</v>
      </c>
      <c r="E2971" s="18" t="n">
        <v>2</v>
      </c>
      <c r="F2971" s="18" t="s">
        <v>12297</v>
      </c>
      <c r="G2971" s="18" t="s">
        <v>128</v>
      </c>
      <c r="H2971" s="18" t="s">
        <v>162</v>
      </c>
      <c r="I2971" s="18"/>
      <c r="J2971" s="18"/>
      <c r="K2971" s="18"/>
      <c r="L2971" s="18" t="s">
        <v>129</v>
      </c>
      <c r="M2971" s="18" t="s">
        <v>129</v>
      </c>
      <c r="N2971" s="18"/>
      <c r="O2971" s="18"/>
      <c r="P2971" s="18" t="s">
        <v>12298</v>
      </c>
      <c r="Q2971" s="18" t="s">
        <v>131</v>
      </c>
      <c r="R2971" s="18" t="s">
        <v>12299</v>
      </c>
      <c r="S2971" s="18" t="s">
        <v>133</v>
      </c>
      <c r="T2971" s="18" t="s">
        <v>12300</v>
      </c>
      <c r="U2971" s="18"/>
      <c r="V2971" s="19" t="s">
        <v>29</v>
      </c>
      <c r="W2971" s="19"/>
      <c r="X2971" s="19"/>
      <c r="Y2971" s="20"/>
      <c r="Z2971" s="19"/>
      <c r="AA2971" s="18" t="str">
        <f aca="false">IF(OR(V2971="Aprobada"),R2971,IF(AND(OR(V2971="Aprobada con ajuste",V2971="Rechazada"),W2971&lt;&gt;""),W2971,""))</f>
        <v/>
      </c>
    </row>
    <row r="2972" customFormat="false" ht="22.35" hidden="false" customHeight="false" outlineLevel="0" collapsed="false">
      <c r="A2972" s="18" t="s">
        <v>12301</v>
      </c>
      <c r="B2972" s="18" t="s">
        <v>80</v>
      </c>
      <c r="C2972" s="18" t="s">
        <v>81</v>
      </c>
      <c r="D2972" s="18" t="s">
        <v>12245</v>
      </c>
      <c r="E2972" s="18" t="n">
        <v>2</v>
      </c>
      <c r="F2972" s="18" t="s">
        <v>11311</v>
      </c>
      <c r="G2972" s="18" t="s">
        <v>584</v>
      </c>
      <c r="H2972" s="18" t="s">
        <v>162</v>
      </c>
      <c r="I2972" s="18" t="s">
        <v>298</v>
      </c>
      <c r="J2972" s="18"/>
      <c r="K2972" s="18"/>
      <c r="L2972" s="18" t="s">
        <v>129</v>
      </c>
      <c r="M2972" s="18" t="s">
        <v>129</v>
      </c>
      <c r="N2972" s="18"/>
      <c r="O2972" s="18"/>
      <c r="P2972" s="18" t="s">
        <v>12302</v>
      </c>
      <c r="Q2972" s="18" t="s">
        <v>138</v>
      </c>
      <c r="R2972" s="18" t="s">
        <v>11313</v>
      </c>
      <c r="S2972" s="18" t="s">
        <v>140</v>
      </c>
      <c r="T2972" s="18" t="s">
        <v>141</v>
      </c>
      <c r="U2972" s="18"/>
      <c r="V2972" s="19" t="s">
        <v>29</v>
      </c>
      <c r="W2972" s="19"/>
      <c r="X2972" s="19"/>
      <c r="Y2972" s="20"/>
      <c r="Z2972" s="19"/>
      <c r="AA2972" s="18" t="str">
        <f aca="false">IF(OR(V2972="Aprobada"),R2972,IF(AND(OR(V2972="Aprobada con ajuste",V2972="Rechazada"),W2972&lt;&gt;""),W2972,""))</f>
        <v/>
      </c>
    </row>
    <row r="2973" customFormat="false" ht="22.35" hidden="false" customHeight="false" outlineLevel="0" collapsed="false">
      <c r="A2973" s="18" t="s">
        <v>12303</v>
      </c>
      <c r="B2973" s="18" t="s">
        <v>80</v>
      </c>
      <c r="C2973" s="18" t="s">
        <v>81</v>
      </c>
      <c r="D2973" s="18" t="s">
        <v>12245</v>
      </c>
      <c r="E2973" s="18" t="n">
        <v>2</v>
      </c>
      <c r="F2973" s="18" t="s">
        <v>11319</v>
      </c>
      <c r="G2973" s="18" t="s">
        <v>128</v>
      </c>
      <c r="H2973" s="18" t="s">
        <v>162</v>
      </c>
      <c r="I2973" s="18" t="s">
        <v>298</v>
      </c>
      <c r="J2973" s="18"/>
      <c r="K2973" s="18"/>
      <c r="L2973" s="18" t="s">
        <v>129</v>
      </c>
      <c r="M2973" s="18" t="s">
        <v>129</v>
      </c>
      <c r="N2973" s="18"/>
      <c r="O2973" s="18"/>
      <c r="P2973" s="18" t="s">
        <v>12304</v>
      </c>
      <c r="Q2973" s="18" t="s">
        <v>138</v>
      </c>
      <c r="R2973" s="18" t="s">
        <v>11321</v>
      </c>
      <c r="S2973" s="18" t="s">
        <v>140</v>
      </c>
      <c r="T2973" s="18" t="s">
        <v>141</v>
      </c>
      <c r="U2973" s="18"/>
      <c r="V2973" s="19" t="s">
        <v>29</v>
      </c>
      <c r="W2973" s="19"/>
      <c r="X2973" s="19"/>
      <c r="Y2973" s="20"/>
      <c r="Z2973" s="19"/>
      <c r="AA2973" s="18" t="str">
        <f aca="false">IF(OR(V2973="Aprobada"),R2973,IF(AND(OR(V2973="Aprobada con ajuste",V2973="Rechazada"),W2973&lt;&gt;""),W2973,""))</f>
        <v/>
      </c>
    </row>
    <row r="2974" customFormat="false" ht="32.8" hidden="false" customHeight="false" outlineLevel="0" collapsed="false">
      <c r="A2974" s="18" t="s">
        <v>12305</v>
      </c>
      <c r="B2974" s="18" t="s">
        <v>80</v>
      </c>
      <c r="C2974" s="18" t="s">
        <v>81</v>
      </c>
      <c r="D2974" s="18" t="s">
        <v>12306</v>
      </c>
      <c r="E2974" s="18" t="n">
        <v>0</v>
      </c>
      <c r="F2974" s="18" t="s">
        <v>7639</v>
      </c>
      <c r="G2974" s="18" t="s">
        <v>137</v>
      </c>
      <c r="H2974" s="18" t="s">
        <v>129</v>
      </c>
      <c r="I2974" s="18"/>
      <c r="J2974" s="18"/>
      <c r="K2974" s="18"/>
      <c r="L2974" s="18" t="s">
        <v>129</v>
      </c>
      <c r="M2974" s="18" t="s">
        <v>129</v>
      </c>
      <c r="N2974" s="18"/>
      <c r="O2974" s="18"/>
      <c r="P2974" s="18" t="s">
        <v>12307</v>
      </c>
      <c r="Q2974" s="18" t="s">
        <v>131</v>
      </c>
      <c r="R2974" s="18" t="s">
        <v>12308</v>
      </c>
      <c r="S2974" s="18" t="s">
        <v>133</v>
      </c>
      <c r="T2974" s="18" t="s">
        <v>12309</v>
      </c>
      <c r="U2974" s="18"/>
      <c r="V2974" s="19" t="s">
        <v>29</v>
      </c>
      <c r="W2974" s="19"/>
      <c r="X2974" s="19"/>
      <c r="Y2974" s="20"/>
      <c r="Z2974" s="19"/>
      <c r="AA2974" s="18" t="str">
        <f aca="false">IF(OR(V2974="Aprobada"),R2974,IF(AND(OR(V2974="Aprobada con ajuste",V2974="Rechazada"),W2974&lt;&gt;""),W2974,""))</f>
        <v/>
      </c>
    </row>
    <row r="2975" customFormat="false" ht="126.85" hidden="false" customHeight="false" outlineLevel="0" collapsed="false">
      <c r="A2975" s="18" t="s">
        <v>12310</v>
      </c>
      <c r="B2975" s="18" t="s">
        <v>80</v>
      </c>
      <c r="C2975" s="18" t="s">
        <v>81</v>
      </c>
      <c r="D2975" s="18" t="s">
        <v>12306</v>
      </c>
      <c r="E2975" s="18" t="n">
        <v>0</v>
      </c>
      <c r="F2975" s="18" t="s">
        <v>4609</v>
      </c>
      <c r="G2975" s="18" t="s">
        <v>128</v>
      </c>
      <c r="H2975" s="18" t="s">
        <v>129</v>
      </c>
      <c r="I2975" s="18"/>
      <c r="J2975" s="18"/>
      <c r="K2975" s="18"/>
      <c r="L2975" s="18" t="s">
        <v>129</v>
      </c>
      <c r="M2975" s="18" t="s">
        <v>129</v>
      </c>
      <c r="N2975" s="18"/>
      <c r="O2975" s="18"/>
      <c r="P2975" s="18" t="s">
        <v>12311</v>
      </c>
      <c r="Q2975" s="18" t="s">
        <v>131</v>
      </c>
      <c r="R2975" s="18" t="s">
        <v>12312</v>
      </c>
      <c r="S2975" s="18" t="s">
        <v>133</v>
      </c>
      <c r="T2975" s="18" t="s">
        <v>12313</v>
      </c>
      <c r="U2975" s="18"/>
      <c r="V2975" s="19" t="s">
        <v>29</v>
      </c>
      <c r="W2975" s="19"/>
      <c r="X2975" s="19"/>
      <c r="Y2975" s="20"/>
      <c r="Z2975" s="19"/>
      <c r="AA2975" s="18" t="str">
        <f aca="false">IF(OR(V2975="Aprobada"),R2975,IF(AND(OR(V2975="Aprobada con ajuste",V2975="Rechazada"),W2975&lt;&gt;""),W2975,""))</f>
        <v/>
      </c>
    </row>
    <row r="2976" customFormat="false" ht="22.35" hidden="false" customHeight="false" outlineLevel="0" collapsed="false">
      <c r="A2976" s="18" t="s">
        <v>12314</v>
      </c>
      <c r="B2976" s="18" t="s">
        <v>80</v>
      </c>
      <c r="C2976" s="18" t="s">
        <v>81</v>
      </c>
      <c r="D2976" s="18" t="s">
        <v>12306</v>
      </c>
      <c r="E2976" s="18" t="n">
        <v>0</v>
      </c>
      <c r="F2976" s="18" t="s">
        <v>11267</v>
      </c>
      <c r="G2976" s="18" t="s">
        <v>192</v>
      </c>
      <c r="H2976" s="18" t="s">
        <v>129</v>
      </c>
      <c r="I2976" s="18"/>
      <c r="J2976" s="18"/>
      <c r="K2976" s="18"/>
      <c r="L2976" s="18" t="s">
        <v>129</v>
      </c>
      <c r="M2976" s="18" t="s">
        <v>129</v>
      </c>
      <c r="N2976" s="18"/>
      <c r="O2976" s="18"/>
      <c r="P2976" s="18" t="s">
        <v>12315</v>
      </c>
      <c r="Q2976" s="18" t="s">
        <v>149</v>
      </c>
      <c r="R2976" s="18" t="s">
        <v>12316</v>
      </c>
      <c r="S2976" s="18" t="s">
        <v>140</v>
      </c>
      <c r="T2976" s="18" t="s">
        <v>11270</v>
      </c>
      <c r="U2976" s="18" t="s">
        <v>12317</v>
      </c>
      <c r="V2976" s="19" t="s">
        <v>29</v>
      </c>
      <c r="W2976" s="19"/>
      <c r="X2976" s="19"/>
      <c r="Y2976" s="20"/>
      <c r="Z2976" s="19"/>
      <c r="AA2976" s="18" t="str">
        <f aca="false">IF(OR(V2976="Aprobada"),R2976,IF(AND(OR(V2976="Aprobada con ajuste",V2976="Rechazada"),W2976&lt;&gt;""),W2976,""))</f>
        <v/>
      </c>
    </row>
    <row r="2977" customFormat="false" ht="22.35" hidden="false" customHeight="false" outlineLevel="0" collapsed="false">
      <c r="A2977" s="18" t="s">
        <v>12318</v>
      </c>
      <c r="B2977" s="18" t="s">
        <v>80</v>
      </c>
      <c r="C2977" s="18" t="s">
        <v>81</v>
      </c>
      <c r="D2977" s="18" t="s">
        <v>12306</v>
      </c>
      <c r="E2977" s="18" t="n">
        <v>0</v>
      </c>
      <c r="F2977" s="18" t="s">
        <v>185</v>
      </c>
      <c r="G2977" s="18" t="s">
        <v>205</v>
      </c>
      <c r="H2977" s="18" t="s">
        <v>129</v>
      </c>
      <c r="I2977" s="18" t="s">
        <v>298</v>
      </c>
      <c r="J2977" s="18" t="s">
        <v>11303</v>
      </c>
      <c r="K2977" s="18"/>
      <c r="L2977" s="18" t="s">
        <v>162</v>
      </c>
      <c r="M2977" s="18" t="s">
        <v>129</v>
      </c>
      <c r="N2977" s="18"/>
      <c r="O2977" s="18"/>
      <c r="P2977" s="18" t="s">
        <v>12319</v>
      </c>
      <c r="Q2977" s="18" t="s">
        <v>138</v>
      </c>
      <c r="R2977" s="18" t="s">
        <v>12320</v>
      </c>
      <c r="S2977" s="18" t="s">
        <v>140</v>
      </c>
      <c r="T2977" s="18" t="s">
        <v>141</v>
      </c>
      <c r="U2977" s="18"/>
      <c r="V2977" s="19" t="s">
        <v>29</v>
      </c>
      <c r="W2977" s="19"/>
      <c r="X2977" s="19"/>
      <c r="Y2977" s="20"/>
      <c r="Z2977" s="19"/>
      <c r="AA2977" s="18" t="str">
        <f aca="false">IF(OR(V2977="Aprobada"),R2977,IF(AND(OR(V2977="Aprobada con ajuste",V2977="Rechazada"),W2977&lt;&gt;""),W2977,""))</f>
        <v/>
      </c>
    </row>
    <row r="2978" customFormat="false" ht="22.35" hidden="false" customHeight="false" outlineLevel="0" collapsed="false">
      <c r="A2978" s="18" t="s">
        <v>12321</v>
      </c>
      <c r="B2978" s="18" t="s">
        <v>80</v>
      </c>
      <c r="C2978" s="18" t="s">
        <v>81</v>
      </c>
      <c r="D2978" s="18" t="s">
        <v>12306</v>
      </c>
      <c r="E2978" s="18" t="n">
        <v>0</v>
      </c>
      <c r="F2978" s="18" t="s">
        <v>7634</v>
      </c>
      <c r="G2978" s="18" t="s">
        <v>454</v>
      </c>
      <c r="H2978" s="18" t="s">
        <v>162</v>
      </c>
      <c r="I2978" s="18"/>
      <c r="J2978" s="18"/>
      <c r="K2978" s="18"/>
      <c r="L2978" s="18" t="s">
        <v>129</v>
      </c>
      <c r="M2978" s="18" t="s">
        <v>129</v>
      </c>
      <c r="N2978" s="18"/>
      <c r="O2978" s="18"/>
      <c r="P2978" s="18" t="s">
        <v>12322</v>
      </c>
      <c r="Q2978" s="18" t="s">
        <v>149</v>
      </c>
      <c r="R2978" s="18" t="s">
        <v>12323</v>
      </c>
      <c r="S2978" s="18" t="s">
        <v>140</v>
      </c>
      <c r="T2978" s="18" t="s">
        <v>11404</v>
      </c>
      <c r="U2978" s="18" t="s">
        <v>12324</v>
      </c>
      <c r="V2978" s="19" t="s">
        <v>29</v>
      </c>
      <c r="W2978" s="19"/>
      <c r="X2978" s="19"/>
      <c r="Y2978" s="20"/>
      <c r="Z2978" s="19"/>
      <c r="AA2978" s="18" t="str">
        <f aca="false">IF(OR(V2978="Aprobada"),R2978,IF(AND(OR(V2978="Aprobada con ajuste",V2978="Rechazada"),W2978&lt;&gt;""),W2978,""))</f>
        <v/>
      </c>
    </row>
    <row r="2979" customFormat="false" ht="22.35" hidden="false" customHeight="false" outlineLevel="0" collapsed="false">
      <c r="A2979" s="18" t="s">
        <v>12325</v>
      </c>
      <c r="B2979" s="18" t="s">
        <v>80</v>
      </c>
      <c r="C2979" s="18" t="s">
        <v>81</v>
      </c>
      <c r="D2979" s="18" t="s">
        <v>12306</v>
      </c>
      <c r="E2979" s="18" t="n">
        <v>0</v>
      </c>
      <c r="F2979" s="18" t="s">
        <v>11311</v>
      </c>
      <c r="G2979" s="18" t="s">
        <v>584</v>
      </c>
      <c r="H2979" s="18" t="s">
        <v>162</v>
      </c>
      <c r="I2979" s="18" t="s">
        <v>298</v>
      </c>
      <c r="J2979" s="18"/>
      <c r="K2979" s="18"/>
      <c r="L2979" s="18" t="s">
        <v>129</v>
      </c>
      <c r="M2979" s="18" t="s">
        <v>129</v>
      </c>
      <c r="N2979" s="18"/>
      <c r="O2979" s="18"/>
      <c r="P2979" s="18" t="s">
        <v>12326</v>
      </c>
      <c r="Q2979" s="18" t="s">
        <v>138</v>
      </c>
      <c r="R2979" s="18" t="s">
        <v>11313</v>
      </c>
      <c r="S2979" s="18" t="s">
        <v>140</v>
      </c>
      <c r="T2979" s="18" t="s">
        <v>141</v>
      </c>
      <c r="U2979" s="18"/>
      <c r="V2979" s="19" t="s">
        <v>29</v>
      </c>
      <c r="W2979" s="19"/>
      <c r="X2979" s="19"/>
      <c r="Y2979" s="20"/>
      <c r="Z2979" s="19"/>
      <c r="AA2979" s="18" t="str">
        <f aca="false">IF(OR(V2979="Aprobada"),R2979,IF(AND(OR(V2979="Aprobada con ajuste",V2979="Rechazada"),W2979&lt;&gt;""),W2979,""))</f>
        <v/>
      </c>
    </row>
    <row r="2980" customFormat="false" ht="22.35" hidden="false" customHeight="false" outlineLevel="0" collapsed="false">
      <c r="A2980" s="18" t="s">
        <v>12327</v>
      </c>
      <c r="B2980" s="18" t="s">
        <v>80</v>
      </c>
      <c r="C2980" s="18" t="s">
        <v>81</v>
      </c>
      <c r="D2980" s="18" t="s">
        <v>12306</v>
      </c>
      <c r="E2980" s="18" t="n">
        <v>0</v>
      </c>
      <c r="F2980" s="18" t="s">
        <v>11315</v>
      </c>
      <c r="G2980" s="18" t="s">
        <v>454</v>
      </c>
      <c r="H2980" s="18" t="s">
        <v>162</v>
      </c>
      <c r="I2980" s="18"/>
      <c r="J2980" s="18"/>
      <c r="K2980" s="18"/>
      <c r="L2980" s="18" t="s">
        <v>129</v>
      </c>
      <c r="M2980" s="18" t="s">
        <v>129</v>
      </c>
      <c r="N2980" s="18"/>
      <c r="O2980" s="18"/>
      <c r="P2980" s="18" t="s">
        <v>12328</v>
      </c>
      <c r="Q2980" s="18" t="s">
        <v>138</v>
      </c>
      <c r="R2980" s="18" t="s">
        <v>11317</v>
      </c>
      <c r="S2980" s="18" t="s">
        <v>140</v>
      </c>
      <c r="T2980" s="18" t="s">
        <v>141</v>
      </c>
      <c r="U2980" s="18"/>
      <c r="V2980" s="19" t="s">
        <v>29</v>
      </c>
      <c r="W2980" s="19"/>
      <c r="X2980" s="19"/>
      <c r="Y2980" s="20"/>
      <c r="Z2980" s="19"/>
      <c r="AA2980" s="18" t="str">
        <f aca="false">IF(OR(V2980="Aprobada"),R2980,IF(AND(OR(V2980="Aprobada con ajuste",V2980="Rechazada"),W2980&lt;&gt;""),W2980,""))</f>
        <v/>
      </c>
    </row>
    <row r="2981" customFormat="false" ht="22.35" hidden="false" customHeight="false" outlineLevel="0" collapsed="false">
      <c r="A2981" s="18" t="s">
        <v>12329</v>
      </c>
      <c r="B2981" s="18" t="s">
        <v>80</v>
      </c>
      <c r="C2981" s="18" t="s">
        <v>81</v>
      </c>
      <c r="D2981" s="18" t="s">
        <v>12306</v>
      </c>
      <c r="E2981" s="18" t="n">
        <v>0</v>
      </c>
      <c r="F2981" s="18" t="s">
        <v>11319</v>
      </c>
      <c r="G2981" s="18" t="s">
        <v>128</v>
      </c>
      <c r="H2981" s="18" t="s">
        <v>162</v>
      </c>
      <c r="I2981" s="18" t="s">
        <v>298</v>
      </c>
      <c r="J2981" s="18"/>
      <c r="K2981" s="18"/>
      <c r="L2981" s="18" t="s">
        <v>129</v>
      </c>
      <c r="M2981" s="18" t="s">
        <v>129</v>
      </c>
      <c r="N2981" s="18"/>
      <c r="O2981" s="18"/>
      <c r="P2981" s="18" t="s">
        <v>12330</v>
      </c>
      <c r="Q2981" s="18" t="s">
        <v>138</v>
      </c>
      <c r="R2981" s="18" t="s">
        <v>11321</v>
      </c>
      <c r="S2981" s="18" t="s">
        <v>140</v>
      </c>
      <c r="T2981" s="18" t="s">
        <v>141</v>
      </c>
      <c r="U2981" s="18"/>
      <c r="V2981" s="19" t="s">
        <v>29</v>
      </c>
      <c r="W2981" s="19"/>
      <c r="X2981" s="19"/>
      <c r="Y2981" s="20"/>
      <c r="Z2981" s="19"/>
      <c r="AA2981" s="18" t="str">
        <f aca="false">IF(OR(V2981="Aprobada"),R2981,IF(AND(OR(V2981="Aprobada con ajuste",V2981="Rechazada"),W2981&lt;&gt;""),W2981,""))</f>
        <v/>
      </c>
    </row>
    <row r="2982" customFormat="false" ht="53.7" hidden="false" customHeight="false" outlineLevel="0" collapsed="false">
      <c r="A2982" s="18" t="s">
        <v>12331</v>
      </c>
      <c r="B2982" s="18" t="s">
        <v>80</v>
      </c>
      <c r="C2982" s="18" t="s">
        <v>81</v>
      </c>
      <c r="D2982" s="18" t="s">
        <v>12332</v>
      </c>
      <c r="E2982" s="18" t="n">
        <v>2</v>
      </c>
      <c r="F2982" s="18" t="s">
        <v>12333</v>
      </c>
      <c r="G2982" s="18" t="s">
        <v>173</v>
      </c>
      <c r="H2982" s="18" t="s">
        <v>129</v>
      </c>
      <c r="I2982" s="18" t="s">
        <v>298</v>
      </c>
      <c r="J2982" s="18"/>
      <c r="K2982" s="18"/>
      <c r="L2982" s="18" t="s">
        <v>129</v>
      </c>
      <c r="M2982" s="18" t="s">
        <v>129</v>
      </c>
      <c r="N2982" s="18"/>
      <c r="O2982" s="18"/>
      <c r="P2982" s="18" t="s">
        <v>12334</v>
      </c>
      <c r="Q2982" s="18" t="s">
        <v>131</v>
      </c>
      <c r="R2982" s="18" t="s">
        <v>12335</v>
      </c>
      <c r="S2982" s="18" t="s">
        <v>133</v>
      </c>
      <c r="T2982" s="18" t="s">
        <v>12336</v>
      </c>
      <c r="U2982" s="18"/>
      <c r="V2982" s="19" t="s">
        <v>29</v>
      </c>
      <c r="W2982" s="19"/>
      <c r="X2982" s="19"/>
      <c r="Y2982" s="20"/>
      <c r="Z2982" s="19"/>
      <c r="AA2982" s="18" t="str">
        <f aca="false">IF(OR(V2982="Aprobada"),R2982,IF(AND(OR(V2982="Aprobada con ajuste",V2982="Rechazada"),W2982&lt;&gt;""),W2982,""))</f>
        <v/>
      </c>
    </row>
    <row r="2983" customFormat="false" ht="85.05" hidden="false" customHeight="false" outlineLevel="0" collapsed="false">
      <c r="A2983" s="18" t="s">
        <v>12337</v>
      </c>
      <c r="B2983" s="18" t="s">
        <v>80</v>
      </c>
      <c r="C2983" s="18" t="s">
        <v>81</v>
      </c>
      <c r="D2983" s="18" t="s">
        <v>12332</v>
      </c>
      <c r="E2983" s="18" t="n">
        <v>2</v>
      </c>
      <c r="F2983" s="18" t="s">
        <v>12338</v>
      </c>
      <c r="G2983" s="18" t="s">
        <v>503</v>
      </c>
      <c r="H2983" s="18" t="s">
        <v>129</v>
      </c>
      <c r="I2983" s="18" t="s">
        <v>298</v>
      </c>
      <c r="J2983" s="18"/>
      <c r="K2983" s="18"/>
      <c r="L2983" s="18" t="s">
        <v>129</v>
      </c>
      <c r="M2983" s="18" t="s">
        <v>129</v>
      </c>
      <c r="N2983" s="18"/>
      <c r="O2983" s="18"/>
      <c r="P2983" s="18" t="s">
        <v>12339</v>
      </c>
      <c r="Q2983" s="18" t="s">
        <v>131</v>
      </c>
      <c r="R2983" s="18" t="s">
        <v>12340</v>
      </c>
      <c r="S2983" s="18" t="s">
        <v>133</v>
      </c>
      <c r="T2983" s="18" t="s">
        <v>12341</v>
      </c>
      <c r="U2983" s="18"/>
      <c r="V2983" s="19" t="s">
        <v>29</v>
      </c>
      <c r="W2983" s="19"/>
      <c r="X2983" s="19"/>
      <c r="Y2983" s="20"/>
      <c r="Z2983" s="19"/>
      <c r="AA2983" s="18" t="str">
        <f aca="false">IF(OR(V2983="Aprobada"),R2983,IF(AND(OR(V2983="Aprobada con ajuste",V2983="Rechazada"),W2983&lt;&gt;""),W2983,""))</f>
        <v/>
      </c>
    </row>
    <row r="2984" customFormat="false" ht="43.25" hidden="false" customHeight="false" outlineLevel="0" collapsed="false">
      <c r="A2984" s="18" t="s">
        <v>12342</v>
      </c>
      <c r="B2984" s="18" t="s">
        <v>80</v>
      </c>
      <c r="C2984" s="18" t="s">
        <v>81</v>
      </c>
      <c r="D2984" s="18" t="s">
        <v>12332</v>
      </c>
      <c r="E2984" s="18" t="n">
        <v>2</v>
      </c>
      <c r="F2984" s="18" t="s">
        <v>12343</v>
      </c>
      <c r="G2984" s="18" t="s">
        <v>11382</v>
      </c>
      <c r="H2984" s="18" t="s">
        <v>162</v>
      </c>
      <c r="I2984" s="18"/>
      <c r="J2984" s="18"/>
      <c r="K2984" s="18"/>
      <c r="L2984" s="18" t="s">
        <v>129</v>
      </c>
      <c r="M2984" s="18" t="s">
        <v>129</v>
      </c>
      <c r="N2984" s="18"/>
      <c r="O2984" s="18"/>
      <c r="P2984" s="18" t="s">
        <v>12344</v>
      </c>
      <c r="Q2984" s="18" t="s">
        <v>131</v>
      </c>
      <c r="R2984" s="18" t="s">
        <v>12345</v>
      </c>
      <c r="S2984" s="18" t="s">
        <v>133</v>
      </c>
      <c r="T2984" s="18" t="s">
        <v>12346</v>
      </c>
      <c r="U2984" s="18"/>
      <c r="V2984" s="19" t="s">
        <v>29</v>
      </c>
      <c r="W2984" s="19"/>
      <c r="X2984" s="19"/>
      <c r="Y2984" s="20"/>
      <c r="Z2984" s="19"/>
      <c r="AA2984" s="18" t="str">
        <f aca="false">IF(OR(V2984="Aprobada"),R2984,IF(AND(OR(V2984="Aprobada con ajuste",V2984="Rechazada"),W2984&lt;&gt;""),W2984,""))</f>
        <v/>
      </c>
    </row>
    <row r="2985" customFormat="false" ht="43.25" hidden="false" customHeight="false" outlineLevel="0" collapsed="false">
      <c r="A2985" s="18" t="s">
        <v>12347</v>
      </c>
      <c r="B2985" s="18" t="s">
        <v>80</v>
      </c>
      <c r="C2985" s="18" t="s">
        <v>81</v>
      </c>
      <c r="D2985" s="18" t="s">
        <v>12332</v>
      </c>
      <c r="E2985" s="18" t="n">
        <v>2</v>
      </c>
      <c r="F2985" s="18" t="s">
        <v>12348</v>
      </c>
      <c r="G2985" s="18" t="s">
        <v>11382</v>
      </c>
      <c r="H2985" s="18" t="s">
        <v>162</v>
      </c>
      <c r="I2985" s="18"/>
      <c r="J2985" s="18"/>
      <c r="K2985" s="18"/>
      <c r="L2985" s="18" t="s">
        <v>129</v>
      </c>
      <c r="M2985" s="18" t="s">
        <v>129</v>
      </c>
      <c r="N2985" s="18"/>
      <c r="O2985" s="18"/>
      <c r="P2985" s="18" t="s">
        <v>12349</v>
      </c>
      <c r="Q2985" s="18" t="s">
        <v>131</v>
      </c>
      <c r="R2985" s="18" t="s">
        <v>12350</v>
      </c>
      <c r="S2985" s="18" t="s">
        <v>140</v>
      </c>
      <c r="T2985" s="18" t="s">
        <v>12351</v>
      </c>
      <c r="U2985" s="18" t="s">
        <v>12352</v>
      </c>
      <c r="V2985" s="19" t="s">
        <v>29</v>
      </c>
      <c r="W2985" s="19"/>
      <c r="X2985" s="19"/>
      <c r="Y2985" s="20"/>
      <c r="Z2985" s="19"/>
      <c r="AA2985" s="18" t="str">
        <f aca="false">IF(OR(V2985="Aprobada"),R2985,IF(AND(OR(V2985="Aprobada con ajuste",V2985="Rechazada"),W2985&lt;&gt;""),W2985,""))</f>
        <v/>
      </c>
    </row>
    <row r="2986" customFormat="false" ht="43.25" hidden="false" customHeight="false" outlineLevel="0" collapsed="false">
      <c r="A2986" s="18" t="s">
        <v>12353</v>
      </c>
      <c r="B2986" s="18" t="s">
        <v>80</v>
      </c>
      <c r="C2986" s="18" t="s">
        <v>81</v>
      </c>
      <c r="D2986" s="18" t="s">
        <v>12332</v>
      </c>
      <c r="E2986" s="18" t="n">
        <v>2</v>
      </c>
      <c r="F2986" s="18" t="s">
        <v>12354</v>
      </c>
      <c r="G2986" s="18" t="s">
        <v>828</v>
      </c>
      <c r="H2986" s="18" t="s">
        <v>162</v>
      </c>
      <c r="I2986" s="18"/>
      <c r="J2986" s="18"/>
      <c r="K2986" s="18"/>
      <c r="L2986" s="18" t="s">
        <v>129</v>
      </c>
      <c r="M2986" s="18" t="s">
        <v>129</v>
      </c>
      <c r="N2986" s="18"/>
      <c r="O2986" s="18"/>
      <c r="P2986" s="18" t="s">
        <v>12355</v>
      </c>
      <c r="Q2986" s="18" t="s">
        <v>131</v>
      </c>
      <c r="R2986" s="18" t="s">
        <v>12356</v>
      </c>
      <c r="S2986" s="18" t="s">
        <v>140</v>
      </c>
      <c r="T2986" s="18" t="s">
        <v>12357</v>
      </c>
      <c r="U2986" s="18" t="s">
        <v>12358</v>
      </c>
      <c r="V2986" s="19" t="s">
        <v>29</v>
      </c>
      <c r="W2986" s="19"/>
      <c r="X2986" s="19"/>
      <c r="Y2986" s="20"/>
      <c r="Z2986" s="19"/>
      <c r="AA2986" s="18" t="str">
        <f aca="false">IF(OR(V2986="Aprobada"),R2986,IF(AND(OR(V2986="Aprobada con ajuste",V2986="Rechazada"),W2986&lt;&gt;""),W2986,""))</f>
        <v/>
      </c>
    </row>
    <row r="2987" customFormat="false" ht="43.25" hidden="false" customHeight="false" outlineLevel="0" collapsed="false">
      <c r="A2987" s="18" t="s">
        <v>12359</v>
      </c>
      <c r="B2987" s="18" t="s">
        <v>80</v>
      </c>
      <c r="C2987" s="18" t="s">
        <v>81</v>
      </c>
      <c r="D2987" s="18" t="s">
        <v>12332</v>
      </c>
      <c r="E2987" s="18" t="n">
        <v>2</v>
      </c>
      <c r="F2987" s="18" t="s">
        <v>12360</v>
      </c>
      <c r="G2987" s="18" t="s">
        <v>503</v>
      </c>
      <c r="H2987" s="18" t="s">
        <v>162</v>
      </c>
      <c r="I2987" s="18"/>
      <c r="J2987" s="18"/>
      <c r="K2987" s="18"/>
      <c r="L2987" s="18" t="s">
        <v>129</v>
      </c>
      <c r="M2987" s="18" t="s">
        <v>129</v>
      </c>
      <c r="N2987" s="18"/>
      <c r="O2987" s="18"/>
      <c r="P2987" s="18" t="s">
        <v>12361</v>
      </c>
      <c r="Q2987" s="18" t="s">
        <v>131</v>
      </c>
      <c r="R2987" s="18" t="s">
        <v>12362</v>
      </c>
      <c r="S2987" s="18" t="s">
        <v>133</v>
      </c>
      <c r="T2987" s="18" t="s">
        <v>12363</v>
      </c>
      <c r="U2987" s="18"/>
      <c r="V2987" s="19" t="s">
        <v>29</v>
      </c>
      <c r="W2987" s="19"/>
      <c r="X2987" s="19"/>
      <c r="Y2987" s="20"/>
      <c r="Z2987" s="19"/>
      <c r="AA2987" s="18" t="str">
        <f aca="false">IF(OR(V2987="Aprobada"),R2987,IF(AND(OR(V2987="Aprobada con ajuste",V2987="Rechazada"),W2987&lt;&gt;""),W2987,""))</f>
        <v/>
      </c>
    </row>
    <row r="2988" customFormat="false" ht="126.85" hidden="false" customHeight="false" outlineLevel="0" collapsed="false">
      <c r="A2988" s="18" t="s">
        <v>12364</v>
      </c>
      <c r="B2988" s="18" t="s">
        <v>80</v>
      </c>
      <c r="C2988" s="18" t="s">
        <v>81</v>
      </c>
      <c r="D2988" s="18" t="s">
        <v>12332</v>
      </c>
      <c r="E2988" s="18" t="n">
        <v>2</v>
      </c>
      <c r="F2988" s="18" t="s">
        <v>3036</v>
      </c>
      <c r="G2988" s="18" t="s">
        <v>128</v>
      </c>
      <c r="H2988" s="18" t="s">
        <v>162</v>
      </c>
      <c r="I2988" s="18" t="s">
        <v>298</v>
      </c>
      <c r="J2988" s="18"/>
      <c r="K2988" s="18"/>
      <c r="L2988" s="18" t="s">
        <v>129</v>
      </c>
      <c r="M2988" s="18" t="s">
        <v>129</v>
      </c>
      <c r="N2988" s="18"/>
      <c r="O2988" s="18"/>
      <c r="P2988" s="18" t="s">
        <v>12365</v>
      </c>
      <c r="Q2988" s="18" t="s">
        <v>131</v>
      </c>
      <c r="R2988" s="18" t="s">
        <v>12366</v>
      </c>
      <c r="S2988" s="18" t="s">
        <v>133</v>
      </c>
      <c r="T2988" s="18" t="s">
        <v>12367</v>
      </c>
      <c r="U2988" s="18"/>
      <c r="V2988" s="19" t="s">
        <v>29</v>
      </c>
      <c r="W2988" s="19"/>
      <c r="X2988" s="19"/>
      <c r="Y2988" s="20"/>
      <c r="Z2988" s="19"/>
      <c r="AA2988" s="18" t="str">
        <f aca="false">IF(OR(V2988="Aprobada"),R2988,IF(AND(OR(V2988="Aprobada con ajuste",V2988="Rechazada"),W2988&lt;&gt;""),W2988,""))</f>
        <v/>
      </c>
    </row>
    <row r="2989" customFormat="false" ht="43.25" hidden="false" customHeight="false" outlineLevel="0" collapsed="false">
      <c r="A2989" s="18" t="s">
        <v>12368</v>
      </c>
      <c r="B2989" s="18" t="s">
        <v>80</v>
      </c>
      <c r="C2989" s="18" t="s">
        <v>81</v>
      </c>
      <c r="D2989" s="18" t="s">
        <v>12332</v>
      </c>
      <c r="E2989" s="18" t="n">
        <v>2</v>
      </c>
      <c r="F2989" s="18" t="s">
        <v>12369</v>
      </c>
      <c r="G2989" s="18" t="s">
        <v>312</v>
      </c>
      <c r="H2989" s="18" t="s">
        <v>162</v>
      </c>
      <c r="I2989" s="18"/>
      <c r="J2989" s="18"/>
      <c r="K2989" s="18"/>
      <c r="L2989" s="18" t="s">
        <v>129</v>
      </c>
      <c r="M2989" s="18" t="s">
        <v>129</v>
      </c>
      <c r="N2989" s="18"/>
      <c r="O2989" s="18"/>
      <c r="P2989" s="18" t="s">
        <v>12370</v>
      </c>
      <c r="Q2989" s="18" t="s">
        <v>131</v>
      </c>
      <c r="R2989" s="18" t="s">
        <v>12371</v>
      </c>
      <c r="S2989" s="18" t="s">
        <v>133</v>
      </c>
      <c r="T2989" s="18" t="s">
        <v>12372</v>
      </c>
      <c r="U2989" s="18" t="s">
        <v>12373</v>
      </c>
      <c r="V2989" s="19" t="s">
        <v>29</v>
      </c>
      <c r="W2989" s="19"/>
      <c r="X2989" s="19"/>
      <c r="Y2989" s="20"/>
      <c r="Z2989" s="19"/>
      <c r="AA2989" s="18" t="str">
        <f aca="false">IF(OR(V2989="Aprobada"),R2989,IF(AND(OR(V2989="Aprobada con ajuste",V2989="Rechazada"),W2989&lt;&gt;""),W2989,""))</f>
        <v/>
      </c>
    </row>
    <row r="2990" customFormat="false" ht="43.25" hidden="false" customHeight="false" outlineLevel="0" collapsed="false">
      <c r="A2990" s="18" t="s">
        <v>12374</v>
      </c>
      <c r="B2990" s="18" t="s">
        <v>80</v>
      </c>
      <c r="C2990" s="18" t="s">
        <v>81</v>
      </c>
      <c r="D2990" s="18" t="s">
        <v>12332</v>
      </c>
      <c r="E2990" s="18" t="n">
        <v>2</v>
      </c>
      <c r="F2990" s="18" t="s">
        <v>12375</v>
      </c>
      <c r="G2990" s="18" t="s">
        <v>11001</v>
      </c>
      <c r="H2990" s="18" t="s">
        <v>162</v>
      </c>
      <c r="I2990" s="18"/>
      <c r="J2990" s="18"/>
      <c r="K2990" s="18"/>
      <c r="L2990" s="18" t="s">
        <v>129</v>
      </c>
      <c r="M2990" s="18" t="s">
        <v>129</v>
      </c>
      <c r="N2990" s="18"/>
      <c r="O2990" s="18"/>
      <c r="P2990" s="18" t="s">
        <v>12376</v>
      </c>
      <c r="Q2990" s="18" t="s">
        <v>131</v>
      </c>
      <c r="R2990" s="18" t="s">
        <v>12377</v>
      </c>
      <c r="S2990" s="18" t="s">
        <v>140</v>
      </c>
      <c r="T2990" s="18" t="s">
        <v>12378</v>
      </c>
      <c r="U2990" s="18" t="s">
        <v>4673</v>
      </c>
      <c r="V2990" s="19" t="s">
        <v>29</v>
      </c>
      <c r="W2990" s="19"/>
      <c r="X2990" s="19"/>
      <c r="Y2990" s="20"/>
      <c r="Z2990" s="19"/>
      <c r="AA2990" s="18" t="str">
        <f aca="false">IF(OR(V2990="Aprobada"),R2990,IF(AND(OR(V2990="Aprobada con ajuste",V2990="Rechazada"),W2990&lt;&gt;""),W2990,""))</f>
        <v/>
      </c>
    </row>
    <row r="2991" customFormat="false" ht="43.25" hidden="false" customHeight="false" outlineLevel="0" collapsed="false">
      <c r="A2991" s="18" t="s">
        <v>12379</v>
      </c>
      <c r="B2991" s="18" t="s">
        <v>80</v>
      </c>
      <c r="C2991" s="18" t="s">
        <v>81</v>
      </c>
      <c r="D2991" s="18" t="s">
        <v>12332</v>
      </c>
      <c r="E2991" s="18" t="n">
        <v>2</v>
      </c>
      <c r="F2991" s="18" t="s">
        <v>12380</v>
      </c>
      <c r="G2991" s="18" t="s">
        <v>584</v>
      </c>
      <c r="H2991" s="18" t="s">
        <v>129</v>
      </c>
      <c r="I2991" s="18"/>
      <c r="J2991" s="18"/>
      <c r="K2991" s="18"/>
      <c r="L2991" s="18" t="s">
        <v>129</v>
      </c>
      <c r="M2991" s="18" t="s">
        <v>129</v>
      </c>
      <c r="N2991" s="18"/>
      <c r="O2991" s="18"/>
      <c r="P2991" s="18" t="s">
        <v>12381</v>
      </c>
      <c r="Q2991" s="18" t="s">
        <v>131</v>
      </c>
      <c r="R2991" s="18" t="s">
        <v>12382</v>
      </c>
      <c r="S2991" s="18" t="s">
        <v>133</v>
      </c>
      <c r="T2991" s="18" t="s">
        <v>12378</v>
      </c>
      <c r="U2991" s="18"/>
      <c r="V2991" s="19" t="s">
        <v>29</v>
      </c>
      <c r="W2991" s="19"/>
      <c r="X2991" s="19"/>
      <c r="Y2991" s="20"/>
      <c r="Z2991" s="19"/>
      <c r="AA2991" s="18" t="str">
        <f aca="false">IF(OR(V2991="Aprobada"),R2991,IF(AND(OR(V2991="Aprobada con ajuste",V2991="Rechazada"),W2991&lt;&gt;""),W2991,""))</f>
        <v/>
      </c>
    </row>
    <row r="2992" customFormat="false" ht="95.5" hidden="false" customHeight="false" outlineLevel="0" collapsed="false">
      <c r="A2992" s="18" t="s">
        <v>12383</v>
      </c>
      <c r="B2992" s="18" t="s">
        <v>80</v>
      </c>
      <c r="C2992" s="18" t="s">
        <v>81</v>
      </c>
      <c r="D2992" s="18" t="s">
        <v>12384</v>
      </c>
      <c r="E2992" s="18" t="n">
        <v>0</v>
      </c>
      <c r="F2992" s="18" t="s">
        <v>275</v>
      </c>
      <c r="G2992" s="18" t="s">
        <v>454</v>
      </c>
      <c r="H2992" s="18" t="s">
        <v>129</v>
      </c>
      <c r="I2992" s="18"/>
      <c r="J2992" s="18"/>
      <c r="K2992" s="18"/>
      <c r="L2992" s="18" t="s">
        <v>129</v>
      </c>
      <c r="M2992" s="18" t="s">
        <v>129</v>
      </c>
      <c r="N2992" s="18"/>
      <c r="O2992" s="18"/>
      <c r="P2992" s="18" t="s">
        <v>12385</v>
      </c>
      <c r="Q2992" s="18" t="s">
        <v>138</v>
      </c>
      <c r="R2992" s="18" t="s">
        <v>12386</v>
      </c>
      <c r="S2992" s="18" t="s">
        <v>140</v>
      </c>
      <c r="T2992" s="18" t="s">
        <v>141</v>
      </c>
      <c r="U2992" s="18"/>
      <c r="V2992" s="19" t="s">
        <v>29</v>
      </c>
      <c r="W2992" s="19"/>
      <c r="X2992" s="19"/>
      <c r="Y2992" s="20"/>
      <c r="Z2992" s="19"/>
      <c r="AA2992" s="18" t="str">
        <f aca="false">IF(OR(V2992="Aprobada"),R2992,IF(AND(OR(V2992="Aprobada con ajuste",V2992="Rechazada"),W2992&lt;&gt;""),W2992,""))</f>
        <v/>
      </c>
    </row>
    <row r="2993" customFormat="false" ht="126.85" hidden="false" customHeight="false" outlineLevel="0" collapsed="false">
      <c r="A2993" s="18" t="s">
        <v>12387</v>
      </c>
      <c r="B2993" s="18" t="s">
        <v>80</v>
      </c>
      <c r="C2993" s="18" t="s">
        <v>81</v>
      </c>
      <c r="D2993" s="18" t="s">
        <v>12384</v>
      </c>
      <c r="E2993" s="18" t="n">
        <v>0</v>
      </c>
      <c r="F2993" s="18" t="s">
        <v>2440</v>
      </c>
      <c r="G2993" s="18" t="s">
        <v>2900</v>
      </c>
      <c r="H2993" s="18" t="s">
        <v>129</v>
      </c>
      <c r="I2993" s="18"/>
      <c r="J2993" s="18"/>
      <c r="K2993" s="18"/>
      <c r="L2993" s="18" t="s">
        <v>129</v>
      </c>
      <c r="M2993" s="18" t="s">
        <v>129</v>
      </c>
      <c r="N2993" s="18"/>
      <c r="O2993" s="18" t="s">
        <v>12388</v>
      </c>
      <c r="P2993" s="18" t="s">
        <v>12389</v>
      </c>
      <c r="Q2993" s="18" t="s">
        <v>131</v>
      </c>
      <c r="R2993" s="18" t="s">
        <v>12390</v>
      </c>
      <c r="S2993" s="18" t="s">
        <v>133</v>
      </c>
      <c r="T2993" s="18" t="s">
        <v>12391</v>
      </c>
      <c r="U2993" s="18"/>
      <c r="V2993" s="19" t="s">
        <v>29</v>
      </c>
      <c r="W2993" s="19"/>
      <c r="X2993" s="19"/>
      <c r="Y2993" s="20"/>
      <c r="Z2993" s="19"/>
      <c r="AA2993" s="18" t="str">
        <f aca="false">IF(OR(V2993="Aprobada"),R2993,IF(AND(OR(V2993="Aprobada con ajuste",V2993="Rechazada"),W2993&lt;&gt;""),W2993,""))</f>
        <v/>
      </c>
    </row>
    <row r="2994" customFormat="false" ht="53.7" hidden="false" customHeight="false" outlineLevel="0" collapsed="false">
      <c r="A2994" s="18" t="s">
        <v>12392</v>
      </c>
      <c r="B2994" s="18" t="s">
        <v>80</v>
      </c>
      <c r="C2994" s="18" t="s">
        <v>81</v>
      </c>
      <c r="D2994" s="18" t="s">
        <v>12384</v>
      </c>
      <c r="E2994" s="18" t="n">
        <v>0</v>
      </c>
      <c r="F2994" s="18" t="s">
        <v>5187</v>
      </c>
      <c r="G2994" s="18" t="s">
        <v>137</v>
      </c>
      <c r="H2994" s="18" t="s">
        <v>129</v>
      </c>
      <c r="I2994" s="18"/>
      <c r="J2994" s="18"/>
      <c r="K2994" s="18"/>
      <c r="L2994" s="18" t="s">
        <v>129</v>
      </c>
      <c r="M2994" s="18" t="s">
        <v>129</v>
      </c>
      <c r="N2994" s="18"/>
      <c r="O2994" s="18"/>
      <c r="P2994" s="18" t="s">
        <v>12393</v>
      </c>
      <c r="Q2994" s="18" t="s">
        <v>138</v>
      </c>
      <c r="R2994" s="18" t="s">
        <v>5189</v>
      </c>
      <c r="S2994" s="18" t="s">
        <v>140</v>
      </c>
      <c r="T2994" s="18" t="s">
        <v>141</v>
      </c>
      <c r="U2994" s="18"/>
      <c r="V2994" s="19" t="s">
        <v>29</v>
      </c>
      <c r="W2994" s="19"/>
      <c r="X2994" s="19"/>
      <c r="Y2994" s="20"/>
      <c r="Z2994" s="19"/>
      <c r="AA2994" s="18" t="str">
        <f aca="false">IF(OR(V2994="Aprobada"),R2994,IF(AND(OR(V2994="Aprobada con ajuste",V2994="Rechazada"),W2994&lt;&gt;""),W2994,""))</f>
        <v/>
      </c>
    </row>
    <row r="2995" customFormat="false" ht="22.35" hidden="false" customHeight="false" outlineLevel="0" collapsed="false">
      <c r="A2995" s="18" t="s">
        <v>12394</v>
      </c>
      <c r="B2995" s="18" t="s">
        <v>80</v>
      </c>
      <c r="C2995" s="18" t="s">
        <v>81</v>
      </c>
      <c r="D2995" s="18" t="s">
        <v>12384</v>
      </c>
      <c r="E2995" s="18" t="n">
        <v>0</v>
      </c>
      <c r="F2995" s="18" t="s">
        <v>12369</v>
      </c>
      <c r="G2995" s="18" t="s">
        <v>312</v>
      </c>
      <c r="H2995" s="18" t="s">
        <v>162</v>
      </c>
      <c r="I2995" s="18"/>
      <c r="J2995" s="18"/>
      <c r="K2995" s="18"/>
      <c r="L2995" s="18" t="s">
        <v>129</v>
      </c>
      <c r="M2995" s="18" t="s">
        <v>129</v>
      </c>
      <c r="N2995" s="18"/>
      <c r="O2995" s="18"/>
      <c r="P2995" s="18" t="s">
        <v>12395</v>
      </c>
      <c r="Q2995" s="18" t="s">
        <v>149</v>
      </c>
      <c r="R2995" s="18" t="s">
        <v>12396</v>
      </c>
      <c r="S2995" s="18" t="s">
        <v>140</v>
      </c>
      <c r="T2995" s="18" t="s">
        <v>3523</v>
      </c>
      <c r="U2995" s="18" t="s">
        <v>12397</v>
      </c>
      <c r="V2995" s="19" t="s">
        <v>29</v>
      </c>
      <c r="W2995" s="19"/>
      <c r="X2995" s="19"/>
      <c r="Y2995" s="20"/>
      <c r="Z2995" s="19"/>
      <c r="AA2995" s="18" t="str">
        <f aca="false">IF(OR(V2995="Aprobada"),R2995,IF(AND(OR(V2995="Aprobada con ajuste",V2995="Rechazada"),W2995&lt;&gt;""),W2995,""))</f>
        <v/>
      </c>
    </row>
    <row r="2996" customFormat="false" ht="22.35" hidden="false" customHeight="false" outlineLevel="0" collapsed="false">
      <c r="A2996" s="18" t="s">
        <v>12398</v>
      </c>
      <c r="B2996" s="18" t="s">
        <v>80</v>
      </c>
      <c r="C2996" s="18" t="s">
        <v>81</v>
      </c>
      <c r="D2996" s="18" t="s">
        <v>12384</v>
      </c>
      <c r="E2996" s="18" t="n">
        <v>0</v>
      </c>
      <c r="F2996" s="18" t="s">
        <v>11254</v>
      </c>
      <c r="G2996" s="18" t="s">
        <v>11001</v>
      </c>
      <c r="H2996" s="18" t="s">
        <v>162</v>
      </c>
      <c r="I2996" s="18"/>
      <c r="J2996" s="18"/>
      <c r="K2996" s="18"/>
      <c r="L2996" s="18" t="s">
        <v>129</v>
      </c>
      <c r="M2996" s="18" t="s">
        <v>129</v>
      </c>
      <c r="N2996" s="18"/>
      <c r="O2996" s="18"/>
      <c r="P2996" s="18" t="s">
        <v>12399</v>
      </c>
      <c r="Q2996" s="18" t="s">
        <v>138</v>
      </c>
      <c r="R2996" s="18" t="s">
        <v>2017</v>
      </c>
      <c r="S2996" s="18" t="s">
        <v>140</v>
      </c>
      <c r="T2996" s="18" t="s">
        <v>141</v>
      </c>
      <c r="U2996" s="18"/>
      <c r="V2996" s="19" t="s">
        <v>29</v>
      </c>
      <c r="W2996" s="19"/>
      <c r="X2996" s="19"/>
      <c r="Y2996" s="20"/>
      <c r="Z2996" s="19"/>
      <c r="AA2996" s="18" t="str">
        <f aca="false">IF(OR(V2996="Aprobada"),R2996,IF(AND(OR(V2996="Aprobada con ajuste",V2996="Rechazada"),W2996&lt;&gt;""),W2996,""))</f>
        <v/>
      </c>
    </row>
    <row r="2997" customFormat="false" ht="137.3" hidden="false" customHeight="false" outlineLevel="0" collapsed="false">
      <c r="A2997" s="18" t="s">
        <v>12400</v>
      </c>
      <c r="B2997" s="18" t="s">
        <v>80</v>
      </c>
      <c r="C2997" s="18" t="s">
        <v>81</v>
      </c>
      <c r="D2997" s="18" t="s">
        <v>12401</v>
      </c>
      <c r="E2997" s="18" t="n">
        <v>3</v>
      </c>
      <c r="F2997" s="18" t="s">
        <v>12402</v>
      </c>
      <c r="G2997" s="18" t="s">
        <v>312</v>
      </c>
      <c r="H2997" s="18" t="s">
        <v>129</v>
      </c>
      <c r="I2997" s="18"/>
      <c r="J2997" s="18"/>
      <c r="K2997" s="18"/>
      <c r="L2997" s="18" t="s">
        <v>129</v>
      </c>
      <c r="M2997" s="18" t="s">
        <v>129</v>
      </c>
      <c r="N2997" s="18"/>
      <c r="O2997" s="18" t="s">
        <v>12403</v>
      </c>
      <c r="P2997" s="18" t="s">
        <v>12404</v>
      </c>
      <c r="Q2997" s="18" t="s">
        <v>131</v>
      </c>
      <c r="R2997" s="18" t="s">
        <v>12405</v>
      </c>
      <c r="S2997" s="18" t="s">
        <v>133</v>
      </c>
      <c r="T2997" s="18" t="s">
        <v>12406</v>
      </c>
      <c r="U2997" s="18"/>
      <c r="V2997" s="19" t="s">
        <v>29</v>
      </c>
      <c r="W2997" s="19"/>
      <c r="X2997" s="19"/>
      <c r="Y2997" s="20"/>
      <c r="Z2997" s="19"/>
      <c r="AA2997" s="18" t="str">
        <f aca="false">IF(OR(V2997="Aprobada"),R2997,IF(AND(OR(V2997="Aprobada con ajuste",V2997="Rechazada"),W2997&lt;&gt;""),W2997,""))</f>
        <v/>
      </c>
    </row>
    <row r="2998" customFormat="false" ht="158.2" hidden="false" customHeight="false" outlineLevel="0" collapsed="false">
      <c r="A2998" s="18" t="s">
        <v>12407</v>
      </c>
      <c r="B2998" s="18" t="s">
        <v>80</v>
      </c>
      <c r="C2998" s="18" t="s">
        <v>81</v>
      </c>
      <c r="D2998" s="18" t="s">
        <v>12401</v>
      </c>
      <c r="E2998" s="18" t="n">
        <v>3</v>
      </c>
      <c r="F2998" s="18" t="s">
        <v>275</v>
      </c>
      <c r="G2998" s="18" t="s">
        <v>454</v>
      </c>
      <c r="H2998" s="18" t="s">
        <v>129</v>
      </c>
      <c r="I2998" s="18"/>
      <c r="J2998" s="18"/>
      <c r="K2998" s="18"/>
      <c r="L2998" s="18" t="s">
        <v>129</v>
      </c>
      <c r="M2998" s="18" t="s">
        <v>129</v>
      </c>
      <c r="N2998" s="18"/>
      <c r="O2998" s="18"/>
      <c r="P2998" s="18" t="s">
        <v>12408</v>
      </c>
      <c r="Q2998" s="18" t="s">
        <v>131</v>
      </c>
      <c r="R2998" s="18" t="s">
        <v>12409</v>
      </c>
      <c r="S2998" s="18" t="s">
        <v>133</v>
      </c>
      <c r="T2998" s="18" t="s">
        <v>12410</v>
      </c>
      <c r="U2998" s="18"/>
      <c r="V2998" s="19" t="s">
        <v>29</v>
      </c>
      <c r="W2998" s="19"/>
      <c r="X2998" s="19"/>
      <c r="Y2998" s="20"/>
      <c r="Z2998" s="19"/>
      <c r="AA2998" s="18" t="str">
        <f aca="false">IF(OR(V2998="Aprobada"),R2998,IF(AND(OR(V2998="Aprobada con ajuste",V2998="Rechazada"),W2998&lt;&gt;""),W2998,""))</f>
        <v/>
      </c>
    </row>
    <row r="2999" customFormat="false" ht="64.15" hidden="false" customHeight="false" outlineLevel="0" collapsed="false">
      <c r="A2999" s="18" t="s">
        <v>12411</v>
      </c>
      <c r="B2999" s="18" t="s">
        <v>80</v>
      </c>
      <c r="C2999" s="18" t="s">
        <v>81</v>
      </c>
      <c r="D2999" s="18" t="s">
        <v>12401</v>
      </c>
      <c r="E2999" s="18" t="n">
        <v>3</v>
      </c>
      <c r="F2999" s="18" t="s">
        <v>4263</v>
      </c>
      <c r="G2999" s="18" t="s">
        <v>205</v>
      </c>
      <c r="H2999" s="18" t="s">
        <v>129</v>
      </c>
      <c r="I2999" s="18" t="s">
        <v>298</v>
      </c>
      <c r="J2999" s="18" t="s">
        <v>12412</v>
      </c>
      <c r="K2999" s="18"/>
      <c r="L2999" s="18" t="s">
        <v>162</v>
      </c>
      <c r="M2999" s="18" t="s">
        <v>129</v>
      </c>
      <c r="N2999" s="18"/>
      <c r="O2999" s="18" t="s">
        <v>12413</v>
      </c>
      <c r="P2999" s="18" t="s">
        <v>12414</v>
      </c>
      <c r="Q2999" s="18" t="s">
        <v>149</v>
      </c>
      <c r="R2999" s="18" t="s">
        <v>12415</v>
      </c>
      <c r="S2999" s="18" t="s">
        <v>133</v>
      </c>
      <c r="T2999" s="18" t="s">
        <v>12416</v>
      </c>
      <c r="U2999" s="18"/>
      <c r="V2999" s="19" t="s">
        <v>29</v>
      </c>
      <c r="W2999" s="19"/>
      <c r="X2999" s="19"/>
      <c r="Y2999" s="20"/>
      <c r="Z2999" s="19"/>
      <c r="AA2999" s="18" t="str">
        <f aca="false">IF(OR(V2999="Aprobada"),R2999,IF(AND(OR(V2999="Aprobada con ajuste",V2999="Rechazada"),W2999&lt;&gt;""),W2999,""))</f>
        <v/>
      </c>
    </row>
    <row r="3000" customFormat="false" ht="85.05" hidden="false" customHeight="false" outlineLevel="0" collapsed="false">
      <c r="A3000" s="18" t="s">
        <v>12417</v>
      </c>
      <c r="B3000" s="18" t="s">
        <v>80</v>
      </c>
      <c r="C3000" s="18" t="s">
        <v>81</v>
      </c>
      <c r="D3000" s="18" t="s">
        <v>12081</v>
      </c>
      <c r="E3000" s="18" t="n">
        <v>11</v>
      </c>
      <c r="F3000" s="18" t="s">
        <v>275</v>
      </c>
      <c r="G3000" s="18" t="s">
        <v>11001</v>
      </c>
      <c r="H3000" s="18" t="s">
        <v>129</v>
      </c>
      <c r="I3000" s="18"/>
      <c r="J3000" s="18"/>
      <c r="K3000" s="18"/>
      <c r="L3000" s="18" t="s">
        <v>162</v>
      </c>
      <c r="M3000" s="18" t="s">
        <v>129</v>
      </c>
      <c r="N3000" s="18"/>
      <c r="O3000" s="18"/>
      <c r="P3000" s="18" t="s">
        <v>12418</v>
      </c>
      <c r="Q3000" s="18" t="s">
        <v>138</v>
      </c>
      <c r="R3000" s="18" t="s">
        <v>12419</v>
      </c>
      <c r="S3000" s="18" t="s">
        <v>140</v>
      </c>
      <c r="T3000" s="18" t="s">
        <v>141</v>
      </c>
      <c r="U3000" s="18"/>
      <c r="V3000" s="19" t="s">
        <v>29</v>
      </c>
      <c r="W3000" s="19"/>
      <c r="X3000" s="19"/>
      <c r="Y3000" s="20"/>
      <c r="Z3000" s="19"/>
      <c r="AA3000" s="18" t="str">
        <f aca="false">IF(OR(V3000="Aprobada"),R3000,IF(AND(OR(V3000="Aprobada con ajuste",V3000="Rechazada"),W3000&lt;&gt;""),W3000,""))</f>
        <v/>
      </c>
    </row>
    <row r="3001" customFormat="false" ht="53.7" hidden="false" customHeight="false" outlineLevel="0" collapsed="false">
      <c r="A3001" s="18" t="s">
        <v>12420</v>
      </c>
      <c r="B3001" s="18" t="s">
        <v>80</v>
      </c>
      <c r="C3001" s="18" t="s">
        <v>81</v>
      </c>
      <c r="D3001" s="18" t="s">
        <v>12081</v>
      </c>
      <c r="E3001" s="18" t="n">
        <v>11</v>
      </c>
      <c r="F3001" s="18" t="s">
        <v>937</v>
      </c>
      <c r="G3001" s="18" t="s">
        <v>503</v>
      </c>
      <c r="H3001" s="18" t="s">
        <v>129</v>
      </c>
      <c r="I3001" s="18"/>
      <c r="J3001" s="18"/>
      <c r="K3001" s="18"/>
      <c r="L3001" s="18" t="s">
        <v>162</v>
      </c>
      <c r="M3001" s="18" t="s">
        <v>129</v>
      </c>
      <c r="N3001" s="18"/>
      <c r="O3001" s="18"/>
      <c r="P3001" s="18" t="s">
        <v>12421</v>
      </c>
      <c r="Q3001" s="18" t="s">
        <v>131</v>
      </c>
      <c r="R3001" s="18" t="s">
        <v>12422</v>
      </c>
      <c r="S3001" s="18" t="s">
        <v>133</v>
      </c>
      <c r="T3001" s="18" t="s">
        <v>12423</v>
      </c>
      <c r="U3001" s="18"/>
      <c r="V3001" s="19" t="s">
        <v>29</v>
      </c>
      <c r="W3001" s="19"/>
      <c r="X3001" s="19"/>
      <c r="Y3001" s="20"/>
      <c r="Z3001" s="19"/>
      <c r="AA3001" s="18" t="str">
        <f aca="false">IF(OR(V3001="Aprobada"),R3001,IF(AND(OR(V3001="Aprobada con ajuste",V3001="Rechazada"),W3001&lt;&gt;""),W3001,""))</f>
        <v/>
      </c>
    </row>
    <row r="3002" customFormat="false" ht="53.7" hidden="false" customHeight="false" outlineLevel="0" collapsed="false">
      <c r="A3002" s="18" t="s">
        <v>12424</v>
      </c>
      <c r="B3002" s="18" t="s">
        <v>80</v>
      </c>
      <c r="C3002" s="18" t="s">
        <v>81</v>
      </c>
      <c r="D3002" s="18" t="s">
        <v>12081</v>
      </c>
      <c r="E3002" s="18" t="n">
        <v>11</v>
      </c>
      <c r="F3002" s="18" t="s">
        <v>1688</v>
      </c>
      <c r="G3002" s="18" t="s">
        <v>173</v>
      </c>
      <c r="H3002" s="18" t="s">
        <v>129</v>
      </c>
      <c r="I3002" s="18"/>
      <c r="J3002" s="18"/>
      <c r="K3002" s="18"/>
      <c r="L3002" s="18" t="s">
        <v>162</v>
      </c>
      <c r="M3002" s="18" t="s">
        <v>129</v>
      </c>
      <c r="N3002" s="18"/>
      <c r="O3002" s="18"/>
      <c r="P3002" s="18" t="s">
        <v>12425</v>
      </c>
      <c r="Q3002" s="18" t="s">
        <v>131</v>
      </c>
      <c r="R3002" s="18" t="s">
        <v>12426</v>
      </c>
      <c r="S3002" s="18" t="s">
        <v>133</v>
      </c>
      <c r="T3002" s="18" t="s">
        <v>12427</v>
      </c>
      <c r="U3002" s="18"/>
      <c r="V3002" s="19" t="s">
        <v>29</v>
      </c>
      <c r="W3002" s="19"/>
      <c r="X3002" s="19"/>
      <c r="Y3002" s="20"/>
      <c r="Z3002" s="19"/>
      <c r="AA3002" s="18" t="str">
        <f aca="false">IF(OR(V3002="Aprobada"),R3002,IF(AND(OR(V3002="Aprobada con ajuste",V3002="Rechazada"),W3002&lt;&gt;""),W3002,""))</f>
        <v/>
      </c>
    </row>
    <row r="3003" customFormat="false" ht="199.95" hidden="false" customHeight="false" outlineLevel="0" collapsed="false">
      <c r="A3003" s="18" t="s">
        <v>12428</v>
      </c>
      <c r="B3003" s="18" t="s">
        <v>80</v>
      </c>
      <c r="C3003" s="18" t="s">
        <v>81</v>
      </c>
      <c r="D3003" s="18" t="s">
        <v>12429</v>
      </c>
      <c r="E3003" s="18" t="n">
        <v>0</v>
      </c>
      <c r="F3003" s="18" t="s">
        <v>127</v>
      </c>
      <c r="G3003" s="18" t="s">
        <v>186</v>
      </c>
      <c r="H3003" s="18" t="s">
        <v>129</v>
      </c>
      <c r="I3003" s="18" t="s">
        <v>298</v>
      </c>
      <c r="J3003" s="18" t="s">
        <v>12430</v>
      </c>
      <c r="K3003" s="18"/>
      <c r="L3003" s="18" t="s">
        <v>162</v>
      </c>
      <c r="M3003" s="18" t="s">
        <v>129</v>
      </c>
      <c r="N3003" s="18"/>
      <c r="O3003" s="18" t="s">
        <v>12431</v>
      </c>
      <c r="P3003" s="18" t="s">
        <v>12432</v>
      </c>
      <c r="Q3003" s="18" t="s">
        <v>131</v>
      </c>
      <c r="R3003" s="18" t="s">
        <v>12433</v>
      </c>
      <c r="S3003" s="18" t="s">
        <v>133</v>
      </c>
      <c r="T3003" s="18" t="s">
        <v>12434</v>
      </c>
      <c r="U3003" s="18"/>
      <c r="V3003" s="19" t="s">
        <v>29</v>
      </c>
      <c r="W3003" s="19"/>
      <c r="X3003" s="19"/>
      <c r="Y3003" s="20"/>
      <c r="Z3003" s="19"/>
      <c r="AA3003" s="18" t="str">
        <f aca="false">IF(OR(V3003="Aprobada"),R3003,IF(AND(OR(V3003="Aprobada con ajuste",V3003="Rechazada"),W3003&lt;&gt;""),W3003,""))</f>
        <v/>
      </c>
    </row>
    <row r="3004" customFormat="false" ht="95.5" hidden="false" customHeight="false" outlineLevel="0" collapsed="false">
      <c r="A3004" s="18" t="s">
        <v>12435</v>
      </c>
      <c r="B3004" s="18" t="s">
        <v>80</v>
      </c>
      <c r="C3004" s="18" t="s">
        <v>81</v>
      </c>
      <c r="D3004" s="18" t="s">
        <v>12429</v>
      </c>
      <c r="E3004" s="18" t="n">
        <v>0</v>
      </c>
      <c r="F3004" s="18" t="s">
        <v>676</v>
      </c>
      <c r="G3004" s="18" t="s">
        <v>282</v>
      </c>
      <c r="H3004" s="18" t="s">
        <v>162</v>
      </c>
      <c r="I3004" s="18"/>
      <c r="J3004" s="18"/>
      <c r="K3004" s="18"/>
      <c r="L3004" s="18" t="s">
        <v>129</v>
      </c>
      <c r="M3004" s="18" t="s">
        <v>129</v>
      </c>
      <c r="N3004" s="18"/>
      <c r="O3004" s="18"/>
      <c r="P3004" s="18" t="s">
        <v>12436</v>
      </c>
      <c r="Q3004" s="18" t="s">
        <v>131</v>
      </c>
      <c r="R3004" s="18" t="s">
        <v>12437</v>
      </c>
      <c r="S3004" s="18" t="s">
        <v>133</v>
      </c>
      <c r="T3004" s="18" t="s">
        <v>12438</v>
      </c>
      <c r="U3004" s="18"/>
      <c r="V3004" s="19" t="s">
        <v>29</v>
      </c>
      <c r="W3004" s="19"/>
      <c r="X3004" s="19"/>
      <c r="Y3004" s="20"/>
      <c r="Z3004" s="19"/>
      <c r="AA3004" s="18" t="str">
        <f aca="false">IF(OR(V3004="Aprobada"),R3004,IF(AND(OR(V3004="Aprobada con ajuste",V3004="Rechazada"),W3004&lt;&gt;""),W3004,""))</f>
        <v/>
      </c>
    </row>
    <row r="3005" customFormat="false" ht="43.25" hidden="false" customHeight="false" outlineLevel="0" collapsed="false">
      <c r="A3005" s="18" t="s">
        <v>12439</v>
      </c>
      <c r="B3005" s="18" t="s">
        <v>80</v>
      </c>
      <c r="C3005" s="18" t="s">
        <v>81</v>
      </c>
      <c r="D3005" s="18" t="s">
        <v>12429</v>
      </c>
      <c r="E3005" s="18" t="n">
        <v>0</v>
      </c>
      <c r="F3005" s="18" t="s">
        <v>12440</v>
      </c>
      <c r="G3005" s="18" t="s">
        <v>137</v>
      </c>
      <c r="H3005" s="18" t="s">
        <v>162</v>
      </c>
      <c r="I3005" s="18" t="s">
        <v>298</v>
      </c>
      <c r="J3005" s="18"/>
      <c r="K3005" s="18"/>
      <c r="L3005" s="18" t="s">
        <v>129</v>
      </c>
      <c r="M3005" s="18" t="s">
        <v>129</v>
      </c>
      <c r="N3005" s="18"/>
      <c r="O3005" s="18"/>
      <c r="P3005" s="18" t="s">
        <v>12441</v>
      </c>
      <c r="Q3005" s="18" t="s">
        <v>138</v>
      </c>
      <c r="R3005" s="18" t="s">
        <v>12442</v>
      </c>
      <c r="S3005" s="18" t="s">
        <v>140</v>
      </c>
      <c r="T3005" s="18" t="s">
        <v>141</v>
      </c>
      <c r="U3005" s="18"/>
      <c r="V3005" s="19" t="s">
        <v>29</v>
      </c>
      <c r="W3005" s="19"/>
      <c r="X3005" s="19"/>
      <c r="Y3005" s="20"/>
      <c r="Z3005" s="19"/>
      <c r="AA3005" s="18" t="str">
        <f aca="false">IF(OR(V3005="Aprobada"),R3005,IF(AND(OR(V3005="Aprobada con ajuste",V3005="Rechazada"),W3005&lt;&gt;""),W3005,""))</f>
        <v/>
      </c>
    </row>
    <row r="3006" customFormat="false" ht="64.15" hidden="false" customHeight="false" outlineLevel="0" collapsed="false">
      <c r="A3006" s="18" t="s">
        <v>12443</v>
      </c>
      <c r="B3006" s="18" t="s">
        <v>80</v>
      </c>
      <c r="C3006" s="18" t="s">
        <v>81</v>
      </c>
      <c r="D3006" s="18" t="s">
        <v>12429</v>
      </c>
      <c r="E3006" s="18" t="n">
        <v>0</v>
      </c>
      <c r="F3006" s="18" t="s">
        <v>3183</v>
      </c>
      <c r="G3006" s="18" t="s">
        <v>128</v>
      </c>
      <c r="H3006" s="18" t="s">
        <v>129</v>
      </c>
      <c r="I3006" s="18"/>
      <c r="J3006" s="18"/>
      <c r="K3006" s="18"/>
      <c r="L3006" s="18" t="s">
        <v>129</v>
      </c>
      <c r="M3006" s="18" t="s">
        <v>129</v>
      </c>
      <c r="N3006" s="18"/>
      <c r="O3006" s="18"/>
      <c r="P3006" s="18" t="s">
        <v>12444</v>
      </c>
      <c r="Q3006" s="18" t="s">
        <v>131</v>
      </c>
      <c r="R3006" s="18" t="s">
        <v>12445</v>
      </c>
      <c r="S3006" s="18" t="s">
        <v>133</v>
      </c>
      <c r="T3006" s="18" t="s">
        <v>12446</v>
      </c>
      <c r="U3006" s="18"/>
      <c r="V3006" s="19" t="s">
        <v>29</v>
      </c>
      <c r="W3006" s="19"/>
      <c r="X3006" s="19"/>
      <c r="Y3006" s="20"/>
      <c r="Z3006" s="19"/>
      <c r="AA3006" s="18" t="str">
        <f aca="false">IF(OR(V3006="Aprobada"),R3006,IF(AND(OR(V3006="Aprobada con ajuste",V3006="Rechazada"),W3006&lt;&gt;""),W3006,""))</f>
        <v/>
      </c>
    </row>
    <row r="3007" customFormat="false" ht="32.8" hidden="false" customHeight="false" outlineLevel="0" collapsed="false">
      <c r="A3007" s="18" t="s">
        <v>12447</v>
      </c>
      <c r="B3007" s="18" t="s">
        <v>80</v>
      </c>
      <c r="C3007" s="18" t="s">
        <v>81</v>
      </c>
      <c r="D3007" s="18" t="s">
        <v>12429</v>
      </c>
      <c r="E3007" s="18" t="n">
        <v>0</v>
      </c>
      <c r="F3007" s="18" t="s">
        <v>185</v>
      </c>
      <c r="G3007" s="18" t="s">
        <v>205</v>
      </c>
      <c r="H3007" s="18" t="s">
        <v>129</v>
      </c>
      <c r="I3007" s="18" t="s">
        <v>298</v>
      </c>
      <c r="J3007" s="18" t="s">
        <v>12448</v>
      </c>
      <c r="K3007" s="18"/>
      <c r="L3007" s="18" t="s">
        <v>162</v>
      </c>
      <c r="M3007" s="18" t="s">
        <v>129</v>
      </c>
      <c r="N3007" s="18"/>
      <c r="O3007" s="18" t="s">
        <v>12449</v>
      </c>
      <c r="P3007" s="18" t="s">
        <v>12450</v>
      </c>
      <c r="Q3007" s="18" t="s">
        <v>131</v>
      </c>
      <c r="R3007" s="18" t="s">
        <v>12451</v>
      </c>
      <c r="S3007" s="18" t="s">
        <v>133</v>
      </c>
      <c r="T3007" s="18" t="s">
        <v>12452</v>
      </c>
      <c r="U3007" s="18"/>
      <c r="V3007" s="19" t="s">
        <v>29</v>
      </c>
      <c r="W3007" s="19"/>
      <c r="X3007" s="19"/>
      <c r="Y3007" s="20"/>
      <c r="Z3007" s="19"/>
      <c r="AA3007" s="18" t="str">
        <f aca="false">IF(OR(V3007="Aprobada"),R3007,IF(AND(OR(V3007="Aprobada con ajuste",V3007="Rechazada"),W3007&lt;&gt;""),W3007,""))</f>
        <v/>
      </c>
    </row>
    <row r="3008" customFormat="false" ht="53.7" hidden="false" customHeight="false" outlineLevel="0" collapsed="false">
      <c r="A3008" s="18" t="s">
        <v>12453</v>
      </c>
      <c r="B3008" s="18" t="s">
        <v>80</v>
      </c>
      <c r="C3008" s="18" t="s">
        <v>81</v>
      </c>
      <c r="D3008" s="18" t="s">
        <v>12429</v>
      </c>
      <c r="E3008" s="18" t="n">
        <v>0</v>
      </c>
      <c r="F3008" s="18" t="s">
        <v>12454</v>
      </c>
      <c r="G3008" s="18" t="s">
        <v>11382</v>
      </c>
      <c r="H3008" s="18" t="s">
        <v>162</v>
      </c>
      <c r="I3008" s="18" t="s">
        <v>298</v>
      </c>
      <c r="J3008" s="18"/>
      <c r="K3008" s="18"/>
      <c r="L3008" s="18" t="s">
        <v>129</v>
      </c>
      <c r="M3008" s="18" t="s">
        <v>129</v>
      </c>
      <c r="N3008" s="18"/>
      <c r="O3008" s="18"/>
      <c r="P3008" s="18" t="s">
        <v>12455</v>
      </c>
      <c r="Q3008" s="18" t="s">
        <v>131</v>
      </c>
      <c r="R3008" s="18" t="s">
        <v>12456</v>
      </c>
      <c r="S3008" s="18" t="s">
        <v>140</v>
      </c>
      <c r="T3008" s="18" t="s">
        <v>12457</v>
      </c>
      <c r="U3008" s="18" t="s">
        <v>12458</v>
      </c>
      <c r="V3008" s="19" t="s">
        <v>29</v>
      </c>
      <c r="W3008" s="19"/>
      <c r="X3008" s="19"/>
      <c r="Y3008" s="20"/>
      <c r="Z3008" s="19"/>
      <c r="AA3008" s="18" t="str">
        <f aca="false">IF(OR(V3008="Aprobada"),R3008,IF(AND(OR(V3008="Aprobada con ajuste",V3008="Rechazada"),W3008&lt;&gt;""),W3008,""))</f>
        <v/>
      </c>
    </row>
    <row r="3009" customFormat="false" ht="95.5" hidden="false" customHeight="false" outlineLevel="0" collapsed="false">
      <c r="A3009" s="18" t="s">
        <v>12459</v>
      </c>
      <c r="B3009" s="18" t="s">
        <v>80</v>
      </c>
      <c r="C3009" s="18" t="s">
        <v>81</v>
      </c>
      <c r="D3009" s="18" t="s">
        <v>12429</v>
      </c>
      <c r="E3009" s="18" t="n">
        <v>0</v>
      </c>
      <c r="F3009" s="18" t="s">
        <v>12460</v>
      </c>
      <c r="G3009" s="18" t="s">
        <v>11382</v>
      </c>
      <c r="H3009" s="18" t="s">
        <v>162</v>
      </c>
      <c r="I3009" s="18"/>
      <c r="J3009" s="18"/>
      <c r="K3009" s="18"/>
      <c r="L3009" s="18" t="s">
        <v>129</v>
      </c>
      <c r="M3009" s="18" t="s">
        <v>129</v>
      </c>
      <c r="N3009" s="18"/>
      <c r="O3009" s="18"/>
      <c r="P3009" s="18" t="s">
        <v>12461</v>
      </c>
      <c r="Q3009" s="18" t="s">
        <v>131</v>
      </c>
      <c r="R3009" s="18" t="s">
        <v>12462</v>
      </c>
      <c r="S3009" s="18" t="s">
        <v>133</v>
      </c>
      <c r="T3009" s="18" t="s">
        <v>12463</v>
      </c>
      <c r="U3009" s="18" t="s">
        <v>11516</v>
      </c>
      <c r="V3009" s="19" t="s">
        <v>29</v>
      </c>
      <c r="W3009" s="19"/>
      <c r="X3009" s="19"/>
      <c r="Y3009" s="20"/>
      <c r="Z3009" s="19"/>
      <c r="AA3009" s="18" t="str">
        <f aca="false">IF(OR(V3009="Aprobada"),R3009,IF(AND(OR(V3009="Aprobada con ajuste",V3009="Rechazada"),W3009&lt;&gt;""),W3009,""))</f>
        <v/>
      </c>
    </row>
    <row r="3010" customFormat="false" ht="32.8" hidden="false" customHeight="false" outlineLevel="0" collapsed="false">
      <c r="A3010" s="18" t="s">
        <v>12464</v>
      </c>
      <c r="B3010" s="18" t="s">
        <v>80</v>
      </c>
      <c r="C3010" s="18" t="s">
        <v>81</v>
      </c>
      <c r="D3010" s="18" t="s">
        <v>12429</v>
      </c>
      <c r="E3010" s="18" t="n">
        <v>0</v>
      </c>
      <c r="F3010" s="18" t="s">
        <v>12465</v>
      </c>
      <c r="G3010" s="18" t="s">
        <v>11382</v>
      </c>
      <c r="H3010" s="18" t="s">
        <v>162</v>
      </c>
      <c r="I3010" s="18"/>
      <c r="J3010" s="18"/>
      <c r="K3010" s="18"/>
      <c r="L3010" s="18" t="s">
        <v>129</v>
      </c>
      <c r="M3010" s="18" t="s">
        <v>129</v>
      </c>
      <c r="N3010" s="18"/>
      <c r="O3010" s="18"/>
      <c r="P3010" s="18" t="s">
        <v>12466</v>
      </c>
      <c r="Q3010" s="18" t="s">
        <v>131</v>
      </c>
      <c r="R3010" s="18" t="s">
        <v>12467</v>
      </c>
      <c r="S3010" s="18" t="s">
        <v>133</v>
      </c>
      <c r="T3010" s="18" t="s">
        <v>12468</v>
      </c>
      <c r="U3010" s="18"/>
      <c r="V3010" s="19" t="s">
        <v>29</v>
      </c>
      <c r="W3010" s="19"/>
      <c r="X3010" s="19"/>
      <c r="Y3010" s="20"/>
      <c r="Z3010" s="19"/>
      <c r="AA3010" s="18" t="str">
        <f aca="false">IF(OR(V3010="Aprobada"),R3010,IF(AND(OR(V3010="Aprobada con ajuste",V3010="Rechazada"),W3010&lt;&gt;""),W3010,""))</f>
        <v/>
      </c>
    </row>
    <row r="3011" customFormat="false" ht="32.8" hidden="false" customHeight="false" outlineLevel="0" collapsed="false">
      <c r="A3011" s="18" t="s">
        <v>12469</v>
      </c>
      <c r="B3011" s="18" t="s">
        <v>80</v>
      </c>
      <c r="C3011" s="18" t="s">
        <v>81</v>
      </c>
      <c r="D3011" s="18" t="s">
        <v>12429</v>
      </c>
      <c r="E3011" s="18" t="n">
        <v>0</v>
      </c>
      <c r="F3011" s="18" t="s">
        <v>12470</v>
      </c>
      <c r="G3011" s="18" t="s">
        <v>5738</v>
      </c>
      <c r="H3011" s="18" t="s">
        <v>162</v>
      </c>
      <c r="I3011" s="18"/>
      <c r="J3011" s="18"/>
      <c r="K3011" s="18"/>
      <c r="L3011" s="18" t="s">
        <v>129</v>
      </c>
      <c r="M3011" s="18" t="s">
        <v>129</v>
      </c>
      <c r="N3011" s="18"/>
      <c r="O3011" s="18"/>
      <c r="P3011" s="18" t="s">
        <v>12471</v>
      </c>
      <c r="Q3011" s="18" t="s">
        <v>131</v>
      </c>
      <c r="R3011" s="18" t="s">
        <v>12472</v>
      </c>
      <c r="S3011" s="18" t="s">
        <v>140</v>
      </c>
      <c r="T3011" s="18" t="s">
        <v>12473</v>
      </c>
      <c r="U3011" s="18" t="s">
        <v>12474</v>
      </c>
      <c r="V3011" s="19" t="s">
        <v>29</v>
      </c>
      <c r="W3011" s="19"/>
      <c r="X3011" s="19"/>
      <c r="Y3011" s="20"/>
      <c r="Z3011" s="19"/>
      <c r="AA3011" s="18" t="str">
        <f aca="false">IF(OR(V3011="Aprobada"),R3011,IF(AND(OR(V3011="Aprobada con ajuste",V3011="Rechazada"),W3011&lt;&gt;""),W3011,""))</f>
        <v/>
      </c>
    </row>
    <row r="3012" customFormat="false" ht="22.35" hidden="false" customHeight="false" outlineLevel="0" collapsed="false">
      <c r="A3012" s="18" t="s">
        <v>12475</v>
      </c>
      <c r="B3012" s="18" t="s">
        <v>80</v>
      </c>
      <c r="C3012" s="18" t="s">
        <v>81</v>
      </c>
      <c r="D3012" s="18" t="s">
        <v>12429</v>
      </c>
      <c r="E3012" s="18" t="n">
        <v>0</v>
      </c>
      <c r="F3012" s="18" t="s">
        <v>7238</v>
      </c>
      <c r="G3012" s="18" t="s">
        <v>454</v>
      </c>
      <c r="H3012" s="18" t="s">
        <v>162</v>
      </c>
      <c r="I3012" s="18"/>
      <c r="J3012" s="18"/>
      <c r="K3012" s="18"/>
      <c r="L3012" s="18" t="s">
        <v>129</v>
      </c>
      <c r="M3012" s="18" t="s">
        <v>129</v>
      </c>
      <c r="N3012" s="18"/>
      <c r="O3012" s="18"/>
      <c r="P3012" s="18" t="s">
        <v>12476</v>
      </c>
      <c r="Q3012" s="18" t="s">
        <v>131</v>
      </c>
      <c r="R3012" s="18" t="s">
        <v>12477</v>
      </c>
      <c r="S3012" s="18" t="s">
        <v>140</v>
      </c>
      <c r="T3012" s="18" t="s">
        <v>873</v>
      </c>
      <c r="U3012" s="18" t="s">
        <v>4673</v>
      </c>
      <c r="V3012" s="19" t="s">
        <v>29</v>
      </c>
      <c r="W3012" s="19"/>
      <c r="X3012" s="19"/>
      <c r="Y3012" s="20"/>
      <c r="Z3012" s="19"/>
      <c r="AA3012" s="18" t="str">
        <f aca="false">IF(OR(V3012="Aprobada"),R3012,IF(AND(OR(V3012="Aprobada con ajuste",V3012="Rechazada"),W3012&lt;&gt;""),W3012,""))</f>
        <v/>
      </c>
    </row>
    <row r="3013" customFormat="false" ht="22.35" hidden="false" customHeight="false" outlineLevel="0" collapsed="false">
      <c r="A3013" s="18" t="s">
        <v>12478</v>
      </c>
      <c r="B3013" s="18" t="s">
        <v>80</v>
      </c>
      <c r="C3013" s="18" t="s">
        <v>81</v>
      </c>
      <c r="D3013" s="18" t="s">
        <v>12429</v>
      </c>
      <c r="E3013" s="18" t="n">
        <v>0</v>
      </c>
      <c r="F3013" s="18" t="s">
        <v>12479</v>
      </c>
      <c r="G3013" s="18" t="s">
        <v>454</v>
      </c>
      <c r="H3013" s="18" t="s">
        <v>162</v>
      </c>
      <c r="I3013" s="18"/>
      <c r="J3013" s="18"/>
      <c r="K3013" s="18"/>
      <c r="L3013" s="18" t="s">
        <v>129</v>
      </c>
      <c r="M3013" s="18" t="s">
        <v>129</v>
      </c>
      <c r="N3013" s="18"/>
      <c r="O3013" s="18"/>
      <c r="P3013" s="18" t="s">
        <v>12480</v>
      </c>
      <c r="Q3013" s="18" t="s">
        <v>131</v>
      </c>
      <c r="R3013" s="18" t="s">
        <v>12481</v>
      </c>
      <c r="S3013" s="18" t="s">
        <v>140</v>
      </c>
      <c r="T3013" s="18" t="s">
        <v>873</v>
      </c>
      <c r="U3013" s="18" t="s">
        <v>4673</v>
      </c>
      <c r="V3013" s="19" t="s">
        <v>29</v>
      </c>
      <c r="W3013" s="19"/>
      <c r="X3013" s="19"/>
      <c r="Y3013" s="20"/>
      <c r="Z3013" s="19"/>
      <c r="AA3013" s="18" t="str">
        <f aca="false">IF(OR(V3013="Aprobada"),R3013,IF(AND(OR(V3013="Aprobada con ajuste",V3013="Rechazada"),W3013&lt;&gt;""),W3013,""))</f>
        <v/>
      </c>
    </row>
    <row r="3014" customFormat="false" ht="22.35" hidden="false" customHeight="false" outlineLevel="0" collapsed="false">
      <c r="A3014" s="18" t="s">
        <v>12482</v>
      </c>
      <c r="B3014" s="18" t="s">
        <v>80</v>
      </c>
      <c r="C3014" s="18" t="s">
        <v>81</v>
      </c>
      <c r="D3014" s="18" t="s">
        <v>12429</v>
      </c>
      <c r="E3014" s="18" t="n">
        <v>0</v>
      </c>
      <c r="F3014" s="18" t="s">
        <v>12483</v>
      </c>
      <c r="G3014" s="18" t="s">
        <v>584</v>
      </c>
      <c r="H3014" s="18" t="s">
        <v>162</v>
      </c>
      <c r="I3014" s="18" t="s">
        <v>298</v>
      </c>
      <c r="J3014" s="18"/>
      <c r="K3014" s="18"/>
      <c r="L3014" s="18" t="s">
        <v>129</v>
      </c>
      <c r="M3014" s="18" t="s">
        <v>129</v>
      </c>
      <c r="N3014" s="18"/>
      <c r="O3014" s="18"/>
      <c r="P3014" s="18" t="s">
        <v>12484</v>
      </c>
      <c r="Q3014" s="18" t="s">
        <v>131</v>
      </c>
      <c r="R3014" s="18" t="s">
        <v>12485</v>
      </c>
      <c r="S3014" s="18" t="s">
        <v>133</v>
      </c>
      <c r="T3014" s="18" t="s">
        <v>873</v>
      </c>
      <c r="U3014" s="18"/>
      <c r="V3014" s="19" t="s">
        <v>29</v>
      </c>
      <c r="W3014" s="19"/>
      <c r="X3014" s="19"/>
      <c r="Y3014" s="20"/>
      <c r="Z3014" s="19"/>
      <c r="AA3014" s="18" t="str">
        <f aca="false">IF(OR(V3014="Aprobada"),R3014,IF(AND(OR(V3014="Aprobada con ajuste",V3014="Rechazada"),W3014&lt;&gt;""),W3014,""))</f>
        <v/>
      </c>
    </row>
    <row r="3015" customFormat="false" ht="22.35" hidden="false" customHeight="false" outlineLevel="0" collapsed="false">
      <c r="A3015" s="18" t="s">
        <v>12486</v>
      </c>
      <c r="B3015" s="18" t="s">
        <v>80</v>
      </c>
      <c r="C3015" s="18" t="s">
        <v>81</v>
      </c>
      <c r="D3015" s="18" t="s">
        <v>12429</v>
      </c>
      <c r="E3015" s="18" t="n">
        <v>0</v>
      </c>
      <c r="F3015" s="18" t="s">
        <v>11989</v>
      </c>
      <c r="G3015" s="18" t="s">
        <v>584</v>
      </c>
      <c r="H3015" s="18" t="s">
        <v>162</v>
      </c>
      <c r="I3015" s="18" t="s">
        <v>298</v>
      </c>
      <c r="J3015" s="18"/>
      <c r="K3015" s="18"/>
      <c r="L3015" s="18" t="s">
        <v>129</v>
      </c>
      <c r="M3015" s="18" t="s">
        <v>129</v>
      </c>
      <c r="N3015" s="18"/>
      <c r="O3015" s="18"/>
      <c r="P3015" s="18" t="s">
        <v>12487</v>
      </c>
      <c r="Q3015" s="18" t="s">
        <v>131</v>
      </c>
      <c r="R3015" s="18" t="s">
        <v>12488</v>
      </c>
      <c r="S3015" s="18" t="s">
        <v>133</v>
      </c>
      <c r="T3015" s="18" t="s">
        <v>873</v>
      </c>
      <c r="U3015" s="18"/>
      <c r="V3015" s="19" t="s">
        <v>29</v>
      </c>
      <c r="W3015" s="19"/>
      <c r="X3015" s="19"/>
      <c r="Y3015" s="20"/>
      <c r="Z3015" s="19"/>
      <c r="AA3015" s="18" t="str">
        <f aca="false">IF(OR(V3015="Aprobada"),R3015,IF(AND(OR(V3015="Aprobada con ajuste",V3015="Rechazada"),W3015&lt;&gt;""),W3015,""))</f>
        <v/>
      </c>
    </row>
    <row r="3016" customFormat="false" ht="22.35" hidden="false" customHeight="false" outlineLevel="0" collapsed="false">
      <c r="A3016" s="18" t="s">
        <v>12489</v>
      </c>
      <c r="B3016" s="18" t="s">
        <v>80</v>
      </c>
      <c r="C3016" s="18" t="s">
        <v>81</v>
      </c>
      <c r="D3016" s="18" t="s">
        <v>12429</v>
      </c>
      <c r="E3016" s="18" t="n">
        <v>0</v>
      </c>
      <c r="F3016" s="18" t="s">
        <v>11994</v>
      </c>
      <c r="G3016" s="18" t="s">
        <v>454</v>
      </c>
      <c r="H3016" s="18" t="s">
        <v>162</v>
      </c>
      <c r="I3016" s="18"/>
      <c r="J3016" s="18"/>
      <c r="K3016" s="18"/>
      <c r="L3016" s="18" t="s">
        <v>129</v>
      </c>
      <c r="M3016" s="18" t="s">
        <v>129</v>
      </c>
      <c r="N3016" s="18"/>
      <c r="O3016" s="18"/>
      <c r="P3016" s="18" t="s">
        <v>12490</v>
      </c>
      <c r="Q3016" s="18" t="s">
        <v>131</v>
      </c>
      <c r="R3016" s="18" t="s">
        <v>12491</v>
      </c>
      <c r="S3016" s="18" t="s">
        <v>140</v>
      </c>
      <c r="T3016" s="18" t="s">
        <v>873</v>
      </c>
      <c r="U3016" s="18" t="s">
        <v>4673</v>
      </c>
      <c r="V3016" s="19" t="s">
        <v>29</v>
      </c>
      <c r="W3016" s="19"/>
      <c r="X3016" s="19"/>
      <c r="Y3016" s="20"/>
      <c r="Z3016" s="19"/>
      <c r="AA3016" s="18" t="str">
        <f aca="false">IF(OR(V3016="Aprobada"),R3016,IF(AND(OR(V3016="Aprobada con ajuste",V3016="Rechazada"),W3016&lt;&gt;""),W3016,""))</f>
        <v/>
      </c>
    </row>
    <row r="3017" customFormat="false" ht="22.35" hidden="false" customHeight="false" outlineLevel="0" collapsed="false">
      <c r="A3017" s="18" t="s">
        <v>12492</v>
      </c>
      <c r="B3017" s="18" t="s">
        <v>80</v>
      </c>
      <c r="C3017" s="18" t="s">
        <v>81</v>
      </c>
      <c r="D3017" s="18" t="s">
        <v>12429</v>
      </c>
      <c r="E3017" s="18" t="n">
        <v>0</v>
      </c>
      <c r="F3017" s="18" t="s">
        <v>11420</v>
      </c>
      <c r="G3017" s="18" t="s">
        <v>128</v>
      </c>
      <c r="H3017" s="18" t="s">
        <v>162</v>
      </c>
      <c r="I3017" s="18" t="s">
        <v>298</v>
      </c>
      <c r="J3017" s="18"/>
      <c r="K3017" s="18"/>
      <c r="L3017" s="18" t="s">
        <v>129</v>
      </c>
      <c r="M3017" s="18" t="s">
        <v>129</v>
      </c>
      <c r="N3017" s="18"/>
      <c r="O3017" s="18"/>
      <c r="P3017" s="18" t="s">
        <v>12493</v>
      </c>
      <c r="Q3017" s="18" t="s">
        <v>131</v>
      </c>
      <c r="R3017" s="18" t="s">
        <v>12494</v>
      </c>
      <c r="S3017" s="18" t="s">
        <v>133</v>
      </c>
      <c r="T3017" s="18" t="s">
        <v>873</v>
      </c>
      <c r="U3017" s="18"/>
      <c r="V3017" s="19" t="s">
        <v>29</v>
      </c>
      <c r="W3017" s="19"/>
      <c r="X3017" s="19"/>
      <c r="Y3017" s="20"/>
      <c r="Z3017" s="19"/>
      <c r="AA3017" s="18" t="str">
        <f aca="false">IF(OR(V3017="Aprobada"),R3017,IF(AND(OR(V3017="Aprobada con ajuste",V3017="Rechazada"),W3017&lt;&gt;""),W3017,""))</f>
        <v/>
      </c>
    </row>
    <row r="3018" customFormat="false" ht="53.7" hidden="false" customHeight="false" outlineLevel="0" collapsed="false">
      <c r="A3018" s="18" t="s">
        <v>12495</v>
      </c>
      <c r="B3018" s="18" t="s">
        <v>80</v>
      </c>
      <c r="C3018" s="18" t="s">
        <v>81</v>
      </c>
      <c r="D3018" s="18" t="s">
        <v>12429</v>
      </c>
      <c r="E3018" s="18" t="n">
        <v>0</v>
      </c>
      <c r="F3018" s="18" t="s">
        <v>12496</v>
      </c>
      <c r="G3018" s="18" t="s">
        <v>503</v>
      </c>
      <c r="H3018" s="18" t="s">
        <v>162</v>
      </c>
      <c r="I3018" s="18"/>
      <c r="J3018" s="18"/>
      <c r="K3018" s="18"/>
      <c r="L3018" s="18" t="s">
        <v>129</v>
      </c>
      <c r="M3018" s="18" t="s">
        <v>129</v>
      </c>
      <c r="N3018" s="18"/>
      <c r="O3018" s="18"/>
      <c r="P3018" s="18" t="s">
        <v>12497</v>
      </c>
      <c r="Q3018" s="18" t="s">
        <v>131</v>
      </c>
      <c r="R3018" s="18" t="s">
        <v>12498</v>
      </c>
      <c r="S3018" s="18" t="s">
        <v>133</v>
      </c>
      <c r="T3018" s="18" t="s">
        <v>12499</v>
      </c>
      <c r="U3018" s="18" t="s">
        <v>12500</v>
      </c>
      <c r="V3018" s="19" t="s">
        <v>29</v>
      </c>
      <c r="W3018" s="19"/>
      <c r="X3018" s="19"/>
      <c r="Y3018" s="20"/>
      <c r="Z3018" s="19"/>
      <c r="AA3018" s="18" t="str">
        <f aca="false">IF(OR(V3018="Aprobada"),R3018,IF(AND(OR(V3018="Aprobada con ajuste",V3018="Rechazada"),W3018&lt;&gt;""),W3018,""))</f>
        <v/>
      </c>
    </row>
    <row r="3019" customFormat="false" ht="22.35" hidden="false" customHeight="false" outlineLevel="0" collapsed="false">
      <c r="A3019" s="18" t="s">
        <v>12501</v>
      </c>
      <c r="B3019" s="18" t="s">
        <v>80</v>
      </c>
      <c r="C3019" s="18" t="s">
        <v>81</v>
      </c>
      <c r="D3019" s="18" t="s">
        <v>12429</v>
      </c>
      <c r="E3019" s="18" t="n">
        <v>0</v>
      </c>
      <c r="F3019" s="18" t="s">
        <v>12502</v>
      </c>
      <c r="G3019" s="18" t="s">
        <v>503</v>
      </c>
      <c r="H3019" s="18" t="s">
        <v>162</v>
      </c>
      <c r="I3019" s="18"/>
      <c r="J3019" s="18"/>
      <c r="K3019" s="18"/>
      <c r="L3019" s="18" t="s">
        <v>129</v>
      </c>
      <c r="M3019" s="18" t="s">
        <v>129</v>
      </c>
      <c r="N3019" s="18"/>
      <c r="O3019" s="18"/>
      <c r="P3019" s="18" t="s">
        <v>12503</v>
      </c>
      <c r="Q3019" s="18" t="s">
        <v>131</v>
      </c>
      <c r="R3019" s="18" t="s">
        <v>12504</v>
      </c>
      <c r="S3019" s="18" t="s">
        <v>140</v>
      </c>
      <c r="T3019" s="18" t="s">
        <v>12505</v>
      </c>
      <c r="U3019" s="18" t="s">
        <v>12506</v>
      </c>
      <c r="V3019" s="19" t="s">
        <v>29</v>
      </c>
      <c r="W3019" s="19"/>
      <c r="X3019" s="19"/>
      <c r="Y3019" s="20"/>
      <c r="Z3019" s="19"/>
      <c r="AA3019" s="18" t="str">
        <f aca="false">IF(OR(V3019="Aprobada"),R3019,IF(AND(OR(V3019="Aprobada con ajuste",V3019="Rechazada"),W3019&lt;&gt;""),W3019,""))</f>
        <v/>
      </c>
    </row>
    <row r="3020" customFormat="false" ht="43.25" hidden="false" customHeight="false" outlineLevel="0" collapsed="false">
      <c r="A3020" s="18" t="s">
        <v>12507</v>
      </c>
      <c r="B3020" s="18" t="s">
        <v>80</v>
      </c>
      <c r="C3020" s="18" t="s">
        <v>81</v>
      </c>
      <c r="D3020" s="18" t="s">
        <v>12429</v>
      </c>
      <c r="E3020" s="18" t="n">
        <v>0</v>
      </c>
      <c r="F3020" s="18" t="s">
        <v>12508</v>
      </c>
      <c r="G3020" s="18" t="s">
        <v>137</v>
      </c>
      <c r="H3020" s="18" t="s">
        <v>162</v>
      </c>
      <c r="I3020" s="18" t="s">
        <v>298</v>
      </c>
      <c r="J3020" s="18"/>
      <c r="K3020" s="18"/>
      <c r="L3020" s="18" t="s">
        <v>129</v>
      </c>
      <c r="M3020" s="18" t="s">
        <v>129</v>
      </c>
      <c r="N3020" s="18"/>
      <c r="O3020" s="18"/>
      <c r="P3020" s="18" t="s">
        <v>12509</v>
      </c>
      <c r="Q3020" s="18" t="s">
        <v>131</v>
      </c>
      <c r="R3020" s="18" t="s">
        <v>12510</v>
      </c>
      <c r="S3020" s="18" t="s">
        <v>133</v>
      </c>
      <c r="T3020" s="18" t="s">
        <v>12511</v>
      </c>
      <c r="U3020" s="18"/>
      <c r="V3020" s="19" t="s">
        <v>29</v>
      </c>
      <c r="W3020" s="19"/>
      <c r="X3020" s="19"/>
      <c r="Y3020" s="20"/>
      <c r="Z3020" s="19"/>
      <c r="AA3020" s="18" t="str">
        <f aca="false">IF(OR(V3020="Aprobada"),R3020,IF(AND(OR(V3020="Aprobada con ajuste",V3020="Rechazada"),W3020&lt;&gt;""),W3020,""))</f>
        <v/>
      </c>
    </row>
    <row r="3021" customFormat="false" ht="43.25" hidden="false" customHeight="false" outlineLevel="0" collapsed="false">
      <c r="A3021" s="18" t="s">
        <v>12512</v>
      </c>
      <c r="B3021" s="18" t="s">
        <v>80</v>
      </c>
      <c r="C3021" s="18" t="s">
        <v>81</v>
      </c>
      <c r="D3021" s="18" t="s">
        <v>12429</v>
      </c>
      <c r="E3021" s="18" t="n">
        <v>0</v>
      </c>
      <c r="F3021" s="18" t="s">
        <v>12513</v>
      </c>
      <c r="G3021" s="18" t="s">
        <v>137</v>
      </c>
      <c r="H3021" s="18" t="s">
        <v>162</v>
      </c>
      <c r="I3021" s="18" t="s">
        <v>298</v>
      </c>
      <c r="J3021" s="18"/>
      <c r="K3021" s="18"/>
      <c r="L3021" s="18" t="s">
        <v>129</v>
      </c>
      <c r="M3021" s="18" t="s">
        <v>129</v>
      </c>
      <c r="N3021" s="18"/>
      <c r="O3021" s="18"/>
      <c r="P3021" s="18" t="s">
        <v>12514</v>
      </c>
      <c r="Q3021" s="18" t="s">
        <v>131</v>
      </c>
      <c r="R3021" s="18" t="s">
        <v>12515</v>
      </c>
      <c r="S3021" s="18" t="s">
        <v>133</v>
      </c>
      <c r="T3021" s="18" t="s">
        <v>12516</v>
      </c>
      <c r="U3021" s="18" t="s">
        <v>12517</v>
      </c>
      <c r="V3021" s="19" t="s">
        <v>29</v>
      </c>
      <c r="W3021" s="19"/>
      <c r="X3021" s="19"/>
      <c r="Y3021" s="20"/>
      <c r="Z3021" s="19"/>
      <c r="AA3021" s="18" t="str">
        <f aca="false">IF(OR(V3021="Aprobada"),R3021,IF(AND(OR(V3021="Aprobada con ajuste",V3021="Rechazada"),W3021&lt;&gt;""),W3021,""))</f>
        <v/>
      </c>
    </row>
    <row r="3022" customFormat="false" ht="43.25" hidden="false" customHeight="false" outlineLevel="0" collapsed="false">
      <c r="A3022" s="18" t="s">
        <v>12518</v>
      </c>
      <c r="B3022" s="18" t="s">
        <v>80</v>
      </c>
      <c r="C3022" s="18" t="s">
        <v>81</v>
      </c>
      <c r="D3022" s="18" t="s">
        <v>12429</v>
      </c>
      <c r="E3022" s="18" t="n">
        <v>0</v>
      </c>
      <c r="F3022" s="18" t="s">
        <v>12519</v>
      </c>
      <c r="G3022" s="18" t="s">
        <v>137</v>
      </c>
      <c r="H3022" s="18" t="s">
        <v>162</v>
      </c>
      <c r="I3022" s="18" t="s">
        <v>298</v>
      </c>
      <c r="J3022" s="18"/>
      <c r="K3022" s="18"/>
      <c r="L3022" s="18" t="s">
        <v>129</v>
      </c>
      <c r="M3022" s="18" t="s">
        <v>129</v>
      </c>
      <c r="N3022" s="18"/>
      <c r="O3022" s="18"/>
      <c r="P3022" s="18" t="s">
        <v>12520</v>
      </c>
      <c r="Q3022" s="18" t="s">
        <v>131</v>
      </c>
      <c r="R3022" s="18" t="s">
        <v>12521</v>
      </c>
      <c r="S3022" s="18" t="s">
        <v>133</v>
      </c>
      <c r="T3022" s="18" t="s">
        <v>12522</v>
      </c>
      <c r="U3022" s="18" t="s">
        <v>12523</v>
      </c>
      <c r="V3022" s="19" t="s">
        <v>29</v>
      </c>
      <c r="W3022" s="19"/>
      <c r="X3022" s="19"/>
      <c r="Y3022" s="20"/>
      <c r="Z3022" s="19"/>
      <c r="AA3022" s="18" t="str">
        <f aca="false">IF(OR(V3022="Aprobada"),R3022,IF(AND(OR(V3022="Aprobada con ajuste",V3022="Rechazada"),W3022&lt;&gt;""),W3022,""))</f>
        <v/>
      </c>
    </row>
    <row r="3023" customFormat="false" ht="32.8" hidden="false" customHeight="false" outlineLevel="0" collapsed="false">
      <c r="A3023" s="18" t="s">
        <v>12524</v>
      </c>
      <c r="B3023" s="18" t="s">
        <v>80</v>
      </c>
      <c r="C3023" s="18" t="s">
        <v>81</v>
      </c>
      <c r="D3023" s="18" t="s">
        <v>12429</v>
      </c>
      <c r="E3023" s="18" t="n">
        <v>0</v>
      </c>
      <c r="F3023" s="18" t="s">
        <v>12525</v>
      </c>
      <c r="G3023" s="18" t="s">
        <v>288</v>
      </c>
      <c r="H3023" s="18" t="s">
        <v>162</v>
      </c>
      <c r="I3023" s="18"/>
      <c r="J3023" s="18"/>
      <c r="K3023" s="18"/>
      <c r="L3023" s="18" t="s">
        <v>129</v>
      </c>
      <c r="M3023" s="18" t="s">
        <v>129</v>
      </c>
      <c r="N3023" s="18"/>
      <c r="O3023" s="18"/>
      <c r="P3023" s="18" t="s">
        <v>12526</v>
      </c>
      <c r="Q3023" s="18" t="s">
        <v>131</v>
      </c>
      <c r="R3023" s="18" t="s">
        <v>12527</v>
      </c>
      <c r="S3023" s="18" t="s">
        <v>133</v>
      </c>
      <c r="T3023" s="18" t="s">
        <v>12528</v>
      </c>
      <c r="U3023" s="18"/>
      <c r="V3023" s="19" t="s">
        <v>29</v>
      </c>
      <c r="W3023" s="19"/>
      <c r="X3023" s="19"/>
      <c r="Y3023" s="20"/>
      <c r="Z3023" s="19"/>
      <c r="AA3023" s="18" t="str">
        <f aca="false">IF(OR(V3023="Aprobada"),R3023,IF(AND(OR(V3023="Aprobada con ajuste",V3023="Rechazada"),W3023&lt;&gt;""),W3023,""))</f>
        <v/>
      </c>
    </row>
    <row r="3024" customFormat="false" ht="22.35" hidden="false" customHeight="false" outlineLevel="0" collapsed="false">
      <c r="A3024" s="18" t="s">
        <v>12529</v>
      </c>
      <c r="B3024" s="18" t="s">
        <v>80</v>
      </c>
      <c r="C3024" s="18" t="s">
        <v>81</v>
      </c>
      <c r="D3024" s="18" t="s">
        <v>12429</v>
      </c>
      <c r="E3024" s="18" t="n">
        <v>0</v>
      </c>
      <c r="F3024" s="18" t="s">
        <v>12530</v>
      </c>
      <c r="G3024" s="18" t="s">
        <v>4598</v>
      </c>
      <c r="H3024" s="18" t="s">
        <v>162</v>
      </c>
      <c r="I3024" s="18"/>
      <c r="J3024" s="18"/>
      <c r="K3024" s="18"/>
      <c r="L3024" s="18" t="s">
        <v>129</v>
      </c>
      <c r="M3024" s="18" t="s">
        <v>129</v>
      </c>
      <c r="N3024" s="18"/>
      <c r="O3024" s="18"/>
      <c r="P3024" s="18" t="s">
        <v>12531</v>
      </c>
      <c r="Q3024" s="18" t="s">
        <v>131</v>
      </c>
      <c r="R3024" s="18" t="s">
        <v>12532</v>
      </c>
      <c r="S3024" s="18" t="s">
        <v>133</v>
      </c>
      <c r="T3024" s="18" t="s">
        <v>183</v>
      </c>
      <c r="U3024" s="18"/>
      <c r="V3024" s="19" t="s">
        <v>29</v>
      </c>
      <c r="W3024" s="19"/>
      <c r="X3024" s="19"/>
      <c r="Y3024" s="20"/>
      <c r="Z3024" s="19"/>
      <c r="AA3024" s="18" t="str">
        <f aca="false">IF(OR(V3024="Aprobada"),R3024,IF(AND(OR(V3024="Aprobada con ajuste",V3024="Rechazada"),W3024&lt;&gt;""),W3024,""))</f>
        <v/>
      </c>
    </row>
    <row r="3025" customFormat="false" ht="74.6" hidden="false" customHeight="false" outlineLevel="0" collapsed="false">
      <c r="A3025" s="18" t="s">
        <v>12533</v>
      </c>
      <c r="B3025" s="18" t="s">
        <v>80</v>
      </c>
      <c r="C3025" s="18" t="s">
        <v>81</v>
      </c>
      <c r="D3025" s="18" t="s">
        <v>12429</v>
      </c>
      <c r="E3025" s="18" t="n">
        <v>0</v>
      </c>
      <c r="F3025" s="18" t="s">
        <v>12534</v>
      </c>
      <c r="G3025" s="18" t="s">
        <v>205</v>
      </c>
      <c r="H3025" s="18" t="s">
        <v>162</v>
      </c>
      <c r="I3025" s="18"/>
      <c r="J3025" s="18"/>
      <c r="K3025" s="18"/>
      <c r="L3025" s="18" t="s">
        <v>129</v>
      </c>
      <c r="M3025" s="18" t="s">
        <v>129</v>
      </c>
      <c r="N3025" s="18"/>
      <c r="O3025" s="18"/>
      <c r="P3025" s="18" t="s">
        <v>12535</v>
      </c>
      <c r="Q3025" s="18" t="s">
        <v>131</v>
      </c>
      <c r="R3025" s="18" t="s">
        <v>12536</v>
      </c>
      <c r="S3025" s="18" t="s">
        <v>133</v>
      </c>
      <c r="T3025" s="18" t="s">
        <v>12537</v>
      </c>
      <c r="U3025" s="18" t="s">
        <v>12538</v>
      </c>
      <c r="V3025" s="19" t="s">
        <v>29</v>
      </c>
      <c r="W3025" s="19"/>
      <c r="X3025" s="19"/>
      <c r="Y3025" s="20"/>
      <c r="Z3025" s="19"/>
      <c r="AA3025" s="18" t="str">
        <f aca="false">IF(OR(V3025="Aprobada"),R3025,IF(AND(OR(V3025="Aprobada con ajuste",V3025="Rechazada"),W3025&lt;&gt;""),W3025,""))</f>
        <v/>
      </c>
    </row>
    <row r="3026" customFormat="false" ht="43.25" hidden="false" customHeight="false" outlineLevel="0" collapsed="false">
      <c r="A3026" s="18" t="s">
        <v>12539</v>
      </c>
      <c r="B3026" s="18" t="s">
        <v>80</v>
      </c>
      <c r="C3026" s="18" t="s">
        <v>81</v>
      </c>
      <c r="D3026" s="18" t="s">
        <v>12429</v>
      </c>
      <c r="E3026" s="18" t="n">
        <v>0</v>
      </c>
      <c r="F3026" s="18" t="s">
        <v>12540</v>
      </c>
      <c r="G3026" s="18" t="s">
        <v>288</v>
      </c>
      <c r="H3026" s="18" t="s">
        <v>162</v>
      </c>
      <c r="I3026" s="18" t="s">
        <v>298</v>
      </c>
      <c r="J3026" s="18"/>
      <c r="K3026" s="18"/>
      <c r="L3026" s="18" t="s">
        <v>129</v>
      </c>
      <c r="M3026" s="18" t="s">
        <v>129</v>
      </c>
      <c r="N3026" s="18"/>
      <c r="O3026" s="18"/>
      <c r="P3026" s="18" t="s">
        <v>12541</v>
      </c>
      <c r="Q3026" s="18" t="s">
        <v>131</v>
      </c>
      <c r="R3026" s="18" t="s">
        <v>12542</v>
      </c>
      <c r="S3026" s="18" t="s">
        <v>133</v>
      </c>
      <c r="T3026" s="18" t="s">
        <v>12543</v>
      </c>
      <c r="U3026" s="18"/>
      <c r="V3026" s="19" t="s">
        <v>29</v>
      </c>
      <c r="W3026" s="19"/>
      <c r="X3026" s="19"/>
      <c r="Y3026" s="20"/>
      <c r="Z3026" s="19"/>
      <c r="AA3026" s="18" t="str">
        <f aca="false">IF(OR(V3026="Aprobada"),R3026,IF(AND(OR(V3026="Aprobada con ajuste",V3026="Rechazada"),W3026&lt;&gt;""),W3026,""))</f>
        <v/>
      </c>
    </row>
    <row r="3027" customFormat="false" ht="43.25" hidden="false" customHeight="false" outlineLevel="0" collapsed="false">
      <c r="A3027" s="18" t="s">
        <v>12544</v>
      </c>
      <c r="B3027" s="18" t="s">
        <v>80</v>
      </c>
      <c r="C3027" s="18" t="s">
        <v>81</v>
      </c>
      <c r="D3027" s="18" t="s">
        <v>12429</v>
      </c>
      <c r="E3027" s="18" t="n">
        <v>0</v>
      </c>
      <c r="F3027" s="18" t="s">
        <v>12545</v>
      </c>
      <c r="G3027" s="18" t="s">
        <v>4598</v>
      </c>
      <c r="H3027" s="18" t="s">
        <v>162</v>
      </c>
      <c r="I3027" s="18" t="s">
        <v>298</v>
      </c>
      <c r="J3027" s="18"/>
      <c r="K3027" s="18"/>
      <c r="L3027" s="18" t="s">
        <v>129</v>
      </c>
      <c r="M3027" s="18" t="s">
        <v>129</v>
      </c>
      <c r="N3027" s="18"/>
      <c r="O3027" s="18"/>
      <c r="P3027" s="18" t="s">
        <v>12546</v>
      </c>
      <c r="Q3027" s="18" t="s">
        <v>131</v>
      </c>
      <c r="R3027" s="18" t="s">
        <v>12547</v>
      </c>
      <c r="S3027" s="18" t="s">
        <v>133</v>
      </c>
      <c r="T3027" s="18" t="s">
        <v>12543</v>
      </c>
      <c r="U3027" s="18"/>
      <c r="V3027" s="19" t="s">
        <v>29</v>
      </c>
      <c r="W3027" s="19"/>
      <c r="X3027" s="19"/>
      <c r="Y3027" s="20"/>
      <c r="Z3027" s="19"/>
      <c r="AA3027" s="18" t="str">
        <f aca="false">IF(OR(V3027="Aprobada"),R3027,IF(AND(OR(V3027="Aprobada con ajuste",V3027="Rechazada"),W3027&lt;&gt;""),W3027,""))</f>
        <v/>
      </c>
    </row>
    <row r="3028" customFormat="false" ht="53.7" hidden="false" customHeight="false" outlineLevel="0" collapsed="false">
      <c r="A3028" s="18" t="s">
        <v>12548</v>
      </c>
      <c r="B3028" s="18" t="s">
        <v>80</v>
      </c>
      <c r="C3028" s="18" t="s">
        <v>81</v>
      </c>
      <c r="D3028" s="18" t="s">
        <v>12429</v>
      </c>
      <c r="E3028" s="18" t="n">
        <v>0</v>
      </c>
      <c r="F3028" s="18" t="s">
        <v>12549</v>
      </c>
      <c r="G3028" s="18" t="s">
        <v>205</v>
      </c>
      <c r="H3028" s="18" t="s">
        <v>162</v>
      </c>
      <c r="I3028" s="18" t="s">
        <v>298</v>
      </c>
      <c r="J3028" s="18" t="s">
        <v>11902</v>
      </c>
      <c r="K3028" s="18"/>
      <c r="L3028" s="18" t="s">
        <v>162</v>
      </c>
      <c r="M3028" s="18" t="s">
        <v>129</v>
      </c>
      <c r="N3028" s="18"/>
      <c r="O3028" s="18"/>
      <c r="P3028" s="18" t="s">
        <v>12550</v>
      </c>
      <c r="Q3028" s="18" t="s">
        <v>131</v>
      </c>
      <c r="R3028" s="18" t="s">
        <v>12551</v>
      </c>
      <c r="S3028" s="18" t="s">
        <v>133</v>
      </c>
      <c r="T3028" s="18" t="s">
        <v>12552</v>
      </c>
      <c r="U3028" s="18"/>
      <c r="V3028" s="19" t="s">
        <v>29</v>
      </c>
      <c r="W3028" s="19"/>
      <c r="X3028" s="19"/>
      <c r="Y3028" s="20"/>
      <c r="Z3028" s="19"/>
      <c r="AA3028" s="18" t="str">
        <f aca="false">IF(OR(V3028="Aprobada"),R3028,IF(AND(OR(V3028="Aprobada con ajuste",V3028="Rechazada"),W3028&lt;&gt;""),W3028,""))</f>
        <v/>
      </c>
    </row>
    <row r="3029" customFormat="false" ht="53.7" hidden="false" customHeight="false" outlineLevel="0" collapsed="false">
      <c r="A3029" s="18" t="s">
        <v>12553</v>
      </c>
      <c r="B3029" s="18" t="s">
        <v>80</v>
      </c>
      <c r="C3029" s="18" t="s">
        <v>81</v>
      </c>
      <c r="D3029" s="18" t="s">
        <v>12429</v>
      </c>
      <c r="E3029" s="18" t="n">
        <v>0</v>
      </c>
      <c r="F3029" s="18" t="s">
        <v>12554</v>
      </c>
      <c r="G3029" s="18" t="s">
        <v>137</v>
      </c>
      <c r="H3029" s="18" t="s">
        <v>162</v>
      </c>
      <c r="I3029" s="18" t="s">
        <v>298</v>
      </c>
      <c r="J3029" s="18"/>
      <c r="K3029" s="18"/>
      <c r="L3029" s="18" t="s">
        <v>129</v>
      </c>
      <c r="M3029" s="18" t="s">
        <v>129</v>
      </c>
      <c r="N3029" s="18"/>
      <c r="O3029" s="18"/>
      <c r="P3029" s="18" t="s">
        <v>12555</v>
      </c>
      <c r="Q3029" s="18" t="s">
        <v>131</v>
      </c>
      <c r="R3029" s="18" t="s">
        <v>12556</v>
      </c>
      <c r="S3029" s="18" t="s">
        <v>133</v>
      </c>
      <c r="T3029" s="18" t="s">
        <v>12557</v>
      </c>
      <c r="U3029" s="18" t="s">
        <v>12558</v>
      </c>
      <c r="V3029" s="19" t="s">
        <v>29</v>
      </c>
      <c r="W3029" s="19"/>
      <c r="X3029" s="19"/>
      <c r="Y3029" s="20"/>
      <c r="Z3029" s="19"/>
      <c r="AA3029" s="18" t="str">
        <f aca="false">IF(OR(V3029="Aprobada"),R3029,IF(AND(OR(V3029="Aprobada con ajuste",V3029="Rechazada"),W3029&lt;&gt;""),W3029,""))</f>
        <v/>
      </c>
    </row>
    <row r="3030" customFormat="false" ht="64.15" hidden="false" customHeight="false" outlineLevel="0" collapsed="false">
      <c r="A3030" s="18" t="s">
        <v>12559</v>
      </c>
      <c r="B3030" s="18" t="s">
        <v>80</v>
      </c>
      <c r="C3030" s="18" t="s">
        <v>81</v>
      </c>
      <c r="D3030" s="18" t="s">
        <v>12429</v>
      </c>
      <c r="E3030" s="18" t="n">
        <v>0</v>
      </c>
      <c r="F3030" s="18" t="s">
        <v>12560</v>
      </c>
      <c r="G3030" s="18" t="s">
        <v>205</v>
      </c>
      <c r="H3030" s="18" t="s">
        <v>162</v>
      </c>
      <c r="I3030" s="18"/>
      <c r="J3030" s="18"/>
      <c r="K3030" s="18"/>
      <c r="L3030" s="18" t="s">
        <v>129</v>
      </c>
      <c r="M3030" s="18" t="s">
        <v>129</v>
      </c>
      <c r="N3030" s="18"/>
      <c r="O3030" s="18"/>
      <c r="P3030" s="18" t="s">
        <v>12561</v>
      </c>
      <c r="Q3030" s="18" t="s">
        <v>131</v>
      </c>
      <c r="R3030" s="18" t="s">
        <v>12562</v>
      </c>
      <c r="S3030" s="18" t="s">
        <v>133</v>
      </c>
      <c r="T3030" s="18" t="s">
        <v>12563</v>
      </c>
      <c r="U3030" s="18" t="s">
        <v>12564</v>
      </c>
      <c r="V3030" s="19" t="s">
        <v>29</v>
      </c>
      <c r="W3030" s="19"/>
      <c r="X3030" s="19"/>
      <c r="Y3030" s="20"/>
      <c r="Z3030" s="19"/>
      <c r="AA3030" s="18" t="str">
        <f aca="false">IF(OR(V3030="Aprobada"),R3030,IF(AND(OR(V3030="Aprobada con ajuste",V3030="Rechazada"),W3030&lt;&gt;""),W3030,""))</f>
        <v/>
      </c>
    </row>
    <row r="3031" customFormat="false" ht="53.7" hidden="false" customHeight="false" outlineLevel="0" collapsed="false">
      <c r="A3031" s="18" t="s">
        <v>12565</v>
      </c>
      <c r="B3031" s="18" t="s">
        <v>80</v>
      </c>
      <c r="C3031" s="18" t="s">
        <v>81</v>
      </c>
      <c r="D3031" s="18" t="s">
        <v>12566</v>
      </c>
      <c r="E3031" s="18" t="n">
        <v>4</v>
      </c>
      <c r="F3031" s="18" t="s">
        <v>5230</v>
      </c>
      <c r="G3031" s="18" t="s">
        <v>454</v>
      </c>
      <c r="H3031" s="18" t="s">
        <v>129</v>
      </c>
      <c r="I3031" s="18"/>
      <c r="J3031" s="18"/>
      <c r="K3031" s="18"/>
      <c r="L3031" s="18" t="s">
        <v>129</v>
      </c>
      <c r="M3031" s="18" t="s">
        <v>129</v>
      </c>
      <c r="N3031" s="18"/>
      <c r="O3031" s="18"/>
      <c r="P3031" s="18" t="s">
        <v>12567</v>
      </c>
      <c r="Q3031" s="18" t="s">
        <v>149</v>
      </c>
      <c r="R3031" s="18" t="s">
        <v>12568</v>
      </c>
      <c r="S3031" s="18" t="s">
        <v>133</v>
      </c>
      <c r="T3031" s="18" t="s">
        <v>12569</v>
      </c>
      <c r="U3031" s="18"/>
      <c r="V3031" s="19" t="s">
        <v>29</v>
      </c>
      <c r="W3031" s="19"/>
      <c r="X3031" s="19"/>
      <c r="Y3031" s="20"/>
      <c r="Z3031" s="19"/>
      <c r="AA3031" s="18" t="str">
        <f aca="false">IF(OR(V3031="Aprobada"),R3031,IF(AND(OR(V3031="Aprobada con ajuste",V3031="Rechazada"),W3031&lt;&gt;""),W3031,""))</f>
        <v/>
      </c>
    </row>
    <row r="3032" customFormat="false" ht="95.5" hidden="false" customHeight="false" outlineLevel="0" collapsed="false">
      <c r="A3032" s="18" t="s">
        <v>12570</v>
      </c>
      <c r="B3032" s="18" t="s">
        <v>80</v>
      </c>
      <c r="C3032" s="18" t="s">
        <v>81</v>
      </c>
      <c r="D3032" s="18" t="s">
        <v>12566</v>
      </c>
      <c r="E3032" s="18" t="n">
        <v>4</v>
      </c>
      <c r="F3032" s="18" t="s">
        <v>2440</v>
      </c>
      <c r="G3032" s="18" t="s">
        <v>2900</v>
      </c>
      <c r="H3032" s="18" t="s">
        <v>162</v>
      </c>
      <c r="I3032" s="18"/>
      <c r="J3032" s="18"/>
      <c r="K3032" s="18"/>
      <c r="L3032" s="18" t="s">
        <v>129</v>
      </c>
      <c r="M3032" s="18" t="s">
        <v>129</v>
      </c>
      <c r="N3032" s="18"/>
      <c r="O3032" s="18"/>
      <c r="P3032" s="18" t="s">
        <v>12571</v>
      </c>
      <c r="Q3032" s="18" t="s">
        <v>131</v>
      </c>
      <c r="R3032" s="18" t="s">
        <v>12572</v>
      </c>
      <c r="S3032" s="18" t="s">
        <v>133</v>
      </c>
      <c r="T3032" s="18" t="s">
        <v>12573</v>
      </c>
      <c r="U3032" s="18"/>
      <c r="V3032" s="19" t="s">
        <v>29</v>
      </c>
      <c r="W3032" s="19"/>
      <c r="X3032" s="19"/>
      <c r="Y3032" s="20"/>
      <c r="Z3032" s="19"/>
      <c r="AA3032" s="18" t="str">
        <f aca="false">IF(OR(V3032="Aprobada"),R3032,IF(AND(OR(V3032="Aprobada con ajuste",V3032="Rechazada"),W3032&lt;&gt;""),W3032,""))</f>
        <v/>
      </c>
    </row>
    <row r="3033" customFormat="false" ht="95.5" hidden="false" customHeight="false" outlineLevel="0" collapsed="false">
      <c r="A3033" s="18" t="s">
        <v>12574</v>
      </c>
      <c r="B3033" s="18" t="s">
        <v>80</v>
      </c>
      <c r="C3033" s="18" t="s">
        <v>81</v>
      </c>
      <c r="D3033" s="18" t="s">
        <v>12566</v>
      </c>
      <c r="E3033" s="18" t="n">
        <v>4</v>
      </c>
      <c r="F3033" s="18" t="s">
        <v>5187</v>
      </c>
      <c r="G3033" s="18" t="s">
        <v>137</v>
      </c>
      <c r="H3033" s="18" t="s">
        <v>129</v>
      </c>
      <c r="I3033" s="18"/>
      <c r="J3033" s="18"/>
      <c r="K3033" s="18"/>
      <c r="L3033" s="18" t="s">
        <v>129</v>
      </c>
      <c r="M3033" s="18" t="s">
        <v>129</v>
      </c>
      <c r="N3033" s="18"/>
      <c r="O3033" s="18"/>
      <c r="P3033" s="18" t="s">
        <v>12575</v>
      </c>
      <c r="Q3033" s="18" t="s">
        <v>131</v>
      </c>
      <c r="R3033" s="18" t="s">
        <v>12576</v>
      </c>
      <c r="S3033" s="18" t="s">
        <v>133</v>
      </c>
      <c r="T3033" s="18" t="s">
        <v>12577</v>
      </c>
      <c r="U3033" s="18"/>
      <c r="V3033" s="19" t="s">
        <v>29</v>
      </c>
      <c r="W3033" s="19"/>
      <c r="X3033" s="19"/>
      <c r="Y3033" s="20"/>
      <c r="Z3033" s="19"/>
      <c r="AA3033" s="18" t="str">
        <f aca="false">IF(OR(V3033="Aprobada"),R3033,IF(AND(OR(V3033="Aprobada con ajuste",V3033="Rechazada"),W3033&lt;&gt;""),W3033,""))</f>
        <v/>
      </c>
    </row>
    <row r="3034" customFormat="false" ht="53.7" hidden="false" customHeight="false" outlineLevel="0" collapsed="false">
      <c r="A3034" s="18" t="s">
        <v>12578</v>
      </c>
      <c r="B3034" s="18" t="s">
        <v>80</v>
      </c>
      <c r="C3034" s="18" t="s">
        <v>81</v>
      </c>
      <c r="D3034" s="18" t="s">
        <v>12566</v>
      </c>
      <c r="E3034" s="18" t="n">
        <v>4</v>
      </c>
      <c r="F3034" s="18" t="s">
        <v>4478</v>
      </c>
      <c r="G3034" s="18" t="s">
        <v>4598</v>
      </c>
      <c r="H3034" s="18" t="s">
        <v>129</v>
      </c>
      <c r="I3034" s="18"/>
      <c r="J3034" s="18"/>
      <c r="K3034" s="18"/>
      <c r="L3034" s="18" t="s">
        <v>129</v>
      </c>
      <c r="M3034" s="18" t="s">
        <v>129</v>
      </c>
      <c r="N3034" s="18"/>
      <c r="O3034" s="18"/>
      <c r="P3034" s="18" t="s">
        <v>12579</v>
      </c>
      <c r="Q3034" s="18" t="s">
        <v>149</v>
      </c>
      <c r="R3034" s="18" t="s">
        <v>12580</v>
      </c>
      <c r="S3034" s="18" t="s">
        <v>133</v>
      </c>
      <c r="T3034" s="18" t="s">
        <v>11672</v>
      </c>
      <c r="U3034" s="18"/>
      <c r="V3034" s="19" t="s">
        <v>29</v>
      </c>
      <c r="W3034" s="19"/>
      <c r="X3034" s="19"/>
      <c r="Y3034" s="20"/>
      <c r="Z3034" s="19"/>
      <c r="AA3034" s="18" t="str">
        <f aca="false">IF(OR(V3034="Aprobada"),R3034,IF(AND(OR(V3034="Aprobada con ajuste",V3034="Rechazada"),W3034&lt;&gt;""),W3034,""))</f>
        <v/>
      </c>
    </row>
    <row r="3035" customFormat="false" ht="64.15" hidden="false" customHeight="false" outlineLevel="0" collapsed="false">
      <c r="A3035" s="18" t="s">
        <v>12581</v>
      </c>
      <c r="B3035" s="18" t="s">
        <v>80</v>
      </c>
      <c r="C3035" s="18" t="s">
        <v>81</v>
      </c>
      <c r="D3035" s="18" t="s">
        <v>12566</v>
      </c>
      <c r="E3035" s="18" t="n">
        <v>4</v>
      </c>
      <c r="F3035" s="18" t="s">
        <v>3176</v>
      </c>
      <c r="G3035" s="18" t="s">
        <v>128</v>
      </c>
      <c r="H3035" s="18" t="s">
        <v>129</v>
      </c>
      <c r="I3035" s="18"/>
      <c r="J3035" s="18"/>
      <c r="K3035" s="18"/>
      <c r="L3035" s="18" t="s">
        <v>129</v>
      </c>
      <c r="M3035" s="18" t="s">
        <v>129</v>
      </c>
      <c r="N3035" s="18"/>
      <c r="O3035" s="18"/>
      <c r="P3035" s="18" t="s">
        <v>12582</v>
      </c>
      <c r="Q3035" s="18" t="s">
        <v>149</v>
      </c>
      <c r="R3035" s="18" t="s">
        <v>12583</v>
      </c>
      <c r="S3035" s="18" t="s">
        <v>133</v>
      </c>
      <c r="T3035" s="18" t="s">
        <v>12584</v>
      </c>
      <c r="U3035" s="18"/>
      <c r="V3035" s="19" t="s">
        <v>29</v>
      </c>
      <c r="W3035" s="19"/>
      <c r="X3035" s="19"/>
      <c r="Y3035" s="20"/>
      <c r="Z3035" s="19"/>
      <c r="AA3035" s="18" t="str">
        <f aca="false">IF(OR(V3035="Aprobada"),R3035,IF(AND(OR(V3035="Aprobada con ajuste",V3035="Rechazada"),W3035&lt;&gt;""),W3035,""))</f>
        <v/>
      </c>
    </row>
    <row r="3036" customFormat="false" ht="43.25" hidden="false" customHeight="false" outlineLevel="0" collapsed="false">
      <c r="A3036" s="18" t="s">
        <v>12585</v>
      </c>
      <c r="B3036" s="18" t="s">
        <v>80</v>
      </c>
      <c r="C3036" s="18" t="s">
        <v>81</v>
      </c>
      <c r="D3036" s="18" t="s">
        <v>12566</v>
      </c>
      <c r="E3036" s="18" t="n">
        <v>4</v>
      </c>
      <c r="F3036" s="18" t="s">
        <v>12369</v>
      </c>
      <c r="G3036" s="18" t="s">
        <v>312</v>
      </c>
      <c r="H3036" s="18" t="s">
        <v>162</v>
      </c>
      <c r="I3036" s="18"/>
      <c r="J3036" s="18"/>
      <c r="K3036" s="18"/>
      <c r="L3036" s="18" t="s">
        <v>129</v>
      </c>
      <c r="M3036" s="18" t="s">
        <v>129</v>
      </c>
      <c r="N3036" s="18"/>
      <c r="O3036" s="18"/>
      <c r="P3036" s="18" t="s">
        <v>12586</v>
      </c>
      <c r="Q3036" s="18" t="s">
        <v>131</v>
      </c>
      <c r="R3036" s="18" t="s">
        <v>12587</v>
      </c>
      <c r="S3036" s="18" t="s">
        <v>133</v>
      </c>
      <c r="T3036" s="18" t="s">
        <v>12588</v>
      </c>
      <c r="U3036" s="18"/>
      <c r="V3036" s="19" t="s">
        <v>29</v>
      </c>
      <c r="W3036" s="19"/>
      <c r="X3036" s="19"/>
      <c r="Y3036" s="20"/>
      <c r="Z3036" s="19"/>
      <c r="AA3036" s="18" t="str">
        <f aca="false">IF(OR(V3036="Aprobada"),R3036,IF(AND(OR(V3036="Aprobada con ajuste",V3036="Rechazada"),W3036&lt;&gt;""),W3036,""))</f>
        <v/>
      </c>
    </row>
    <row r="3037" customFormat="false" ht="22.35" hidden="false" customHeight="false" outlineLevel="0" collapsed="false">
      <c r="A3037" s="18" t="s">
        <v>12589</v>
      </c>
      <c r="B3037" s="18" t="s">
        <v>80</v>
      </c>
      <c r="C3037" s="18" t="s">
        <v>81</v>
      </c>
      <c r="D3037" s="18" t="s">
        <v>12566</v>
      </c>
      <c r="E3037" s="18" t="n">
        <v>4</v>
      </c>
      <c r="F3037" s="18" t="s">
        <v>11254</v>
      </c>
      <c r="G3037" s="18" t="s">
        <v>11001</v>
      </c>
      <c r="H3037" s="18" t="s">
        <v>162</v>
      </c>
      <c r="I3037" s="18"/>
      <c r="J3037" s="18"/>
      <c r="K3037" s="18"/>
      <c r="L3037" s="18" t="s">
        <v>129</v>
      </c>
      <c r="M3037" s="18" t="s">
        <v>129</v>
      </c>
      <c r="N3037" s="18"/>
      <c r="O3037" s="18"/>
      <c r="P3037" s="18" t="s">
        <v>12590</v>
      </c>
      <c r="Q3037" s="18" t="s">
        <v>138</v>
      </c>
      <c r="R3037" s="18" t="s">
        <v>2017</v>
      </c>
      <c r="S3037" s="18" t="s">
        <v>140</v>
      </c>
      <c r="T3037" s="18" t="s">
        <v>141</v>
      </c>
      <c r="U3037" s="18"/>
      <c r="V3037" s="19" t="s">
        <v>29</v>
      </c>
      <c r="W3037" s="19"/>
      <c r="X3037" s="19"/>
      <c r="Y3037" s="20"/>
      <c r="Z3037" s="19"/>
      <c r="AA3037" s="18" t="str">
        <f aca="false">IF(OR(V3037="Aprobada"),R3037,IF(AND(OR(V3037="Aprobada con ajuste",V3037="Rechazada"),W3037&lt;&gt;""),W3037,""))</f>
        <v/>
      </c>
    </row>
    <row r="3038" customFormat="false" ht="64.15" hidden="false" customHeight="false" outlineLevel="0" collapsed="false">
      <c r="A3038" s="18" t="s">
        <v>12591</v>
      </c>
      <c r="B3038" s="18" t="s">
        <v>80</v>
      </c>
      <c r="C3038" s="18" t="s">
        <v>81</v>
      </c>
      <c r="D3038" s="18" t="s">
        <v>12566</v>
      </c>
      <c r="E3038" s="18" t="n">
        <v>4</v>
      </c>
      <c r="F3038" s="18" t="s">
        <v>4842</v>
      </c>
      <c r="G3038" s="18" t="s">
        <v>128</v>
      </c>
      <c r="H3038" s="18" t="s">
        <v>162</v>
      </c>
      <c r="I3038" s="18" t="s">
        <v>298</v>
      </c>
      <c r="J3038" s="18"/>
      <c r="K3038" s="18"/>
      <c r="L3038" s="18" t="s">
        <v>129</v>
      </c>
      <c r="M3038" s="18" t="s">
        <v>129</v>
      </c>
      <c r="N3038" s="18"/>
      <c r="O3038" s="18"/>
      <c r="P3038" s="18" t="s">
        <v>12592</v>
      </c>
      <c r="Q3038" s="18" t="s">
        <v>131</v>
      </c>
      <c r="R3038" s="18" t="s">
        <v>12593</v>
      </c>
      <c r="S3038" s="18" t="s">
        <v>140</v>
      </c>
      <c r="T3038" s="18" t="s">
        <v>12594</v>
      </c>
      <c r="U3038" s="18"/>
      <c r="V3038" s="19" t="s">
        <v>29</v>
      </c>
      <c r="W3038" s="19"/>
      <c r="X3038" s="19"/>
      <c r="Y3038" s="20"/>
      <c r="Z3038" s="19"/>
      <c r="AA3038" s="18" t="str">
        <f aca="false">IF(OR(V3038="Aprobada"),R3038,IF(AND(OR(V3038="Aprobada con ajuste",V3038="Rechazada"),W3038&lt;&gt;""),W3038,""))</f>
        <v/>
      </c>
    </row>
    <row r="3039" customFormat="false" ht="22.35" hidden="false" customHeight="false" outlineLevel="0" collapsed="false">
      <c r="A3039" s="18" t="s">
        <v>12595</v>
      </c>
      <c r="B3039" s="18" t="s">
        <v>80</v>
      </c>
      <c r="C3039" s="18" t="s">
        <v>81</v>
      </c>
      <c r="D3039" s="18" t="s">
        <v>12566</v>
      </c>
      <c r="E3039" s="18" t="n">
        <v>4</v>
      </c>
      <c r="F3039" s="18" t="s">
        <v>12596</v>
      </c>
      <c r="G3039" s="18" t="s">
        <v>11001</v>
      </c>
      <c r="H3039" s="18" t="s">
        <v>162</v>
      </c>
      <c r="I3039" s="18"/>
      <c r="J3039" s="18"/>
      <c r="K3039" s="18"/>
      <c r="L3039" s="18" t="s">
        <v>129</v>
      </c>
      <c r="M3039" s="18" t="s">
        <v>129</v>
      </c>
      <c r="N3039" s="18"/>
      <c r="O3039" s="18"/>
      <c r="P3039" s="18" t="s">
        <v>12597</v>
      </c>
      <c r="Q3039" s="18" t="s">
        <v>149</v>
      </c>
      <c r="R3039" s="18" t="s">
        <v>12598</v>
      </c>
      <c r="S3039" s="18" t="s">
        <v>140</v>
      </c>
      <c r="T3039" s="18" t="s">
        <v>12599</v>
      </c>
      <c r="U3039" s="18" t="s">
        <v>9527</v>
      </c>
      <c r="V3039" s="19" t="s">
        <v>29</v>
      </c>
      <c r="W3039" s="19"/>
      <c r="X3039" s="19"/>
      <c r="Y3039" s="20"/>
      <c r="Z3039" s="19"/>
      <c r="AA3039" s="18" t="str">
        <f aca="false">IF(OR(V3039="Aprobada"),R3039,IF(AND(OR(V3039="Aprobada con ajuste",V3039="Rechazada"),W3039&lt;&gt;""),W3039,""))</f>
        <v/>
      </c>
    </row>
    <row r="3040" customFormat="false" ht="22.35" hidden="false" customHeight="false" outlineLevel="0" collapsed="false">
      <c r="A3040" s="18" t="s">
        <v>12600</v>
      </c>
      <c r="B3040" s="18" t="s">
        <v>80</v>
      </c>
      <c r="C3040" s="18" t="s">
        <v>81</v>
      </c>
      <c r="D3040" s="18" t="s">
        <v>12566</v>
      </c>
      <c r="E3040" s="18" t="n">
        <v>4</v>
      </c>
      <c r="F3040" s="18" t="s">
        <v>12601</v>
      </c>
      <c r="G3040" s="18" t="s">
        <v>584</v>
      </c>
      <c r="H3040" s="18" t="s">
        <v>162</v>
      </c>
      <c r="I3040" s="18" t="s">
        <v>298</v>
      </c>
      <c r="J3040" s="18"/>
      <c r="K3040" s="18"/>
      <c r="L3040" s="18" t="s">
        <v>129</v>
      </c>
      <c r="M3040" s="18" t="s">
        <v>129</v>
      </c>
      <c r="N3040" s="18"/>
      <c r="O3040" s="18"/>
      <c r="P3040" s="18" t="s">
        <v>12602</v>
      </c>
      <c r="Q3040" s="18" t="s">
        <v>149</v>
      </c>
      <c r="R3040" s="18" t="s">
        <v>12603</v>
      </c>
      <c r="S3040" s="18" t="s">
        <v>133</v>
      </c>
      <c r="T3040" s="18" t="s">
        <v>12604</v>
      </c>
      <c r="U3040" s="18"/>
      <c r="V3040" s="19" t="s">
        <v>29</v>
      </c>
      <c r="W3040" s="19"/>
      <c r="X3040" s="19"/>
      <c r="Y3040" s="20"/>
      <c r="Z3040" s="19"/>
      <c r="AA3040" s="18" t="str">
        <f aca="false">IF(OR(V3040="Aprobada"),R3040,IF(AND(OR(V3040="Aprobada con ajuste",V3040="Rechazada"),W3040&lt;&gt;""),W3040,""))</f>
        <v/>
      </c>
    </row>
    <row r="3041" customFormat="false" ht="85.05" hidden="false" customHeight="false" outlineLevel="0" collapsed="false">
      <c r="A3041" s="18" t="s">
        <v>12605</v>
      </c>
      <c r="B3041" s="18" t="s">
        <v>80</v>
      </c>
      <c r="C3041" s="18" t="s">
        <v>81</v>
      </c>
      <c r="D3041" s="18" t="s">
        <v>12566</v>
      </c>
      <c r="E3041" s="18" t="n">
        <v>4</v>
      </c>
      <c r="F3041" s="18" t="s">
        <v>12606</v>
      </c>
      <c r="G3041" s="18" t="s">
        <v>173</v>
      </c>
      <c r="H3041" s="18" t="s">
        <v>162</v>
      </c>
      <c r="I3041" s="18" t="s">
        <v>298</v>
      </c>
      <c r="J3041" s="18"/>
      <c r="K3041" s="18"/>
      <c r="L3041" s="18" t="s">
        <v>129</v>
      </c>
      <c r="M3041" s="18" t="s">
        <v>129</v>
      </c>
      <c r="N3041" s="18"/>
      <c r="O3041" s="18"/>
      <c r="P3041" s="18" t="s">
        <v>12607</v>
      </c>
      <c r="Q3041" s="18" t="s">
        <v>131</v>
      </c>
      <c r="R3041" s="18" t="s">
        <v>12608</v>
      </c>
      <c r="S3041" s="18" t="s">
        <v>133</v>
      </c>
      <c r="T3041" s="18" t="s">
        <v>12609</v>
      </c>
      <c r="U3041" s="18"/>
      <c r="V3041" s="19" t="s">
        <v>29</v>
      </c>
      <c r="W3041" s="19"/>
      <c r="X3041" s="19"/>
      <c r="Y3041" s="20"/>
      <c r="Z3041" s="19"/>
      <c r="AA3041" s="18" t="str">
        <f aca="false">IF(OR(V3041="Aprobada"),R3041,IF(AND(OR(V3041="Aprobada con ajuste",V3041="Rechazada"),W3041&lt;&gt;""),W3041,""))</f>
        <v/>
      </c>
    </row>
    <row r="3042" customFormat="false" ht="126.85" hidden="false" customHeight="false" outlineLevel="0" collapsed="false">
      <c r="A3042" s="18" t="s">
        <v>12610</v>
      </c>
      <c r="B3042" s="18" t="s">
        <v>80</v>
      </c>
      <c r="C3042" s="18" t="s">
        <v>81</v>
      </c>
      <c r="D3042" s="18" t="s">
        <v>12611</v>
      </c>
      <c r="E3042" s="18" t="n">
        <v>4</v>
      </c>
      <c r="F3042" s="18" t="s">
        <v>676</v>
      </c>
      <c r="G3042" s="18" t="s">
        <v>503</v>
      </c>
      <c r="H3042" s="18" t="s">
        <v>129</v>
      </c>
      <c r="I3042" s="18"/>
      <c r="J3042" s="18"/>
      <c r="K3042" s="18"/>
      <c r="L3042" s="18" t="s">
        <v>129</v>
      </c>
      <c r="M3042" s="18" t="s">
        <v>129</v>
      </c>
      <c r="N3042" s="18"/>
      <c r="O3042" s="18" t="s">
        <v>12612</v>
      </c>
      <c r="P3042" s="18" t="s">
        <v>12613</v>
      </c>
      <c r="Q3042" s="18" t="s">
        <v>131</v>
      </c>
      <c r="R3042" s="18" t="s">
        <v>12614</v>
      </c>
      <c r="S3042" s="18" t="s">
        <v>133</v>
      </c>
      <c r="T3042" s="18" t="s">
        <v>12615</v>
      </c>
      <c r="U3042" s="18"/>
      <c r="V3042" s="19" t="s">
        <v>29</v>
      </c>
      <c r="W3042" s="19"/>
      <c r="X3042" s="19"/>
      <c r="Y3042" s="20"/>
      <c r="Z3042" s="19"/>
      <c r="AA3042" s="18" t="str">
        <f aca="false">IF(OR(V3042="Aprobada"),R3042,IF(AND(OR(V3042="Aprobada con ajuste",V3042="Rechazada"),W3042&lt;&gt;""),W3042,""))</f>
        <v/>
      </c>
    </row>
    <row r="3043" customFormat="false" ht="85.05" hidden="false" customHeight="false" outlineLevel="0" collapsed="false">
      <c r="A3043" s="18" t="s">
        <v>12616</v>
      </c>
      <c r="B3043" s="18" t="s">
        <v>80</v>
      </c>
      <c r="C3043" s="18" t="s">
        <v>81</v>
      </c>
      <c r="D3043" s="18" t="s">
        <v>12611</v>
      </c>
      <c r="E3043" s="18" t="n">
        <v>4</v>
      </c>
      <c r="F3043" s="18" t="s">
        <v>275</v>
      </c>
      <c r="G3043" s="18" t="s">
        <v>454</v>
      </c>
      <c r="H3043" s="18" t="s">
        <v>129</v>
      </c>
      <c r="I3043" s="18"/>
      <c r="J3043" s="18"/>
      <c r="K3043" s="18"/>
      <c r="L3043" s="18" t="s">
        <v>129</v>
      </c>
      <c r="M3043" s="18" t="s">
        <v>129</v>
      </c>
      <c r="N3043" s="18"/>
      <c r="O3043" s="18"/>
      <c r="P3043" s="18" t="s">
        <v>12617</v>
      </c>
      <c r="Q3043" s="18" t="s">
        <v>138</v>
      </c>
      <c r="R3043" s="18" t="s">
        <v>12618</v>
      </c>
      <c r="S3043" s="18" t="s">
        <v>140</v>
      </c>
      <c r="T3043" s="18" t="s">
        <v>141</v>
      </c>
      <c r="U3043" s="18"/>
      <c r="V3043" s="19" t="s">
        <v>29</v>
      </c>
      <c r="W3043" s="19"/>
      <c r="X3043" s="19"/>
      <c r="Y3043" s="20"/>
      <c r="Z3043" s="19"/>
      <c r="AA3043" s="18" t="str">
        <f aca="false">IF(OR(V3043="Aprobada"),R3043,IF(AND(OR(V3043="Aprobada con ajuste",V3043="Rechazada"),W3043&lt;&gt;""),W3043,""))</f>
        <v/>
      </c>
    </row>
    <row r="3044" customFormat="false" ht="53.7" hidden="false" customHeight="false" outlineLevel="0" collapsed="false">
      <c r="A3044" s="18" t="s">
        <v>12619</v>
      </c>
      <c r="B3044" s="18" t="s">
        <v>80</v>
      </c>
      <c r="C3044" s="18" t="s">
        <v>81</v>
      </c>
      <c r="D3044" s="18" t="s">
        <v>12611</v>
      </c>
      <c r="E3044" s="18" t="n">
        <v>4</v>
      </c>
      <c r="F3044" s="18" t="s">
        <v>2440</v>
      </c>
      <c r="G3044" s="18" t="s">
        <v>288</v>
      </c>
      <c r="H3044" s="18" t="s">
        <v>129</v>
      </c>
      <c r="I3044" s="18"/>
      <c r="J3044" s="18"/>
      <c r="K3044" s="18"/>
      <c r="L3044" s="18" t="s">
        <v>129</v>
      </c>
      <c r="M3044" s="18" t="s">
        <v>129</v>
      </c>
      <c r="N3044" s="18"/>
      <c r="O3044" s="18" t="s">
        <v>12620</v>
      </c>
      <c r="P3044" s="18" t="s">
        <v>12621</v>
      </c>
      <c r="Q3044" s="18" t="s">
        <v>138</v>
      </c>
      <c r="R3044" s="18" t="s">
        <v>532</v>
      </c>
      <c r="S3044" s="18" t="s">
        <v>140</v>
      </c>
      <c r="T3044" s="18" t="s">
        <v>141</v>
      </c>
      <c r="U3044" s="18"/>
      <c r="V3044" s="19" t="s">
        <v>29</v>
      </c>
      <c r="W3044" s="19"/>
      <c r="X3044" s="19"/>
      <c r="Y3044" s="20"/>
      <c r="Z3044" s="19"/>
      <c r="AA3044" s="18" t="str">
        <f aca="false">IF(OR(V3044="Aprobada"),R3044,IF(AND(OR(V3044="Aprobada con ajuste",V3044="Rechazada"),W3044&lt;&gt;""),W3044,""))</f>
        <v/>
      </c>
    </row>
    <row r="3045" customFormat="false" ht="22.35" hidden="false" customHeight="false" outlineLevel="0" collapsed="false">
      <c r="A3045" s="18" t="s">
        <v>12622</v>
      </c>
      <c r="B3045" s="18" t="s">
        <v>80</v>
      </c>
      <c r="C3045" s="18" t="s">
        <v>81</v>
      </c>
      <c r="D3045" s="18" t="s">
        <v>12611</v>
      </c>
      <c r="E3045" s="18" t="n">
        <v>4</v>
      </c>
      <c r="F3045" s="18" t="s">
        <v>11254</v>
      </c>
      <c r="G3045" s="18" t="s">
        <v>454</v>
      </c>
      <c r="H3045" s="18" t="s">
        <v>162</v>
      </c>
      <c r="I3045" s="18"/>
      <c r="J3045" s="18"/>
      <c r="K3045" s="18"/>
      <c r="L3045" s="18" t="s">
        <v>129</v>
      </c>
      <c r="M3045" s="18" t="s">
        <v>129</v>
      </c>
      <c r="N3045" s="18"/>
      <c r="O3045" s="18"/>
      <c r="P3045" s="18" t="s">
        <v>12623</v>
      </c>
      <c r="Q3045" s="18" t="s">
        <v>138</v>
      </c>
      <c r="R3045" s="18" t="s">
        <v>2017</v>
      </c>
      <c r="S3045" s="18" t="s">
        <v>140</v>
      </c>
      <c r="T3045" s="18" t="s">
        <v>141</v>
      </c>
      <c r="U3045" s="18"/>
      <c r="V3045" s="19" t="s">
        <v>29</v>
      </c>
      <c r="W3045" s="19"/>
      <c r="X3045" s="19"/>
      <c r="Y3045" s="20"/>
      <c r="Z3045" s="19"/>
      <c r="AA3045" s="18" t="str">
        <f aca="false">IF(OR(V3045="Aprobada"),R3045,IF(AND(OR(V3045="Aprobada con ajuste",V3045="Rechazada"),W3045&lt;&gt;""),W3045,""))</f>
        <v/>
      </c>
    </row>
    <row r="3046" customFormat="false" ht="126.85" hidden="false" customHeight="false" outlineLevel="0" collapsed="false">
      <c r="A3046" s="18" t="s">
        <v>12624</v>
      </c>
      <c r="B3046" s="18" t="s">
        <v>80</v>
      </c>
      <c r="C3046" s="18" t="s">
        <v>81</v>
      </c>
      <c r="D3046" s="18" t="s">
        <v>12625</v>
      </c>
      <c r="E3046" s="18" t="n">
        <v>2</v>
      </c>
      <c r="F3046" s="18" t="s">
        <v>676</v>
      </c>
      <c r="G3046" s="18" t="s">
        <v>503</v>
      </c>
      <c r="H3046" s="18" t="s">
        <v>129</v>
      </c>
      <c r="I3046" s="18"/>
      <c r="J3046" s="18"/>
      <c r="K3046" s="18"/>
      <c r="L3046" s="18" t="s">
        <v>129</v>
      </c>
      <c r="M3046" s="18" t="s">
        <v>129</v>
      </c>
      <c r="N3046" s="18"/>
      <c r="O3046" s="18" t="s">
        <v>12626</v>
      </c>
      <c r="P3046" s="18" t="s">
        <v>12627</v>
      </c>
      <c r="Q3046" s="18" t="s">
        <v>131</v>
      </c>
      <c r="R3046" s="18" t="s">
        <v>12628</v>
      </c>
      <c r="S3046" s="18" t="s">
        <v>133</v>
      </c>
      <c r="T3046" s="18" t="s">
        <v>12629</v>
      </c>
      <c r="U3046" s="18"/>
      <c r="V3046" s="19" t="s">
        <v>29</v>
      </c>
      <c r="W3046" s="19"/>
      <c r="X3046" s="19"/>
      <c r="Y3046" s="20"/>
      <c r="Z3046" s="19"/>
      <c r="AA3046" s="18" t="str">
        <f aca="false">IF(OR(V3046="Aprobada"),R3046,IF(AND(OR(V3046="Aprobada con ajuste",V3046="Rechazada"),W3046&lt;&gt;""),W3046,""))</f>
        <v/>
      </c>
    </row>
    <row r="3047" customFormat="false" ht="85.05" hidden="false" customHeight="false" outlineLevel="0" collapsed="false">
      <c r="A3047" s="18" t="s">
        <v>12630</v>
      </c>
      <c r="B3047" s="18" t="s">
        <v>80</v>
      </c>
      <c r="C3047" s="18" t="s">
        <v>81</v>
      </c>
      <c r="D3047" s="18" t="s">
        <v>12625</v>
      </c>
      <c r="E3047" s="18" t="n">
        <v>2</v>
      </c>
      <c r="F3047" s="18" t="s">
        <v>12631</v>
      </c>
      <c r="G3047" s="18" t="s">
        <v>137</v>
      </c>
      <c r="H3047" s="18" t="s">
        <v>129</v>
      </c>
      <c r="I3047" s="18" t="s">
        <v>298</v>
      </c>
      <c r="J3047" s="18"/>
      <c r="K3047" s="18"/>
      <c r="L3047" s="18" t="s">
        <v>129</v>
      </c>
      <c r="M3047" s="18" t="s">
        <v>129</v>
      </c>
      <c r="N3047" s="18"/>
      <c r="O3047" s="18"/>
      <c r="P3047" s="18" t="s">
        <v>12632</v>
      </c>
      <c r="Q3047" s="18" t="s">
        <v>131</v>
      </c>
      <c r="R3047" s="18" t="s">
        <v>12633</v>
      </c>
      <c r="S3047" s="18" t="s">
        <v>133</v>
      </c>
      <c r="T3047" s="18" t="s">
        <v>12634</v>
      </c>
      <c r="U3047" s="18"/>
      <c r="V3047" s="19" t="s">
        <v>29</v>
      </c>
      <c r="W3047" s="19"/>
      <c r="X3047" s="19"/>
      <c r="Y3047" s="20"/>
      <c r="Z3047" s="19"/>
      <c r="AA3047" s="18" t="str">
        <f aca="false">IF(OR(V3047="Aprobada"),R3047,IF(AND(OR(V3047="Aprobada con ajuste",V3047="Rechazada"),W3047&lt;&gt;""),W3047,""))</f>
        <v/>
      </c>
    </row>
    <row r="3048" customFormat="false" ht="43.25" hidden="false" customHeight="false" outlineLevel="0" collapsed="false">
      <c r="A3048" s="18" t="s">
        <v>12635</v>
      </c>
      <c r="B3048" s="18" t="s">
        <v>80</v>
      </c>
      <c r="C3048" s="18" t="s">
        <v>81</v>
      </c>
      <c r="D3048" s="18" t="s">
        <v>12625</v>
      </c>
      <c r="E3048" s="18" t="n">
        <v>2</v>
      </c>
      <c r="F3048" s="18" t="s">
        <v>12636</v>
      </c>
      <c r="G3048" s="18" t="s">
        <v>137</v>
      </c>
      <c r="H3048" s="18" t="s">
        <v>129</v>
      </c>
      <c r="I3048" s="18" t="s">
        <v>298</v>
      </c>
      <c r="J3048" s="18"/>
      <c r="K3048" s="18"/>
      <c r="L3048" s="18" t="s">
        <v>129</v>
      </c>
      <c r="M3048" s="18" t="s">
        <v>129</v>
      </c>
      <c r="N3048" s="18"/>
      <c r="O3048" s="18"/>
      <c r="P3048" s="18" t="s">
        <v>12637</v>
      </c>
      <c r="Q3048" s="18" t="s">
        <v>149</v>
      </c>
      <c r="R3048" s="18" t="s">
        <v>12638</v>
      </c>
      <c r="S3048" s="18" t="s">
        <v>133</v>
      </c>
      <c r="T3048" s="18" t="s">
        <v>12639</v>
      </c>
      <c r="U3048" s="18"/>
      <c r="V3048" s="19" t="s">
        <v>29</v>
      </c>
      <c r="W3048" s="19"/>
      <c r="X3048" s="19"/>
      <c r="Y3048" s="20"/>
      <c r="Z3048" s="19"/>
      <c r="AA3048" s="18" t="str">
        <f aca="false">IF(OR(V3048="Aprobada"),R3048,IF(AND(OR(V3048="Aprobada con ajuste",V3048="Rechazada"),W3048&lt;&gt;""),W3048,""))</f>
        <v/>
      </c>
    </row>
    <row r="3049" customFormat="false" ht="105.95" hidden="false" customHeight="false" outlineLevel="0" collapsed="false">
      <c r="A3049" s="18" t="s">
        <v>12640</v>
      </c>
      <c r="B3049" s="18" t="s">
        <v>80</v>
      </c>
      <c r="C3049" s="18" t="s">
        <v>81</v>
      </c>
      <c r="D3049" s="18" t="s">
        <v>12625</v>
      </c>
      <c r="E3049" s="18" t="n">
        <v>2</v>
      </c>
      <c r="F3049" s="18" t="s">
        <v>1922</v>
      </c>
      <c r="G3049" s="18" t="s">
        <v>11382</v>
      </c>
      <c r="H3049" s="18" t="s">
        <v>129</v>
      </c>
      <c r="I3049" s="18" t="s">
        <v>298</v>
      </c>
      <c r="J3049" s="18"/>
      <c r="K3049" s="18"/>
      <c r="L3049" s="18" t="s">
        <v>129</v>
      </c>
      <c r="M3049" s="18" t="s">
        <v>129</v>
      </c>
      <c r="N3049" s="18"/>
      <c r="O3049" s="18"/>
      <c r="P3049" s="18" t="s">
        <v>12641</v>
      </c>
      <c r="Q3049" s="18" t="s">
        <v>131</v>
      </c>
      <c r="R3049" s="18" t="s">
        <v>12642</v>
      </c>
      <c r="S3049" s="18" t="s">
        <v>140</v>
      </c>
      <c r="T3049" s="18" t="s">
        <v>12643</v>
      </c>
      <c r="U3049" s="18" t="s">
        <v>11516</v>
      </c>
      <c r="V3049" s="19" t="s">
        <v>29</v>
      </c>
      <c r="W3049" s="19"/>
      <c r="X3049" s="19"/>
      <c r="Y3049" s="20"/>
      <c r="Z3049" s="19"/>
      <c r="AA3049" s="18" t="str">
        <f aca="false">IF(OR(V3049="Aprobada"),R3049,IF(AND(OR(V3049="Aprobada con ajuste",V3049="Rechazada"),W3049&lt;&gt;""),W3049,""))</f>
        <v/>
      </c>
    </row>
    <row r="3050" customFormat="false" ht="32.8" hidden="false" customHeight="false" outlineLevel="0" collapsed="false">
      <c r="A3050" s="18" t="s">
        <v>12644</v>
      </c>
      <c r="B3050" s="18" t="s">
        <v>80</v>
      </c>
      <c r="C3050" s="18" t="s">
        <v>81</v>
      </c>
      <c r="D3050" s="18" t="s">
        <v>12625</v>
      </c>
      <c r="E3050" s="18" t="n">
        <v>2</v>
      </c>
      <c r="F3050" s="18" t="s">
        <v>185</v>
      </c>
      <c r="G3050" s="18" t="s">
        <v>205</v>
      </c>
      <c r="H3050" s="18" t="s">
        <v>129</v>
      </c>
      <c r="I3050" s="18" t="s">
        <v>298</v>
      </c>
      <c r="J3050" s="18" t="s">
        <v>12645</v>
      </c>
      <c r="K3050" s="18"/>
      <c r="L3050" s="18" t="s">
        <v>162</v>
      </c>
      <c r="M3050" s="18" t="s">
        <v>129</v>
      </c>
      <c r="N3050" s="18"/>
      <c r="O3050" s="18" t="s">
        <v>12646</v>
      </c>
      <c r="P3050" s="18" t="s">
        <v>12647</v>
      </c>
      <c r="Q3050" s="18" t="s">
        <v>138</v>
      </c>
      <c r="R3050" s="18" t="s">
        <v>12648</v>
      </c>
      <c r="S3050" s="18" t="s">
        <v>140</v>
      </c>
      <c r="T3050" s="18" t="s">
        <v>141</v>
      </c>
      <c r="U3050" s="18"/>
      <c r="V3050" s="19" t="s">
        <v>29</v>
      </c>
      <c r="W3050" s="19"/>
      <c r="X3050" s="19"/>
      <c r="Y3050" s="20"/>
      <c r="Z3050" s="19"/>
      <c r="AA3050" s="18" t="str">
        <f aca="false">IF(OR(V3050="Aprobada"),R3050,IF(AND(OR(V3050="Aprobada con ajuste",V3050="Rechazada"),W3050&lt;&gt;""),W3050,""))</f>
        <v/>
      </c>
    </row>
    <row r="3051" customFormat="false" ht="22.35" hidden="false" customHeight="false" outlineLevel="0" collapsed="false">
      <c r="A3051" s="18" t="s">
        <v>12649</v>
      </c>
      <c r="B3051" s="18" t="s">
        <v>80</v>
      </c>
      <c r="C3051" s="18" t="s">
        <v>81</v>
      </c>
      <c r="D3051" s="18" t="s">
        <v>12625</v>
      </c>
      <c r="E3051" s="18" t="n">
        <v>2</v>
      </c>
      <c r="F3051" s="18" t="s">
        <v>12650</v>
      </c>
      <c r="G3051" s="18" t="s">
        <v>584</v>
      </c>
      <c r="H3051" s="18" t="s">
        <v>129</v>
      </c>
      <c r="I3051" s="18"/>
      <c r="J3051" s="18"/>
      <c r="K3051" s="18"/>
      <c r="L3051" s="18" t="s">
        <v>129</v>
      </c>
      <c r="M3051" s="18" t="s">
        <v>129</v>
      </c>
      <c r="N3051" s="18"/>
      <c r="O3051" s="18"/>
      <c r="P3051" s="18" t="s">
        <v>12651</v>
      </c>
      <c r="Q3051" s="18" t="s">
        <v>138</v>
      </c>
      <c r="R3051" s="18" t="s">
        <v>12652</v>
      </c>
      <c r="S3051" s="18" t="s">
        <v>140</v>
      </c>
      <c r="T3051" s="18" t="s">
        <v>141</v>
      </c>
      <c r="U3051" s="18"/>
      <c r="V3051" s="19" t="s">
        <v>29</v>
      </c>
      <c r="W3051" s="19"/>
      <c r="X3051" s="19"/>
      <c r="Y3051" s="20"/>
      <c r="Z3051" s="19"/>
      <c r="AA3051" s="18" t="str">
        <f aca="false">IF(OR(V3051="Aprobada"),R3051,IF(AND(OR(V3051="Aprobada con ajuste",V3051="Rechazada"),W3051&lt;&gt;""),W3051,""))</f>
        <v/>
      </c>
    </row>
    <row r="3052" customFormat="false" ht="22.35" hidden="false" customHeight="false" outlineLevel="0" collapsed="false">
      <c r="A3052" s="18" t="s">
        <v>12653</v>
      </c>
      <c r="B3052" s="18" t="s">
        <v>80</v>
      </c>
      <c r="C3052" s="18" t="s">
        <v>81</v>
      </c>
      <c r="D3052" s="18" t="s">
        <v>12625</v>
      </c>
      <c r="E3052" s="18" t="n">
        <v>2</v>
      </c>
      <c r="F3052" s="18" t="s">
        <v>12654</v>
      </c>
      <c r="G3052" s="18" t="s">
        <v>454</v>
      </c>
      <c r="H3052" s="18" t="s">
        <v>162</v>
      </c>
      <c r="I3052" s="18"/>
      <c r="J3052" s="18"/>
      <c r="K3052" s="18"/>
      <c r="L3052" s="18" t="s">
        <v>129</v>
      </c>
      <c r="M3052" s="18" t="s">
        <v>129</v>
      </c>
      <c r="N3052" s="18"/>
      <c r="O3052" s="18"/>
      <c r="P3052" s="18" t="s">
        <v>12655</v>
      </c>
      <c r="Q3052" s="18" t="s">
        <v>138</v>
      </c>
      <c r="R3052" s="18" t="s">
        <v>12656</v>
      </c>
      <c r="S3052" s="18" t="s">
        <v>140</v>
      </c>
      <c r="T3052" s="18" t="s">
        <v>141</v>
      </c>
      <c r="U3052" s="18"/>
      <c r="V3052" s="19" t="s">
        <v>29</v>
      </c>
      <c r="W3052" s="19"/>
      <c r="X3052" s="19"/>
      <c r="Y3052" s="20"/>
      <c r="Z3052" s="19"/>
      <c r="AA3052" s="18" t="str">
        <f aca="false">IF(OR(V3052="Aprobada"),R3052,IF(AND(OR(V3052="Aprobada con ajuste",V3052="Rechazada"),W3052&lt;&gt;""),W3052,""))</f>
        <v/>
      </c>
    </row>
    <row r="3053" customFormat="false" ht="64.15" hidden="false" customHeight="false" outlineLevel="0" collapsed="false">
      <c r="A3053" s="18" t="s">
        <v>12657</v>
      </c>
      <c r="B3053" s="18" t="s">
        <v>80</v>
      </c>
      <c r="C3053" s="18" t="s">
        <v>81</v>
      </c>
      <c r="D3053" s="18" t="s">
        <v>12625</v>
      </c>
      <c r="E3053" s="18" t="n">
        <v>2</v>
      </c>
      <c r="F3053" s="18" t="s">
        <v>12658</v>
      </c>
      <c r="G3053" s="18" t="s">
        <v>584</v>
      </c>
      <c r="H3053" s="18" t="s">
        <v>162</v>
      </c>
      <c r="I3053" s="18" t="s">
        <v>298</v>
      </c>
      <c r="J3053" s="18"/>
      <c r="K3053" s="18"/>
      <c r="L3053" s="18" t="s">
        <v>129</v>
      </c>
      <c r="M3053" s="18" t="s">
        <v>129</v>
      </c>
      <c r="N3053" s="18"/>
      <c r="O3053" s="18"/>
      <c r="P3053" s="18" t="s">
        <v>12659</v>
      </c>
      <c r="Q3053" s="18" t="s">
        <v>131</v>
      </c>
      <c r="R3053" s="18" t="s">
        <v>12660</v>
      </c>
      <c r="S3053" s="18" t="s">
        <v>133</v>
      </c>
      <c r="T3053" s="18" t="s">
        <v>12661</v>
      </c>
      <c r="U3053" s="18" t="s">
        <v>12662</v>
      </c>
      <c r="V3053" s="19" t="s">
        <v>29</v>
      </c>
      <c r="W3053" s="19"/>
      <c r="X3053" s="19"/>
      <c r="Y3053" s="20"/>
      <c r="Z3053" s="19"/>
      <c r="AA3053" s="18" t="str">
        <f aca="false">IF(OR(V3053="Aprobada"),R3053,IF(AND(OR(V3053="Aprobada con ajuste",V3053="Rechazada"),W3053&lt;&gt;""),W3053,""))</f>
        <v/>
      </c>
    </row>
    <row r="3054" customFormat="false" ht="32.8" hidden="false" customHeight="false" outlineLevel="0" collapsed="false">
      <c r="A3054" s="18" t="s">
        <v>12663</v>
      </c>
      <c r="B3054" s="18" t="s">
        <v>80</v>
      </c>
      <c r="C3054" s="18" t="s">
        <v>81</v>
      </c>
      <c r="D3054" s="18" t="s">
        <v>12625</v>
      </c>
      <c r="E3054" s="18" t="n">
        <v>2</v>
      </c>
      <c r="F3054" s="18" t="s">
        <v>12664</v>
      </c>
      <c r="G3054" s="18" t="s">
        <v>454</v>
      </c>
      <c r="H3054" s="18" t="s">
        <v>162</v>
      </c>
      <c r="I3054" s="18"/>
      <c r="J3054" s="18"/>
      <c r="K3054" s="18"/>
      <c r="L3054" s="18" t="s">
        <v>129</v>
      </c>
      <c r="M3054" s="18" t="s">
        <v>129</v>
      </c>
      <c r="N3054" s="18"/>
      <c r="O3054" s="18"/>
      <c r="P3054" s="18" t="s">
        <v>12665</v>
      </c>
      <c r="Q3054" s="18" t="s">
        <v>149</v>
      </c>
      <c r="R3054" s="18" t="s">
        <v>12666</v>
      </c>
      <c r="S3054" s="18" t="s">
        <v>140</v>
      </c>
      <c r="T3054" s="18" t="s">
        <v>12667</v>
      </c>
      <c r="U3054" s="18" t="s">
        <v>12668</v>
      </c>
      <c r="V3054" s="19" t="s">
        <v>29</v>
      </c>
      <c r="W3054" s="19"/>
      <c r="X3054" s="19"/>
      <c r="Y3054" s="20"/>
      <c r="Z3054" s="19"/>
      <c r="AA3054" s="18" t="str">
        <f aca="false">IF(OR(V3054="Aprobada"),R3054,IF(AND(OR(V3054="Aprobada con ajuste",V3054="Rechazada"),W3054&lt;&gt;""),W3054,""))</f>
        <v/>
      </c>
    </row>
    <row r="3055" customFormat="false" ht="22.35" hidden="false" customHeight="false" outlineLevel="0" collapsed="false">
      <c r="A3055" s="18" t="s">
        <v>12669</v>
      </c>
      <c r="B3055" s="18" t="s">
        <v>80</v>
      </c>
      <c r="C3055" s="18" t="s">
        <v>81</v>
      </c>
      <c r="D3055" s="18" t="s">
        <v>12625</v>
      </c>
      <c r="E3055" s="18" t="n">
        <v>2</v>
      </c>
      <c r="F3055" s="18" t="s">
        <v>12670</v>
      </c>
      <c r="G3055" s="18" t="s">
        <v>128</v>
      </c>
      <c r="H3055" s="18" t="s">
        <v>162</v>
      </c>
      <c r="I3055" s="18"/>
      <c r="J3055" s="18"/>
      <c r="K3055" s="18"/>
      <c r="L3055" s="18" t="s">
        <v>129</v>
      </c>
      <c r="M3055" s="18" t="s">
        <v>129</v>
      </c>
      <c r="N3055" s="18"/>
      <c r="O3055" s="18"/>
      <c r="P3055" s="18" t="s">
        <v>12671</v>
      </c>
      <c r="Q3055" s="18" t="s">
        <v>149</v>
      </c>
      <c r="R3055" s="18" t="s">
        <v>12672</v>
      </c>
      <c r="S3055" s="18" t="s">
        <v>133</v>
      </c>
      <c r="T3055" s="18" t="s">
        <v>12673</v>
      </c>
      <c r="U3055" s="18"/>
      <c r="V3055" s="19" t="s">
        <v>29</v>
      </c>
      <c r="W3055" s="19"/>
      <c r="X3055" s="19"/>
      <c r="Y3055" s="20"/>
      <c r="Z3055" s="19"/>
      <c r="AA3055" s="18" t="str">
        <f aca="false">IF(OR(V3055="Aprobada"),R3055,IF(AND(OR(V3055="Aprobada con ajuste",V3055="Rechazada"),W3055&lt;&gt;""),W3055,""))</f>
        <v/>
      </c>
    </row>
    <row r="3056" customFormat="false" ht="22.35" hidden="false" customHeight="false" outlineLevel="0" collapsed="false">
      <c r="A3056" s="18" t="s">
        <v>12674</v>
      </c>
      <c r="B3056" s="18" t="s">
        <v>80</v>
      </c>
      <c r="C3056" s="18" t="s">
        <v>81</v>
      </c>
      <c r="D3056" s="18" t="s">
        <v>12625</v>
      </c>
      <c r="E3056" s="18" t="n">
        <v>2</v>
      </c>
      <c r="F3056" s="18" t="s">
        <v>12675</v>
      </c>
      <c r="G3056" s="18" t="s">
        <v>584</v>
      </c>
      <c r="H3056" s="18" t="s">
        <v>162</v>
      </c>
      <c r="I3056" s="18" t="s">
        <v>298</v>
      </c>
      <c r="J3056" s="18"/>
      <c r="K3056" s="18"/>
      <c r="L3056" s="18" t="s">
        <v>129</v>
      </c>
      <c r="M3056" s="18" t="s">
        <v>129</v>
      </c>
      <c r="N3056" s="18"/>
      <c r="O3056" s="18"/>
      <c r="P3056" s="18" t="s">
        <v>12676</v>
      </c>
      <c r="Q3056" s="18" t="s">
        <v>149</v>
      </c>
      <c r="R3056" s="18" t="s">
        <v>12677</v>
      </c>
      <c r="S3056" s="18" t="s">
        <v>133</v>
      </c>
      <c r="T3056" s="18" t="s">
        <v>12678</v>
      </c>
      <c r="U3056" s="18"/>
      <c r="V3056" s="19" t="s">
        <v>29</v>
      </c>
      <c r="W3056" s="19"/>
      <c r="X3056" s="19"/>
      <c r="Y3056" s="20"/>
      <c r="Z3056" s="19"/>
      <c r="AA3056" s="18" t="str">
        <f aca="false">IF(OR(V3056="Aprobada"),R3056,IF(AND(OR(V3056="Aprobada con ajuste",V3056="Rechazada"),W3056&lt;&gt;""),W3056,""))</f>
        <v/>
      </c>
    </row>
    <row r="3057" customFormat="false" ht="22.35" hidden="false" customHeight="false" outlineLevel="0" collapsed="false">
      <c r="A3057" s="18" t="s">
        <v>12679</v>
      </c>
      <c r="B3057" s="18" t="s">
        <v>80</v>
      </c>
      <c r="C3057" s="18" t="s">
        <v>81</v>
      </c>
      <c r="D3057" s="18" t="s">
        <v>12625</v>
      </c>
      <c r="E3057" s="18" t="n">
        <v>2</v>
      </c>
      <c r="F3057" s="18" t="s">
        <v>12680</v>
      </c>
      <c r="G3057" s="18" t="s">
        <v>454</v>
      </c>
      <c r="H3057" s="18" t="s">
        <v>162</v>
      </c>
      <c r="I3057" s="18"/>
      <c r="J3057" s="18"/>
      <c r="K3057" s="18"/>
      <c r="L3057" s="18" t="s">
        <v>129</v>
      </c>
      <c r="M3057" s="18" t="s">
        <v>129</v>
      </c>
      <c r="N3057" s="18"/>
      <c r="O3057" s="18"/>
      <c r="P3057" s="18" t="s">
        <v>12681</v>
      </c>
      <c r="Q3057" s="18" t="s">
        <v>149</v>
      </c>
      <c r="R3057" s="18" t="s">
        <v>12682</v>
      </c>
      <c r="S3057" s="18" t="s">
        <v>140</v>
      </c>
      <c r="T3057" s="18" t="s">
        <v>12683</v>
      </c>
      <c r="U3057" s="18" t="s">
        <v>9527</v>
      </c>
      <c r="V3057" s="19" t="s">
        <v>29</v>
      </c>
      <c r="W3057" s="19"/>
      <c r="X3057" s="19"/>
      <c r="Y3057" s="20"/>
      <c r="Z3057" s="19"/>
      <c r="AA3057" s="18" t="str">
        <f aca="false">IF(OR(V3057="Aprobada"),R3057,IF(AND(OR(V3057="Aprobada con ajuste",V3057="Rechazada"),W3057&lt;&gt;""),W3057,""))</f>
        <v/>
      </c>
    </row>
    <row r="3058" customFormat="false" ht="22.35" hidden="false" customHeight="false" outlineLevel="0" collapsed="false">
      <c r="A3058" s="18" t="s">
        <v>12684</v>
      </c>
      <c r="B3058" s="18" t="s">
        <v>80</v>
      </c>
      <c r="C3058" s="18" t="s">
        <v>81</v>
      </c>
      <c r="D3058" s="18" t="s">
        <v>12625</v>
      </c>
      <c r="E3058" s="18" t="n">
        <v>2</v>
      </c>
      <c r="F3058" s="18" t="s">
        <v>12685</v>
      </c>
      <c r="G3058" s="18" t="s">
        <v>128</v>
      </c>
      <c r="H3058" s="18" t="s">
        <v>162</v>
      </c>
      <c r="I3058" s="18" t="s">
        <v>298</v>
      </c>
      <c r="J3058" s="18"/>
      <c r="K3058" s="18"/>
      <c r="L3058" s="18" t="s">
        <v>129</v>
      </c>
      <c r="M3058" s="18" t="s">
        <v>129</v>
      </c>
      <c r="N3058" s="18"/>
      <c r="O3058" s="18"/>
      <c r="P3058" s="18" t="s">
        <v>12686</v>
      </c>
      <c r="Q3058" s="18" t="s">
        <v>138</v>
      </c>
      <c r="R3058" s="18" t="s">
        <v>12687</v>
      </c>
      <c r="S3058" s="18" t="s">
        <v>140</v>
      </c>
      <c r="T3058" s="18" t="s">
        <v>141</v>
      </c>
      <c r="U3058" s="18"/>
      <c r="V3058" s="19" t="s">
        <v>29</v>
      </c>
      <c r="W3058" s="19"/>
      <c r="X3058" s="19"/>
      <c r="Y3058" s="20"/>
      <c r="Z3058" s="19"/>
      <c r="AA3058" s="18" t="str">
        <f aca="false">IF(OR(V3058="Aprobada"),R3058,IF(AND(OR(V3058="Aprobada con ajuste",V3058="Rechazada"),W3058&lt;&gt;""),W3058,""))</f>
        <v/>
      </c>
    </row>
    <row r="3059" customFormat="false" ht="43.25" hidden="false" customHeight="false" outlineLevel="0" collapsed="false">
      <c r="A3059" s="18" t="s">
        <v>12688</v>
      </c>
      <c r="B3059" s="18" t="s">
        <v>80</v>
      </c>
      <c r="C3059" s="18" t="s">
        <v>81</v>
      </c>
      <c r="D3059" s="18" t="s">
        <v>12625</v>
      </c>
      <c r="E3059" s="18" t="n">
        <v>2</v>
      </c>
      <c r="F3059" s="18" t="s">
        <v>12689</v>
      </c>
      <c r="G3059" s="18" t="s">
        <v>584</v>
      </c>
      <c r="H3059" s="18" t="s">
        <v>162</v>
      </c>
      <c r="I3059" s="18" t="s">
        <v>298</v>
      </c>
      <c r="J3059" s="18"/>
      <c r="K3059" s="18"/>
      <c r="L3059" s="18" t="s">
        <v>129</v>
      </c>
      <c r="M3059" s="18" t="s">
        <v>129</v>
      </c>
      <c r="N3059" s="18"/>
      <c r="O3059" s="18"/>
      <c r="P3059" s="18" t="s">
        <v>12690</v>
      </c>
      <c r="Q3059" s="18" t="s">
        <v>131</v>
      </c>
      <c r="R3059" s="18" t="s">
        <v>12691</v>
      </c>
      <c r="S3059" s="18" t="s">
        <v>140</v>
      </c>
      <c r="T3059" s="18" t="s">
        <v>12692</v>
      </c>
      <c r="U3059" s="18" t="s">
        <v>12662</v>
      </c>
      <c r="V3059" s="19" t="s">
        <v>29</v>
      </c>
      <c r="W3059" s="19"/>
      <c r="X3059" s="19"/>
      <c r="Y3059" s="20"/>
      <c r="Z3059" s="19"/>
      <c r="AA3059" s="18" t="str">
        <f aca="false">IF(OR(V3059="Aprobada"),R3059,IF(AND(OR(V3059="Aprobada con ajuste",V3059="Rechazada"),W3059&lt;&gt;""),W3059,""))</f>
        <v/>
      </c>
    </row>
    <row r="3060" customFormat="false" ht="22.35" hidden="false" customHeight="false" outlineLevel="0" collapsed="false">
      <c r="A3060" s="18" t="s">
        <v>12693</v>
      </c>
      <c r="B3060" s="18" t="s">
        <v>80</v>
      </c>
      <c r="C3060" s="18" t="s">
        <v>81</v>
      </c>
      <c r="D3060" s="18" t="s">
        <v>12625</v>
      </c>
      <c r="E3060" s="18" t="n">
        <v>2</v>
      </c>
      <c r="F3060" s="18" t="s">
        <v>12694</v>
      </c>
      <c r="G3060" s="18" t="s">
        <v>454</v>
      </c>
      <c r="H3060" s="18" t="s">
        <v>162</v>
      </c>
      <c r="I3060" s="18"/>
      <c r="J3060" s="18"/>
      <c r="K3060" s="18"/>
      <c r="L3060" s="18" t="s">
        <v>129</v>
      </c>
      <c r="M3060" s="18" t="s">
        <v>129</v>
      </c>
      <c r="N3060" s="18"/>
      <c r="O3060" s="18"/>
      <c r="P3060" s="18" t="s">
        <v>12695</v>
      </c>
      <c r="Q3060" s="18" t="s">
        <v>149</v>
      </c>
      <c r="R3060" s="18" t="s">
        <v>12696</v>
      </c>
      <c r="S3060" s="18" t="s">
        <v>140</v>
      </c>
      <c r="T3060" s="18" t="s">
        <v>12697</v>
      </c>
      <c r="U3060" s="18" t="s">
        <v>9527</v>
      </c>
      <c r="V3060" s="19" t="s">
        <v>29</v>
      </c>
      <c r="W3060" s="19"/>
      <c r="X3060" s="19"/>
      <c r="Y3060" s="20"/>
      <c r="Z3060" s="19"/>
      <c r="AA3060" s="18" t="str">
        <f aca="false">IF(OR(V3060="Aprobada"),R3060,IF(AND(OR(V3060="Aprobada con ajuste",V3060="Rechazada"),W3060&lt;&gt;""),W3060,""))</f>
        <v/>
      </c>
    </row>
    <row r="3061" customFormat="false" ht="43.25" hidden="false" customHeight="false" outlineLevel="0" collapsed="false">
      <c r="A3061" s="18" t="s">
        <v>12698</v>
      </c>
      <c r="B3061" s="18" t="s">
        <v>80</v>
      </c>
      <c r="C3061" s="18" t="s">
        <v>81</v>
      </c>
      <c r="D3061" s="18" t="s">
        <v>12625</v>
      </c>
      <c r="E3061" s="18" t="n">
        <v>2</v>
      </c>
      <c r="F3061" s="18" t="s">
        <v>12699</v>
      </c>
      <c r="G3061" s="18" t="s">
        <v>931</v>
      </c>
      <c r="H3061" s="18" t="s">
        <v>162</v>
      </c>
      <c r="I3061" s="18"/>
      <c r="J3061" s="18"/>
      <c r="K3061" s="18"/>
      <c r="L3061" s="18" t="s">
        <v>129</v>
      </c>
      <c r="M3061" s="18" t="s">
        <v>129</v>
      </c>
      <c r="N3061" s="18"/>
      <c r="O3061" s="18"/>
      <c r="P3061" s="18" t="s">
        <v>12700</v>
      </c>
      <c r="Q3061" s="18" t="s">
        <v>131</v>
      </c>
      <c r="R3061" s="18" t="s">
        <v>12701</v>
      </c>
      <c r="S3061" s="18" t="s">
        <v>133</v>
      </c>
      <c r="T3061" s="18" t="s">
        <v>12702</v>
      </c>
      <c r="U3061" s="18"/>
      <c r="V3061" s="19" t="s">
        <v>29</v>
      </c>
      <c r="W3061" s="19"/>
      <c r="X3061" s="19"/>
      <c r="Y3061" s="20"/>
      <c r="Z3061" s="19"/>
      <c r="AA3061" s="18" t="str">
        <f aca="false">IF(OR(V3061="Aprobada"),R3061,IF(AND(OR(V3061="Aprobada con ajuste",V3061="Rechazada"),W3061&lt;&gt;""),W3061,""))</f>
        <v/>
      </c>
    </row>
    <row r="3062" customFormat="false" ht="22.35" hidden="false" customHeight="false" outlineLevel="0" collapsed="false">
      <c r="A3062" s="18" t="s">
        <v>12703</v>
      </c>
      <c r="B3062" s="18" t="s">
        <v>80</v>
      </c>
      <c r="C3062" s="18" t="s">
        <v>81</v>
      </c>
      <c r="D3062" s="18" t="s">
        <v>12625</v>
      </c>
      <c r="E3062" s="18" t="n">
        <v>2</v>
      </c>
      <c r="F3062" s="18" t="s">
        <v>11311</v>
      </c>
      <c r="G3062" s="18" t="s">
        <v>584</v>
      </c>
      <c r="H3062" s="18" t="s">
        <v>162</v>
      </c>
      <c r="I3062" s="18" t="s">
        <v>298</v>
      </c>
      <c r="J3062" s="18"/>
      <c r="K3062" s="18"/>
      <c r="L3062" s="18" t="s">
        <v>129</v>
      </c>
      <c r="M3062" s="18" t="s">
        <v>129</v>
      </c>
      <c r="N3062" s="18"/>
      <c r="O3062" s="18"/>
      <c r="P3062" s="18" t="s">
        <v>12704</v>
      </c>
      <c r="Q3062" s="18" t="s">
        <v>138</v>
      </c>
      <c r="R3062" s="18" t="s">
        <v>11313</v>
      </c>
      <c r="S3062" s="18" t="s">
        <v>140</v>
      </c>
      <c r="T3062" s="18" t="s">
        <v>141</v>
      </c>
      <c r="U3062" s="18"/>
      <c r="V3062" s="19" t="s">
        <v>29</v>
      </c>
      <c r="W3062" s="19"/>
      <c r="X3062" s="19"/>
      <c r="Y3062" s="20"/>
      <c r="Z3062" s="19"/>
      <c r="AA3062" s="18" t="str">
        <f aca="false">IF(OR(V3062="Aprobada"),R3062,IF(AND(OR(V3062="Aprobada con ajuste",V3062="Rechazada"),W3062&lt;&gt;""),W3062,""))</f>
        <v/>
      </c>
    </row>
    <row r="3063" customFormat="false" ht="22.35" hidden="false" customHeight="false" outlineLevel="0" collapsed="false">
      <c r="A3063" s="18" t="s">
        <v>12705</v>
      </c>
      <c r="B3063" s="18" t="s">
        <v>80</v>
      </c>
      <c r="C3063" s="18" t="s">
        <v>81</v>
      </c>
      <c r="D3063" s="18" t="s">
        <v>12625</v>
      </c>
      <c r="E3063" s="18" t="n">
        <v>2</v>
      </c>
      <c r="F3063" s="18" t="s">
        <v>11315</v>
      </c>
      <c r="G3063" s="18" t="s">
        <v>454</v>
      </c>
      <c r="H3063" s="18" t="s">
        <v>162</v>
      </c>
      <c r="I3063" s="18"/>
      <c r="J3063" s="18"/>
      <c r="K3063" s="18"/>
      <c r="L3063" s="18" t="s">
        <v>129</v>
      </c>
      <c r="M3063" s="18" t="s">
        <v>129</v>
      </c>
      <c r="N3063" s="18"/>
      <c r="O3063" s="18"/>
      <c r="P3063" s="18" t="s">
        <v>12706</v>
      </c>
      <c r="Q3063" s="18" t="s">
        <v>138</v>
      </c>
      <c r="R3063" s="18" t="s">
        <v>11317</v>
      </c>
      <c r="S3063" s="18" t="s">
        <v>140</v>
      </c>
      <c r="T3063" s="18" t="s">
        <v>141</v>
      </c>
      <c r="U3063" s="18"/>
      <c r="V3063" s="19" t="s">
        <v>29</v>
      </c>
      <c r="W3063" s="19"/>
      <c r="X3063" s="19"/>
      <c r="Y3063" s="20"/>
      <c r="Z3063" s="19"/>
      <c r="AA3063" s="18" t="str">
        <f aca="false">IF(OR(V3063="Aprobada"),R3063,IF(AND(OR(V3063="Aprobada con ajuste",V3063="Rechazada"),W3063&lt;&gt;""),W3063,""))</f>
        <v/>
      </c>
    </row>
    <row r="3064" customFormat="false" ht="22.35" hidden="false" customHeight="false" outlineLevel="0" collapsed="false">
      <c r="A3064" s="18" t="s">
        <v>12707</v>
      </c>
      <c r="B3064" s="18" t="s">
        <v>80</v>
      </c>
      <c r="C3064" s="18" t="s">
        <v>81</v>
      </c>
      <c r="D3064" s="18" t="s">
        <v>12625</v>
      </c>
      <c r="E3064" s="18" t="n">
        <v>2</v>
      </c>
      <c r="F3064" s="18" t="s">
        <v>11319</v>
      </c>
      <c r="G3064" s="18" t="s">
        <v>128</v>
      </c>
      <c r="H3064" s="18" t="s">
        <v>162</v>
      </c>
      <c r="I3064" s="18" t="s">
        <v>298</v>
      </c>
      <c r="J3064" s="18"/>
      <c r="K3064" s="18"/>
      <c r="L3064" s="18" t="s">
        <v>129</v>
      </c>
      <c r="M3064" s="18" t="s">
        <v>129</v>
      </c>
      <c r="N3064" s="18"/>
      <c r="O3064" s="18"/>
      <c r="P3064" s="18" t="s">
        <v>12708</v>
      </c>
      <c r="Q3064" s="18" t="s">
        <v>138</v>
      </c>
      <c r="R3064" s="18" t="s">
        <v>11321</v>
      </c>
      <c r="S3064" s="18" t="s">
        <v>140</v>
      </c>
      <c r="T3064" s="18" t="s">
        <v>141</v>
      </c>
      <c r="U3064" s="18"/>
      <c r="V3064" s="19" t="s">
        <v>29</v>
      </c>
      <c r="W3064" s="19"/>
      <c r="X3064" s="19"/>
      <c r="Y3064" s="20"/>
      <c r="Z3064" s="19"/>
      <c r="AA3064" s="18" t="str">
        <f aca="false">IF(OR(V3064="Aprobada"),R3064,IF(AND(OR(V3064="Aprobada con ajuste",V3064="Rechazada"),W3064&lt;&gt;""),W3064,""))</f>
        <v/>
      </c>
    </row>
    <row r="3065" customFormat="false" ht="22.35" hidden="false" customHeight="false" outlineLevel="0" collapsed="false">
      <c r="A3065" s="18" t="s">
        <v>12709</v>
      </c>
      <c r="B3065" s="18" t="s">
        <v>80</v>
      </c>
      <c r="C3065" s="18" t="s">
        <v>81</v>
      </c>
      <c r="D3065" s="18" t="s">
        <v>12710</v>
      </c>
      <c r="E3065" s="18" t="n">
        <v>6</v>
      </c>
      <c r="F3065" s="18" t="s">
        <v>1922</v>
      </c>
      <c r="G3065" s="18" t="s">
        <v>503</v>
      </c>
      <c r="H3065" s="18" t="s">
        <v>129</v>
      </c>
      <c r="I3065" s="18" t="s">
        <v>298</v>
      </c>
      <c r="J3065" s="18"/>
      <c r="K3065" s="18"/>
      <c r="L3065" s="18" t="s">
        <v>162</v>
      </c>
      <c r="M3065" s="18" t="s">
        <v>129</v>
      </c>
      <c r="N3065" s="18"/>
      <c r="O3065" s="18"/>
      <c r="P3065" s="18"/>
      <c r="Q3065" s="18" t="s">
        <v>149</v>
      </c>
      <c r="R3065" s="18" t="s">
        <v>12711</v>
      </c>
      <c r="S3065" s="18" t="s">
        <v>140</v>
      </c>
      <c r="T3065" s="18" t="s">
        <v>12712</v>
      </c>
      <c r="U3065" s="18" t="s">
        <v>12713</v>
      </c>
      <c r="V3065" s="19" t="s">
        <v>29</v>
      </c>
      <c r="W3065" s="19"/>
      <c r="X3065" s="19"/>
      <c r="Y3065" s="20"/>
      <c r="Z3065" s="19"/>
      <c r="AA3065" s="18" t="str">
        <f aca="false">IF(OR(V3065="Aprobada"),R3065,IF(AND(OR(V3065="Aprobada con ajuste",V3065="Rechazada"),W3065&lt;&gt;""),W3065,""))</f>
        <v/>
      </c>
    </row>
    <row r="3066" customFormat="false" ht="32.8" hidden="false" customHeight="false" outlineLevel="0" collapsed="false">
      <c r="A3066" s="18" t="s">
        <v>12714</v>
      </c>
      <c r="B3066" s="18" t="s">
        <v>80</v>
      </c>
      <c r="C3066" s="18" t="s">
        <v>81</v>
      </c>
      <c r="D3066" s="18" t="s">
        <v>12710</v>
      </c>
      <c r="E3066" s="18" t="n">
        <v>6</v>
      </c>
      <c r="F3066" s="18" t="s">
        <v>12715</v>
      </c>
      <c r="G3066" s="18" t="s">
        <v>503</v>
      </c>
      <c r="H3066" s="18" t="s">
        <v>129</v>
      </c>
      <c r="I3066" s="18" t="s">
        <v>298</v>
      </c>
      <c r="J3066" s="18"/>
      <c r="K3066" s="18"/>
      <c r="L3066" s="18" t="s">
        <v>162</v>
      </c>
      <c r="M3066" s="18" t="s">
        <v>129</v>
      </c>
      <c r="N3066" s="18"/>
      <c r="O3066" s="18"/>
      <c r="P3066" s="18" t="s">
        <v>12716</v>
      </c>
      <c r="Q3066" s="18" t="s">
        <v>131</v>
      </c>
      <c r="R3066" s="18" t="s">
        <v>12717</v>
      </c>
      <c r="S3066" s="18" t="s">
        <v>133</v>
      </c>
      <c r="T3066" s="18" t="s">
        <v>12718</v>
      </c>
      <c r="U3066" s="18"/>
      <c r="V3066" s="19" t="s">
        <v>29</v>
      </c>
      <c r="W3066" s="19"/>
      <c r="X3066" s="19"/>
      <c r="Y3066" s="20"/>
      <c r="Z3066" s="19"/>
      <c r="AA3066" s="18" t="str">
        <f aca="false">IF(OR(V3066="Aprobada"),R3066,IF(AND(OR(V3066="Aprobada con ajuste",V3066="Rechazada"),W3066&lt;&gt;""),W3066,""))</f>
        <v/>
      </c>
    </row>
    <row r="3067" customFormat="false" ht="22.35" hidden="false" customHeight="false" outlineLevel="0" collapsed="false">
      <c r="A3067" s="18" t="s">
        <v>12719</v>
      </c>
      <c r="B3067" s="18" t="s">
        <v>80</v>
      </c>
      <c r="C3067" s="18" t="s">
        <v>81</v>
      </c>
      <c r="D3067" s="18" t="s">
        <v>12710</v>
      </c>
      <c r="E3067" s="18" t="n">
        <v>6</v>
      </c>
      <c r="F3067" s="18" t="s">
        <v>12720</v>
      </c>
      <c r="G3067" s="18" t="s">
        <v>503</v>
      </c>
      <c r="H3067" s="18" t="s">
        <v>129</v>
      </c>
      <c r="I3067" s="18" t="s">
        <v>298</v>
      </c>
      <c r="J3067" s="18"/>
      <c r="K3067" s="18"/>
      <c r="L3067" s="18" t="s">
        <v>162</v>
      </c>
      <c r="M3067" s="18" t="s">
        <v>129</v>
      </c>
      <c r="N3067" s="18"/>
      <c r="O3067" s="18"/>
      <c r="P3067" s="18"/>
      <c r="Q3067" s="18" t="s">
        <v>149</v>
      </c>
      <c r="R3067" s="18" t="s">
        <v>12721</v>
      </c>
      <c r="S3067" s="18" t="s">
        <v>133</v>
      </c>
      <c r="T3067" s="18" t="s">
        <v>12722</v>
      </c>
      <c r="U3067" s="18"/>
      <c r="V3067" s="19" t="s">
        <v>29</v>
      </c>
      <c r="W3067" s="19"/>
      <c r="X3067" s="19"/>
      <c r="Y3067" s="20"/>
      <c r="Z3067" s="19"/>
      <c r="AA3067" s="18" t="str">
        <f aca="false">IF(OR(V3067="Aprobada"),R3067,IF(AND(OR(V3067="Aprobada con ajuste",V3067="Rechazada"),W3067&lt;&gt;""),W3067,""))</f>
        <v/>
      </c>
    </row>
    <row r="3068" customFormat="false" ht="22.35" hidden="false" customHeight="false" outlineLevel="0" collapsed="false">
      <c r="A3068" s="18" t="s">
        <v>12723</v>
      </c>
      <c r="B3068" s="18" t="s">
        <v>80</v>
      </c>
      <c r="C3068" s="18" t="s">
        <v>81</v>
      </c>
      <c r="D3068" s="18" t="s">
        <v>12710</v>
      </c>
      <c r="E3068" s="18" t="n">
        <v>6</v>
      </c>
      <c r="F3068" s="18" t="s">
        <v>160</v>
      </c>
      <c r="G3068" s="18" t="s">
        <v>128</v>
      </c>
      <c r="H3068" s="18" t="s">
        <v>129</v>
      </c>
      <c r="I3068" s="18"/>
      <c r="J3068" s="18"/>
      <c r="K3068" s="18"/>
      <c r="L3068" s="18" t="s">
        <v>162</v>
      </c>
      <c r="M3068" s="18" t="s">
        <v>129</v>
      </c>
      <c r="N3068" s="18"/>
      <c r="O3068" s="18"/>
      <c r="P3068" s="18"/>
      <c r="Q3068" s="18" t="s">
        <v>138</v>
      </c>
      <c r="R3068" s="18" t="s">
        <v>12724</v>
      </c>
      <c r="S3068" s="18" t="s">
        <v>140</v>
      </c>
      <c r="T3068" s="18" t="s">
        <v>141</v>
      </c>
      <c r="U3068" s="18"/>
      <c r="V3068" s="19" t="s">
        <v>29</v>
      </c>
      <c r="W3068" s="19"/>
      <c r="X3068" s="19"/>
      <c r="Y3068" s="20"/>
      <c r="Z3068" s="19"/>
      <c r="AA3068" s="18" t="str">
        <f aca="false">IF(OR(V3068="Aprobada"),R3068,IF(AND(OR(V3068="Aprobada con ajuste",V3068="Rechazada"),W3068&lt;&gt;""),W3068,""))</f>
        <v/>
      </c>
    </row>
    <row r="3069" customFormat="false" ht="95.5" hidden="false" customHeight="false" outlineLevel="0" collapsed="false">
      <c r="A3069" s="18" t="s">
        <v>12725</v>
      </c>
      <c r="B3069" s="18" t="s">
        <v>80</v>
      </c>
      <c r="C3069" s="18" t="s">
        <v>81</v>
      </c>
      <c r="D3069" s="18" t="s">
        <v>12726</v>
      </c>
      <c r="E3069" s="18" t="n">
        <v>2</v>
      </c>
      <c r="F3069" s="18" t="s">
        <v>1922</v>
      </c>
      <c r="G3069" s="18" t="s">
        <v>11382</v>
      </c>
      <c r="H3069" s="18" t="s">
        <v>129</v>
      </c>
      <c r="I3069" s="18" t="s">
        <v>298</v>
      </c>
      <c r="J3069" s="18"/>
      <c r="K3069" s="18"/>
      <c r="L3069" s="18" t="s">
        <v>162</v>
      </c>
      <c r="M3069" s="18" t="s">
        <v>129</v>
      </c>
      <c r="N3069" s="18"/>
      <c r="O3069" s="18"/>
      <c r="P3069" s="18" t="s">
        <v>12727</v>
      </c>
      <c r="Q3069" s="18" t="s">
        <v>149</v>
      </c>
      <c r="R3069" s="18" t="s">
        <v>12728</v>
      </c>
      <c r="S3069" s="18" t="s">
        <v>133</v>
      </c>
      <c r="T3069" s="18" t="s">
        <v>12729</v>
      </c>
      <c r="U3069" s="18"/>
      <c r="V3069" s="19" t="s">
        <v>29</v>
      </c>
      <c r="W3069" s="19"/>
      <c r="X3069" s="19"/>
      <c r="Y3069" s="20"/>
      <c r="Z3069" s="19"/>
      <c r="AA3069" s="18" t="str">
        <f aca="false">IF(OR(V3069="Aprobada"),R3069,IF(AND(OR(V3069="Aprobada con ajuste",V3069="Rechazada"),W3069&lt;&gt;""),W3069,""))</f>
        <v/>
      </c>
    </row>
    <row r="3070" customFormat="false" ht="64.15" hidden="false" customHeight="false" outlineLevel="0" collapsed="false">
      <c r="A3070" s="18" t="s">
        <v>12730</v>
      </c>
      <c r="B3070" s="18" t="s">
        <v>80</v>
      </c>
      <c r="C3070" s="18" t="s">
        <v>81</v>
      </c>
      <c r="D3070" s="18" t="s">
        <v>12726</v>
      </c>
      <c r="E3070" s="18" t="n">
        <v>2</v>
      </c>
      <c r="F3070" s="18" t="s">
        <v>12731</v>
      </c>
      <c r="G3070" s="18" t="s">
        <v>828</v>
      </c>
      <c r="H3070" s="18" t="s">
        <v>162</v>
      </c>
      <c r="I3070" s="18" t="s">
        <v>298</v>
      </c>
      <c r="J3070" s="18" t="s">
        <v>12732</v>
      </c>
      <c r="K3070" s="18"/>
      <c r="L3070" s="18" t="s">
        <v>162</v>
      </c>
      <c r="M3070" s="18" t="s">
        <v>129</v>
      </c>
      <c r="N3070" s="18"/>
      <c r="O3070" s="18"/>
      <c r="P3070" s="18" t="s">
        <v>12733</v>
      </c>
      <c r="Q3070" s="18" t="s">
        <v>131</v>
      </c>
      <c r="R3070" s="18" t="s">
        <v>12734</v>
      </c>
      <c r="S3070" s="18" t="s">
        <v>133</v>
      </c>
      <c r="T3070" s="18" t="s">
        <v>12735</v>
      </c>
      <c r="U3070" s="18"/>
      <c r="V3070" s="19" t="s">
        <v>29</v>
      </c>
      <c r="W3070" s="19"/>
      <c r="X3070" s="19"/>
      <c r="Y3070" s="20"/>
      <c r="Z3070" s="19"/>
      <c r="AA3070" s="18" t="str">
        <f aca="false">IF(OR(V3070="Aprobada"),R3070,IF(AND(OR(V3070="Aprobada con ajuste",V3070="Rechazada"),W3070&lt;&gt;""),W3070,""))</f>
        <v/>
      </c>
    </row>
    <row r="3071" customFormat="false" ht="74.6" hidden="false" customHeight="false" outlineLevel="0" collapsed="false">
      <c r="A3071" s="18" t="s">
        <v>12736</v>
      </c>
      <c r="B3071" s="18" t="s">
        <v>80</v>
      </c>
      <c r="C3071" s="18" t="s">
        <v>81</v>
      </c>
      <c r="D3071" s="18" t="s">
        <v>12726</v>
      </c>
      <c r="E3071" s="18" t="n">
        <v>2</v>
      </c>
      <c r="F3071" s="18" t="s">
        <v>160</v>
      </c>
      <c r="G3071" s="18" t="s">
        <v>454</v>
      </c>
      <c r="H3071" s="18" t="s">
        <v>129</v>
      </c>
      <c r="I3071" s="18"/>
      <c r="J3071" s="18"/>
      <c r="K3071" s="18"/>
      <c r="L3071" s="18" t="s">
        <v>162</v>
      </c>
      <c r="M3071" s="18" t="s">
        <v>129</v>
      </c>
      <c r="N3071" s="18"/>
      <c r="O3071" s="18"/>
      <c r="P3071" s="18" t="s">
        <v>12737</v>
      </c>
      <c r="Q3071" s="18" t="s">
        <v>138</v>
      </c>
      <c r="R3071" s="18" t="s">
        <v>12738</v>
      </c>
      <c r="S3071" s="18" t="s">
        <v>140</v>
      </c>
      <c r="T3071" s="18" t="s">
        <v>141</v>
      </c>
      <c r="U3071" s="18"/>
      <c r="V3071" s="19" t="s">
        <v>29</v>
      </c>
      <c r="W3071" s="19"/>
      <c r="X3071" s="19"/>
      <c r="Y3071" s="20"/>
      <c r="Z3071" s="19"/>
      <c r="AA3071" s="18" t="str">
        <f aca="false">IF(OR(V3071="Aprobada"),R3071,IF(AND(OR(V3071="Aprobada con ajuste",V3071="Rechazada"),W3071&lt;&gt;""),W3071,""))</f>
        <v/>
      </c>
    </row>
    <row r="3072" customFormat="false" ht="43.25" hidden="false" customHeight="false" outlineLevel="0" collapsed="false">
      <c r="A3072" s="18" t="s">
        <v>12739</v>
      </c>
      <c r="B3072" s="18" t="s">
        <v>80</v>
      </c>
      <c r="C3072" s="18" t="s">
        <v>81</v>
      </c>
      <c r="D3072" s="18" t="s">
        <v>12726</v>
      </c>
      <c r="E3072" s="18" t="n">
        <v>2</v>
      </c>
      <c r="F3072" s="18" t="s">
        <v>5215</v>
      </c>
      <c r="G3072" s="18" t="s">
        <v>128</v>
      </c>
      <c r="H3072" s="18" t="s">
        <v>162</v>
      </c>
      <c r="I3072" s="18"/>
      <c r="J3072" s="18"/>
      <c r="K3072" s="18"/>
      <c r="L3072" s="18" t="s">
        <v>162</v>
      </c>
      <c r="M3072" s="18" t="s">
        <v>129</v>
      </c>
      <c r="N3072" s="18"/>
      <c r="O3072" s="18"/>
      <c r="P3072" s="18" t="s">
        <v>12740</v>
      </c>
      <c r="Q3072" s="18" t="s">
        <v>131</v>
      </c>
      <c r="R3072" s="18" t="s">
        <v>12741</v>
      </c>
      <c r="S3072" s="18" t="s">
        <v>133</v>
      </c>
      <c r="T3072" s="18" t="s">
        <v>12742</v>
      </c>
      <c r="U3072" s="18"/>
      <c r="V3072" s="19" t="s">
        <v>29</v>
      </c>
      <c r="W3072" s="19"/>
      <c r="X3072" s="19"/>
      <c r="Y3072" s="20"/>
      <c r="Z3072" s="19"/>
      <c r="AA3072" s="18" t="str">
        <f aca="false">IF(OR(V3072="Aprobada"),R3072,IF(AND(OR(V3072="Aprobada con ajuste",V3072="Rechazada"),W3072&lt;&gt;""),W3072,""))</f>
        <v/>
      </c>
    </row>
    <row r="3073" customFormat="false" ht="53.7" hidden="false" customHeight="false" outlineLevel="0" collapsed="false">
      <c r="A3073" s="18" t="s">
        <v>12743</v>
      </c>
      <c r="B3073" s="18" t="s">
        <v>80</v>
      </c>
      <c r="C3073" s="18" t="s">
        <v>81</v>
      </c>
      <c r="D3073" s="18" t="s">
        <v>12726</v>
      </c>
      <c r="E3073" s="18" t="n">
        <v>2</v>
      </c>
      <c r="F3073" s="18" t="s">
        <v>11507</v>
      </c>
      <c r="G3073" s="18" t="s">
        <v>173</v>
      </c>
      <c r="H3073" s="18" t="s">
        <v>129</v>
      </c>
      <c r="I3073" s="18"/>
      <c r="J3073" s="18"/>
      <c r="K3073" s="18"/>
      <c r="L3073" s="18" t="s">
        <v>162</v>
      </c>
      <c r="M3073" s="18" t="s">
        <v>129</v>
      </c>
      <c r="N3073" s="18"/>
      <c r="O3073" s="18"/>
      <c r="P3073" s="18" t="s">
        <v>12744</v>
      </c>
      <c r="Q3073" s="18" t="s">
        <v>131</v>
      </c>
      <c r="R3073" s="18" t="s">
        <v>12745</v>
      </c>
      <c r="S3073" s="18" t="s">
        <v>133</v>
      </c>
      <c r="T3073" s="18" t="s">
        <v>12746</v>
      </c>
      <c r="U3073" s="18"/>
      <c r="V3073" s="19" t="s">
        <v>29</v>
      </c>
      <c r="W3073" s="19"/>
      <c r="X3073" s="19"/>
      <c r="Y3073" s="20"/>
      <c r="Z3073" s="19"/>
      <c r="AA3073" s="18" t="str">
        <f aca="false">IF(OR(V3073="Aprobada"),R3073,IF(AND(OR(V3073="Aprobada con ajuste",V3073="Rechazada"),W3073&lt;&gt;""),W3073,""))</f>
        <v/>
      </c>
    </row>
    <row r="3074" customFormat="false" ht="43.25" hidden="false" customHeight="false" outlineLevel="0" collapsed="false">
      <c r="A3074" s="18" t="s">
        <v>12747</v>
      </c>
      <c r="B3074" s="18" t="s">
        <v>80</v>
      </c>
      <c r="C3074" s="18" t="s">
        <v>81</v>
      </c>
      <c r="D3074" s="18" t="s">
        <v>12748</v>
      </c>
      <c r="E3074" s="18" t="n">
        <v>17</v>
      </c>
      <c r="F3074" s="18" t="s">
        <v>12749</v>
      </c>
      <c r="G3074" s="18" t="s">
        <v>205</v>
      </c>
      <c r="H3074" s="18" t="s">
        <v>129</v>
      </c>
      <c r="I3074" s="18" t="s">
        <v>298</v>
      </c>
      <c r="J3074" s="18" t="s">
        <v>12750</v>
      </c>
      <c r="K3074" s="18"/>
      <c r="L3074" s="18" t="s">
        <v>162</v>
      </c>
      <c r="M3074" s="18" t="s">
        <v>129</v>
      </c>
      <c r="N3074" s="18"/>
      <c r="O3074" s="18" t="s">
        <v>12751</v>
      </c>
      <c r="P3074" s="18" t="s">
        <v>12752</v>
      </c>
      <c r="Q3074" s="18" t="s">
        <v>149</v>
      </c>
      <c r="R3074" s="18" t="s">
        <v>12753</v>
      </c>
      <c r="S3074" s="18" t="s">
        <v>133</v>
      </c>
      <c r="T3074" s="18" t="s">
        <v>12754</v>
      </c>
      <c r="U3074" s="18"/>
      <c r="V3074" s="19" t="s">
        <v>29</v>
      </c>
      <c r="W3074" s="19"/>
      <c r="X3074" s="19"/>
      <c r="Y3074" s="20"/>
      <c r="Z3074" s="19"/>
      <c r="AA3074" s="18" t="str">
        <f aca="false">IF(OR(V3074="Aprobada"),R3074,IF(AND(OR(V3074="Aprobada con ajuste",V3074="Rechazada"),W3074&lt;&gt;""),W3074,""))</f>
        <v/>
      </c>
    </row>
    <row r="3075" customFormat="false" ht="85.05" hidden="false" customHeight="false" outlineLevel="0" collapsed="false">
      <c r="A3075" s="18" t="s">
        <v>12755</v>
      </c>
      <c r="B3075" s="18" t="s">
        <v>80</v>
      </c>
      <c r="C3075" s="18" t="s">
        <v>81</v>
      </c>
      <c r="D3075" s="18" t="s">
        <v>12748</v>
      </c>
      <c r="E3075" s="18" t="n">
        <v>17</v>
      </c>
      <c r="F3075" s="18" t="s">
        <v>1734</v>
      </c>
      <c r="G3075" s="18" t="s">
        <v>312</v>
      </c>
      <c r="H3075" s="18" t="s">
        <v>162</v>
      </c>
      <c r="I3075" s="18"/>
      <c r="J3075" s="18"/>
      <c r="K3075" s="18"/>
      <c r="L3075" s="18" t="s">
        <v>129</v>
      </c>
      <c r="M3075" s="18" t="s">
        <v>129</v>
      </c>
      <c r="N3075" s="18"/>
      <c r="O3075" s="18"/>
      <c r="P3075" s="18" t="s">
        <v>12756</v>
      </c>
      <c r="Q3075" s="18" t="s">
        <v>131</v>
      </c>
      <c r="R3075" s="18" t="s">
        <v>12757</v>
      </c>
      <c r="S3075" s="18" t="s">
        <v>133</v>
      </c>
      <c r="T3075" s="18" t="s">
        <v>12758</v>
      </c>
      <c r="U3075" s="18"/>
      <c r="V3075" s="19" t="s">
        <v>29</v>
      </c>
      <c r="W3075" s="19"/>
      <c r="X3075" s="19"/>
      <c r="Y3075" s="20"/>
      <c r="Z3075" s="19"/>
      <c r="AA3075" s="18" t="str">
        <f aca="false">IF(OR(V3075="Aprobada"),R3075,IF(AND(OR(V3075="Aprobada con ajuste",V3075="Rechazada"),W3075&lt;&gt;""),W3075,""))</f>
        <v/>
      </c>
    </row>
    <row r="3076" customFormat="false" ht="116.4" hidden="false" customHeight="false" outlineLevel="0" collapsed="false">
      <c r="A3076" s="18" t="s">
        <v>12759</v>
      </c>
      <c r="B3076" s="18" t="s">
        <v>80</v>
      </c>
      <c r="C3076" s="18" t="s">
        <v>81</v>
      </c>
      <c r="D3076" s="18" t="s">
        <v>12748</v>
      </c>
      <c r="E3076" s="18" t="n">
        <v>17</v>
      </c>
      <c r="F3076" s="18" t="s">
        <v>1738</v>
      </c>
      <c r="G3076" s="18" t="s">
        <v>931</v>
      </c>
      <c r="H3076" s="18" t="s">
        <v>129</v>
      </c>
      <c r="I3076" s="18"/>
      <c r="J3076" s="18"/>
      <c r="K3076" s="18"/>
      <c r="L3076" s="18" t="s">
        <v>129</v>
      </c>
      <c r="M3076" s="18" t="s">
        <v>129</v>
      </c>
      <c r="N3076" s="18"/>
      <c r="O3076" s="18"/>
      <c r="P3076" s="18" t="s">
        <v>12760</v>
      </c>
      <c r="Q3076" s="18" t="s">
        <v>131</v>
      </c>
      <c r="R3076" s="18" t="s">
        <v>12761</v>
      </c>
      <c r="S3076" s="18" t="s">
        <v>133</v>
      </c>
      <c r="T3076" s="18" t="s">
        <v>12762</v>
      </c>
      <c r="U3076" s="18"/>
      <c r="V3076" s="19" t="s">
        <v>29</v>
      </c>
      <c r="W3076" s="19"/>
      <c r="X3076" s="19"/>
      <c r="Y3076" s="20"/>
      <c r="Z3076" s="19"/>
      <c r="AA3076" s="18" t="str">
        <f aca="false">IF(OR(V3076="Aprobada"),R3076,IF(AND(OR(V3076="Aprobada con ajuste",V3076="Rechazada"),W3076&lt;&gt;""),W3076,""))</f>
        <v/>
      </c>
    </row>
    <row r="3077" customFormat="false" ht="105.95" hidden="false" customHeight="false" outlineLevel="0" collapsed="false">
      <c r="A3077" s="18" t="s">
        <v>12763</v>
      </c>
      <c r="B3077" s="18" t="s">
        <v>80</v>
      </c>
      <c r="C3077" s="18" t="s">
        <v>81</v>
      </c>
      <c r="D3077" s="18" t="s">
        <v>12748</v>
      </c>
      <c r="E3077" s="18" t="n">
        <v>17</v>
      </c>
      <c r="F3077" s="18" t="s">
        <v>12402</v>
      </c>
      <c r="G3077" s="18" t="s">
        <v>312</v>
      </c>
      <c r="H3077" s="18" t="s">
        <v>162</v>
      </c>
      <c r="I3077" s="18"/>
      <c r="J3077" s="18"/>
      <c r="K3077" s="18"/>
      <c r="L3077" s="18" t="s">
        <v>129</v>
      </c>
      <c r="M3077" s="18" t="s">
        <v>129</v>
      </c>
      <c r="N3077" s="18"/>
      <c r="O3077" s="18"/>
      <c r="P3077" s="18" t="s">
        <v>12764</v>
      </c>
      <c r="Q3077" s="18" t="s">
        <v>131</v>
      </c>
      <c r="R3077" s="18" t="s">
        <v>12765</v>
      </c>
      <c r="S3077" s="18" t="s">
        <v>133</v>
      </c>
      <c r="T3077" s="18" t="s">
        <v>12766</v>
      </c>
      <c r="U3077" s="18"/>
      <c r="V3077" s="19" t="s">
        <v>29</v>
      </c>
      <c r="W3077" s="19"/>
      <c r="X3077" s="19"/>
      <c r="Y3077" s="20"/>
      <c r="Z3077" s="19"/>
      <c r="AA3077" s="18" t="str">
        <f aca="false">IF(OR(V3077="Aprobada"),R3077,IF(AND(OR(V3077="Aprobada con ajuste",V3077="Rechazada"),W3077&lt;&gt;""),W3077,""))</f>
        <v/>
      </c>
    </row>
    <row r="3078" customFormat="false" ht="116.4" hidden="false" customHeight="false" outlineLevel="0" collapsed="false">
      <c r="A3078" s="18" t="s">
        <v>12767</v>
      </c>
      <c r="B3078" s="18" t="s">
        <v>80</v>
      </c>
      <c r="C3078" s="18" t="s">
        <v>81</v>
      </c>
      <c r="D3078" s="18" t="s">
        <v>12748</v>
      </c>
      <c r="E3078" s="18" t="n">
        <v>17</v>
      </c>
      <c r="F3078" s="18" t="s">
        <v>275</v>
      </c>
      <c r="G3078" s="18" t="s">
        <v>454</v>
      </c>
      <c r="H3078" s="18" t="s">
        <v>129</v>
      </c>
      <c r="I3078" s="18"/>
      <c r="J3078" s="18"/>
      <c r="K3078" s="18"/>
      <c r="L3078" s="18" t="s">
        <v>129</v>
      </c>
      <c r="M3078" s="18" t="s">
        <v>129</v>
      </c>
      <c r="N3078" s="18"/>
      <c r="O3078" s="18"/>
      <c r="P3078" s="18" t="s">
        <v>12768</v>
      </c>
      <c r="Q3078" s="18" t="s">
        <v>131</v>
      </c>
      <c r="R3078" s="18" t="s">
        <v>12769</v>
      </c>
      <c r="S3078" s="18" t="s">
        <v>133</v>
      </c>
      <c r="T3078" s="18" t="s">
        <v>12770</v>
      </c>
      <c r="U3078" s="18"/>
      <c r="V3078" s="19" t="s">
        <v>29</v>
      </c>
      <c r="W3078" s="19"/>
      <c r="X3078" s="19"/>
      <c r="Y3078" s="20"/>
      <c r="Z3078" s="19"/>
      <c r="AA3078" s="18" t="str">
        <f aca="false">IF(OR(V3078="Aprobada"),R3078,IF(AND(OR(V3078="Aprobada con ajuste",V3078="Rechazada"),W3078&lt;&gt;""),W3078,""))</f>
        <v/>
      </c>
    </row>
    <row r="3079" customFormat="false" ht="32.8" hidden="false" customHeight="false" outlineLevel="0" collapsed="false">
      <c r="A3079" s="18" t="s">
        <v>12771</v>
      </c>
      <c r="B3079" s="18" t="s">
        <v>80</v>
      </c>
      <c r="C3079" s="18" t="s">
        <v>81</v>
      </c>
      <c r="D3079" s="18" t="s">
        <v>12748</v>
      </c>
      <c r="E3079" s="18" t="n">
        <v>17</v>
      </c>
      <c r="F3079" s="18" t="s">
        <v>4269</v>
      </c>
      <c r="G3079" s="18" t="s">
        <v>454</v>
      </c>
      <c r="H3079" s="18" t="s">
        <v>162</v>
      </c>
      <c r="I3079" s="18"/>
      <c r="J3079" s="18"/>
      <c r="K3079" s="18"/>
      <c r="L3079" s="18" t="s">
        <v>129</v>
      </c>
      <c r="M3079" s="18" t="s">
        <v>129</v>
      </c>
      <c r="N3079" s="18"/>
      <c r="O3079" s="18"/>
      <c r="P3079" s="18" t="s">
        <v>12772</v>
      </c>
      <c r="Q3079" s="18" t="s">
        <v>149</v>
      </c>
      <c r="R3079" s="18" t="s">
        <v>12773</v>
      </c>
      <c r="S3079" s="18" t="s">
        <v>133</v>
      </c>
      <c r="T3079" s="18" t="s">
        <v>11404</v>
      </c>
      <c r="U3079" s="18"/>
      <c r="V3079" s="19" t="s">
        <v>29</v>
      </c>
      <c r="W3079" s="19"/>
      <c r="X3079" s="19"/>
      <c r="Y3079" s="20"/>
      <c r="Z3079" s="19"/>
      <c r="AA3079" s="18" t="str">
        <f aca="false">IF(OR(V3079="Aprobada"),R3079,IF(AND(OR(V3079="Aprobada con ajuste",V3079="Rechazada"),W3079&lt;&gt;""),W3079,""))</f>
        <v/>
      </c>
    </row>
    <row r="3080" customFormat="false" ht="43.25" hidden="false" customHeight="false" outlineLevel="0" collapsed="false">
      <c r="A3080" s="18" t="s">
        <v>12774</v>
      </c>
      <c r="B3080" s="18" t="s">
        <v>80</v>
      </c>
      <c r="C3080" s="18" t="s">
        <v>81</v>
      </c>
      <c r="D3080" s="18" t="s">
        <v>12748</v>
      </c>
      <c r="E3080" s="18" t="n">
        <v>17</v>
      </c>
      <c r="F3080" s="18" t="s">
        <v>1127</v>
      </c>
      <c r="G3080" s="18" t="s">
        <v>454</v>
      </c>
      <c r="H3080" s="18" t="s">
        <v>162</v>
      </c>
      <c r="I3080" s="18"/>
      <c r="J3080" s="18"/>
      <c r="K3080" s="18"/>
      <c r="L3080" s="18" t="s">
        <v>129</v>
      </c>
      <c r="M3080" s="18" t="s">
        <v>129</v>
      </c>
      <c r="N3080" s="18"/>
      <c r="O3080" s="18"/>
      <c r="P3080" s="18" t="s">
        <v>12775</v>
      </c>
      <c r="Q3080" s="18" t="s">
        <v>138</v>
      </c>
      <c r="R3080" s="18" t="s">
        <v>1129</v>
      </c>
      <c r="S3080" s="18" t="s">
        <v>140</v>
      </c>
      <c r="T3080" s="18" t="s">
        <v>141</v>
      </c>
      <c r="U3080" s="18"/>
      <c r="V3080" s="19" t="s">
        <v>29</v>
      </c>
      <c r="W3080" s="19"/>
      <c r="X3080" s="19"/>
      <c r="Y3080" s="20"/>
      <c r="Z3080" s="19"/>
      <c r="AA3080" s="18" t="str">
        <f aca="false">IF(OR(V3080="Aprobada"),R3080,IF(AND(OR(V3080="Aprobada con ajuste",V3080="Rechazada"),W3080&lt;&gt;""),W3080,""))</f>
        <v/>
      </c>
    </row>
    <row r="3081" customFormat="false" ht="74.6" hidden="false" customHeight="false" outlineLevel="0" collapsed="false">
      <c r="A3081" s="18" t="s">
        <v>12776</v>
      </c>
      <c r="B3081" s="18" t="s">
        <v>80</v>
      </c>
      <c r="C3081" s="18" t="s">
        <v>81</v>
      </c>
      <c r="D3081" s="18" t="s">
        <v>12748</v>
      </c>
      <c r="E3081" s="18" t="n">
        <v>17</v>
      </c>
      <c r="F3081" s="18" t="s">
        <v>10886</v>
      </c>
      <c r="G3081" s="18" t="s">
        <v>454</v>
      </c>
      <c r="H3081" s="18" t="s">
        <v>162</v>
      </c>
      <c r="I3081" s="18"/>
      <c r="J3081" s="18"/>
      <c r="K3081" s="18"/>
      <c r="L3081" s="18" t="s">
        <v>129</v>
      </c>
      <c r="M3081" s="18" t="s">
        <v>129</v>
      </c>
      <c r="N3081" s="18"/>
      <c r="O3081" s="18"/>
      <c r="P3081" s="18" t="s">
        <v>12777</v>
      </c>
      <c r="Q3081" s="18" t="s">
        <v>131</v>
      </c>
      <c r="R3081" s="18" t="s">
        <v>12778</v>
      </c>
      <c r="S3081" s="18" t="s">
        <v>133</v>
      </c>
      <c r="T3081" s="18" t="s">
        <v>12779</v>
      </c>
      <c r="U3081" s="18"/>
      <c r="V3081" s="19" t="s">
        <v>29</v>
      </c>
      <c r="W3081" s="19"/>
      <c r="X3081" s="19"/>
      <c r="Y3081" s="20"/>
      <c r="Z3081" s="19"/>
      <c r="AA3081" s="18" t="str">
        <f aca="false">IF(OR(V3081="Aprobada"),R3081,IF(AND(OR(V3081="Aprobada con ajuste",V3081="Rechazada"),W3081&lt;&gt;""),W3081,""))</f>
        <v/>
      </c>
    </row>
    <row r="3082" customFormat="false" ht="22.35" hidden="false" customHeight="false" outlineLevel="0" collapsed="false">
      <c r="A3082" s="18" t="s">
        <v>12780</v>
      </c>
      <c r="B3082" s="18" t="s">
        <v>80</v>
      </c>
      <c r="C3082" s="18" t="s">
        <v>81</v>
      </c>
      <c r="D3082" s="18" t="s">
        <v>12748</v>
      </c>
      <c r="E3082" s="18" t="n">
        <v>17</v>
      </c>
      <c r="F3082" s="18" t="s">
        <v>12781</v>
      </c>
      <c r="G3082" s="18" t="s">
        <v>584</v>
      </c>
      <c r="H3082" s="18" t="s">
        <v>129</v>
      </c>
      <c r="I3082" s="18"/>
      <c r="J3082" s="18"/>
      <c r="K3082" s="18"/>
      <c r="L3082" s="18" t="s">
        <v>129</v>
      </c>
      <c r="M3082" s="18" t="s">
        <v>129</v>
      </c>
      <c r="N3082" s="18"/>
      <c r="O3082" s="18"/>
      <c r="P3082" s="18" t="s">
        <v>12782</v>
      </c>
      <c r="Q3082" s="18" t="s">
        <v>138</v>
      </c>
      <c r="R3082" s="18" t="s">
        <v>11123</v>
      </c>
      <c r="S3082" s="18" t="s">
        <v>140</v>
      </c>
      <c r="T3082" s="18" t="s">
        <v>141</v>
      </c>
      <c r="U3082" s="18"/>
      <c r="V3082" s="19" t="s">
        <v>29</v>
      </c>
      <c r="W3082" s="19"/>
      <c r="X3082" s="19"/>
      <c r="Y3082" s="20"/>
      <c r="Z3082" s="19"/>
      <c r="AA3082" s="18" t="str">
        <f aca="false">IF(OR(V3082="Aprobada"),R3082,IF(AND(OR(V3082="Aprobada con ajuste",V3082="Rechazada"),W3082&lt;&gt;""),W3082,""))</f>
        <v/>
      </c>
    </row>
    <row r="3083" customFormat="false" ht="22.35" hidden="false" customHeight="false" outlineLevel="0" collapsed="false">
      <c r="A3083" s="18" t="s">
        <v>12783</v>
      </c>
      <c r="B3083" s="18" t="s">
        <v>80</v>
      </c>
      <c r="C3083" s="18" t="s">
        <v>81</v>
      </c>
      <c r="D3083" s="18" t="s">
        <v>12748</v>
      </c>
      <c r="E3083" s="18" t="n">
        <v>17</v>
      </c>
      <c r="F3083" s="18" t="s">
        <v>185</v>
      </c>
      <c r="G3083" s="18" t="s">
        <v>205</v>
      </c>
      <c r="H3083" s="18" t="s">
        <v>129</v>
      </c>
      <c r="I3083" s="18" t="s">
        <v>298</v>
      </c>
      <c r="J3083" s="18" t="s">
        <v>12784</v>
      </c>
      <c r="K3083" s="18"/>
      <c r="L3083" s="18" t="s">
        <v>162</v>
      </c>
      <c r="M3083" s="18" t="s">
        <v>129</v>
      </c>
      <c r="N3083" s="18"/>
      <c r="O3083" s="18"/>
      <c r="P3083" s="18" t="s">
        <v>12785</v>
      </c>
      <c r="Q3083" s="18" t="s">
        <v>138</v>
      </c>
      <c r="R3083" s="18" t="s">
        <v>12786</v>
      </c>
      <c r="S3083" s="18" t="s">
        <v>140</v>
      </c>
      <c r="T3083" s="18" t="s">
        <v>141</v>
      </c>
      <c r="U3083" s="18"/>
      <c r="V3083" s="19" t="s">
        <v>29</v>
      </c>
      <c r="W3083" s="19"/>
      <c r="X3083" s="19"/>
      <c r="Y3083" s="20"/>
      <c r="Z3083" s="19"/>
      <c r="AA3083" s="18" t="str">
        <f aca="false">IF(OR(V3083="Aprobada"),R3083,IF(AND(OR(V3083="Aprobada con ajuste",V3083="Rechazada"),W3083&lt;&gt;""),W3083,""))</f>
        <v/>
      </c>
    </row>
    <row r="3084" customFormat="false" ht="22.35" hidden="false" customHeight="false" outlineLevel="0" collapsed="false">
      <c r="A3084" s="18" t="s">
        <v>12787</v>
      </c>
      <c r="B3084" s="18" t="s">
        <v>80</v>
      </c>
      <c r="C3084" s="18" t="s">
        <v>81</v>
      </c>
      <c r="D3084" s="18" t="s">
        <v>12748</v>
      </c>
      <c r="E3084" s="18" t="n">
        <v>17</v>
      </c>
      <c r="F3084" s="18" t="s">
        <v>12788</v>
      </c>
      <c r="G3084" s="18" t="s">
        <v>584</v>
      </c>
      <c r="H3084" s="18" t="s">
        <v>162</v>
      </c>
      <c r="I3084" s="18" t="s">
        <v>298</v>
      </c>
      <c r="J3084" s="18"/>
      <c r="K3084" s="18"/>
      <c r="L3084" s="18" t="s">
        <v>129</v>
      </c>
      <c r="M3084" s="18" t="s">
        <v>129</v>
      </c>
      <c r="N3084" s="18"/>
      <c r="O3084" s="18"/>
      <c r="P3084" s="18" t="s">
        <v>12789</v>
      </c>
      <c r="Q3084" s="18" t="s">
        <v>149</v>
      </c>
      <c r="R3084" s="18" t="s">
        <v>12790</v>
      </c>
      <c r="S3084" s="18" t="s">
        <v>133</v>
      </c>
      <c r="T3084" s="18" t="s">
        <v>12791</v>
      </c>
      <c r="U3084" s="18"/>
      <c r="V3084" s="19" t="s">
        <v>29</v>
      </c>
      <c r="W3084" s="19"/>
      <c r="X3084" s="19"/>
      <c r="Y3084" s="20"/>
      <c r="Z3084" s="19"/>
      <c r="AA3084" s="18" t="str">
        <f aca="false">IF(OR(V3084="Aprobada"),R3084,IF(AND(OR(V3084="Aprobada con ajuste",V3084="Rechazada"),W3084&lt;&gt;""),W3084,""))</f>
        <v/>
      </c>
    </row>
    <row r="3085" customFormat="false" ht="22.35" hidden="false" customHeight="false" outlineLevel="0" collapsed="false">
      <c r="A3085" s="18" t="s">
        <v>12792</v>
      </c>
      <c r="B3085" s="18" t="s">
        <v>80</v>
      </c>
      <c r="C3085" s="18" t="s">
        <v>81</v>
      </c>
      <c r="D3085" s="18" t="s">
        <v>12748</v>
      </c>
      <c r="E3085" s="18" t="n">
        <v>17</v>
      </c>
      <c r="F3085" s="18" t="s">
        <v>12793</v>
      </c>
      <c r="G3085" s="18" t="s">
        <v>454</v>
      </c>
      <c r="H3085" s="18" t="s">
        <v>162</v>
      </c>
      <c r="I3085" s="18"/>
      <c r="J3085" s="18"/>
      <c r="K3085" s="18"/>
      <c r="L3085" s="18" t="s">
        <v>129</v>
      </c>
      <c r="M3085" s="18" t="s">
        <v>129</v>
      </c>
      <c r="N3085" s="18"/>
      <c r="O3085" s="18"/>
      <c r="P3085" s="18" t="s">
        <v>12794</v>
      </c>
      <c r="Q3085" s="18" t="s">
        <v>149</v>
      </c>
      <c r="R3085" s="18" t="s">
        <v>12795</v>
      </c>
      <c r="S3085" s="18" t="s">
        <v>140</v>
      </c>
      <c r="T3085" s="18" t="s">
        <v>12796</v>
      </c>
      <c r="U3085" s="18" t="s">
        <v>9527</v>
      </c>
      <c r="V3085" s="19" t="s">
        <v>29</v>
      </c>
      <c r="W3085" s="19"/>
      <c r="X3085" s="19"/>
      <c r="Y3085" s="20"/>
      <c r="Z3085" s="19"/>
      <c r="AA3085" s="18" t="str">
        <f aca="false">IF(OR(V3085="Aprobada"),R3085,IF(AND(OR(V3085="Aprobada con ajuste",V3085="Rechazada"),W3085&lt;&gt;""),W3085,""))</f>
        <v/>
      </c>
    </row>
    <row r="3086" customFormat="false" ht="22.35" hidden="false" customHeight="false" outlineLevel="0" collapsed="false">
      <c r="A3086" s="18" t="s">
        <v>12797</v>
      </c>
      <c r="B3086" s="18" t="s">
        <v>80</v>
      </c>
      <c r="C3086" s="18" t="s">
        <v>81</v>
      </c>
      <c r="D3086" s="18" t="s">
        <v>12748</v>
      </c>
      <c r="E3086" s="18" t="n">
        <v>17</v>
      </c>
      <c r="F3086" s="18" t="s">
        <v>12798</v>
      </c>
      <c r="G3086" s="18" t="s">
        <v>128</v>
      </c>
      <c r="H3086" s="18" t="s">
        <v>162</v>
      </c>
      <c r="I3086" s="18" t="s">
        <v>298</v>
      </c>
      <c r="J3086" s="18"/>
      <c r="K3086" s="18"/>
      <c r="L3086" s="18" t="s">
        <v>129</v>
      </c>
      <c r="M3086" s="18" t="s">
        <v>129</v>
      </c>
      <c r="N3086" s="18"/>
      <c r="O3086" s="18"/>
      <c r="P3086" s="18" t="s">
        <v>12799</v>
      </c>
      <c r="Q3086" s="18" t="s">
        <v>138</v>
      </c>
      <c r="R3086" s="18" t="s">
        <v>12800</v>
      </c>
      <c r="S3086" s="18" t="s">
        <v>140</v>
      </c>
      <c r="T3086" s="18" t="s">
        <v>141</v>
      </c>
      <c r="U3086" s="18"/>
      <c r="V3086" s="19" t="s">
        <v>29</v>
      </c>
      <c r="W3086" s="19"/>
      <c r="X3086" s="19"/>
      <c r="Y3086" s="20"/>
      <c r="Z3086" s="19"/>
      <c r="AA3086" s="18" t="str">
        <f aca="false">IF(OR(V3086="Aprobada"),R3086,IF(AND(OR(V3086="Aprobada con ajuste",V3086="Rechazada"),W3086&lt;&gt;""),W3086,""))</f>
        <v/>
      </c>
    </row>
    <row r="3087" customFormat="false" ht="189.55" hidden="false" customHeight="false" outlineLevel="0" collapsed="false">
      <c r="A3087" s="18" t="s">
        <v>12801</v>
      </c>
      <c r="B3087" s="18" t="s">
        <v>80</v>
      </c>
      <c r="C3087" s="18" t="s">
        <v>81</v>
      </c>
      <c r="D3087" s="18" t="s">
        <v>12802</v>
      </c>
      <c r="E3087" s="18" t="n">
        <v>0</v>
      </c>
      <c r="F3087" s="18" t="s">
        <v>127</v>
      </c>
      <c r="G3087" s="18" t="s">
        <v>205</v>
      </c>
      <c r="H3087" s="18" t="s">
        <v>129</v>
      </c>
      <c r="I3087" s="18" t="s">
        <v>298</v>
      </c>
      <c r="J3087" s="18" t="s">
        <v>12803</v>
      </c>
      <c r="K3087" s="18"/>
      <c r="L3087" s="18" t="s">
        <v>162</v>
      </c>
      <c r="M3087" s="18" t="s">
        <v>129</v>
      </c>
      <c r="N3087" s="18"/>
      <c r="O3087" s="18"/>
      <c r="P3087" s="18" t="s">
        <v>12804</v>
      </c>
      <c r="Q3087" s="18" t="s">
        <v>131</v>
      </c>
      <c r="R3087" s="18" t="s">
        <v>12805</v>
      </c>
      <c r="S3087" s="18" t="s">
        <v>133</v>
      </c>
      <c r="T3087" s="18" t="s">
        <v>12806</v>
      </c>
      <c r="U3087" s="18"/>
      <c r="V3087" s="19" t="s">
        <v>29</v>
      </c>
      <c r="W3087" s="19"/>
      <c r="X3087" s="19"/>
      <c r="Y3087" s="20"/>
      <c r="Z3087" s="19"/>
      <c r="AA3087" s="18" t="str">
        <f aca="false">IF(OR(V3087="Aprobada"),R3087,IF(AND(OR(V3087="Aprobada con ajuste",V3087="Rechazada"),W3087&lt;&gt;""),W3087,""))</f>
        <v/>
      </c>
    </row>
    <row r="3088" customFormat="false" ht="74.6" hidden="false" customHeight="false" outlineLevel="0" collapsed="false">
      <c r="A3088" s="18" t="s">
        <v>12807</v>
      </c>
      <c r="B3088" s="18" t="s">
        <v>80</v>
      </c>
      <c r="C3088" s="18" t="s">
        <v>81</v>
      </c>
      <c r="D3088" s="18" t="s">
        <v>12802</v>
      </c>
      <c r="E3088" s="18" t="n">
        <v>0</v>
      </c>
      <c r="F3088" s="18" t="s">
        <v>160</v>
      </c>
      <c r="G3088" s="18" t="s">
        <v>4598</v>
      </c>
      <c r="H3088" s="18" t="s">
        <v>129</v>
      </c>
      <c r="I3088" s="18"/>
      <c r="J3088" s="18"/>
      <c r="K3088" s="18"/>
      <c r="L3088" s="18" t="s">
        <v>129</v>
      </c>
      <c r="M3088" s="18" t="s">
        <v>129</v>
      </c>
      <c r="N3088" s="18"/>
      <c r="O3088" s="18"/>
      <c r="P3088" s="18" t="s">
        <v>12808</v>
      </c>
      <c r="Q3088" s="18" t="s">
        <v>138</v>
      </c>
      <c r="R3088" s="18" t="s">
        <v>12809</v>
      </c>
      <c r="S3088" s="18" t="s">
        <v>140</v>
      </c>
      <c r="T3088" s="18" t="s">
        <v>141</v>
      </c>
      <c r="U3088" s="18"/>
      <c r="V3088" s="19" t="s">
        <v>29</v>
      </c>
      <c r="W3088" s="19"/>
      <c r="X3088" s="19"/>
      <c r="Y3088" s="20"/>
      <c r="Z3088" s="19"/>
      <c r="AA3088" s="18" t="str">
        <f aca="false">IF(OR(V3088="Aprobada"),R3088,IF(AND(OR(V3088="Aprobada con ajuste",V3088="Rechazada"),W3088&lt;&gt;""),W3088,""))</f>
        <v/>
      </c>
    </row>
    <row r="3089" customFormat="false" ht="22.35" hidden="false" customHeight="false" outlineLevel="0" collapsed="false">
      <c r="A3089" s="18" t="s">
        <v>12810</v>
      </c>
      <c r="B3089" s="18" t="s">
        <v>80</v>
      </c>
      <c r="C3089" s="18" t="s">
        <v>81</v>
      </c>
      <c r="D3089" s="18" t="s">
        <v>12802</v>
      </c>
      <c r="E3089" s="18" t="n">
        <v>0</v>
      </c>
      <c r="F3089" s="18" t="s">
        <v>12107</v>
      </c>
      <c r="G3089" s="18" t="s">
        <v>454</v>
      </c>
      <c r="H3089" s="18" t="s">
        <v>162</v>
      </c>
      <c r="I3089" s="18"/>
      <c r="J3089" s="18"/>
      <c r="K3089" s="18"/>
      <c r="L3089" s="18" t="s">
        <v>129</v>
      </c>
      <c r="M3089" s="18" t="s">
        <v>129</v>
      </c>
      <c r="N3089" s="18"/>
      <c r="O3089" s="18"/>
      <c r="P3089" s="18" t="s">
        <v>12811</v>
      </c>
      <c r="Q3089" s="18" t="s">
        <v>138</v>
      </c>
      <c r="R3089" s="18" t="s">
        <v>5152</v>
      </c>
      <c r="S3089" s="18" t="s">
        <v>140</v>
      </c>
      <c r="T3089" s="18" t="s">
        <v>141</v>
      </c>
      <c r="U3089" s="18"/>
      <c r="V3089" s="19" t="s">
        <v>29</v>
      </c>
      <c r="W3089" s="19"/>
      <c r="X3089" s="19"/>
      <c r="Y3089" s="20"/>
      <c r="Z3089" s="19"/>
      <c r="AA3089" s="18" t="str">
        <f aca="false">IF(OR(V3089="Aprobada"),R3089,IF(AND(OR(V3089="Aprobada con ajuste",V3089="Rechazada"),W3089&lt;&gt;""),W3089,""))</f>
        <v/>
      </c>
    </row>
    <row r="3090" customFormat="false" ht="64.15" hidden="false" customHeight="false" outlineLevel="0" collapsed="false">
      <c r="A3090" s="18" t="s">
        <v>12812</v>
      </c>
      <c r="B3090" s="18" t="s">
        <v>80</v>
      </c>
      <c r="C3090" s="18" t="s">
        <v>81</v>
      </c>
      <c r="D3090" s="18" t="s">
        <v>12813</v>
      </c>
      <c r="E3090" s="18" t="n">
        <v>10</v>
      </c>
      <c r="F3090" s="18" t="s">
        <v>611</v>
      </c>
      <c r="G3090" s="18" t="s">
        <v>288</v>
      </c>
      <c r="H3090" s="18" t="s">
        <v>129</v>
      </c>
      <c r="I3090" s="18"/>
      <c r="J3090" s="18"/>
      <c r="K3090" s="18"/>
      <c r="L3090" s="18" t="s">
        <v>129</v>
      </c>
      <c r="M3090" s="18" t="s">
        <v>129</v>
      </c>
      <c r="N3090" s="18"/>
      <c r="O3090" s="18" t="s">
        <v>12814</v>
      </c>
      <c r="P3090" s="18" t="s">
        <v>12815</v>
      </c>
      <c r="Q3090" s="18" t="s">
        <v>131</v>
      </c>
      <c r="R3090" s="18" t="s">
        <v>12816</v>
      </c>
      <c r="S3090" s="18" t="s">
        <v>133</v>
      </c>
      <c r="T3090" s="18" t="s">
        <v>12817</v>
      </c>
      <c r="U3090" s="18"/>
      <c r="V3090" s="19" t="s">
        <v>29</v>
      </c>
      <c r="W3090" s="19"/>
      <c r="X3090" s="19"/>
      <c r="Y3090" s="20"/>
      <c r="Z3090" s="19"/>
      <c r="AA3090" s="18" t="str">
        <f aca="false">IF(OR(V3090="Aprobada"),R3090,IF(AND(OR(V3090="Aprobada con ajuste",V3090="Rechazada"),W3090&lt;&gt;""),W3090,""))</f>
        <v/>
      </c>
    </row>
    <row r="3091" customFormat="false" ht="85.05" hidden="false" customHeight="false" outlineLevel="0" collapsed="false">
      <c r="A3091" s="18" t="s">
        <v>12818</v>
      </c>
      <c r="B3091" s="18" t="s">
        <v>80</v>
      </c>
      <c r="C3091" s="18" t="s">
        <v>81</v>
      </c>
      <c r="D3091" s="18" t="s">
        <v>12813</v>
      </c>
      <c r="E3091" s="18" t="n">
        <v>10</v>
      </c>
      <c r="F3091" s="18" t="s">
        <v>275</v>
      </c>
      <c r="G3091" s="18" t="s">
        <v>12819</v>
      </c>
      <c r="H3091" s="18" t="s">
        <v>129</v>
      </c>
      <c r="I3091" s="18"/>
      <c r="J3091" s="18"/>
      <c r="K3091" s="18"/>
      <c r="L3091" s="18" t="s">
        <v>129</v>
      </c>
      <c r="M3091" s="18" t="s">
        <v>129</v>
      </c>
      <c r="N3091" s="18"/>
      <c r="O3091" s="18"/>
      <c r="P3091" s="18" t="s">
        <v>12820</v>
      </c>
      <c r="Q3091" s="18" t="s">
        <v>138</v>
      </c>
      <c r="R3091" s="18" t="s">
        <v>12821</v>
      </c>
      <c r="S3091" s="18" t="s">
        <v>140</v>
      </c>
      <c r="T3091" s="18" t="s">
        <v>141</v>
      </c>
      <c r="U3091" s="18"/>
      <c r="V3091" s="19" t="s">
        <v>29</v>
      </c>
      <c r="W3091" s="19"/>
      <c r="X3091" s="19"/>
      <c r="Y3091" s="20"/>
      <c r="Z3091" s="19"/>
      <c r="AA3091" s="18" t="str">
        <f aca="false">IF(OR(V3091="Aprobada"),R3091,IF(AND(OR(V3091="Aprobada con ajuste",V3091="Rechazada"),W3091&lt;&gt;""),W3091,""))</f>
        <v/>
      </c>
    </row>
    <row r="3092" customFormat="false" ht="32.8" hidden="false" customHeight="false" outlineLevel="0" collapsed="false">
      <c r="A3092" s="18" t="s">
        <v>12822</v>
      </c>
      <c r="B3092" s="18" t="s">
        <v>80</v>
      </c>
      <c r="C3092" s="18" t="s">
        <v>81</v>
      </c>
      <c r="D3092" s="18" t="s">
        <v>12813</v>
      </c>
      <c r="E3092" s="18" t="n">
        <v>10</v>
      </c>
      <c r="F3092" s="18" t="s">
        <v>11660</v>
      </c>
      <c r="G3092" s="18" t="s">
        <v>205</v>
      </c>
      <c r="H3092" s="18" t="s">
        <v>129</v>
      </c>
      <c r="I3092" s="18"/>
      <c r="J3092" s="18"/>
      <c r="K3092" s="18"/>
      <c r="L3092" s="18" t="s">
        <v>129</v>
      </c>
      <c r="M3092" s="18" t="s">
        <v>129</v>
      </c>
      <c r="N3092" s="18"/>
      <c r="O3092" s="18" t="s">
        <v>12823</v>
      </c>
      <c r="P3092" s="18" t="s">
        <v>12824</v>
      </c>
      <c r="Q3092" s="18" t="s">
        <v>149</v>
      </c>
      <c r="R3092" s="18" t="s">
        <v>12825</v>
      </c>
      <c r="S3092" s="18" t="s">
        <v>140</v>
      </c>
      <c r="T3092" s="18" t="s">
        <v>12826</v>
      </c>
      <c r="U3092" s="18" t="s">
        <v>12827</v>
      </c>
      <c r="V3092" s="19" t="s">
        <v>29</v>
      </c>
      <c r="W3092" s="19"/>
      <c r="X3092" s="19"/>
      <c r="Y3092" s="20"/>
      <c r="Z3092" s="19"/>
      <c r="AA3092" s="18" t="str">
        <f aca="false">IF(OR(V3092="Aprobada"),R3092,IF(AND(OR(V3092="Aprobada con ajuste",V3092="Rechazada"),W3092&lt;&gt;""),W3092,""))</f>
        <v/>
      </c>
    </row>
    <row r="3093" customFormat="false" ht="22.35" hidden="false" customHeight="false" outlineLevel="0" collapsed="false">
      <c r="A3093" s="18" t="s">
        <v>12828</v>
      </c>
      <c r="B3093" s="18" t="s">
        <v>80</v>
      </c>
      <c r="C3093" s="18" t="s">
        <v>81</v>
      </c>
      <c r="D3093" s="18" t="s">
        <v>12813</v>
      </c>
      <c r="E3093" s="18" t="n">
        <v>10</v>
      </c>
      <c r="F3093" s="18" t="s">
        <v>1018</v>
      </c>
      <c r="G3093" s="18" t="s">
        <v>828</v>
      </c>
      <c r="H3093" s="18" t="s">
        <v>129</v>
      </c>
      <c r="I3093" s="18"/>
      <c r="J3093" s="18"/>
      <c r="K3093" s="18"/>
      <c r="L3093" s="18" t="s">
        <v>129</v>
      </c>
      <c r="M3093" s="18" t="s">
        <v>129</v>
      </c>
      <c r="N3093" s="18"/>
      <c r="O3093" s="18" t="s">
        <v>12814</v>
      </c>
      <c r="P3093" s="18" t="s">
        <v>12829</v>
      </c>
      <c r="Q3093" s="18" t="s">
        <v>138</v>
      </c>
      <c r="R3093" s="18" t="s">
        <v>2302</v>
      </c>
      <c r="S3093" s="18" t="s">
        <v>140</v>
      </c>
      <c r="T3093" s="18" t="s">
        <v>141</v>
      </c>
      <c r="U3093" s="18"/>
      <c r="V3093" s="19" t="s">
        <v>29</v>
      </c>
      <c r="W3093" s="19"/>
      <c r="X3093" s="19"/>
      <c r="Y3093" s="20"/>
      <c r="Z3093" s="19"/>
      <c r="AA3093" s="18" t="str">
        <f aca="false">IF(OR(V3093="Aprobada"),R3093,IF(AND(OR(V3093="Aprobada con ajuste",V3093="Rechazada"),W3093&lt;&gt;""),W3093,""))</f>
        <v/>
      </c>
    </row>
    <row r="3094" customFormat="false" ht="22.35" hidden="false" customHeight="false" outlineLevel="0" collapsed="false">
      <c r="A3094" s="18" t="s">
        <v>12830</v>
      </c>
      <c r="B3094" s="18" t="s">
        <v>80</v>
      </c>
      <c r="C3094" s="18" t="s">
        <v>81</v>
      </c>
      <c r="D3094" s="18" t="s">
        <v>12813</v>
      </c>
      <c r="E3094" s="18" t="n">
        <v>10</v>
      </c>
      <c r="F3094" s="18" t="s">
        <v>2681</v>
      </c>
      <c r="G3094" s="18" t="s">
        <v>137</v>
      </c>
      <c r="H3094" s="18" t="s">
        <v>162</v>
      </c>
      <c r="I3094" s="18"/>
      <c r="J3094" s="18"/>
      <c r="K3094" s="18"/>
      <c r="L3094" s="18" t="s">
        <v>129</v>
      </c>
      <c r="M3094" s="18" t="s">
        <v>129</v>
      </c>
      <c r="N3094" s="18"/>
      <c r="O3094" s="18"/>
      <c r="P3094" s="18" t="s">
        <v>12831</v>
      </c>
      <c r="Q3094" s="18" t="s">
        <v>138</v>
      </c>
      <c r="R3094" s="18" t="s">
        <v>2683</v>
      </c>
      <c r="S3094" s="18" t="s">
        <v>140</v>
      </c>
      <c r="T3094" s="18" t="s">
        <v>141</v>
      </c>
      <c r="U3094" s="18"/>
      <c r="V3094" s="19" t="s">
        <v>29</v>
      </c>
      <c r="W3094" s="19"/>
      <c r="X3094" s="19"/>
      <c r="Y3094" s="20"/>
      <c r="Z3094" s="19"/>
      <c r="AA3094" s="18" t="str">
        <f aca="false">IF(OR(V3094="Aprobada"),R3094,IF(AND(OR(V3094="Aprobada con ajuste",V3094="Rechazada"),W3094&lt;&gt;""),W3094,""))</f>
        <v/>
      </c>
    </row>
    <row r="3095" customFormat="false" ht="53.7" hidden="false" customHeight="false" outlineLevel="0" collapsed="false">
      <c r="A3095" s="18" t="s">
        <v>12832</v>
      </c>
      <c r="B3095" s="18" t="s">
        <v>80</v>
      </c>
      <c r="C3095" s="18" t="s">
        <v>81</v>
      </c>
      <c r="D3095" s="18" t="s">
        <v>12813</v>
      </c>
      <c r="E3095" s="18" t="n">
        <v>10</v>
      </c>
      <c r="F3095" s="18" t="s">
        <v>12081</v>
      </c>
      <c r="G3095" s="18" t="s">
        <v>192</v>
      </c>
      <c r="H3095" s="18" t="s">
        <v>129</v>
      </c>
      <c r="I3095" s="18"/>
      <c r="J3095" s="18"/>
      <c r="K3095" s="18"/>
      <c r="L3095" s="18" t="s">
        <v>129</v>
      </c>
      <c r="M3095" s="18" t="s">
        <v>129</v>
      </c>
      <c r="N3095" s="18"/>
      <c r="O3095" s="18"/>
      <c r="P3095" s="18" t="s">
        <v>12833</v>
      </c>
      <c r="Q3095" s="18" t="s">
        <v>131</v>
      </c>
      <c r="R3095" s="18" t="s">
        <v>12834</v>
      </c>
      <c r="S3095" s="18" t="s">
        <v>133</v>
      </c>
      <c r="T3095" s="18" t="s">
        <v>12835</v>
      </c>
      <c r="U3095" s="18"/>
      <c r="V3095" s="19" t="s">
        <v>29</v>
      </c>
      <c r="W3095" s="19"/>
      <c r="X3095" s="19"/>
      <c r="Y3095" s="20"/>
      <c r="Z3095" s="19"/>
      <c r="AA3095" s="18" t="str">
        <f aca="false">IF(OR(V3095="Aprobada"),R3095,IF(AND(OR(V3095="Aprobada con ajuste",V3095="Rechazada"),W3095&lt;&gt;""),W3095,""))</f>
        <v/>
      </c>
    </row>
    <row r="3096" customFormat="false" ht="22.35" hidden="false" customHeight="false" outlineLevel="0" collapsed="false">
      <c r="A3096" s="18" t="s">
        <v>12836</v>
      </c>
      <c r="B3096" s="18" t="s">
        <v>80</v>
      </c>
      <c r="C3096" s="18" t="s">
        <v>81</v>
      </c>
      <c r="D3096" s="18" t="s">
        <v>12813</v>
      </c>
      <c r="E3096" s="18" t="n">
        <v>10</v>
      </c>
      <c r="F3096" s="18" t="s">
        <v>4240</v>
      </c>
      <c r="G3096" s="18" t="s">
        <v>128</v>
      </c>
      <c r="H3096" s="18" t="s">
        <v>162</v>
      </c>
      <c r="I3096" s="18"/>
      <c r="J3096" s="18"/>
      <c r="K3096" s="18"/>
      <c r="L3096" s="18" t="s">
        <v>129</v>
      </c>
      <c r="M3096" s="18" t="s">
        <v>129</v>
      </c>
      <c r="N3096" s="18"/>
      <c r="O3096" s="18"/>
      <c r="P3096" s="18" t="s">
        <v>12837</v>
      </c>
      <c r="Q3096" s="18" t="s">
        <v>149</v>
      </c>
      <c r="R3096" s="18" t="s">
        <v>12838</v>
      </c>
      <c r="S3096" s="18" t="s">
        <v>133</v>
      </c>
      <c r="T3096" s="18" t="s">
        <v>2122</v>
      </c>
      <c r="U3096" s="18"/>
      <c r="V3096" s="19" t="s">
        <v>29</v>
      </c>
      <c r="W3096" s="19"/>
      <c r="X3096" s="19"/>
      <c r="Y3096" s="20"/>
      <c r="Z3096" s="19"/>
      <c r="AA3096" s="18" t="str">
        <f aca="false">IF(OR(V3096="Aprobada"),R3096,IF(AND(OR(V3096="Aprobada con ajuste",V3096="Rechazada"),W3096&lt;&gt;""),W3096,""))</f>
        <v/>
      </c>
    </row>
    <row r="3097" customFormat="false" ht="22.35" hidden="false" customHeight="false" outlineLevel="0" collapsed="false">
      <c r="A3097" s="18" t="s">
        <v>12839</v>
      </c>
      <c r="B3097" s="18" t="s">
        <v>80</v>
      </c>
      <c r="C3097" s="18" t="s">
        <v>81</v>
      </c>
      <c r="D3097" s="18" t="s">
        <v>12813</v>
      </c>
      <c r="E3097" s="18" t="n">
        <v>10</v>
      </c>
      <c r="F3097" s="18" t="s">
        <v>172</v>
      </c>
      <c r="G3097" s="18" t="s">
        <v>173</v>
      </c>
      <c r="H3097" s="18" t="s">
        <v>129</v>
      </c>
      <c r="I3097" s="18"/>
      <c r="J3097" s="18"/>
      <c r="K3097" s="18"/>
      <c r="L3097" s="18" t="s">
        <v>129</v>
      </c>
      <c r="M3097" s="18" t="s">
        <v>129</v>
      </c>
      <c r="N3097" s="18"/>
      <c r="O3097" s="18"/>
      <c r="P3097" s="18" t="s">
        <v>12840</v>
      </c>
      <c r="Q3097" s="18" t="s">
        <v>138</v>
      </c>
      <c r="R3097" s="18" t="s">
        <v>176</v>
      </c>
      <c r="S3097" s="18" t="s">
        <v>140</v>
      </c>
      <c r="T3097" s="18" t="s">
        <v>141</v>
      </c>
      <c r="U3097" s="18"/>
      <c r="V3097" s="19" t="s">
        <v>29</v>
      </c>
      <c r="W3097" s="19"/>
      <c r="X3097" s="19"/>
      <c r="Y3097" s="20"/>
      <c r="Z3097" s="19"/>
      <c r="AA3097" s="18" t="str">
        <f aca="false">IF(OR(V3097="Aprobada"),R3097,IF(AND(OR(V3097="Aprobada con ajuste",V3097="Rechazada"),W3097&lt;&gt;""),W3097,""))</f>
        <v/>
      </c>
    </row>
    <row r="3098" customFormat="false" ht="64.15" hidden="false" customHeight="false" outlineLevel="0" collapsed="false">
      <c r="A3098" s="18" t="s">
        <v>12841</v>
      </c>
      <c r="B3098" s="18" t="s">
        <v>80</v>
      </c>
      <c r="C3098" s="18" t="s">
        <v>81</v>
      </c>
      <c r="D3098" s="18" t="s">
        <v>12842</v>
      </c>
      <c r="E3098" s="18" t="n">
        <v>1</v>
      </c>
      <c r="F3098" s="18" t="s">
        <v>10477</v>
      </c>
      <c r="G3098" s="18" t="s">
        <v>503</v>
      </c>
      <c r="H3098" s="18" t="s">
        <v>129</v>
      </c>
      <c r="I3098" s="18" t="s">
        <v>298</v>
      </c>
      <c r="J3098" s="18"/>
      <c r="K3098" s="18"/>
      <c r="L3098" s="18" t="s">
        <v>162</v>
      </c>
      <c r="M3098" s="18" t="s">
        <v>129</v>
      </c>
      <c r="N3098" s="18"/>
      <c r="O3098" s="18"/>
      <c r="P3098" s="18" t="s">
        <v>12843</v>
      </c>
      <c r="Q3098" s="18" t="s">
        <v>138</v>
      </c>
      <c r="R3098" s="18" t="s">
        <v>12844</v>
      </c>
      <c r="S3098" s="18" t="s">
        <v>140</v>
      </c>
      <c r="T3098" s="18" t="s">
        <v>141</v>
      </c>
      <c r="U3098" s="18"/>
      <c r="V3098" s="19" t="s">
        <v>29</v>
      </c>
      <c r="W3098" s="19"/>
      <c r="X3098" s="19"/>
      <c r="Y3098" s="20"/>
      <c r="Z3098" s="19"/>
      <c r="AA3098" s="18" t="str">
        <f aca="false">IF(OR(V3098="Aprobada"),R3098,IF(AND(OR(V3098="Aprobada con ajuste",V3098="Rechazada"),W3098&lt;&gt;""),W3098,""))</f>
        <v/>
      </c>
    </row>
    <row r="3099" customFormat="false" ht="32.8" hidden="false" customHeight="false" outlineLevel="0" collapsed="false">
      <c r="A3099" s="18" t="s">
        <v>12845</v>
      </c>
      <c r="B3099" s="18" t="s">
        <v>80</v>
      </c>
      <c r="C3099" s="18" t="s">
        <v>81</v>
      </c>
      <c r="D3099" s="18" t="s">
        <v>12842</v>
      </c>
      <c r="E3099" s="18" t="n">
        <v>1</v>
      </c>
      <c r="F3099" s="18" t="s">
        <v>5215</v>
      </c>
      <c r="G3099" s="18" t="s">
        <v>128</v>
      </c>
      <c r="H3099" s="18" t="s">
        <v>162</v>
      </c>
      <c r="I3099" s="18"/>
      <c r="J3099" s="18"/>
      <c r="K3099" s="18"/>
      <c r="L3099" s="18" t="s">
        <v>162</v>
      </c>
      <c r="M3099" s="18" t="s">
        <v>129</v>
      </c>
      <c r="N3099" s="18"/>
      <c r="O3099" s="18"/>
      <c r="P3099" s="18" t="s">
        <v>12846</v>
      </c>
      <c r="Q3099" s="18" t="s">
        <v>131</v>
      </c>
      <c r="R3099" s="18" t="s">
        <v>12847</v>
      </c>
      <c r="S3099" s="18" t="s">
        <v>133</v>
      </c>
      <c r="T3099" s="18" t="s">
        <v>12848</v>
      </c>
      <c r="U3099" s="18"/>
      <c r="V3099" s="19" t="s">
        <v>29</v>
      </c>
      <c r="W3099" s="19"/>
      <c r="X3099" s="19"/>
      <c r="Y3099" s="20"/>
      <c r="Z3099" s="19"/>
      <c r="AA3099" s="18" t="str">
        <f aca="false">IF(OR(V3099="Aprobada"),R3099,IF(AND(OR(V3099="Aprobada con ajuste",V3099="Rechazada"),W3099&lt;&gt;""),W3099,""))</f>
        <v/>
      </c>
    </row>
    <row r="3100" customFormat="false" ht="32.8" hidden="false" customHeight="false" outlineLevel="0" collapsed="false">
      <c r="A3100" s="18" t="s">
        <v>12849</v>
      </c>
      <c r="B3100" s="18" t="s">
        <v>80</v>
      </c>
      <c r="C3100" s="18" t="s">
        <v>81</v>
      </c>
      <c r="D3100" s="18" t="s">
        <v>12842</v>
      </c>
      <c r="E3100" s="18" t="n">
        <v>1</v>
      </c>
      <c r="F3100" s="18" t="s">
        <v>11507</v>
      </c>
      <c r="G3100" s="18" t="s">
        <v>173</v>
      </c>
      <c r="H3100" s="18" t="s">
        <v>129</v>
      </c>
      <c r="I3100" s="18"/>
      <c r="J3100" s="18"/>
      <c r="K3100" s="18"/>
      <c r="L3100" s="18" t="s">
        <v>162</v>
      </c>
      <c r="M3100" s="18" t="s">
        <v>129</v>
      </c>
      <c r="N3100" s="18"/>
      <c r="O3100" s="18"/>
      <c r="P3100" s="18" t="s">
        <v>12850</v>
      </c>
      <c r="Q3100" s="18" t="s">
        <v>131</v>
      </c>
      <c r="R3100" s="18" t="s">
        <v>12851</v>
      </c>
      <c r="S3100" s="18" t="s">
        <v>133</v>
      </c>
      <c r="T3100" s="18" t="s">
        <v>12852</v>
      </c>
      <c r="U3100" s="18"/>
      <c r="V3100" s="19" t="s">
        <v>29</v>
      </c>
      <c r="W3100" s="19"/>
      <c r="X3100" s="19"/>
      <c r="Y3100" s="20"/>
      <c r="Z3100" s="19"/>
      <c r="AA3100" s="18" t="str">
        <f aca="false">IF(OR(V3100="Aprobada"),R3100,IF(AND(OR(V3100="Aprobada con ajuste",V3100="Rechazada"),W3100&lt;&gt;""),W3100,""))</f>
        <v/>
      </c>
    </row>
    <row r="3101" customFormat="false" ht="22.35" hidden="false" customHeight="false" outlineLevel="0" collapsed="false">
      <c r="A3101" s="18" t="s">
        <v>12853</v>
      </c>
      <c r="B3101" s="18" t="s">
        <v>80</v>
      </c>
      <c r="C3101" s="18" t="s">
        <v>81</v>
      </c>
      <c r="D3101" s="18" t="s">
        <v>12842</v>
      </c>
      <c r="E3101" s="18" t="n">
        <v>1</v>
      </c>
      <c r="F3101" s="18" t="s">
        <v>12854</v>
      </c>
      <c r="G3101" s="18" t="s">
        <v>584</v>
      </c>
      <c r="H3101" s="18" t="s">
        <v>129</v>
      </c>
      <c r="I3101" s="18"/>
      <c r="J3101" s="18"/>
      <c r="K3101" s="18"/>
      <c r="L3101" s="18" t="s">
        <v>162</v>
      </c>
      <c r="M3101" s="18" t="s">
        <v>129</v>
      </c>
      <c r="N3101" s="18"/>
      <c r="O3101" s="18"/>
      <c r="P3101" s="18" t="s">
        <v>12855</v>
      </c>
      <c r="Q3101" s="18" t="s">
        <v>138</v>
      </c>
      <c r="R3101" s="18" t="s">
        <v>2029</v>
      </c>
      <c r="S3101" s="18" t="s">
        <v>140</v>
      </c>
      <c r="T3101" s="18" t="s">
        <v>141</v>
      </c>
      <c r="U3101" s="18"/>
      <c r="V3101" s="19" t="s">
        <v>29</v>
      </c>
      <c r="W3101" s="19"/>
      <c r="X3101" s="19"/>
      <c r="Y3101" s="20"/>
      <c r="Z3101" s="19"/>
      <c r="AA3101" s="18" t="str">
        <f aca="false">IF(OR(V3101="Aprobada"),R3101,IF(AND(OR(V3101="Aprobada con ajuste",V3101="Rechazada"),W3101&lt;&gt;""),W3101,""))</f>
        <v/>
      </c>
    </row>
    <row r="3102" customFormat="false" ht="64.15" hidden="false" customHeight="false" outlineLevel="0" collapsed="false">
      <c r="A3102" s="18" t="s">
        <v>12856</v>
      </c>
      <c r="B3102" s="18" t="s">
        <v>80</v>
      </c>
      <c r="C3102" s="18" t="s">
        <v>81</v>
      </c>
      <c r="D3102" s="18" t="s">
        <v>12857</v>
      </c>
      <c r="E3102" s="18" t="n">
        <v>1</v>
      </c>
      <c r="F3102" s="18" t="s">
        <v>10477</v>
      </c>
      <c r="G3102" s="18" t="s">
        <v>503</v>
      </c>
      <c r="H3102" s="18" t="s">
        <v>129</v>
      </c>
      <c r="I3102" s="18" t="s">
        <v>298</v>
      </c>
      <c r="J3102" s="18"/>
      <c r="K3102" s="18"/>
      <c r="L3102" s="18" t="s">
        <v>162</v>
      </c>
      <c r="M3102" s="18" t="s">
        <v>129</v>
      </c>
      <c r="N3102" s="18"/>
      <c r="O3102" s="18"/>
      <c r="P3102" s="18" t="s">
        <v>12858</v>
      </c>
      <c r="Q3102" s="18" t="s">
        <v>138</v>
      </c>
      <c r="R3102" s="18" t="s">
        <v>12844</v>
      </c>
      <c r="S3102" s="18" t="s">
        <v>140</v>
      </c>
      <c r="T3102" s="18" t="s">
        <v>141</v>
      </c>
      <c r="U3102" s="18"/>
      <c r="V3102" s="19" t="s">
        <v>29</v>
      </c>
      <c r="W3102" s="19"/>
      <c r="X3102" s="19"/>
      <c r="Y3102" s="20"/>
      <c r="Z3102" s="19"/>
      <c r="AA3102" s="18" t="str">
        <f aca="false">IF(OR(V3102="Aprobada"),R3102,IF(AND(OR(V3102="Aprobada con ajuste",V3102="Rechazada"),W3102&lt;&gt;""),W3102,""))</f>
        <v/>
      </c>
    </row>
    <row r="3103" customFormat="false" ht="32.8" hidden="false" customHeight="false" outlineLevel="0" collapsed="false">
      <c r="A3103" s="18" t="s">
        <v>12859</v>
      </c>
      <c r="B3103" s="18" t="s">
        <v>80</v>
      </c>
      <c r="C3103" s="18" t="s">
        <v>81</v>
      </c>
      <c r="D3103" s="18" t="s">
        <v>12857</v>
      </c>
      <c r="E3103" s="18" t="n">
        <v>1</v>
      </c>
      <c r="F3103" s="18" t="s">
        <v>5215</v>
      </c>
      <c r="G3103" s="18" t="s">
        <v>128</v>
      </c>
      <c r="H3103" s="18" t="s">
        <v>162</v>
      </c>
      <c r="I3103" s="18"/>
      <c r="J3103" s="18"/>
      <c r="K3103" s="18"/>
      <c r="L3103" s="18" t="s">
        <v>162</v>
      </c>
      <c r="M3103" s="18" t="s">
        <v>129</v>
      </c>
      <c r="N3103" s="18"/>
      <c r="O3103" s="18"/>
      <c r="P3103" s="18" t="s">
        <v>12860</v>
      </c>
      <c r="Q3103" s="18" t="s">
        <v>131</v>
      </c>
      <c r="R3103" s="18" t="s">
        <v>12861</v>
      </c>
      <c r="S3103" s="18" t="s">
        <v>133</v>
      </c>
      <c r="T3103" s="18" t="s">
        <v>12862</v>
      </c>
      <c r="U3103" s="18"/>
      <c r="V3103" s="19" t="s">
        <v>29</v>
      </c>
      <c r="W3103" s="19"/>
      <c r="X3103" s="19"/>
      <c r="Y3103" s="20"/>
      <c r="Z3103" s="19"/>
      <c r="AA3103" s="18" t="str">
        <f aca="false">IF(OR(V3103="Aprobada"),R3103,IF(AND(OR(V3103="Aprobada con ajuste",V3103="Rechazada"),W3103&lt;&gt;""),W3103,""))</f>
        <v/>
      </c>
    </row>
    <row r="3104" customFormat="false" ht="64.15" hidden="false" customHeight="false" outlineLevel="0" collapsed="false">
      <c r="A3104" s="18" t="s">
        <v>12863</v>
      </c>
      <c r="B3104" s="18" t="s">
        <v>80</v>
      </c>
      <c r="C3104" s="18" t="s">
        <v>81</v>
      </c>
      <c r="D3104" s="18" t="s">
        <v>12857</v>
      </c>
      <c r="E3104" s="18" t="n">
        <v>1</v>
      </c>
      <c r="F3104" s="18" t="s">
        <v>11507</v>
      </c>
      <c r="G3104" s="18" t="s">
        <v>173</v>
      </c>
      <c r="H3104" s="18" t="s">
        <v>129</v>
      </c>
      <c r="I3104" s="18"/>
      <c r="J3104" s="18"/>
      <c r="K3104" s="18"/>
      <c r="L3104" s="18" t="s">
        <v>162</v>
      </c>
      <c r="M3104" s="18" t="s">
        <v>129</v>
      </c>
      <c r="N3104" s="18"/>
      <c r="O3104" s="18"/>
      <c r="P3104" s="18" t="s">
        <v>12864</v>
      </c>
      <c r="Q3104" s="18" t="s">
        <v>131</v>
      </c>
      <c r="R3104" s="18" t="s">
        <v>12865</v>
      </c>
      <c r="S3104" s="18" t="s">
        <v>133</v>
      </c>
      <c r="T3104" s="18" t="s">
        <v>12866</v>
      </c>
      <c r="U3104" s="18"/>
      <c r="V3104" s="19" t="s">
        <v>29</v>
      </c>
      <c r="W3104" s="19"/>
      <c r="X3104" s="19"/>
      <c r="Y3104" s="20"/>
      <c r="Z3104" s="19"/>
      <c r="AA3104" s="18" t="str">
        <f aca="false">IF(OR(V3104="Aprobada"),R3104,IF(AND(OR(V3104="Aprobada con ajuste",V3104="Rechazada"),W3104&lt;&gt;""),W3104,""))</f>
        <v/>
      </c>
    </row>
    <row r="3105" customFormat="false" ht="22.35" hidden="false" customHeight="false" outlineLevel="0" collapsed="false">
      <c r="A3105" s="18" t="s">
        <v>12867</v>
      </c>
      <c r="B3105" s="18" t="s">
        <v>80</v>
      </c>
      <c r="C3105" s="18" t="s">
        <v>81</v>
      </c>
      <c r="D3105" s="18" t="s">
        <v>12857</v>
      </c>
      <c r="E3105" s="18" t="n">
        <v>1</v>
      </c>
      <c r="F3105" s="18" t="s">
        <v>12854</v>
      </c>
      <c r="G3105" s="18" t="s">
        <v>584</v>
      </c>
      <c r="H3105" s="18" t="s">
        <v>129</v>
      </c>
      <c r="I3105" s="18"/>
      <c r="J3105" s="18"/>
      <c r="K3105" s="18"/>
      <c r="L3105" s="18" t="s">
        <v>162</v>
      </c>
      <c r="M3105" s="18" t="s">
        <v>129</v>
      </c>
      <c r="N3105" s="18"/>
      <c r="O3105" s="18"/>
      <c r="P3105" s="18" t="s">
        <v>12868</v>
      </c>
      <c r="Q3105" s="18" t="s">
        <v>138</v>
      </c>
      <c r="R3105" s="18" t="s">
        <v>2029</v>
      </c>
      <c r="S3105" s="18" t="s">
        <v>140</v>
      </c>
      <c r="T3105" s="18" t="s">
        <v>141</v>
      </c>
      <c r="U3105" s="18"/>
      <c r="V3105" s="19" t="s">
        <v>29</v>
      </c>
      <c r="W3105" s="19"/>
      <c r="X3105" s="19"/>
      <c r="Y3105" s="20"/>
      <c r="Z3105" s="19"/>
      <c r="AA3105" s="18" t="str">
        <f aca="false">IF(OR(V3105="Aprobada"),R3105,IF(AND(OR(V3105="Aprobada con ajuste",V3105="Rechazada"),W3105&lt;&gt;""),W3105,""))</f>
        <v/>
      </c>
    </row>
    <row r="3106" customFormat="false" ht="53.7" hidden="false" customHeight="false" outlineLevel="0" collapsed="false">
      <c r="A3106" s="18" t="s">
        <v>12869</v>
      </c>
      <c r="B3106" s="18" t="s">
        <v>80</v>
      </c>
      <c r="C3106" s="18" t="s">
        <v>81</v>
      </c>
      <c r="D3106" s="18" t="s">
        <v>12870</v>
      </c>
      <c r="E3106" s="18" t="n">
        <v>7</v>
      </c>
      <c r="F3106" s="18" t="s">
        <v>10477</v>
      </c>
      <c r="G3106" s="18" t="s">
        <v>503</v>
      </c>
      <c r="H3106" s="18" t="s">
        <v>129</v>
      </c>
      <c r="I3106" s="18" t="s">
        <v>298</v>
      </c>
      <c r="J3106" s="18"/>
      <c r="K3106" s="18"/>
      <c r="L3106" s="18" t="s">
        <v>129</v>
      </c>
      <c r="M3106" s="18" t="s">
        <v>129</v>
      </c>
      <c r="N3106" s="18"/>
      <c r="O3106" s="18"/>
      <c r="P3106" s="18" t="s">
        <v>12871</v>
      </c>
      <c r="Q3106" s="18" t="s">
        <v>138</v>
      </c>
      <c r="R3106" s="18" t="s">
        <v>12844</v>
      </c>
      <c r="S3106" s="18" t="s">
        <v>140</v>
      </c>
      <c r="T3106" s="18" t="s">
        <v>141</v>
      </c>
      <c r="U3106" s="18"/>
      <c r="V3106" s="19" t="s">
        <v>29</v>
      </c>
      <c r="W3106" s="19"/>
      <c r="X3106" s="19"/>
      <c r="Y3106" s="20"/>
      <c r="Z3106" s="19"/>
      <c r="AA3106" s="18" t="str">
        <f aca="false">IF(OR(V3106="Aprobada"),R3106,IF(AND(OR(V3106="Aprobada con ajuste",V3106="Rechazada"),W3106&lt;&gt;""),W3106,""))</f>
        <v/>
      </c>
    </row>
    <row r="3107" customFormat="false" ht="53.7" hidden="false" customHeight="false" outlineLevel="0" collapsed="false">
      <c r="A3107" s="18" t="s">
        <v>12872</v>
      </c>
      <c r="B3107" s="18" t="s">
        <v>80</v>
      </c>
      <c r="C3107" s="18" t="s">
        <v>81</v>
      </c>
      <c r="D3107" s="18" t="s">
        <v>12870</v>
      </c>
      <c r="E3107" s="18" t="n">
        <v>7</v>
      </c>
      <c r="F3107" s="18" t="s">
        <v>5215</v>
      </c>
      <c r="G3107" s="18" t="s">
        <v>128</v>
      </c>
      <c r="H3107" s="18" t="s">
        <v>162</v>
      </c>
      <c r="I3107" s="18"/>
      <c r="J3107" s="18"/>
      <c r="K3107" s="18"/>
      <c r="L3107" s="18" t="s">
        <v>129</v>
      </c>
      <c r="M3107" s="18" t="s">
        <v>129</v>
      </c>
      <c r="N3107" s="18"/>
      <c r="O3107" s="18"/>
      <c r="P3107" s="18" t="s">
        <v>12873</v>
      </c>
      <c r="Q3107" s="18" t="s">
        <v>131</v>
      </c>
      <c r="R3107" s="18" t="s">
        <v>12874</v>
      </c>
      <c r="S3107" s="18" t="s">
        <v>133</v>
      </c>
      <c r="T3107" s="18" t="s">
        <v>12875</v>
      </c>
      <c r="U3107" s="18"/>
      <c r="V3107" s="19" t="s">
        <v>29</v>
      </c>
      <c r="W3107" s="19"/>
      <c r="X3107" s="19"/>
      <c r="Y3107" s="20"/>
      <c r="Z3107" s="19"/>
      <c r="AA3107" s="18" t="str">
        <f aca="false">IF(OR(V3107="Aprobada"),R3107,IF(AND(OR(V3107="Aprobada con ajuste",V3107="Rechazada"),W3107&lt;&gt;""),W3107,""))</f>
        <v/>
      </c>
    </row>
    <row r="3108" customFormat="false" ht="74.6" hidden="false" customHeight="false" outlineLevel="0" collapsed="false">
      <c r="A3108" s="18" t="s">
        <v>12876</v>
      </c>
      <c r="B3108" s="18" t="s">
        <v>80</v>
      </c>
      <c r="C3108" s="18" t="s">
        <v>81</v>
      </c>
      <c r="D3108" s="18" t="s">
        <v>12870</v>
      </c>
      <c r="E3108" s="18" t="n">
        <v>7</v>
      </c>
      <c r="F3108" s="18" t="s">
        <v>11507</v>
      </c>
      <c r="G3108" s="18" t="s">
        <v>173</v>
      </c>
      <c r="H3108" s="18" t="s">
        <v>129</v>
      </c>
      <c r="I3108" s="18"/>
      <c r="J3108" s="18"/>
      <c r="K3108" s="18"/>
      <c r="L3108" s="18" t="s">
        <v>129</v>
      </c>
      <c r="M3108" s="18" t="s">
        <v>129</v>
      </c>
      <c r="N3108" s="18"/>
      <c r="O3108" s="18"/>
      <c r="P3108" s="18" t="s">
        <v>12877</v>
      </c>
      <c r="Q3108" s="18" t="s">
        <v>131</v>
      </c>
      <c r="R3108" s="18" t="s">
        <v>12878</v>
      </c>
      <c r="S3108" s="18" t="s">
        <v>133</v>
      </c>
      <c r="T3108" s="18" t="s">
        <v>12879</v>
      </c>
      <c r="U3108" s="18"/>
      <c r="V3108" s="19" t="s">
        <v>29</v>
      </c>
      <c r="W3108" s="19"/>
      <c r="X3108" s="19"/>
      <c r="Y3108" s="20"/>
      <c r="Z3108" s="19"/>
      <c r="AA3108" s="18" t="str">
        <f aca="false">IF(OR(V3108="Aprobada"),R3108,IF(AND(OR(V3108="Aprobada con ajuste",V3108="Rechazada"),W3108&lt;&gt;""),W3108,""))</f>
        <v/>
      </c>
    </row>
    <row r="3109" customFormat="false" ht="64.15" hidden="false" customHeight="false" outlineLevel="0" collapsed="false">
      <c r="A3109" s="18" t="s">
        <v>12880</v>
      </c>
      <c r="B3109" s="18" t="s">
        <v>80</v>
      </c>
      <c r="C3109" s="18" t="s">
        <v>81</v>
      </c>
      <c r="D3109" s="18" t="s">
        <v>12881</v>
      </c>
      <c r="E3109" s="18" t="n">
        <v>7</v>
      </c>
      <c r="F3109" s="18" t="s">
        <v>10477</v>
      </c>
      <c r="G3109" s="18" t="s">
        <v>503</v>
      </c>
      <c r="H3109" s="18" t="s">
        <v>129</v>
      </c>
      <c r="I3109" s="18" t="s">
        <v>298</v>
      </c>
      <c r="J3109" s="18"/>
      <c r="K3109" s="18"/>
      <c r="L3109" s="18" t="s">
        <v>129</v>
      </c>
      <c r="M3109" s="18" t="s">
        <v>129</v>
      </c>
      <c r="N3109" s="18"/>
      <c r="O3109" s="18"/>
      <c r="P3109" s="18" t="s">
        <v>12882</v>
      </c>
      <c r="Q3109" s="18" t="s">
        <v>138</v>
      </c>
      <c r="R3109" s="18" t="s">
        <v>12844</v>
      </c>
      <c r="S3109" s="18" t="s">
        <v>140</v>
      </c>
      <c r="T3109" s="18" t="s">
        <v>141</v>
      </c>
      <c r="U3109" s="18"/>
      <c r="V3109" s="19" t="s">
        <v>29</v>
      </c>
      <c r="W3109" s="19"/>
      <c r="X3109" s="19"/>
      <c r="Y3109" s="20"/>
      <c r="Z3109" s="19"/>
      <c r="AA3109" s="18" t="str">
        <f aca="false">IF(OR(V3109="Aprobada"),R3109,IF(AND(OR(V3109="Aprobada con ajuste",V3109="Rechazada"),W3109&lt;&gt;""),W3109,""))</f>
        <v/>
      </c>
    </row>
    <row r="3110" customFormat="false" ht="74.6" hidden="false" customHeight="false" outlineLevel="0" collapsed="false">
      <c r="A3110" s="18" t="s">
        <v>12883</v>
      </c>
      <c r="B3110" s="18" t="s">
        <v>80</v>
      </c>
      <c r="C3110" s="18" t="s">
        <v>81</v>
      </c>
      <c r="D3110" s="18" t="s">
        <v>12881</v>
      </c>
      <c r="E3110" s="18" t="n">
        <v>7</v>
      </c>
      <c r="F3110" s="18" t="s">
        <v>5215</v>
      </c>
      <c r="G3110" s="18" t="s">
        <v>128</v>
      </c>
      <c r="H3110" s="18" t="s">
        <v>162</v>
      </c>
      <c r="I3110" s="18"/>
      <c r="J3110" s="18"/>
      <c r="K3110" s="18"/>
      <c r="L3110" s="18" t="s">
        <v>129</v>
      </c>
      <c r="M3110" s="18" t="s">
        <v>129</v>
      </c>
      <c r="N3110" s="18"/>
      <c r="O3110" s="18"/>
      <c r="P3110" s="18" t="s">
        <v>12884</v>
      </c>
      <c r="Q3110" s="18" t="s">
        <v>131</v>
      </c>
      <c r="R3110" s="18" t="s">
        <v>12885</v>
      </c>
      <c r="S3110" s="18" t="s">
        <v>133</v>
      </c>
      <c r="T3110" s="18" t="s">
        <v>12886</v>
      </c>
      <c r="U3110" s="18"/>
      <c r="V3110" s="19" t="s">
        <v>29</v>
      </c>
      <c r="W3110" s="19"/>
      <c r="X3110" s="19"/>
      <c r="Y3110" s="20"/>
      <c r="Z3110" s="19"/>
      <c r="AA3110" s="18" t="str">
        <f aca="false">IF(OR(V3110="Aprobada"),R3110,IF(AND(OR(V3110="Aprobada con ajuste",V3110="Rechazada"),W3110&lt;&gt;""),W3110,""))</f>
        <v/>
      </c>
    </row>
    <row r="3111" customFormat="false" ht="53.7" hidden="false" customHeight="false" outlineLevel="0" collapsed="false">
      <c r="A3111" s="18" t="s">
        <v>12887</v>
      </c>
      <c r="B3111" s="18" t="s">
        <v>80</v>
      </c>
      <c r="C3111" s="18" t="s">
        <v>81</v>
      </c>
      <c r="D3111" s="18" t="s">
        <v>12881</v>
      </c>
      <c r="E3111" s="18" t="n">
        <v>7</v>
      </c>
      <c r="F3111" s="18" t="s">
        <v>11507</v>
      </c>
      <c r="G3111" s="18" t="s">
        <v>173</v>
      </c>
      <c r="H3111" s="18" t="s">
        <v>129</v>
      </c>
      <c r="I3111" s="18"/>
      <c r="J3111" s="18"/>
      <c r="K3111" s="18"/>
      <c r="L3111" s="18" t="s">
        <v>129</v>
      </c>
      <c r="M3111" s="18" t="s">
        <v>129</v>
      </c>
      <c r="N3111" s="18"/>
      <c r="O3111" s="18"/>
      <c r="P3111" s="18" t="s">
        <v>12888</v>
      </c>
      <c r="Q3111" s="18" t="s">
        <v>131</v>
      </c>
      <c r="R3111" s="18" t="s">
        <v>12889</v>
      </c>
      <c r="S3111" s="18" t="s">
        <v>133</v>
      </c>
      <c r="T3111" s="18" t="s">
        <v>12890</v>
      </c>
      <c r="U3111" s="18"/>
      <c r="V3111" s="19" t="s">
        <v>29</v>
      </c>
      <c r="W3111" s="19"/>
      <c r="X3111" s="19"/>
      <c r="Y3111" s="20"/>
      <c r="Z3111" s="19"/>
      <c r="AA3111" s="18" t="str">
        <f aca="false">IF(OR(V3111="Aprobada"),R3111,IF(AND(OR(V3111="Aprobada con ajuste",V3111="Rechazada"),W3111&lt;&gt;""),W3111,""))</f>
        <v/>
      </c>
    </row>
    <row r="3112" customFormat="false" ht="53.7" hidden="false" customHeight="false" outlineLevel="0" collapsed="false">
      <c r="A3112" s="18" t="s">
        <v>12891</v>
      </c>
      <c r="B3112" s="18" t="s">
        <v>80</v>
      </c>
      <c r="C3112" s="18" t="s">
        <v>81</v>
      </c>
      <c r="D3112" s="18" t="s">
        <v>12892</v>
      </c>
      <c r="E3112" s="18" t="n">
        <v>7</v>
      </c>
      <c r="F3112" s="18" t="s">
        <v>10477</v>
      </c>
      <c r="G3112" s="18" t="s">
        <v>503</v>
      </c>
      <c r="H3112" s="18" t="s">
        <v>129</v>
      </c>
      <c r="I3112" s="18" t="s">
        <v>298</v>
      </c>
      <c r="J3112" s="18"/>
      <c r="K3112" s="18"/>
      <c r="L3112" s="18" t="s">
        <v>129</v>
      </c>
      <c r="M3112" s="18" t="s">
        <v>129</v>
      </c>
      <c r="N3112" s="18"/>
      <c r="O3112" s="18"/>
      <c r="P3112" s="18" t="s">
        <v>12893</v>
      </c>
      <c r="Q3112" s="18" t="s">
        <v>138</v>
      </c>
      <c r="R3112" s="18" t="s">
        <v>12844</v>
      </c>
      <c r="S3112" s="18" t="s">
        <v>140</v>
      </c>
      <c r="T3112" s="18" t="s">
        <v>141</v>
      </c>
      <c r="U3112" s="18"/>
      <c r="V3112" s="19" t="s">
        <v>29</v>
      </c>
      <c r="W3112" s="19"/>
      <c r="X3112" s="19"/>
      <c r="Y3112" s="20"/>
      <c r="Z3112" s="19"/>
      <c r="AA3112" s="18" t="str">
        <f aca="false">IF(OR(V3112="Aprobada"),R3112,IF(AND(OR(V3112="Aprobada con ajuste",V3112="Rechazada"),W3112&lt;&gt;""),W3112,""))</f>
        <v/>
      </c>
    </row>
    <row r="3113" customFormat="false" ht="22.35" hidden="false" customHeight="false" outlineLevel="0" collapsed="false">
      <c r="A3113" s="18" t="s">
        <v>12894</v>
      </c>
      <c r="B3113" s="18" t="s">
        <v>80</v>
      </c>
      <c r="C3113" s="18" t="s">
        <v>81</v>
      </c>
      <c r="D3113" s="18" t="s">
        <v>12892</v>
      </c>
      <c r="E3113" s="18" t="n">
        <v>7</v>
      </c>
      <c r="F3113" s="18" t="s">
        <v>5215</v>
      </c>
      <c r="G3113" s="18" t="s">
        <v>128</v>
      </c>
      <c r="H3113" s="18" t="s">
        <v>162</v>
      </c>
      <c r="I3113" s="18"/>
      <c r="J3113" s="18"/>
      <c r="K3113" s="18"/>
      <c r="L3113" s="18" t="s">
        <v>129</v>
      </c>
      <c r="M3113" s="18" t="s">
        <v>129</v>
      </c>
      <c r="N3113" s="18"/>
      <c r="O3113" s="18"/>
      <c r="P3113" s="18" t="s">
        <v>12895</v>
      </c>
      <c r="Q3113" s="18" t="s">
        <v>149</v>
      </c>
      <c r="R3113" s="18" t="s">
        <v>12896</v>
      </c>
      <c r="S3113" s="18" t="s">
        <v>140</v>
      </c>
      <c r="T3113" s="18" t="s">
        <v>12897</v>
      </c>
      <c r="U3113" s="18" t="s">
        <v>12898</v>
      </c>
      <c r="V3113" s="19" t="s">
        <v>29</v>
      </c>
      <c r="W3113" s="19"/>
      <c r="X3113" s="19"/>
      <c r="Y3113" s="20"/>
      <c r="Z3113" s="19"/>
      <c r="AA3113" s="18" t="str">
        <f aca="false">IF(OR(V3113="Aprobada"),R3113,IF(AND(OR(V3113="Aprobada con ajuste",V3113="Rechazada"),W3113&lt;&gt;""),W3113,""))</f>
        <v/>
      </c>
    </row>
    <row r="3114" customFormat="false" ht="74.6" hidden="false" customHeight="false" outlineLevel="0" collapsed="false">
      <c r="A3114" s="18" t="s">
        <v>12899</v>
      </c>
      <c r="B3114" s="18" t="s">
        <v>80</v>
      </c>
      <c r="C3114" s="18" t="s">
        <v>81</v>
      </c>
      <c r="D3114" s="18" t="s">
        <v>12892</v>
      </c>
      <c r="E3114" s="18" t="n">
        <v>7</v>
      </c>
      <c r="F3114" s="18" t="s">
        <v>11507</v>
      </c>
      <c r="G3114" s="18" t="s">
        <v>173</v>
      </c>
      <c r="H3114" s="18" t="s">
        <v>129</v>
      </c>
      <c r="I3114" s="18"/>
      <c r="J3114" s="18"/>
      <c r="K3114" s="18"/>
      <c r="L3114" s="18" t="s">
        <v>129</v>
      </c>
      <c r="M3114" s="18" t="s">
        <v>129</v>
      </c>
      <c r="N3114" s="18"/>
      <c r="O3114" s="18"/>
      <c r="P3114" s="18" t="s">
        <v>12900</v>
      </c>
      <c r="Q3114" s="18" t="s">
        <v>131</v>
      </c>
      <c r="R3114" s="18" t="s">
        <v>12901</v>
      </c>
      <c r="S3114" s="18" t="s">
        <v>133</v>
      </c>
      <c r="T3114" s="18" t="s">
        <v>12902</v>
      </c>
      <c r="U3114" s="18"/>
      <c r="V3114" s="19" t="s">
        <v>29</v>
      </c>
      <c r="W3114" s="19"/>
      <c r="X3114" s="19"/>
      <c r="Y3114" s="20"/>
      <c r="Z3114" s="19"/>
      <c r="AA3114" s="18" t="str">
        <f aca="false">IF(OR(V3114="Aprobada"),R3114,IF(AND(OR(V3114="Aprobada con ajuste",V3114="Rechazada"),W3114&lt;&gt;""),W3114,""))</f>
        <v/>
      </c>
    </row>
    <row r="3115" customFormat="false" ht="32.8" hidden="false" customHeight="false" outlineLevel="0" collapsed="false">
      <c r="A3115" s="18" t="s">
        <v>12903</v>
      </c>
      <c r="B3115" s="18" t="s">
        <v>80</v>
      </c>
      <c r="C3115" s="18" t="s">
        <v>81</v>
      </c>
      <c r="D3115" s="18" t="s">
        <v>12904</v>
      </c>
      <c r="E3115" s="18" t="n">
        <v>590</v>
      </c>
      <c r="F3115" s="18" t="s">
        <v>11660</v>
      </c>
      <c r="G3115" s="18" t="s">
        <v>205</v>
      </c>
      <c r="H3115" s="18" t="s">
        <v>129</v>
      </c>
      <c r="I3115" s="18"/>
      <c r="J3115" s="18"/>
      <c r="K3115" s="18"/>
      <c r="L3115" s="18" t="s">
        <v>129</v>
      </c>
      <c r="M3115" s="18" t="s">
        <v>129</v>
      </c>
      <c r="N3115" s="18"/>
      <c r="O3115" s="18" t="s">
        <v>12905</v>
      </c>
      <c r="P3115" s="18" t="s">
        <v>12906</v>
      </c>
      <c r="Q3115" s="18" t="s">
        <v>149</v>
      </c>
      <c r="R3115" s="18" t="s">
        <v>12907</v>
      </c>
      <c r="S3115" s="18" t="s">
        <v>133</v>
      </c>
      <c r="T3115" s="18" t="s">
        <v>12908</v>
      </c>
      <c r="U3115" s="18"/>
      <c r="V3115" s="19" t="s">
        <v>29</v>
      </c>
      <c r="W3115" s="19"/>
      <c r="X3115" s="19"/>
      <c r="Y3115" s="20"/>
      <c r="Z3115" s="19"/>
      <c r="AA3115" s="18" t="str">
        <f aca="false">IF(OR(V3115="Aprobada"),R3115,IF(AND(OR(V3115="Aprobada con ajuste",V3115="Rechazada"),W3115&lt;&gt;""),W3115,""))</f>
        <v/>
      </c>
    </row>
    <row r="3116" customFormat="false" ht="32.8" hidden="false" customHeight="false" outlineLevel="0" collapsed="false">
      <c r="A3116" s="18" t="s">
        <v>12909</v>
      </c>
      <c r="B3116" s="18" t="s">
        <v>80</v>
      </c>
      <c r="C3116" s="18" t="s">
        <v>81</v>
      </c>
      <c r="D3116" s="18" t="s">
        <v>12904</v>
      </c>
      <c r="E3116" s="18" t="n">
        <v>590</v>
      </c>
      <c r="F3116" s="18" t="s">
        <v>185</v>
      </c>
      <c r="G3116" s="18" t="s">
        <v>186</v>
      </c>
      <c r="H3116" s="18" t="s">
        <v>129</v>
      </c>
      <c r="I3116" s="18" t="s">
        <v>298</v>
      </c>
      <c r="J3116" s="18" t="s">
        <v>12910</v>
      </c>
      <c r="K3116" s="18"/>
      <c r="L3116" s="18" t="s">
        <v>162</v>
      </c>
      <c r="M3116" s="18" t="s">
        <v>129</v>
      </c>
      <c r="N3116" s="18"/>
      <c r="O3116" s="18"/>
      <c r="P3116" s="18" t="s">
        <v>12911</v>
      </c>
      <c r="Q3116" s="18" t="s">
        <v>138</v>
      </c>
      <c r="R3116" s="18" t="s">
        <v>12912</v>
      </c>
      <c r="S3116" s="18" t="s">
        <v>140</v>
      </c>
      <c r="T3116" s="18" t="s">
        <v>141</v>
      </c>
      <c r="U3116" s="18"/>
      <c r="V3116" s="19" t="s">
        <v>29</v>
      </c>
      <c r="W3116" s="19"/>
      <c r="X3116" s="19"/>
      <c r="Y3116" s="20"/>
      <c r="Z3116" s="19"/>
      <c r="AA3116" s="18" t="str">
        <f aca="false">IF(OR(V3116="Aprobada"),R3116,IF(AND(OR(V3116="Aprobada con ajuste",V3116="Rechazada"),W3116&lt;&gt;""),W3116,""))</f>
        <v/>
      </c>
    </row>
    <row r="3117" customFormat="false" ht="32.8" hidden="false" customHeight="false" outlineLevel="0" collapsed="false">
      <c r="A3117" s="18" t="s">
        <v>12913</v>
      </c>
      <c r="B3117" s="18" t="s">
        <v>80</v>
      </c>
      <c r="C3117" s="18" t="s">
        <v>81</v>
      </c>
      <c r="D3117" s="18" t="s">
        <v>12904</v>
      </c>
      <c r="E3117" s="18" t="n">
        <v>590</v>
      </c>
      <c r="F3117" s="18" t="s">
        <v>7716</v>
      </c>
      <c r="G3117" s="18" t="s">
        <v>192</v>
      </c>
      <c r="H3117" s="18" t="s">
        <v>129</v>
      </c>
      <c r="I3117" s="18"/>
      <c r="J3117" s="18"/>
      <c r="K3117" s="18"/>
      <c r="L3117" s="18" t="s">
        <v>129</v>
      </c>
      <c r="M3117" s="18" t="s">
        <v>129</v>
      </c>
      <c r="N3117" s="18"/>
      <c r="O3117" s="18"/>
      <c r="P3117" s="18" t="s">
        <v>12914</v>
      </c>
      <c r="Q3117" s="18" t="s">
        <v>131</v>
      </c>
      <c r="R3117" s="18" t="s">
        <v>12915</v>
      </c>
      <c r="S3117" s="18" t="s">
        <v>133</v>
      </c>
      <c r="T3117" s="18" t="s">
        <v>12916</v>
      </c>
      <c r="U3117" s="18"/>
      <c r="V3117" s="19" t="s">
        <v>29</v>
      </c>
      <c r="W3117" s="19"/>
      <c r="X3117" s="19"/>
      <c r="Y3117" s="20"/>
      <c r="Z3117" s="19"/>
      <c r="AA3117" s="18" t="str">
        <f aca="false">IF(OR(V3117="Aprobada"),R3117,IF(AND(OR(V3117="Aprobada con ajuste",V3117="Rechazada"),W3117&lt;&gt;""),W3117,""))</f>
        <v/>
      </c>
    </row>
    <row r="3118" customFormat="false" ht="64.15" hidden="false" customHeight="false" outlineLevel="0" collapsed="false">
      <c r="A3118" s="18" t="s">
        <v>12917</v>
      </c>
      <c r="B3118" s="18" t="s">
        <v>80</v>
      </c>
      <c r="C3118" s="18" t="s">
        <v>81</v>
      </c>
      <c r="D3118" s="18" t="s">
        <v>12904</v>
      </c>
      <c r="E3118" s="18" t="n">
        <v>590</v>
      </c>
      <c r="F3118" s="18" t="s">
        <v>1018</v>
      </c>
      <c r="G3118" s="18" t="s">
        <v>503</v>
      </c>
      <c r="H3118" s="18" t="s">
        <v>129</v>
      </c>
      <c r="I3118" s="18"/>
      <c r="J3118" s="18"/>
      <c r="K3118" s="18"/>
      <c r="L3118" s="18" t="s">
        <v>129</v>
      </c>
      <c r="M3118" s="18" t="s">
        <v>129</v>
      </c>
      <c r="N3118" s="18"/>
      <c r="O3118" s="18"/>
      <c r="P3118" s="18" t="s">
        <v>12918</v>
      </c>
      <c r="Q3118" s="18" t="s">
        <v>131</v>
      </c>
      <c r="R3118" s="18" t="s">
        <v>12919</v>
      </c>
      <c r="S3118" s="18" t="s">
        <v>133</v>
      </c>
      <c r="T3118" s="18" t="s">
        <v>12920</v>
      </c>
      <c r="U3118" s="18"/>
      <c r="V3118" s="19" t="s">
        <v>29</v>
      </c>
      <c r="W3118" s="19"/>
      <c r="X3118" s="19"/>
      <c r="Y3118" s="20"/>
      <c r="Z3118" s="19"/>
      <c r="AA3118" s="18" t="str">
        <f aca="false">IF(OR(V3118="Aprobada"),R3118,IF(AND(OR(V3118="Aprobada con ajuste",V3118="Rechazada"),W3118&lt;&gt;""),W3118,""))</f>
        <v/>
      </c>
    </row>
    <row r="3119" customFormat="false" ht="22.35" hidden="false" customHeight="false" outlineLevel="0" collapsed="false">
      <c r="A3119" s="18" t="s">
        <v>12921</v>
      </c>
      <c r="B3119" s="18" t="s">
        <v>80</v>
      </c>
      <c r="C3119" s="18" t="s">
        <v>81</v>
      </c>
      <c r="D3119" s="18" t="s">
        <v>12904</v>
      </c>
      <c r="E3119" s="18" t="n">
        <v>590</v>
      </c>
      <c r="F3119" s="18" t="s">
        <v>7647</v>
      </c>
      <c r="G3119" s="18" t="s">
        <v>931</v>
      </c>
      <c r="H3119" s="18" t="s">
        <v>162</v>
      </c>
      <c r="I3119" s="18"/>
      <c r="J3119" s="18"/>
      <c r="K3119" s="18"/>
      <c r="L3119" s="18" t="s">
        <v>129</v>
      </c>
      <c r="M3119" s="18" t="s">
        <v>129</v>
      </c>
      <c r="N3119" s="18"/>
      <c r="O3119" s="18"/>
      <c r="P3119" s="18" t="s">
        <v>12922</v>
      </c>
      <c r="Q3119" s="18" t="s">
        <v>138</v>
      </c>
      <c r="R3119" s="18" t="s">
        <v>7649</v>
      </c>
      <c r="S3119" s="18" t="s">
        <v>140</v>
      </c>
      <c r="T3119" s="18" t="s">
        <v>141</v>
      </c>
      <c r="U3119" s="18"/>
      <c r="V3119" s="19" t="s">
        <v>29</v>
      </c>
      <c r="W3119" s="19"/>
      <c r="X3119" s="19"/>
      <c r="Y3119" s="20"/>
      <c r="Z3119" s="19"/>
      <c r="AA3119" s="18" t="str">
        <f aca="false">IF(OR(V3119="Aprobada"),R3119,IF(AND(OR(V3119="Aprobada con ajuste",V3119="Rechazada"),W3119&lt;&gt;""),W3119,""))</f>
        <v/>
      </c>
    </row>
    <row r="3120" customFormat="false" ht="22.35" hidden="false" customHeight="false" outlineLevel="0" collapsed="false">
      <c r="A3120" s="18" t="s">
        <v>12923</v>
      </c>
      <c r="B3120" s="18" t="s">
        <v>80</v>
      </c>
      <c r="C3120" s="18" t="s">
        <v>81</v>
      </c>
      <c r="D3120" s="18" t="s">
        <v>12904</v>
      </c>
      <c r="E3120" s="18" t="n">
        <v>590</v>
      </c>
      <c r="F3120" s="18" t="s">
        <v>12924</v>
      </c>
      <c r="G3120" s="18" t="s">
        <v>584</v>
      </c>
      <c r="H3120" s="18" t="s">
        <v>162</v>
      </c>
      <c r="I3120" s="18"/>
      <c r="J3120" s="18"/>
      <c r="K3120" s="18"/>
      <c r="L3120" s="18" t="s">
        <v>129</v>
      </c>
      <c r="M3120" s="18" t="s">
        <v>129</v>
      </c>
      <c r="N3120" s="18"/>
      <c r="O3120" s="18"/>
      <c r="P3120" s="18" t="s">
        <v>12925</v>
      </c>
      <c r="Q3120" s="18" t="s">
        <v>138</v>
      </c>
      <c r="R3120" s="18" t="s">
        <v>12926</v>
      </c>
      <c r="S3120" s="18" t="s">
        <v>140</v>
      </c>
      <c r="T3120" s="18" t="s">
        <v>141</v>
      </c>
      <c r="U3120" s="18"/>
      <c r="V3120" s="19" t="s">
        <v>29</v>
      </c>
      <c r="W3120" s="19"/>
      <c r="X3120" s="19"/>
      <c r="Y3120" s="20"/>
      <c r="Z3120" s="19"/>
      <c r="AA3120" s="18" t="str">
        <f aca="false">IF(OR(V3120="Aprobada"),R3120,IF(AND(OR(V3120="Aprobada con ajuste",V3120="Rechazada"),W3120&lt;&gt;""),W3120,""))</f>
        <v/>
      </c>
    </row>
    <row r="3121" customFormat="false" ht="22.35" hidden="false" customHeight="false" outlineLevel="0" collapsed="false">
      <c r="A3121" s="18" t="s">
        <v>12927</v>
      </c>
      <c r="B3121" s="18" t="s">
        <v>80</v>
      </c>
      <c r="C3121" s="18" t="s">
        <v>81</v>
      </c>
      <c r="D3121" s="18" t="s">
        <v>12904</v>
      </c>
      <c r="E3121" s="18" t="n">
        <v>590</v>
      </c>
      <c r="F3121" s="18" t="s">
        <v>3136</v>
      </c>
      <c r="G3121" s="18" t="s">
        <v>931</v>
      </c>
      <c r="H3121" s="18" t="s">
        <v>162</v>
      </c>
      <c r="I3121" s="18"/>
      <c r="J3121" s="18"/>
      <c r="K3121" s="18"/>
      <c r="L3121" s="18" t="s">
        <v>129</v>
      </c>
      <c r="M3121" s="18" t="s">
        <v>129</v>
      </c>
      <c r="N3121" s="18"/>
      <c r="O3121" s="18"/>
      <c r="P3121" s="18" t="s">
        <v>12928</v>
      </c>
      <c r="Q3121" s="18" t="s">
        <v>138</v>
      </c>
      <c r="R3121" s="18" t="s">
        <v>3309</v>
      </c>
      <c r="S3121" s="18" t="s">
        <v>140</v>
      </c>
      <c r="T3121" s="18" t="s">
        <v>141</v>
      </c>
      <c r="U3121" s="18"/>
      <c r="V3121" s="19" t="s">
        <v>29</v>
      </c>
      <c r="W3121" s="19"/>
      <c r="X3121" s="19"/>
      <c r="Y3121" s="20"/>
      <c r="Z3121" s="19"/>
      <c r="AA3121" s="18" t="str">
        <f aca="false">IF(OR(V3121="Aprobada"),R3121,IF(AND(OR(V3121="Aprobada con ajuste",V3121="Rechazada"),W3121&lt;&gt;""),W3121,""))</f>
        <v/>
      </c>
    </row>
    <row r="3122" customFormat="false" ht="22.35" hidden="false" customHeight="false" outlineLevel="0" collapsed="false">
      <c r="A3122" s="18" t="s">
        <v>12929</v>
      </c>
      <c r="B3122" s="18" t="s">
        <v>80</v>
      </c>
      <c r="C3122" s="18" t="s">
        <v>81</v>
      </c>
      <c r="D3122" s="18" t="s">
        <v>12904</v>
      </c>
      <c r="E3122" s="18" t="n">
        <v>590</v>
      </c>
      <c r="F3122" s="18" t="s">
        <v>12930</v>
      </c>
      <c r="G3122" s="18" t="s">
        <v>584</v>
      </c>
      <c r="H3122" s="18" t="s">
        <v>162</v>
      </c>
      <c r="I3122" s="18"/>
      <c r="J3122" s="18"/>
      <c r="K3122" s="18"/>
      <c r="L3122" s="18" t="s">
        <v>129</v>
      </c>
      <c r="M3122" s="18" t="s">
        <v>129</v>
      </c>
      <c r="N3122" s="18"/>
      <c r="O3122" s="18"/>
      <c r="P3122" s="18" t="s">
        <v>12931</v>
      </c>
      <c r="Q3122" s="18" t="s">
        <v>138</v>
      </c>
      <c r="R3122" s="18" t="s">
        <v>1324</v>
      </c>
      <c r="S3122" s="18" t="s">
        <v>140</v>
      </c>
      <c r="T3122" s="18" t="s">
        <v>141</v>
      </c>
      <c r="U3122" s="18"/>
      <c r="V3122" s="19" t="s">
        <v>29</v>
      </c>
      <c r="W3122" s="19"/>
      <c r="X3122" s="19"/>
      <c r="Y3122" s="20"/>
      <c r="Z3122" s="19"/>
      <c r="AA3122" s="18" t="str">
        <f aca="false">IF(OR(V3122="Aprobada"),R3122,IF(AND(OR(V3122="Aprobada con ajuste",V3122="Rechazada"),W3122&lt;&gt;""),W3122,""))</f>
        <v/>
      </c>
    </row>
    <row r="3123" customFormat="false" ht="22.35" hidden="false" customHeight="false" outlineLevel="0" collapsed="false">
      <c r="A3123" s="18" t="s">
        <v>12932</v>
      </c>
      <c r="B3123" s="18" t="s">
        <v>80</v>
      </c>
      <c r="C3123" s="18" t="s">
        <v>81</v>
      </c>
      <c r="D3123" s="18" t="s">
        <v>12904</v>
      </c>
      <c r="E3123" s="18" t="n">
        <v>590</v>
      </c>
      <c r="F3123" s="18" t="s">
        <v>12933</v>
      </c>
      <c r="G3123" s="18" t="s">
        <v>173</v>
      </c>
      <c r="H3123" s="18" t="s">
        <v>129</v>
      </c>
      <c r="I3123" s="18"/>
      <c r="J3123" s="18"/>
      <c r="K3123" s="18"/>
      <c r="L3123" s="18" t="s">
        <v>129</v>
      </c>
      <c r="M3123" s="18" t="s">
        <v>129</v>
      </c>
      <c r="N3123" s="18"/>
      <c r="O3123" s="18"/>
      <c r="P3123" s="18"/>
      <c r="Q3123" s="18" t="s">
        <v>138</v>
      </c>
      <c r="R3123" s="18" t="s">
        <v>12934</v>
      </c>
      <c r="S3123" s="18" t="s">
        <v>140</v>
      </c>
      <c r="T3123" s="18" t="s">
        <v>141</v>
      </c>
      <c r="U3123" s="18"/>
      <c r="V3123" s="19" t="s">
        <v>29</v>
      </c>
      <c r="W3123" s="19"/>
      <c r="X3123" s="19"/>
      <c r="Y3123" s="20"/>
      <c r="Z3123" s="19"/>
      <c r="AA3123" s="18" t="str">
        <f aca="false">IF(OR(V3123="Aprobada"),R3123,IF(AND(OR(V3123="Aprobada con ajuste",V3123="Rechazada"),W3123&lt;&gt;""),W3123,""))</f>
        <v/>
      </c>
    </row>
    <row r="3124" customFormat="false" ht="32.8" hidden="false" customHeight="false" outlineLevel="0" collapsed="false">
      <c r="A3124" s="18" t="s">
        <v>12935</v>
      </c>
      <c r="B3124" s="18" t="s">
        <v>80</v>
      </c>
      <c r="C3124" s="18" t="s">
        <v>81</v>
      </c>
      <c r="D3124" s="18" t="s">
        <v>12936</v>
      </c>
      <c r="E3124" s="18" t="n">
        <v>10</v>
      </c>
      <c r="F3124" s="18" t="s">
        <v>5235</v>
      </c>
      <c r="G3124" s="18" t="s">
        <v>2900</v>
      </c>
      <c r="H3124" s="18" t="s">
        <v>129</v>
      </c>
      <c r="I3124" s="18" t="s">
        <v>146</v>
      </c>
      <c r="J3124" s="18"/>
      <c r="K3124" s="18"/>
      <c r="L3124" s="18" t="s">
        <v>129</v>
      </c>
      <c r="M3124" s="18" t="s">
        <v>129</v>
      </c>
      <c r="N3124" s="18"/>
      <c r="O3124" s="18" t="s">
        <v>12937</v>
      </c>
      <c r="P3124" s="18" t="s">
        <v>12938</v>
      </c>
      <c r="Q3124" s="18" t="s">
        <v>149</v>
      </c>
      <c r="R3124" s="18" t="s">
        <v>12939</v>
      </c>
      <c r="S3124" s="18" t="s">
        <v>133</v>
      </c>
      <c r="T3124" s="18" t="s">
        <v>12940</v>
      </c>
      <c r="U3124" s="18"/>
      <c r="V3124" s="19" t="s">
        <v>29</v>
      </c>
      <c r="W3124" s="19"/>
      <c r="X3124" s="19"/>
      <c r="Y3124" s="20"/>
      <c r="Z3124" s="19"/>
      <c r="AA3124" s="18" t="str">
        <f aca="false">IF(OR(V3124="Aprobada"),R3124,IF(AND(OR(V3124="Aprobada con ajuste",V3124="Rechazada"),W3124&lt;&gt;""),W3124,""))</f>
        <v/>
      </c>
    </row>
    <row r="3125" customFormat="false" ht="53.7" hidden="false" customHeight="false" outlineLevel="0" collapsed="false">
      <c r="A3125" s="18" t="s">
        <v>12941</v>
      </c>
      <c r="B3125" s="18" t="s">
        <v>80</v>
      </c>
      <c r="C3125" s="18" t="s">
        <v>81</v>
      </c>
      <c r="D3125" s="18" t="s">
        <v>12936</v>
      </c>
      <c r="E3125" s="18" t="n">
        <v>10</v>
      </c>
      <c r="F3125" s="18" t="s">
        <v>11434</v>
      </c>
      <c r="G3125" s="18" t="s">
        <v>128</v>
      </c>
      <c r="H3125" s="18" t="s">
        <v>129</v>
      </c>
      <c r="I3125" s="18"/>
      <c r="J3125" s="18"/>
      <c r="K3125" s="18"/>
      <c r="L3125" s="18" t="s">
        <v>129</v>
      </c>
      <c r="M3125" s="18" t="s">
        <v>129</v>
      </c>
      <c r="N3125" s="18"/>
      <c r="O3125" s="18"/>
      <c r="P3125" s="18" t="s">
        <v>12942</v>
      </c>
      <c r="Q3125" s="18" t="s">
        <v>149</v>
      </c>
      <c r="R3125" s="18" t="s">
        <v>12943</v>
      </c>
      <c r="S3125" s="18" t="s">
        <v>133</v>
      </c>
      <c r="T3125" s="18" t="s">
        <v>12944</v>
      </c>
      <c r="U3125" s="18"/>
      <c r="V3125" s="19" t="s">
        <v>29</v>
      </c>
      <c r="W3125" s="19"/>
      <c r="X3125" s="19"/>
      <c r="Y3125" s="20"/>
      <c r="Z3125" s="19"/>
      <c r="AA3125" s="18" t="str">
        <f aca="false">IF(OR(V3125="Aprobada"),R3125,IF(AND(OR(V3125="Aprobada con ajuste",V3125="Rechazada"),W3125&lt;&gt;""),W3125,""))</f>
        <v/>
      </c>
    </row>
    <row r="3126" customFormat="false" ht="53.7" hidden="false" customHeight="false" outlineLevel="0" collapsed="false">
      <c r="A3126" s="18" t="s">
        <v>12945</v>
      </c>
      <c r="B3126" s="18" t="s">
        <v>80</v>
      </c>
      <c r="C3126" s="18" t="s">
        <v>81</v>
      </c>
      <c r="D3126" s="18" t="s">
        <v>12936</v>
      </c>
      <c r="E3126" s="18" t="n">
        <v>10</v>
      </c>
      <c r="F3126" s="18" t="s">
        <v>3361</v>
      </c>
      <c r="G3126" s="18" t="s">
        <v>503</v>
      </c>
      <c r="H3126" s="18" t="s">
        <v>129</v>
      </c>
      <c r="I3126" s="18"/>
      <c r="J3126" s="18"/>
      <c r="K3126" s="18"/>
      <c r="L3126" s="18" t="s">
        <v>129</v>
      </c>
      <c r="M3126" s="18" t="s">
        <v>129</v>
      </c>
      <c r="N3126" s="18"/>
      <c r="O3126" s="18"/>
      <c r="P3126" s="18" t="s">
        <v>12946</v>
      </c>
      <c r="Q3126" s="18" t="s">
        <v>131</v>
      </c>
      <c r="R3126" s="18" t="s">
        <v>12947</v>
      </c>
      <c r="S3126" s="18" t="s">
        <v>140</v>
      </c>
      <c r="T3126" s="18" t="s">
        <v>12948</v>
      </c>
      <c r="U3126" s="18" t="s">
        <v>12949</v>
      </c>
      <c r="V3126" s="19" t="s">
        <v>29</v>
      </c>
      <c r="W3126" s="19"/>
      <c r="X3126" s="19"/>
      <c r="Y3126" s="20"/>
      <c r="Z3126" s="19"/>
      <c r="AA3126" s="18" t="str">
        <f aca="false">IF(OR(V3126="Aprobada"),R3126,IF(AND(OR(V3126="Aprobada con ajuste",V3126="Rechazada"),W3126&lt;&gt;""),W3126,""))</f>
        <v/>
      </c>
    </row>
    <row r="3127" customFormat="false" ht="43.25" hidden="false" customHeight="false" outlineLevel="0" collapsed="false">
      <c r="A3127" s="18" t="s">
        <v>12950</v>
      </c>
      <c r="B3127" s="18" t="s">
        <v>80</v>
      </c>
      <c r="C3127" s="18" t="s">
        <v>81</v>
      </c>
      <c r="D3127" s="18" t="s">
        <v>12936</v>
      </c>
      <c r="E3127" s="18" t="n">
        <v>10</v>
      </c>
      <c r="F3127" s="18" t="s">
        <v>4747</v>
      </c>
      <c r="G3127" s="18" t="s">
        <v>584</v>
      </c>
      <c r="H3127" s="18" t="s">
        <v>129</v>
      </c>
      <c r="I3127" s="18"/>
      <c r="J3127" s="18"/>
      <c r="K3127" s="18"/>
      <c r="L3127" s="18" t="s">
        <v>129</v>
      </c>
      <c r="M3127" s="18" t="s">
        <v>129</v>
      </c>
      <c r="N3127" s="18"/>
      <c r="O3127" s="18"/>
      <c r="P3127" s="18" t="s">
        <v>12951</v>
      </c>
      <c r="Q3127" s="18" t="s">
        <v>138</v>
      </c>
      <c r="R3127" s="18" t="s">
        <v>4749</v>
      </c>
      <c r="S3127" s="18" t="s">
        <v>140</v>
      </c>
      <c r="T3127" s="18" t="s">
        <v>141</v>
      </c>
      <c r="U3127" s="18"/>
      <c r="V3127" s="19" t="s">
        <v>29</v>
      </c>
      <c r="W3127" s="19"/>
      <c r="X3127" s="19"/>
      <c r="Y3127" s="20"/>
      <c r="Z3127" s="19"/>
      <c r="AA3127" s="18" t="str">
        <f aca="false">IF(OR(V3127="Aprobada"),R3127,IF(AND(OR(V3127="Aprobada con ajuste",V3127="Rechazada"),W3127&lt;&gt;""),W3127,""))</f>
        <v/>
      </c>
    </row>
    <row r="3128" customFormat="false" ht="95.5" hidden="false" customHeight="false" outlineLevel="0" collapsed="false">
      <c r="A3128" s="18" t="s">
        <v>12952</v>
      </c>
      <c r="B3128" s="18" t="s">
        <v>80</v>
      </c>
      <c r="C3128" s="18" t="s">
        <v>81</v>
      </c>
      <c r="D3128" s="18" t="s">
        <v>12953</v>
      </c>
      <c r="E3128" s="18" t="n">
        <v>0</v>
      </c>
      <c r="F3128" s="18" t="s">
        <v>12954</v>
      </c>
      <c r="G3128" s="18" t="s">
        <v>205</v>
      </c>
      <c r="H3128" s="18" t="s">
        <v>129</v>
      </c>
      <c r="I3128" s="18" t="s">
        <v>298</v>
      </c>
      <c r="J3128" s="18" t="s">
        <v>12955</v>
      </c>
      <c r="K3128" s="18"/>
      <c r="L3128" s="18" t="s">
        <v>162</v>
      </c>
      <c r="M3128" s="18" t="s">
        <v>129</v>
      </c>
      <c r="N3128" s="18"/>
      <c r="O3128" s="18" t="s">
        <v>12956</v>
      </c>
      <c r="P3128" s="18" t="s">
        <v>12957</v>
      </c>
      <c r="Q3128" s="18" t="s">
        <v>131</v>
      </c>
      <c r="R3128" s="18" t="s">
        <v>12958</v>
      </c>
      <c r="S3128" s="18" t="s">
        <v>133</v>
      </c>
      <c r="T3128" s="18" t="s">
        <v>12959</v>
      </c>
      <c r="U3128" s="18"/>
      <c r="V3128" s="19" t="s">
        <v>29</v>
      </c>
      <c r="W3128" s="19"/>
      <c r="X3128" s="19"/>
      <c r="Y3128" s="20"/>
      <c r="Z3128" s="19"/>
      <c r="AA3128" s="18" t="str">
        <f aca="false">IF(OR(V3128="Aprobada"),R3128,IF(AND(OR(V3128="Aprobada con ajuste",V3128="Rechazada"),W3128&lt;&gt;""),W3128,""))</f>
        <v/>
      </c>
    </row>
    <row r="3129" customFormat="false" ht="85.05" hidden="false" customHeight="false" outlineLevel="0" collapsed="false">
      <c r="A3129" s="18" t="s">
        <v>12960</v>
      </c>
      <c r="B3129" s="18" t="s">
        <v>80</v>
      </c>
      <c r="C3129" s="18" t="s">
        <v>81</v>
      </c>
      <c r="D3129" s="18" t="s">
        <v>12953</v>
      </c>
      <c r="E3129" s="18" t="n">
        <v>0</v>
      </c>
      <c r="F3129" s="18" t="s">
        <v>11447</v>
      </c>
      <c r="G3129" s="18" t="s">
        <v>137</v>
      </c>
      <c r="H3129" s="18" t="s">
        <v>129</v>
      </c>
      <c r="I3129" s="18"/>
      <c r="J3129" s="18"/>
      <c r="K3129" s="18"/>
      <c r="L3129" s="18" t="s">
        <v>129</v>
      </c>
      <c r="M3129" s="18" t="s">
        <v>129</v>
      </c>
      <c r="N3129" s="18"/>
      <c r="O3129" s="18"/>
      <c r="P3129" s="18" t="s">
        <v>12961</v>
      </c>
      <c r="Q3129" s="18" t="s">
        <v>131</v>
      </c>
      <c r="R3129" s="18" t="s">
        <v>12962</v>
      </c>
      <c r="S3129" s="18" t="s">
        <v>133</v>
      </c>
      <c r="T3129" s="18" t="s">
        <v>12963</v>
      </c>
      <c r="U3129" s="18"/>
      <c r="V3129" s="19" t="s">
        <v>29</v>
      </c>
      <c r="W3129" s="19"/>
      <c r="X3129" s="19"/>
      <c r="Y3129" s="20"/>
      <c r="Z3129" s="19"/>
      <c r="AA3129" s="18" t="str">
        <f aca="false">IF(OR(V3129="Aprobada"),R3129,IF(AND(OR(V3129="Aprobada con ajuste",V3129="Rechazada"),W3129&lt;&gt;""),W3129,""))</f>
        <v/>
      </c>
    </row>
    <row r="3130" customFormat="false" ht="64.15" hidden="false" customHeight="false" outlineLevel="0" collapsed="false">
      <c r="A3130" s="18" t="s">
        <v>12964</v>
      </c>
      <c r="B3130" s="18" t="s">
        <v>80</v>
      </c>
      <c r="C3130" s="18" t="s">
        <v>81</v>
      </c>
      <c r="D3130" s="18" t="s">
        <v>12953</v>
      </c>
      <c r="E3130" s="18" t="n">
        <v>0</v>
      </c>
      <c r="F3130" s="18" t="s">
        <v>12283</v>
      </c>
      <c r="G3130" s="18" t="s">
        <v>503</v>
      </c>
      <c r="H3130" s="18" t="s">
        <v>162</v>
      </c>
      <c r="I3130" s="18" t="s">
        <v>298</v>
      </c>
      <c r="J3130" s="18"/>
      <c r="K3130" s="18"/>
      <c r="L3130" s="18" t="s">
        <v>129</v>
      </c>
      <c r="M3130" s="18" t="s">
        <v>129</v>
      </c>
      <c r="N3130" s="18"/>
      <c r="O3130" s="18"/>
      <c r="P3130" s="18" t="s">
        <v>12965</v>
      </c>
      <c r="Q3130" s="18" t="s">
        <v>131</v>
      </c>
      <c r="R3130" s="18" t="s">
        <v>12966</v>
      </c>
      <c r="S3130" s="18" t="s">
        <v>133</v>
      </c>
      <c r="T3130" s="18" t="s">
        <v>12967</v>
      </c>
      <c r="U3130" s="18"/>
      <c r="V3130" s="19" t="s">
        <v>29</v>
      </c>
      <c r="W3130" s="19"/>
      <c r="X3130" s="19"/>
      <c r="Y3130" s="20"/>
      <c r="Z3130" s="19"/>
      <c r="AA3130" s="18" t="str">
        <f aca="false">IF(OR(V3130="Aprobada"),R3130,IF(AND(OR(V3130="Aprobada con ajuste",V3130="Rechazada"),W3130&lt;&gt;""),W3130,""))</f>
        <v/>
      </c>
    </row>
    <row r="3131" customFormat="false" ht="22.35" hidden="false" customHeight="false" outlineLevel="0" collapsed="false">
      <c r="A3131" s="18" t="s">
        <v>12968</v>
      </c>
      <c r="B3131" s="18" t="s">
        <v>80</v>
      </c>
      <c r="C3131" s="18" t="s">
        <v>81</v>
      </c>
      <c r="D3131" s="18" t="s">
        <v>12953</v>
      </c>
      <c r="E3131" s="18" t="n">
        <v>0</v>
      </c>
      <c r="F3131" s="18" t="s">
        <v>6639</v>
      </c>
      <c r="G3131" s="18" t="s">
        <v>137</v>
      </c>
      <c r="H3131" s="18" t="s">
        <v>162</v>
      </c>
      <c r="I3131" s="18" t="s">
        <v>298</v>
      </c>
      <c r="J3131" s="18"/>
      <c r="K3131" s="18"/>
      <c r="L3131" s="18" t="s">
        <v>129</v>
      </c>
      <c r="M3131" s="18" t="s">
        <v>129</v>
      </c>
      <c r="N3131" s="18"/>
      <c r="O3131" s="18"/>
      <c r="P3131" s="18" t="s">
        <v>12969</v>
      </c>
      <c r="Q3131" s="18" t="s">
        <v>138</v>
      </c>
      <c r="R3131" s="18" t="s">
        <v>6640</v>
      </c>
      <c r="S3131" s="18" t="s">
        <v>140</v>
      </c>
      <c r="T3131" s="18" t="s">
        <v>141</v>
      </c>
      <c r="U3131" s="18"/>
      <c r="V3131" s="19" t="s">
        <v>29</v>
      </c>
      <c r="W3131" s="19"/>
      <c r="X3131" s="19"/>
      <c r="Y3131" s="20"/>
      <c r="Z3131" s="19"/>
      <c r="AA3131" s="18" t="str">
        <f aca="false">IF(OR(V3131="Aprobada"),R3131,IF(AND(OR(V3131="Aprobada con ajuste",V3131="Rechazada"),W3131&lt;&gt;""),W3131,""))</f>
        <v/>
      </c>
    </row>
    <row r="3132" customFormat="false" ht="32.8" hidden="false" customHeight="false" outlineLevel="0" collapsed="false">
      <c r="A3132" s="18" t="s">
        <v>12970</v>
      </c>
      <c r="B3132" s="18" t="s">
        <v>80</v>
      </c>
      <c r="C3132" s="18" t="s">
        <v>81</v>
      </c>
      <c r="D3132" s="18" t="s">
        <v>12953</v>
      </c>
      <c r="E3132" s="18" t="n">
        <v>0</v>
      </c>
      <c r="F3132" s="18" t="s">
        <v>12971</v>
      </c>
      <c r="G3132" s="18" t="s">
        <v>282</v>
      </c>
      <c r="H3132" s="18" t="s">
        <v>162</v>
      </c>
      <c r="I3132" s="18"/>
      <c r="J3132" s="18"/>
      <c r="K3132" s="18"/>
      <c r="L3132" s="18" t="s">
        <v>129</v>
      </c>
      <c r="M3132" s="18" t="s">
        <v>129</v>
      </c>
      <c r="N3132" s="18"/>
      <c r="O3132" s="18"/>
      <c r="P3132" s="18" t="s">
        <v>12972</v>
      </c>
      <c r="Q3132" s="18" t="s">
        <v>149</v>
      </c>
      <c r="R3132" s="18" t="s">
        <v>12973</v>
      </c>
      <c r="S3132" s="18" t="s">
        <v>140</v>
      </c>
      <c r="T3132" s="18" t="s">
        <v>12974</v>
      </c>
      <c r="U3132" s="18" t="s">
        <v>12975</v>
      </c>
      <c r="V3132" s="19" t="s">
        <v>29</v>
      </c>
      <c r="W3132" s="19"/>
      <c r="X3132" s="19"/>
      <c r="Y3132" s="20"/>
      <c r="Z3132" s="19"/>
      <c r="AA3132" s="18" t="str">
        <f aca="false">IF(OR(V3132="Aprobada"),R3132,IF(AND(OR(V3132="Aprobada con ajuste",V3132="Rechazada"),W3132&lt;&gt;""),W3132,""))</f>
        <v/>
      </c>
    </row>
    <row r="3133" customFormat="false" ht="95.5" hidden="false" customHeight="false" outlineLevel="0" collapsed="false">
      <c r="A3133" s="18" t="s">
        <v>12976</v>
      </c>
      <c r="B3133" s="18" t="s">
        <v>80</v>
      </c>
      <c r="C3133" s="18" t="s">
        <v>81</v>
      </c>
      <c r="D3133" s="18" t="s">
        <v>12953</v>
      </c>
      <c r="E3133" s="18" t="n">
        <v>0</v>
      </c>
      <c r="F3133" s="18" t="s">
        <v>11540</v>
      </c>
      <c r="G3133" s="18" t="s">
        <v>128</v>
      </c>
      <c r="H3133" s="18" t="s">
        <v>162</v>
      </c>
      <c r="I3133" s="18"/>
      <c r="J3133" s="18"/>
      <c r="K3133" s="18"/>
      <c r="L3133" s="18" t="s">
        <v>129</v>
      </c>
      <c r="M3133" s="18" t="s">
        <v>129</v>
      </c>
      <c r="N3133" s="18"/>
      <c r="O3133" s="18"/>
      <c r="P3133" s="18" t="s">
        <v>12977</v>
      </c>
      <c r="Q3133" s="18" t="s">
        <v>149</v>
      </c>
      <c r="R3133" s="18" t="s">
        <v>12978</v>
      </c>
      <c r="S3133" s="18" t="s">
        <v>133</v>
      </c>
      <c r="T3133" s="18" t="s">
        <v>12979</v>
      </c>
      <c r="U3133" s="18"/>
      <c r="V3133" s="19" t="s">
        <v>29</v>
      </c>
      <c r="W3133" s="19"/>
      <c r="X3133" s="19"/>
      <c r="Y3133" s="20"/>
      <c r="Z3133" s="19"/>
      <c r="AA3133" s="18" t="str">
        <f aca="false">IF(OR(V3133="Aprobada"),R3133,IF(AND(OR(V3133="Aprobada con ajuste",V3133="Rechazada"),W3133&lt;&gt;""),W3133,""))</f>
        <v/>
      </c>
    </row>
    <row r="3134" customFormat="false" ht="22.35" hidden="false" customHeight="false" outlineLevel="0" collapsed="false">
      <c r="A3134" s="18" t="s">
        <v>12980</v>
      </c>
      <c r="B3134" s="18" t="s">
        <v>80</v>
      </c>
      <c r="C3134" s="18" t="s">
        <v>81</v>
      </c>
      <c r="D3134" s="18" t="s">
        <v>12953</v>
      </c>
      <c r="E3134" s="18" t="n">
        <v>0</v>
      </c>
      <c r="F3134" s="18" t="s">
        <v>12236</v>
      </c>
      <c r="G3134" s="18" t="s">
        <v>454</v>
      </c>
      <c r="H3134" s="18" t="s">
        <v>162</v>
      </c>
      <c r="I3134" s="18"/>
      <c r="J3134" s="18"/>
      <c r="K3134" s="18"/>
      <c r="L3134" s="18" t="s">
        <v>129</v>
      </c>
      <c r="M3134" s="18" t="s">
        <v>129</v>
      </c>
      <c r="N3134" s="18"/>
      <c r="O3134" s="18"/>
      <c r="P3134" s="18" t="s">
        <v>12981</v>
      </c>
      <c r="Q3134" s="18" t="s">
        <v>138</v>
      </c>
      <c r="R3134" s="18" t="s">
        <v>11455</v>
      </c>
      <c r="S3134" s="18" t="s">
        <v>140</v>
      </c>
      <c r="T3134" s="18" t="s">
        <v>141</v>
      </c>
      <c r="U3134" s="18"/>
      <c r="V3134" s="19" t="s">
        <v>29</v>
      </c>
      <c r="W3134" s="19"/>
      <c r="X3134" s="19"/>
      <c r="Y3134" s="20"/>
      <c r="Z3134" s="19"/>
      <c r="AA3134" s="18" t="str">
        <f aca="false">IF(OR(V3134="Aprobada"),R3134,IF(AND(OR(V3134="Aprobada con ajuste",V3134="Rechazada"),W3134&lt;&gt;""),W3134,""))</f>
        <v/>
      </c>
    </row>
    <row r="3135" customFormat="false" ht="85.05" hidden="false" customHeight="false" outlineLevel="0" collapsed="false">
      <c r="A3135" s="18" t="s">
        <v>12982</v>
      </c>
      <c r="B3135" s="18" t="s">
        <v>80</v>
      </c>
      <c r="C3135" s="18" t="s">
        <v>81</v>
      </c>
      <c r="D3135" s="18" t="s">
        <v>12983</v>
      </c>
      <c r="E3135" s="18" t="n">
        <v>1</v>
      </c>
      <c r="F3135" s="18" t="s">
        <v>12954</v>
      </c>
      <c r="G3135" s="18" t="s">
        <v>205</v>
      </c>
      <c r="H3135" s="18" t="s">
        <v>129</v>
      </c>
      <c r="I3135" s="18" t="s">
        <v>298</v>
      </c>
      <c r="J3135" s="18" t="s">
        <v>12955</v>
      </c>
      <c r="K3135" s="18"/>
      <c r="L3135" s="18" t="s">
        <v>162</v>
      </c>
      <c r="M3135" s="18" t="s">
        <v>129</v>
      </c>
      <c r="N3135" s="18"/>
      <c r="O3135" s="18" t="s">
        <v>12984</v>
      </c>
      <c r="P3135" s="18" t="s">
        <v>12985</v>
      </c>
      <c r="Q3135" s="18" t="s">
        <v>131</v>
      </c>
      <c r="R3135" s="18" t="s">
        <v>12986</v>
      </c>
      <c r="S3135" s="18" t="s">
        <v>133</v>
      </c>
      <c r="T3135" s="18" t="s">
        <v>12987</v>
      </c>
      <c r="U3135" s="18"/>
      <c r="V3135" s="19" t="s">
        <v>29</v>
      </c>
      <c r="W3135" s="19"/>
      <c r="X3135" s="19"/>
      <c r="Y3135" s="20"/>
      <c r="Z3135" s="19"/>
      <c r="AA3135" s="18" t="str">
        <f aca="false">IF(OR(V3135="Aprobada"),R3135,IF(AND(OR(V3135="Aprobada con ajuste",V3135="Rechazada"),W3135&lt;&gt;""),W3135,""))</f>
        <v/>
      </c>
    </row>
    <row r="3136" customFormat="false" ht="85.05" hidden="false" customHeight="false" outlineLevel="0" collapsed="false">
      <c r="A3136" s="18" t="s">
        <v>12988</v>
      </c>
      <c r="B3136" s="18" t="s">
        <v>80</v>
      </c>
      <c r="C3136" s="18" t="s">
        <v>81</v>
      </c>
      <c r="D3136" s="18" t="s">
        <v>12983</v>
      </c>
      <c r="E3136" s="18" t="n">
        <v>1</v>
      </c>
      <c r="F3136" s="18" t="s">
        <v>11447</v>
      </c>
      <c r="G3136" s="18" t="s">
        <v>137</v>
      </c>
      <c r="H3136" s="18" t="s">
        <v>129</v>
      </c>
      <c r="I3136" s="18"/>
      <c r="J3136" s="18"/>
      <c r="K3136" s="18"/>
      <c r="L3136" s="18" t="s">
        <v>129</v>
      </c>
      <c r="M3136" s="18" t="s">
        <v>129</v>
      </c>
      <c r="N3136" s="18"/>
      <c r="O3136" s="18"/>
      <c r="P3136" s="18" t="s">
        <v>12989</v>
      </c>
      <c r="Q3136" s="18" t="s">
        <v>131</v>
      </c>
      <c r="R3136" s="18" t="s">
        <v>12990</v>
      </c>
      <c r="S3136" s="18" t="s">
        <v>133</v>
      </c>
      <c r="T3136" s="18" t="s">
        <v>12991</v>
      </c>
      <c r="U3136" s="18"/>
      <c r="V3136" s="19" t="s">
        <v>29</v>
      </c>
      <c r="W3136" s="19"/>
      <c r="X3136" s="19"/>
      <c r="Y3136" s="20"/>
      <c r="Z3136" s="19"/>
      <c r="AA3136" s="18" t="str">
        <f aca="false">IF(OR(V3136="Aprobada"),R3136,IF(AND(OR(V3136="Aprobada con ajuste",V3136="Rechazada"),W3136&lt;&gt;""),W3136,""))</f>
        <v/>
      </c>
    </row>
    <row r="3137" customFormat="false" ht="64.15" hidden="false" customHeight="false" outlineLevel="0" collapsed="false">
      <c r="A3137" s="18" t="s">
        <v>12992</v>
      </c>
      <c r="B3137" s="18" t="s">
        <v>80</v>
      </c>
      <c r="C3137" s="18" t="s">
        <v>81</v>
      </c>
      <c r="D3137" s="18" t="s">
        <v>12983</v>
      </c>
      <c r="E3137" s="18" t="n">
        <v>1</v>
      </c>
      <c r="F3137" s="18" t="s">
        <v>12283</v>
      </c>
      <c r="G3137" s="18" t="s">
        <v>503</v>
      </c>
      <c r="H3137" s="18" t="s">
        <v>162</v>
      </c>
      <c r="I3137" s="18" t="s">
        <v>298</v>
      </c>
      <c r="J3137" s="18"/>
      <c r="K3137" s="18"/>
      <c r="L3137" s="18" t="s">
        <v>129</v>
      </c>
      <c r="M3137" s="18" t="s">
        <v>129</v>
      </c>
      <c r="N3137" s="18"/>
      <c r="O3137" s="18"/>
      <c r="P3137" s="18" t="s">
        <v>12993</v>
      </c>
      <c r="Q3137" s="18" t="s">
        <v>131</v>
      </c>
      <c r="R3137" s="18" t="s">
        <v>12966</v>
      </c>
      <c r="S3137" s="18" t="s">
        <v>133</v>
      </c>
      <c r="T3137" s="18" t="s">
        <v>12994</v>
      </c>
      <c r="U3137" s="18"/>
      <c r="V3137" s="19" t="s">
        <v>29</v>
      </c>
      <c r="W3137" s="19"/>
      <c r="X3137" s="19"/>
      <c r="Y3137" s="20"/>
      <c r="Z3137" s="19"/>
      <c r="AA3137" s="18" t="str">
        <f aca="false">IF(OR(V3137="Aprobada"),R3137,IF(AND(OR(V3137="Aprobada con ajuste",V3137="Rechazada"),W3137&lt;&gt;""),W3137,""))</f>
        <v/>
      </c>
    </row>
    <row r="3138" customFormat="false" ht="22.35" hidden="false" customHeight="false" outlineLevel="0" collapsed="false">
      <c r="A3138" s="18" t="s">
        <v>12995</v>
      </c>
      <c r="B3138" s="18" t="s">
        <v>80</v>
      </c>
      <c r="C3138" s="18" t="s">
        <v>81</v>
      </c>
      <c r="D3138" s="18" t="s">
        <v>12983</v>
      </c>
      <c r="E3138" s="18" t="n">
        <v>1</v>
      </c>
      <c r="F3138" s="18" t="s">
        <v>6639</v>
      </c>
      <c r="G3138" s="18" t="s">
        <v>137</v>
      </c>
      <c r="H3138" s="18" t="s">
        <v>162</v>
      </c>
      <c r="I3138" s="18" t="s">
        <v>298</v>
      </c>
      <c r="J3138" s="18"/>
      <c r="K3138" s="18"/>
      <c r="L3138" s="18" t="s">
        <v>129</v>
      </c>
      <c r="M3138" s="18" t="s">
        <v>129</v>
      </c>
      <c r="N3138" s="18"/>
      <c r="O3138" s="18"/>
      <c r="P3138" s="18" t="s">
        <v>12996</v>
      </c>
      <c r="Q3138" s="18" t="s">
        <v>138</v>
      </c>
      <c r="R3138" s="18" t="s">
        <v>6640</v>
      </c>
      <c r="S3138" s="18" t="s">
        <v>140</v>
      </c>
      <c r="T3138" s="18" t="s">
        <v>141</v>
      </c>
      <c r="U3138" s="18"/>
      <c r="V3138" s="19" t="s">
        <v>29</v>
      </c>
      <c r="W3138" s="19"/>
      <c r="X3138" s="19"/>
      <c r="Y3138" s="20"/>
      <c r="Z3138" s="19"/>
      <c r="AA3138" s="18" t="str">
        <f aca="false">IF(OR(V3138="Aprobada"),R3138,IF(AND(OR(V3138="Aprobada con ajuste",V3138="Rechazada"),W3138&lt;&gt;""),W3138,""))</f>
        <v/>
      </c>
    </row>
    <row r="3139" customFormat="false" ht="32.8" hidden="false" customHeight="false" outlineLevel="0" collapsed="false">
      <c r="A3139" s="18" t="s">
        <v>12997</v>
      </c>
      <c r="B3139" s="18" t="s">
        <v>80</v>
      </c>
      <c r="C3139" s="18" t="s">
        <v>81</v>
      </c>
      <c r="D3139" s="18" t="s">
        <v>12983</v>
      </c>
      <c r="E3139" s="18" t="n">
        <v>1</v>
      </c>
      <c r="F3139" s="18" t="s">
        <v>12971</v>
      </c>
      <c r="G3139" s="18" t="s">
        <v>282</v>
      </c>
      <c r="H3139" s="18" t="s">
        <v>162</v>
      </c>
      <c r="I3139" s="18"/>
      <c r="J3139" s="18"/>
      <c r="K3139" s="18"/>
      <c r="L3139" s="18" t="s">
        <v>129</v>
      </c>
      <c r="M3139" s="18" t="s">
        <v>129</v>
      </c>
      <c r="N3139" s="18"/>
      <c r="O3139" s="18"/>
      <c r="P3139" s="18" t="s">
        <v>12998</v>
      </c>
      <c r="Q3139" s="18" t="s">
        <v>149</v>
      </c>
      <c r="R3139" s="18" t="s">
        <v>12973</v>
      </c>
      <c r="S3139" s="18" t="s">
        <v>140</v>
      </c>
      <c r="T3139" s="18" t="s">
        <v>12974</v>
      </c>
      <c r="U3139" s="18" t="s">
        <v>12975</v>
      </c>
      <c r="V3139" s="19" t="s">
        <v>29</v>
      </c>
      <c r="W3139" s="19"/>
      <c r="X3139" s="19"/>
      <c r="Y3139" s="20"/>
      <c r="Z3139" s="19"/>
      <c r="AA3139" s="18" t="str">
        <f aca="false">IF(OR(V3139="Aprobada"),R3139,IF(AND(OR(V3139="Aprobada con ajuste",V3139="Rechazada"),W3139&lt;&gt;""),W3139,""))</f>
        <v/>
      </c>
    </row>
    <row r="3140" customFormat="false" ht="95.5" hidden="false" customHeight="false" outlineLevel="0" collapsed="false">
      <c r="A3140" s="18" t="s">
        <v>12999</v>
      </c>
      <c r="B3140" s="18" t="s">
        <v>80</v>
      </c>
      <c r="C3140" s="18" t="s">
        <v>81</v>
      </c>
      <c r="D3140" s="18" t="s">
        <v>12983</v>
      </c>
      <c r="E3140" s="18" t="n">
        <v>1</v>
      </c>
      <c r="F3140" s="18" t="s">
        <v>11540</v>
      </c>
      <c r="G3140" s="18" t="s">
        <v>128</v>
      </c>
      <c r="H3140" s="18" t="s">
        <v>162</v>
      </c>
      <c r="I3140" s="18"/>
      <c r="J3140" s="18"/>
      <c r="K3140" s="18"/>
      <c r="L3140" s="18" t="s">
        <v>129</v>
      </c>
      <c r="M3140" s="18" t="s">
        <v>129</v>
      </c>
      <c r="N3140" s="18"/>
      <c r="O3140" s="18"/>
      <c r="P3140" s="18" t="s">
        <v>13000</v>
      </c>
      <c r="Q3140" s="18" t="s">
        <v>149</v>
      </c>
      <c r="R3140" s="18" t="s">
        <v>12978</v>
      </c>
      <c r="S3140" s="18" t="s">
        <v>133</v>
      </c>
      <c r="T3140" s="18" t="s">
        <v>12979</v>
      </c>
      <c r="U3140" s="18"/>
      <c r="V3140" s="19" t="s">
        <v>29</v>
      </c>
      <c r="W3140" s="19"/>
      <c r="X3140" s="19"/>
      <c r="Y3140" s="20"/>
      <c r="Z3140" s="19"/>
      <c r="AA3140" s="18" t="str">
        <f aca="false">IF(OR(V3140="Aprobada"),R3140,IF(AND(OR(V3140="Aprobada con ajuste",V3140="Rechazada"),W3140&lt;&gt;""),W3140,""))</f>
        <v/>
      </c>
    </row>
    <row r="3141" customFormat="false" ht="22.35" hidden="false" customHeight="false" outlineLevel="0" collapsed="false">
      <c r="A3141" s="18" t="s">
        <v>13001</v>
      </c>
      <c r="B3141" s="18" t="s">
        <v>80</v>
      </c>
      <c r="C3141" s="18" t="s">
        <v>81</v>
      </c>
      <c r="D3141" s="18" t="s">
        <v>12983</v>
      </c>
      <c r="E3141" s="18" t="n">
        <v>1</v>
      </c>
      <c r="F3141" s="18" t="s">
        <v>12236</v>
      </c>
      <c r="G3141" s="18" t="s">
        <v>454</v>
      </c>
      <c r="H3141" s="18" t="s">
        <v>162</v>
      </c>
      <c r="I3141" s="18"/>
      <c r="J3141" s="18"/>
      <c r="K3141" s="18"/>
      <c r="L3141" s="18" t="s">
        <v>129</v>
      </c>
      <c r="M3141" s="18" t="s">
        <v>129</v>
      </c>
      <c r="N3141" s="18"/>
      <c r="O3141" s="18"/>
      <c r="P3141" s="18" t="s">
        <v>13002</v>
      </c>
      <c r="Q3141" s="18" t="s">
        <v>138</v>
      </c>
      <c r="R3141" s="18" t="s">
        <v>11455</v>
      </c>
      <c r="S3141" s="18" t="s">
        <v>140</v>
      </c>
      <c r="T3141" s="18" t="s">
        <v>141</v>
      </c>
      <c r="U3141" s="18"/>
      <c r="V3141" s="19" t="s">
        <v>29</v>
      </c>
      <c r="W3141" s="19"/>
      <c r="X3141" s="19"/>
      <c r="Y3141" s="20"/>
      <c r="Z3141" s="19"/>
      <c r="AA3141" s="18" t="str">
        <f aca="false">IF(OR(V3141="Aprobada"),R3141,IF(AND(OR(V3141="Aprobada con ajuste",V3141="Rechazada"),W3141&lt;&gt;""),W3141,""))</f>
        <v/>
      </c>
    </row>
    <row r="3142" customFormat="false" ht="53.7" hidden="false" customHeight="false" outlineLevel="0" collapsed="false">
      <c r="A3142" s="18" t="s">
        <v>13003</v>
      </c>
      <c r="B3142" s="18" t="s">
        <v>80</v>
      </c>
      <c r="C3142" s="18" t="s">
        <v>81</v>
      </c>
      <c r="D3142" s="18" t="s">
        <v>13004</v>
      </c>
      <c r="E3142" s="18" t="n">
        <v>0</v>
      </c>
      <c r="F3142" s="18" t="s">
        <v>11447</v>
      </c>
      <c r="G3142" s="18" t="s">
        <v>137</v>
      </c>
      <c r="H3142" s="18" t="s">
        <v>129</v>
      </c>
      <c r="I3142" s="18"/>
      <c r="J3142" s="18"/>
      <c r="K3142" s="18"/>
      <c r="L3142" s="18" t="s">
        <v>129</v>
      </c>
      <c r="M3142" s="18" t="s">
        <v>129</v>
      </c>
      <c r="N3142" s="18"/>
      <c r="O3142" s="18"/>
      <c r="P3142" s="18" t="s">
        <v>13005</v>
      </c>
      <c r="Q3142" s="18" t="s">
        <v>131</v>
      </c>
      <c r="R3142" s="18" t="s">
        <v>13006</v>
      </c>
      <c r="S3142" s="18" t="s">
        <v>133</v>
      </c>
      <c r="T3142" s="18" t="s">
        <v>13007</v>
      </c>
      <c r="U3142" s="18"/>
      <c r="V3142" s="19" t="s">
        <v>29</v>
      </c>
      <c r="W3142" s="19"/>
      <c r="X3142" s="19"/>
      <c r="Y3142" s="20"/>
      <c r="Z3142" s="19"/>
      <c r="AA3142" s="18" t="str">
        <f aca="false">IF(OR(V3142="Aprobada"),R3142,IF(AND(OR(V3142="Aprobada con ajuste",V3142="Rechazada"),W3142&lt;&gt;""),W3142,""))</f>
        <v/>
      </c>
    </row>
    <row r="3143" customFormat="false" ht="32.8" hidden="false" customHeight="false" outlineLevel="0" collapsed="false">
      <c r="A3143" s="18" t="s">
        <v>13008</v>
      </c>
      <c r="B3143" s="18" t="s">
        <v>80</v>
      </c>
      <c r="C3143" s="18" t="s">
        <v>81</v>
      </c>
      <c r="D3143" s="18" t="s">
        <v>13004</v>
      </c>
      <c r="E3143" s="18" t="n">
        <v>0</v>
      </c>
      <c r="F3143" s="18" t="s">
        <v>12971</v>
      </c>
      <c r="G3143" s="18" t="s">
        <v>282</v>
      </c>
      <c r="H3143" s="18" t="s">
        <v>162</v>
      </c>
      <c r="I3143" s="18"/>
      <c r="J3143" s="18"/>
      <c r="K3143" s="18"/>
      <c r="L3143" s="18" t="s">
        <v>129</v>
      </c>
      <c r="M3143" s="18" t="s">
        <v>129</v>
      </c>
      <c r="N3143" s="18"/>
      <c r="O3143" s="18"/>
      <c r="P3143" s="18" t="s">
        <v>13009</v>
      </c>
      <c r="Q3143" s="18" t="s">
        <v>149</v>
      </c>
      <c r="R3143" s="18" t="s">
        <v>13010</v>
      </c>
      <c r="S3143" s="18" t="s">
        <v>140</v>
      </c>
      <c r="T3143" s="18" t="s">
        <v>13011</v>
      </c>
      <c r="U3143" s="18" t="s">
        <v>13012</v>
      </c>
      <c r="V3143" s="19" t="s">
        <v>29</v>
      </c>
      <c r="W3143" s="19"/>
      <c r="X3143" s="19"/>
      <c r="Y3143" s="20"/>
      <c r="Z3143" s="19"/>
      <c r="AA3143" s="18" t="str">
        <f aca="false">IF(OR(V3143="Aprobada"),R3143,IF(AND(OR(V3143="Aprobada con ajuste",V3143="Rechazada"),W3143&lt;&gt;""),W3143,""))</f>
        <v/>
      </c>
    </row>
    <row r="3144" customFormat="false" ht="105.95" hidden="false" customHeight="false" outlineLevel="0" collapsed="false">
      <c r="A3144" s="18" t="s">
        <v>13013</v>
      </c>
      <c r="B3144" s="18" t="s">
        <v>80</v>
      </c>
      <c r="C3144" s="18" t="s">
        <v>81</v>
      </c>
      <c r="D3144" s="18" t="s">
        <v>13004</v>
      </c>
      <c r="E3144" s="18" t="n">
        <v>0</v>
      </c>
      <c r="F3144" s="18" t="s">
        <v>11540</v>
      </c>
      <c r="G3144" s="18" t="s">
        <v>128</v>
      </c>
      <c r="H3144" s="18" t="s">
        <v>162</v>
      </c>
      <c r="I3144" s="18"/>
      <c r="J3144" s="18"/>
      <c r="K3144" s="18"/>
      <c r="L3144" s="18" t="s">
        <v>129</v>
      </c>
      <c r="M3144" s="18" t="s">
        <v>129</v>
      </c>
      <c r="N3144" s="18"/>
      <c r="O3144" s="18"/>
      <c r="P3144" s="18" t="s">
        <v>13014</v>
      </c>
      <c r="Q3144" s="18" t="s">
        <v>149</v>
      </c>
      <c r="R3144" s="18" t="s">
        <v>13015</v>
      </c>
      <c r="S3144" s="18" t="s">
        <v>133</v>
      </c>
      <c r="T3144" s="18" t="s">
        <v>13016</v>
      </c>
      <c r="U3144" s="18"/>
      <c r="V3144" s="19" t="s">
        <v>29</v>
      </c>
      <c r="W3144" s="19"/>
      <c r="X3144" s="19"/>
      <c r="Y3144" s="20"/>
      <c r="Z3144" s="19"/>
      <c r="AA3144" s="18" t="str">
        <f aca="false">IF(OR(V3144="Aprobada"),R3144,IF(AND(OR(V3144="Aprobada con ajuste",V3144="Rechazada"),W3144&lt;&gt;""),W3144,""))</f>
        <v/>
      </c>
    </row>
    <row r="3145" customFormat="false" ht="22.35" hidden="false" customHeight="false" outlineLevel="0" collapsed="false">
      <c r="A3145" s="18" t="s">
        <v>13017</v>
      </c>
      <c r="B3145" s="18" t="s">
        <v>80</v>
      </c>
      <c r="C3145" s="18" t="s">
        <v>81</v>
      </c>
      <c r="D3145" s="18" t="s">
        <v>13004</v>
      </c>
      <c r="E3145" s="18" t="n">
        <v>0</v>
      </c>
      <c r="F3145" s="18" t="s">
        <v>11453</v>
      </c>
      <c r="G3145" s="18" t="s">
        <v>454</v>
      </c>
      <c r="H3145" s="18" t="s">
        <v>162</v>
      </c>
      <c r="I3145" s="18"/>
      <c r="J3145" s="18"/>
      <c r="K3145" s="18"/>
      <c r="L3145" s="18" t="s">
        <v>129</v>
      </c>
      <c r="M3145" s="18" t="s">
        <v>129</v>
      </c>
      <c r="N3145" s="18"/>
      <c r="O3145" s="18"/>
      <c r="P3145" s="18" t="s">
        <v>13018</v>
      </c>
      <c r="Q3145" s="18" t="s">
        <v>138</v>
      </c>
      <c r="R3145" s="18" t="s">
        <v>11455</v>
      </c>
      <c r="S3145" s="18" t="s">
        <v>140</v>
      </c>
      <c r="T3145" s="18" t="s">
        <v>141</v>
      </c>
      <c r="U3145" s="18"/>
      <c r="V3145" s="19" t="s">
        <v>29</v>
      </c>
      <c r="W3145" s="19"/>
      <c r="X3145" s="19"/>
      <c r="Y3145" s="20"/>
      <c r="Z3145" s="19"/>
      <c r="AA3145" s="18" t="str">
        <f aca="false">IF(OR(V3145="Aprobada"),R3145,IF(AND(OR(V3145="Aprobada con ajuste",V3145="Rechazada"),W3145&lt;&gt;""),W3145,""))</f>
        <v/>
      </c>
    </row>
    <row r="3146" customFormat="false" ht="22.35" hidden="false" customHeight="false" outlineLevel="0" collapsed="false">
      <c r="A3146" s="18" t="s">
        <v>13019</v>
      </c>
      <c r="B3146" s="18" t="s">
        <v>80</v>
      </c>
      <c r="C3146" s="18" t="s">
        <v>81</v>
      </c>
      <c r="D3146" s="18" t="s">
        <v>13020</v>
      </c>
      <c r="E3146" s="18" t="n">
        <v>3</v>
      </c>
      <c r="F3146" s="18" t="s">
        <v>326</v>
      </c>
      <c r="G3146" s="18" t="s">
        <v>137</v>
      </c>
      <c r="H3146" s="18" t="s">
        <v>162</v>
      </c>
      <c r="I3146" s="18" t="s">
        <v>298</v>
      </c>
      <c r="J3146" s="18"/>
      <c r="K3146" s="18"/>
      <c r="L3146" s="18" t="s">
        <v>129</v>
      </c>
      <c r="M3146" s="18" t="s">
        <v>129</v>
      </c>
      <c r="N3146" s="18"/>
      <c r="O3146" s="18" t="s">
        <v>13021</v>
      </c>
      <c r="P3146" s="18" t="s">
        <v>13022</v>
      </c>
      <c r="Q3146" s="18" t="s">
        <v>138</v>
      </c>
      <c r="R3146" s="18" t="s">
        <v>328</v>
      </c>
      <c r="S3146" s="18" t="s">
        <v>140</v>
      </c>
      <c r="T3146" s="18" t="s">
        <v>141</v>
      </c>
      <c r="U3146" s="18"/>
      <c r="V3146" s="19" t="s">
        <v>29</v>
      </c>
      <c r="W3146" s="19"/>
      <c r="X3146" s="19"/>
      <c r="Y3146" s="20"/>
      <c r="Z3146" s="19"/>
      <c r="AA3146" s="18" t="str">
        <f aca="false">IF(OR(V3146="Aprobada"),R3146,IF(AND(OR(V3146="Aprobada con ajuste",V3146="Rechazada"),W3146&lt;&gt;""),W3146,""))</f>
        <v/>
      </c>
    </row>
    <row r="3147" customFormat="false" ht="53.7" hidden="false" customHeight="false" outlineLevel="0" collapsed="false">
      <c r="A3147" s="18" t="s">
        <v>13023</v>
      </c>
      <c r="B3147" s="18" t="s">
        <v>80</v>
      </c>
      <c r="C3147" s="18" t="s">
        <v>81</v>
      </c>
      <c r="D3147" s="18" t="s">
        <v>13020</v>
      </c>
      <c r="E3147" s="18" t="n">
        <v>3</v>
      </c>
      <c r="F3147" s="18" t="s">
        <v>12971</v>
      </c>
      <c r="G3147" s="18" t="s">
        <v>2900</v>
      </c>
      <c r="H3147" s="18" t="s">
        <v>162</v>
      </c>
      <c r="I3147" s="18"/>
      <c r="J3147" s="18"/>
      <c r="K3147" s="18"/>
      <c r="L3147" s="18" t="s">
        <v>129</v>
      </c>
      <c r="M3147" s="18" t="s">
        <v>129</v>
      </c>
      <c r="N3147" s="18"/>
      <c r="O3147" s="18"/>
      <c r="P3147" s="18" t="s">
        <v>13024</v>
      </c>
      <c r="Q3147" s="18" t="s">
        <v>131</v>
      </c>
      <c r="R3147" s="18" t="s">
        <v>13025</v>
      </c>
      <c r="S3147" s="18" t="s">
        <v>140</v>
      </c>
      <c r="T3147" s="18" t="s">
        <v>13026</v>
      </c>
      <c r="U3147" s="18" t="s">
        <v>13027</v>
      </c>
      <c r="V3147" s="19" t="s">
        <v>29</v>
      </c>
      <c r="W3147" s="19"/>
      <c r="X3147" s="19"/>
      <c r="Y3147" s="20"/>
      <c r="Z3147" s="19"/>
      <c r="AA3147" s="18" t="str">
        <f aca="false">IF(OR(V3147="Aprobada"),R3147,IF(AND(OR(V3147="Aprobada con ajuste",V3147="Rechazada"),W3147&lt;&gt;""),W3147,""))</f>
        <v/>
      </c>
    </row>
    <row r="3148" customFormat="false" ht="105.95" hidden="false" customHeight="false" outlineLevel="0" collapsed="false">
      <c r="A3148" s="18" t="s">
        <v>13028</v>
      </c>
      <c r="B3148" s="18" t="s">
        <v>80</v>
      </c>
      <c r="C3148" s="18" t="s">
        <v>81</v>
      </c>
      <c r="D3148" s="18" t="s">
        <v>13020</v>
      </c>
      <c r="E3148" s="18" t="n">
        <v>3</v>
      </c>
      <c r="F3148" s="18" t="s">
        <v>11540</v>
      </c>
      <c r="G3148" s="18" t="s">
        <v>128</v>
      </c>
      <c r="H3148" s="18" t="s">
        <v>162</v>
      </c>
      <c r="I3148" s="18"/>
      <c r="J3148" s="18"/>
      <c r="K3148" s="18"/>
      <c r="L3148" s="18" t="s">
        <v>129</v>
      </c>
      <c r="M3148" s="18" t="s">
        <v>129</v>
      </c>
      <c r="N3148" s="18"/>
      <c r="O3148" s="18"/>
      <c r="P3148" s="18" t="s">
        <v>13029</v>
      </c>
      <c r="Q3148" s="18" t="s">
        <v>131</v>
      </c>
      <c r="R3148" s="18" t="s">
        <v>13030</v>
      </c>
      <c r="S3148" s="18" t="s">
        <v>133</v>
      </c>
      <c r="T3148" s="18" t="s">
        <v>13031</v>
      </c>
      <c r="U3148" s="18"/>
      <c r="V3148" s="19" t="s">
        <v>29</v>
      </c>
      <c r="W3148" s="19"/>
      <c r="X3148" s="19"/>
      <c r="Y3148" s="20"/>
      <c r="Z3148" s="19"/>
      <c r="AA3148" s="18" t="str">
        <f aca="false">IF(OR(V3148="Aprobada"),R3148,IF(AND(OR(V3148="Aprobada con ajuste",V3148="Rechazada"),W3148&lt;&gt;""),W3148,""))</f>
        <v/>
      </c>
    </row>
    <row r="3149" customFormat="false" ht="116.4" hidden="false" customHeight="false" outlineLevel="0" collapsed="false">
      <c r="A3149" s="18" t="s">
        <v>13032</v>
      </c>
      <c r="B3149" s="18" t="s">
        <v>80</v>
      </c>
      <c r="C3149" s="18" t="s">
        <v>81</v>
      </c>
      <c r="D3149" s="18" t="s">
        <v>13020</v>
      </c>
      <c r="E3149" s="18" t="n">
        <v>3</v>
      </c>
      <c r="F3149" s="18" t="s">
        <v>12369</v>
      </c>
      <c r="G3149" s="18" t="s">
        <v>312</v>
      </c>
      <c r="H3149" s="18" t="s">
        <v>129</v>
      </c>
      <c r="I3149" s="18"/>
      <c r="J3149" s="18"/>
      <c r="K3149" s="18"/>
      <c r="L3149" s="18" t="s">
        <v>129</v>
      </c>
      <c r="M3149" s="18" t="s">
        <v>129</v>
      </c>
      <c r="N3149" s="18"/>
      <c r="O3149" s="18"/>
      <c r="P3149" s="18" t="s">
        <v>13033</v>
      </c>
      <c r="Q3149" s="18" t="s">
        <v>131</v>
      </c>
      <c r="R3149" s="18" t="s">
        <v>13034</v>
      </c>
      <c r="S3149" s="18" t="s">
        <v>133</v>
      </c>
      <c r="T3149" s="18" t="s">
        <v>13035</v>
      </c>
      <c r="U3149" s="18"/>
      <c r="V3149" s="19" t="s">
        <v>29</v>
      </c>
      <c r="W3149" s="19"/>
      <c r="X3149" s="19"/>
      <c r="Y3149" s="20"/>
      <c r="Z3149" s="19"/>
      <c r="AA3149" s="18" t="str">
        <f aca="false">IF(OR(V3149="Aprobada"),R3149,IF(AND(OR(V3149="Aprobada con ajuste",V3149="Rechazada"),W3149&lt;&gt;""),W3149,""))</f>
        <v/>
      </c>
    </row>
    <row r="3150" customFormat="false" ht="22.35" hidden="false" customHeight="false" outlineLevel="0" collapsed="false">
      <c r="A3150" s="18" t="s">
        <v>13036</v>
      </c>
      <c r="B3150" s="18" t="s">
        <v>80</v>
      </c>
      <c r="C3150" s="18" t="s">
        <v>81</v>
      </c>
      <c r="D3150" s="18" t="s">
        <v>13020</v>
      </c>
      <c r="E3150" s="18" t="n">
        <v>3</v>
      </c>
      <c r="F3150" s="18" t="s">
        <v>12236</v>
      </c>
      <c r="G3150" s="18" t="s">
        <v>11001</v>
      </c>
      <c r="H3150" s="18" t="s">
        <v>162</v>
      </c>
      <c r="I3150" s="18"/>
      <c r="J3150" s="18"/>
      <c r="K3150" s="18"/>
      <c r="L3150" s="18" t="s">
        <v>129</v>
      </c>
      <c r="M3150" s="18" t="s">
        <v>129</v>
      </c>
      <c r="N3150" s="18"/>
      <c r="O3150" s="18"/>
      <c r="P3150" s="18" t="s">
        <v>13037</v>
      </c>
      <c r="Q3150" s="18" t="s">
        <v>138</v>
      </c>
      <c r="R3150" s="18" t="s">
        <v>11455</v>
      </c>
      <c r="S3150" s="18" t="s">
        <v>140</v>
      </c>
      <c r="T3150" s="18" t="s">
        <v>141</v>
      </c>
      <c r="U3150" s="18"/>
      <c r="V3150" s="19" t="s">
        <v>29</v>
      </c>
      <c r="W3150" s="19"/>
      <c r="X3150" s="19"/>
      <c r="Y3150" s="20"/>
      <c r="Z3150" s="19"/>
      <c r="AA3150" s="18" t="str">
        <f aca="false">IF(OR(V3150="Aprobada"),R3150,IF(AND(OR(V3150="Aprobada con ajuste",V3150="Rechazada"),W3150&lt;&gt;""),W3150,""))</f>
        <v/>
      </c>
    </row>
    <row r="3151" customFormat="false" ht="74.6" hidden="false" customHeight="false" outlineLevel="0" collapsed="false">
      <c r="A3151" s="18" t="s">
        <v>13038</v>
      </c>
      <c r="B3151" s="18" t="s">
        <v>80</v>
      </c>
      <c r="C3151" s="18" t="s">
        <v>81</v>
      </c>
      <c r="D3151" s="18" t="s">
        <v>13020</v>
      </c>
      <c r="E3151" s="18" t="n">
        <v>3</v>
      </c>
      <c r="F3151" s="18" t="s">
        <v>11463</v>
      </c>
      <c r="G3151" s="18" t="s">
        <v>584</v>
      </c>
      <c r="H3151" s="18" t="s">
        <v>162</v>
      </c>
      <c r="I3151" s="18" t="s">
        <v>298</v>
      </c>
      <c r="J3151" s="18"/>
      <c r="K3151" s="18"/>
      <c r="L3151" s="18" t="s">
        <v>129</v>
      </c>
      <c r="M3151" s="18" t="s">
        <v>129</v>
      </c>
      <c r="N3151" s="18"/>
      <c r="O3151" s="18"/>
      <c r="P3151" s="18" t="s">
        <v>13039</v>
      </c>
      <c r="Q3151" s="18" t="s">
        <v>131</v>
      </c>
      <c r="R3151" s="18" t="s">
        <v>13040</v>
      </c>
      <c r="S3151" s="18" t="s">
        <v>133</v>
      </c>
      <c r="T3151" s="18" t="s">
        <v>13041</v>
      </c>
      <c r="U3151" s="18"/>
      <c r="V3151" s="19" t="s">
        <v>29</v>
      </c>
      <c r="W3151" s="19"/>
      <c r="X3151" s="19"/>
      <c r="Y3151" s="20"/>
      <c r="Z3151" s="19"/>
      <c r="AA3151" s="18" t="str">
        <f aca="false">IF(OR(V3151="Aprobada"),R3151,IF(AND(OR(V3151="Aprobada con ajuste",V3151="Rechazada"),W3151&lt;&gt;""),W3151,""))</f>
        <v/>
      </c>
    </row>
    <row r="3152" customFormat="false" ht="22.35" hidden="false" customHeight="false" outlineLevel="0" collapsed="false">
      <c r="A3152" s="18" t="s">
        <v>13042</v>
      </c>
      <c r="B3152" s="18" t="s">
        <v>80</v>
      </c>
      <c r="C3152" s="18" t="s">
        <v>81</v>
      </c>
      <c r="D3152" s="18" t="s">
        <v>13020</v>
      </c>
      <c r="E3152" s="18" t="n">
        <v>3</v>
      </c>
      <c r="F3152" s="18" t="s">
        <v>11466</v>
      </c>
      <c r="G3152" s="18" t="s">
        <v>11001</v>
      </c>
      <c r="H3152" s="18" t="s">
        <v>162</v>
      </c>
      <c r="I3152" s="18"/>
      <c r="J3152" s="18"/>
      <c r="K3152" s="18"/>
      <c r="L3152" s="18" t="s">
        <v>129</v>
      </c>
      <c r="M3152" s="18" t="s">
        <v>129</v>
      </c>
      <c r="N3152" s="18"/>
      <c r="O3152" s="18"/>
      <c r="P3152" s="18" t="s">
        <v>13043</v>
      </c>
      <c r="Q3152" s="18" t="s">
        <v>138</v>
      </c>
      <c r="R3152" s="18" t="s">
        <v>11317</v>
      </c>
      <c r="S3152" s="18" t="s">
        <v>140</v>
      </c>
      <c r="T3152" s="18" t="s">
        <v>141</v>
      </c>
      <c r="U3152" s="18"/>
      <c r="V3152" s="19" t="s">
        <v>29</v>
      </c>
      <c r="W3152" s="19"/>
      <c r="X3152" s="19"/>
      <c r="Y3152" s="20"/>
      <c r="Z3152" s="19"/>
      <c r="AA3152" s="18" t="str">
        <f aca="false">IF(OR(V3152="Aprobada"),R3152,IF(AND(OR(V3152="Aprobada con ajuste",V3152="Rechazada"),W3152&lt;&gt;""),W3152,""))</f>
        <v/>
      </c>
    </row>
    <row r="3153" customFormat="false" ht="22.35" hidden="false" customHeight="false" outlineLevel="0" collapsed="false">
      <c r="A3153" s="18" t="s">
        <v>13044</v>
      </c>
      <c r="B3153" s="18" t="s">
        <v>80</v>
      </c>
      <c r="C3153" s="18" t="s">
        <v>81</v>
      </c>
      <c r="D3153" s="18" t="s">
        <v>13020</v>
      </c>
      <c r="E3153" s="18" t="n">
        <v>3</v>
      </c>
      <c r="F3153" s="18" t="s">
        <v>11319</v>
      </c>
      <c r="G3153" s="18" t="s">
        <v>128</v>
      </c>
      <c r="H3153" s="18" t="s">
        <v>162</v>
      </c>
      <c r="I3153" s="18" t="s">
        <v>298</v>
      </c>
      <c r="J3153" s="18"/>
      <c r="K3153" s="18"/>
      <c r="L3153" s="18" t="s">
        <v>129</v>
      </c>
      <c r="M3153" s="18" t="s">
        <v>129</v>
      </c>
      <c r="N3153" s="18"/>
      <c r="O3153" s="18"/>
      <c r="P3153" s="18" t="s">
        <v>13045</v>
      </c>
      <c r="Q3153" s="18" t="s">
        <v>138</v>
      </c>
      <c r="R3153" s="18" t="s">
        <v>11321</v>
      </c>
      <c r="S3153" s="18" t="s">
        <v>140</v>
      </c>
      <c r="T3153" s="18" t="s">
        <v>141</v>
      </c>
      <c r="U3153" s="18"/>
      <c r="V3153" s="19" t="s">
        <v>29</v>
      </c>
      <c r="W3153" s="19"/>
      <c r="X3153" s="19"/>
      <c r="Y3153" s="20"/>
      <c r="Z3153" s="19"/>
      <c r="AA3153" s="18" t="str">
        <f aca="false">IF(OR(V3153="Aprobada"),R3153,IF(AND(OR(V3153="Aprobada con ajuste",V3153="Rechazada"),W3153&lt;&gt;""),W3153,""))</f>
        <v/>
      </c>
    </row>
    <row r="3154" customFormat="false" ht="95.5" hidden="false" customHeight="false" outlineLevel="0" collapsed="false">
      <c r="A3154" s="18" t="s">
        <v>13046</v>
      </c>
      <c r="B3154" s="18" t="s">
        <v>80</v>
      </c>
      <c r="C3154" s="18" t="s">
        <v>81</v>
      </c>
      <c r="D3154" s="18" t="s">
        <v>13047</v>
      </c>
      <c r="E3154" s="18" t="n">
        <v>3</v>
      </c>
      <c r="F3154" s="18" t="s">
        <v>12283</v>
      </c>
      <c r="G3154" s="18" t="s">
        <v>503</v>
      </c>
      <c r="H3154" s="18" t="s">
        <v>162</v>
      </c>
      <c r="I3154" s="18"/>
      <c r="J3154" s="18"/>
      <c r="K3154" s="18"/>
      <c r="L3154" s="18" t="s">
        <v>129</v>
      </c>
      <c r="M3154" s="18" t="s">
        <v>129</v>
      </c>
      <c r="N3154" s="18"/>
      <c r="O3154" s="18"/>
      <c r="P3154" s="18" t="s">
        <v>13048</v>
      </c>
      <c r="Q3154" s="18" t="s">
        <v>131</v>
      </c>
      <c r="R3154" s="18" t="s">
        <v>13049</v>
      </c>
      <c r="S3154" s="18" t="s">
        <v>133</v>
      </c>
      <c r="T3154" s="18" t="s">
        <v>13050</v>
      </c>
      <c r="U3154" s="18"/>
      <c r="V3154" s="19" t="s">
        <v>29</v>
      </c>
      <c r="W3154" s="19"/>
      <c r="X3154" s="19"/>
      <c r="Y3154" s="20"/>
      <c r="Z3154" s="19"/>
      <c r="AA3154" s="18" t="str">
        <f aca="false">IF(OR(V3154="Aprobada"),R3154,IF(AND(OR(V3154="Aprobada con ajuste",V3154="Rechazada"),W3154&lt;&gt;""),W3154,""))</f>
        <v/>
      </c>
    </row>
    <row r="3155" customFormat="false" ht="22.35" hidden="false" customHeight="false" outlineLevel="0" collapsed="false">
      <c r="A3155" s="18" t="s">
        <v>13051</v>
      </c>
      <c r="B3155" s="18" t="s">
        <v>80</v>
      </c>
      <c r="C3155" s="18" t="s">
        <v>81</v>
      </c>
      <c r="D3155" s="18" t="s">
        <v>13047</v>
      </c>
      <c r="E3155" s="18" t="n">
        <v>3</v>
      </c>
      <c r="F3155" s="18" t="s">
        <v>185</v>
      </c>
      <c r="G3155" s="18" t="s">
        <v>205</v>
      </c>
      <c r="H3155" s="18" t="s">
        <v>129</v>
      </c>
      <c r="I3155" s="18" t="s">
        <v>298</v>
      </c>
      <c r="J3155" s="18" t="s">
        <v>13052</v>
      </c>
      <c r="K3155" s="18"/>
      <c r="L3155" s="18" t="s">
        <v>162</v>
      </c>
      <c r="M3155" s="18" t="s">
        <v>129</v>
      </c>
      <c r="N3155" s="18"/>
      <c r="O3155" s="18"/>
      <c r="P3155" s="18" t="s">
        <v>13053</v>
      </c>
      <c r="Q3155" s="18" t="s">
        <v>138</v>
      </c>
      <c r="R3155" s="18" t="s">
        <v>13054</v>
      </c>
      <c r="S3155" s="18" t="s">
        <v>140</v>
      </c>
      <c r="T3155" s="18" t="s">
        <v>141</v>
      </c>
      <c r="U3155" s="18"/>
      <c r="V3155" s="19" t="s">
        <v>29</v>
      </c>
      <c r="W3155" s="19"/>
      <c r="X3155" s="19"/>
      <c r="Y3155" s="20"/>
      <c r="Z3155" s="19"/>
      <c r="AA3155" s="18" t="str">
        <f aca="false">IF(OR(V3155="Aprobada"),R3155,IF(AND(OR(V3155="Aprobada con ajuste",V3155="Rechazada"),W3155&lt;&gt;""),W3155,""))</f>
        <v/>
      </c>
    </row>
    <row r="3156" customFormat="false" ht="22.35" hidden="false" customHeight="false" outlineLevel="0" collapsed="false">
      <c r="A3156" s="18" t="s">
        <v>13055</v>
      </c>
      <c r="B3156" s="18" t="s">
        <v>80</v>
      </c>
      <c r="C3156" s="18" t="s">
        <v>81</v>
      </c>
      <c r="D3156" s="18" t="s">
        <v>13047</v>
      </c>
      <c r="E3156" s="18" t="n">
        <v>3</v>
      </c>
      <c r="F3156" s="18" t="s">
        <v>13056</v>
      </c>
      <c r="G3156" s="18" t="s">
        <v>584</v>
      </c>
      <c r="H3156" s="18" t="s">
        <v>162</v>
      </c>
      <c r="I3156" s="18" t="s">
        <v>298</v>
      </c>
      <c r="J3156" s="18"/>
      <c r="K3156" s="18"/>
      <c r="L3156" s="18" t="s">
        <v>129</v>
      </c>
      <c r="M3156" s="18" t="s">
        <v>129</v>
      </c>
      <c r="N3156" s="18"/>
      <c r="O3156" s="18"/>
      <c r="P3156" s="18" t="s">
        <v>13057</v>
      </c>
      <c r="Q3156" s="18" t="s">
        <v>131</v>
      </c>
      <c r="R3156" s="18" t="s">
        <v>13058</v>
      </c>
      <c r="S3156" s="18" t="s">
        <v>133</v>
      </c>
      <c r="T3156" s="18" t="s">
        <v>13059</v>
      </c>
      <c r="U3156" s="18"/>
      <c r="V3156" s="19" t="s">
        <v>29</v>
      </c>
      <c r="W3156" s="19"/>
      <c r="X3156" s="19"/>
      <c r="Y3156" s="20"/>
      <c r="Z3156" s="19"/>
      <c r="AA3156" s="18" t="str">
        <f aca="false">IF(OR(V3156="Aprobada"),R3156,IF(AND(OR(V3156="Aprobada con ajuste",V3156="Rechazada"),W3156&lt;&gt;""),W3156,""))</f>
        <v/>
      </c>
    </row>
    <row r="3157" customFormat="false" ht="22.35" hidden="false" customHeight="false" outlineLevel="0" collapsed="false">
      <c r="A3157" s="18" t="s">
        <v>13060</v>
      </c>
      <c r="B3157" s="18" t="s">
        <v>80</v>
      </c>
      <c r="C3157" s="18" t="s">
        <v>81</v>
      </c>
      <c r="D3157" s="18" t="s">
        <v>13047</v>
      </c>
      <c r="E3157" s="18" t="n">
        <v>3</v>
      </c>
      <c r="F3157" s="18" t="s">
        <v>11231</v>
      </c>
      <c r="G3157" s="18" t="s">
        <v>454</v>
      </c>
      <c r="H3157" s="18" t="s">
        <v>162</v>
      </c>
      <c r="I3157" s="18"/>
      <c r="J3157" s="18"/>
      <c r="K3157" s="18"/>
      <c r="L3157" s="18" t="s">
        <v>129</v>
      </c>
      <c r="M3157" s="18" t="s">
        <v>129</v>
      </c>
      <c r="N3157" s="18"/>
      <c r="O3157" s="18"/>
      <c r="P3157" s="18" t="s">
        <v>13061</v>
      </c>
      <c r="Q3157" s="18" t="s">
        <v>138</v>
      </c>
      <c r="R3157" s="18" t="s">
        <v>11232</v>
      </c>
      <c r="S3157" s="18" t="s">
        <v>140</v>
      </c>
      <c r="T3157" s="18" t="s">
        <v>141</v>
      </c>
      <c r="U3157" s="18"/>
      <c r="V3157" s="19" t="s">
        <v>29</v>
      </c>
      <c r="W3157" s="19"/>
      <c r="X3157" s="19"/>
      <c r="Y3157" s="20"/>
      <c r="Z3157" s="19"/>
      <c r="AA3157" s="18" t="str">
        <f aca="false">IF(OR(V3157="Aprobada"),R3157,IF(AND(OR(V3157="Aprobada con ajuste",V3157="Rechazada"),W3157&lt;&gt;""),W3157,""))</f>
        <v/>
      </c>
    </row>
    <row r="3158" customFormat="false" ht="64.15" hidden="false" customHeight="false" outlineLevel="0" collapsed="false">
      <c r="A3158" s="18" t="s">
        <v>13062</v>
      </c>
      <c r="B3158" s="18" t="s">
        <v>80</v>
      </c>
      <c r="C3158" s="18" t="s">
        <v>81</v>
      </c>
      <c r="D3158" s="18" t="s">
        <v>13063</v>
      </c>
      <c r="E3158" s="18" t="n">
        <v>2</v>
      </c>
      <c r="F3158" s="18" t="s">
        <v>11366</v>
      </c>
      <c r="G3158" s="18" t="s">
        <v>128</v>
      </c>
      <c r="H3158" s="18" t="s">
        <v>129</v>
      </c>
      <c r="I3158" s="18"/>
      <c r="J3158" s="18"/>
      <c r="K3158" s="18"/>
      <c r="L3158" s="18" t="s">
        <v>129</v>
      </c>
      <c r="M3158" s="18" t="s">
        <v>129</v>
      </c>
      <c r="N3158" s="18"/>
      <c r="O3158" s="18"/>
      <c r="P3158" s="18" t="s">
        <v>13064</v>
      </c>
      <c r="Q3158" s="18" t="s">
        <v>149</v>
      </c>
      <c r="R3158" s="18" t="s">
        <v>13065</v>
      </c>
      <c r="S3158" s="18" t="s">
        <v>133</v>
      </c>
      <c r="T3158" s="18" t="s">
        <v>12584</v>
      </c>
      <c r="U3158" s="18"/>
      <c r="V3158" s="19" t="s">
        <v>29</v>
      </c>
      <c r="W3158" s="19"/>
      <c r="X3158" s="19"/>
      <c r="Y3158" s="20"/>
      <c r="Z3158" s="19"/>
      <c r="AA3158" s="18" t="str">
        <f aca="false">IF(OR(V3158="Aprobada"),R3158,IF(AND(OR(V3158="Aprobada con ajuste",V3158="Rechazada"),W3158&lt;&gt;""),W3158,""))</f>
        <v/>
      </c>
    </row>
    <row r="3159" customFormat="false" ht="32.8" hidden="false" customHeight="false" outlineLevel="0" collapsed="false">
      <c r="A3159" s="18" t="s">
        <v>13066</v>
      </c>
      <c r="B3159" s="18" t="s">
        <v>80</v>
      </c>
      <c r="C3159" s="18" t="s">
        <v>81</v>
      </c>
      <c r="D3159" s="18" t="s">
        <v>13063</v>
      </c>
      <c r="E3159" s="18" t="n">
        <v>2</v>
      </c>
      <c r="F3159" s="18" t="s">
        <v>7716</v>
      </c>
      <c r="G3159" s="18" t="s">
        <v>192</v>
      </c>
      <c r="H3159" s="18" t="s">
        <v>129</v>
      </c>
      <c r="I3159" s="18"/>
      <c r="J3159" s="18"/>
      <c r="K3159" s="18"/>
      <c r="L3159" s="18" t="s">
        <v>129</v>
      </c>
      <c r="M3159" s="18" t="s">
        <v>129</v>
      </c>
      <c r="N3159" s="18"/>
      <c r="O3159" s="18"/>
      <c r="P3159" s="18" t="s">
        <v>13067</v>
      </c>
      <c r="Q3159" s="18" t="s">
        <v>131</v>
      </c>
      <c r="R3159" s="18" t="s">
        <v>13068</v>
      </c>
      <c r="S3159" s="18" t="s">
        <v>140</v>
      </c>
      <c r="T3159" s="18" t="s">
        <v>13069</v>
      </c>
      <c r="U3159" s="18" t="s">
        <v>13070</v>
      </c>
      <c r="V3159" s="19" t="s">
        <v>29</v>
      </c>
      <c r="W3159" s="19"/>
      <c r="X3159" s="19"/>
      <c r="Y3159" s="20"/>
      <c r="Z3159" s="19"/>
      <c r="AA3159" s="18" t="str">
        <f aca="false">IF(OR(V3159="Aprobada"),R3159,IF(AND(OR(V3159="Aprobada con ajuste",V3159="Rechazada"),W3159&lt;&gt;""),W3159,""))</f>
        <v/>
      </c>
    </row>
    <row r="3160" customFormat="false" ht="22.35" hidden="false" customHeight="false" outlineLevel="0" collapsed="false">
      <c r="A3160" s="18" t="s">
        <v>13071</v>
      </c>
      <c r="B3160" s="18" t="s">
        <v>80</v>
      </c>
      <c r="C3160" s="18" t="s">
        <v>81</v>
      </c>
      <c r="D3160" s="18" t="s">
        <v>13063</v>
      </c>
      <c r="E3160" s="18" t="n">
        <v>2</v>
      </c>
      <c r="F3160" s="18" t="s">
        <v>185</v>
      </c>
      <c r="G3160" s="18" t="s">
        <v>205</v>
      </c>
      <c r="H3160" s="18" t="s">
        <v>129</v>
      </c>
      <c r="I3160" s="18" t="s">
        <v>298</v>
      </c>
      <c r="J3160" s="18" t="s">
        <v>11303</v>
      </c>
      <c r="K3160" s="18"/>
      <c r="L3160" s="18" t="s">
        <v>162</v>
      </c>
      <c r="M3160" s="18" t="s">
        <v>129</v>
      </c>
      <c r="N3160" s="18"/>
      <c r="O3160" s="18"/>
      <c r="P3160" s="18" t="s">
        <v>13072</v>
      </c>
      <c r="Q3160" s="18" t="s">
        <v>138</v>
      </c>
      <c r="R3160" s="18" t="s">
        <v>13073</v>
      </c>
      <c r="S3160" s="18" t="s">
        <v>140</v>
      </c>
      <c r="T3160" s="18" t="s">
        <v>141</v>
      </c>
      <c r="U3160" s="18"/>
      <c r="V3160" s="19" t="s">
        <v>29</v>
      </c>
      <c r="W3160" s="19"/>
      <c r="X3160" s="19"/>
      <c r="Y3160" s="20"/>
      <c r="Z3160" s="19"/>
      <c r="AA3160" s="18" t="str">
        <f aca="false">IF(OR(V3160="Aprobada"),R3160,IF(AND(OR(V3160="Aprobada con ajuste",V3160="Rechazada"),W3160&lt;&gt;""),W3160,""))</f>
        <v/>
      </c>
    </row>
    <row r="3161" customFormat="false" ht="22.35" hidden="false" customHeight="false" outlineLevel="0" collapsed="false">
      <c r="A3161" s="18" t="s">
        <v>13074</v>
      </c>
      <c r="B3161" s="18" t="s">
        <v>80</v>
      </c>
      <c r="C3161" s="18" t="s">
        <v>81</v>
      </c>
      <c r="D3161" s="18" t="s">
        <v>13063</v>
      </c>
      <c r="E3161" s="18" t="n">
        <v>2</v>
      </c>
      <c r="F3161" s="18" t="s">
        <v>11254</v>
      </c>
      <c r="G3161" s="18" t="s">
        <v>454</v>
      </c>
      <c r="H3161" s="18" t="s">
        <v>162</v>
      </c>
      <c r="I3161" s="18"/>
      <c r="J3161" s="18"/>
      <c r="K3161" s="18"/>
      <c r="L3161" s="18" t="s">
        <v>129</v>
      </c>
      <c r="M3161" s="18" t="s">
        <v>129</v>
      </c>
      <c r="N3161" s="18"/>
      <c r="O3161" s="18"/>
      <c r="P3161" s="18" t="s">
        <v>13075</v>
      </c>
      <c r="Q3161" s="18" t="s">
        <v>138</v>
      </c>
      <c r="R3161" s="18" t="s">
        <v>2017</v>
      </c>
      <c r="S3161" s="18" t="s">
        <v>140</v>
      </c>
      <c r="T3161" s="18" t="s">
        <v>141</v>
      </c>
      <c r="U3161" s="18"/>
      <c r="V3161" s="19" t="s">
        <v>29</v>
      </c>
      <c r="W3161" s="19"/>
      <c r="X3161" s="19"/>
      <c r="Y3161" s="20"/>
      <c r="Z3161" s="19"/>
      <c r="AA3161" s="18" t="str">
        <f aca="false">IF(OR(V3161="Aprobada"),R3161,IF(AND(OR(V3161="Aprobada con ajuste",V3161="Rechazada"),W3161&lt;&gt;""),W3161,""))</f>
        <v/>
      </c>
    </row>
    <row r="3162" customFormat="false" ht="22.35" hidden="false" customHeight="false" outlineLevel="0" collapsed="false">
      <c r="A3162" s="18" t="s">
        <v>13076</v>
      </c>
      <c r="B3162" s="18" t="s">
        <v>80</v>
      </c>
      <c r="C3162" s="18" t="s">
        <v>81</v>
      </c>
      <c r="D3162" s="18" t="s">
        <v>13063</v>
      </c>
      <c r="E3162" s="18" t="n">
        <v>2</v>
      </c>
      <c r="F3162" s="18" t="s">
        <v>13077</v>
      </c>
      <c r="G3162" s="18" t="s">
        <v>584</v>
      </c>
      <c r="H3162" s="18" t="s">
        <v>129</v>
      </c>
      <c r="I3162" s="18"/>
      <c r="J3162" s="18"/>
      <c r="K3162" s="18"/>
      <c r="L3162" s="18" t="s">
        <v>129</v>
      </c>
      <c r="M3162" s="18" t="s">
        <v>129</v>
      </c>
      <c r="N3162" s="18"/>
      <c r="O3162" s="18"/>
      <c r="P3162" s="18" t="s">
        <v>13078</v>
      </c>
      <c r="Q3162" s="18" t="s">
        <v>138</v>
      </c>
      <c r="R3162" s="18" t="s">
        <v>10934</v>
      </c>
      <c r="S3162" s="18" t="s">
        <v>140</v>
      </c>
      <c r="T3162" s="18" t="s">
        <v>141</v>
      </c>
      <c r="U3162" s="18"/>
      <c r="V3162" s="19" t="s">
        <v>29</v>
      </c>
      <c r="W3162" s="19"/>
      <c r="X3162" s="19"/>
      <c r="Y3162" s="20"/>
      <c r="Z3162" s="19"/>
      <c r="AA3162" s="18" t="str">
        <f aca="false">IF(OR(V3162="Aprobada"),R3162,IF(AND(OR(V3162="Aprobada con ajuste",V3162="Rechazada"),W3162&lt;&gt;""),W3162,""))</f>
        <v/>
      </c>
    </row>
    <row r="3163" customFormat="false" ht="22.35" hidden="false" customHeight="false" outlineLevel="0" collapsed="false">
      <c r="A3163" s="18" t="s">
        <v>13079</v>
      </c>
      <c r="B3163" s="18" t="s">
        <v>80</v>
      </c>
      <c r="C3163" s="18" t="s">
        <v>81</v>
      </c>
      <c r="D3163" s="18" t="s">
        <v>13063</v>
      </c>
      <c r="E3163" s="18" t="n">
        <v>2</v>
      </c>
      <c r="F3163" s="18" t="s">
        <v>11311</v>
      </c>
      <c r="G3163" s="18" t="s">
        <v>584</v>
      </c>
      <c r="H3163" s="18" t="s">
        <v>162</v>
      </c>
      <c r="I3163" s="18" t="s">
        <v>298</v>
      </c>
      <c r="J3163" s="18"/>
      <c r="K3163" s="18"/>
      <c r="L3163" s="18" t="s">
        <v>129</v>
      </c>
      <c r="M3163" s="18" t="s">
        <v>129</v>
      </c>
      <c r="N3163" s="18"/>
      <c r="O3163" s="18"/>
      <c r="P3163" s="18" t="s">
        <v>13080</v>
      </c>
      <c r="Q3163" s="18" t="s">
        <v>138</v>
      </c>
      <c r="R3163" s="18" t="s">
        <v>11313</v>
      </c>
      <c r="S3163" s="18" t="s">
        <v>140</v>
      </c>
      <c r="T3163" s="18" t="s">
        <v>141</v>
      </c>
      <c r="U3163" s="18"/>
      <c r="V3163" s="19" t="s">
        <v>29</v>
      </c>
      <c r="W3163" s="19"/>
      <c r="X3163" s="19"/>
      <c r="Y3163" s="20"/>
      <c r="Z3163" s="19"/>
      <c r="AA3163" s="18" t="str">
        <f aca="false">IF(OR(V3163="Aprobada"),R3163,IF(AND(OR(V3163="Aprobada con ajuste",V3163="Rechazada"),W3163&lt;&gt;""),W3163,""))</f>
        <v/>
      </c>
    </row>
    <row r="3164" customFormat="false" ht="22.35" hidden="false" customHeight="false" outlineLevel="0" collapsed="false">
      <c r="A3164" s="18" t="s">
        <v>13081</v>
      </c>
      <c r="B3164" s="18" t="s">
        <v>80</v>
      </c>
      <c r="C3164" s="18" t="s">
        <v>81</v>
      </c>
      <c r="D3164" s="18" t="s">
        <v>13063</v>
      </c>
      <c r="E3164" s="18" t="n">
        <v>2</v>
      </c>
      <c r="F3164" s="18" t="s">
        <v>11315</v>
      </c>
      <c r="G3164" s="18" t="s">
        <v>454</v>
      </c>
      <c r="H3164" s="18" t="s">
        <v>162</v>
      </c>
      <c r="I3164" s="18"/>
      <c r="J3164" s="18"/>
      <c r="K3164" s="18"/>
      <c r="L3164" s="18" t="s">
        <v>129</v>
      </c>
      <c r="M3164" s="18" t="s">
        <v>129</v>
      </c>
      <c r="N3164" s="18"/>
      <c r="O3164" s="18"/>
      <c r="P3164" s="18" t="s">
        <v>13082</v>
      </c>
      <c r="Q3164" s="18" t="s">
        <v>138</v>
      </c>
      <c r="R3164" s="18" t="s">
        <v>11317</v>
      </c>
      <c r="S3164" s="18" t="s">
        <v>140</v>
      </c>
      <c r="T3164" s="18" t="s">
        <v>141</v>
      </c>
      <c r="U3164" s="18"/>
      <c r="V3164" s="19" t="s">
        <v>29</v>
      </c>
      <c r="W3164" s="19"/>
      <c r="X3164" s="19"/>
      <c r="Y3164" s="20"/>
      <c r="Z3164" s="19"/>
      <c r="AA3164" s="18" t="str">
        <f aca="false">IF(OR(V3164="Aprobada"),R3164,IF(AND(OR(V3164="Aprobada con ajuste",V3164="Rechazada"),W3164&lt;&gt;""),W3164,""))</f>
        <v/>
      </c>
    </row>
    <row r="3165" customFormat="false" ht="22.35" hidden="false" customHeight="false" outlineLevel="0" collapsed="false">
      <c r="A3165" s="18" t="s">
        <v>13083</v>
      </c>
      <c r="B3165" s="18" t="s">
        <v>80</v>
      </c>
      <c r="C3165" s="18" t="s">
        <v>81</v>
      </c>
      <c r="D3165" s="18" t="s">
        <v>13063</v>
      </c>
      <c r="E3165" s="18" t="n">
        <v>2</v>
      </c>
      <c r="F3165" s="18" t="s">
        <v>11319</v>
      </c>
      <c r="G3165" s="18" t="s">
        <v>128</v>
      </c>
      <c r="H3165" s="18" t="s">
        <v>162</v>
      </c>
      <c r="I3165" s="18" t="s">
        <v>298</v>
      </c>
      <c r="J3165" s="18"/>
      <c r="K3165" s="18"/>
      <c r="L3165" s="18" t="s">
        <v>129</v>
      </c>
      <c r="M3165" s="18" t="s">
        <v>129</v>
      </c>
      <c r="N3165" s="18"/>
      <c r="O3165" s="18"/>
      <c r="P3165" s="18" t="s">
        <v>13084</v>
      </c>
      <c r="Q3165" s="18" t="s">
        <v>138</v>
      </c>
      <c r="R3165" s="18" t="s">
        <v>11321</v>
      </c>
      <c r="S3165" s="18" t="s">
        <v>140</v>
      </c>
      <c r="T3165" s="18" t="s">
        <v>141</v>
      </c>
      <c r="U3165" s="18"/>
      <c r="V3165" s="19" t="s">
        <v>29</v>
      </c>
      <c r="W3165" s="19"/>
      <c r="X3165" s="19"/>
      <c r="Y3165" s="20"/>
      <c r="Z3165" s="19"/>
      <c r="AA3165" s="18" t="str">
        <f aca="false">IF(OR(V3165="Aprobada"),R3165,IF(AND(OR(V3165="Aprobada con ajuste",V3165="Rechazada"),W3165&lt;&gt;""),W3165,""))</f>
        <v/>
      </c>
    </row>
    <row r="3166" customFormat="false" ht="126.85" hidden="false" customHeight="false" outlineLevel="0" collapsed="false">
      <c r="A3166" s="18" t="s">
        <v>13085</v>
      </c>
      <c r="B3166" s="18" t="s">
        <v>80</v>
      </c>
      <c r="C3166" s="18" t="s">
        <v>81</v>
      </c>
      <c r="D3166" s="18" t="s">
        <v>13086</v>
      </c>
      <c r="E3166" s="18" t="n">
        <v>1</v>
      </c>
      <c r="F3166" s="18" t="s">
        <v>676</v>
      </c>
      <c r="G3166" s="18" t="s">
        <v>2900</v>
      </c>
      <c r="H3166" s="18" t="s">
        <v>162</v>
      </c>
      <c r="I3166" s="18" t="s">
        <v>298</v>
      </c>
      <c r="J3166" s="18"/>
      <c r="K3166" s="18"/>
      <c r="L3166" s="18" t="s">
        <v>129</v>
      </c>
      <c r="M3166" s="18" t="s">
        <v>129</v>
      </c>
      <c r="N3166" s="18"/>
      <c r="O3166" s="18"/>
      <c r="P3166" s="18" t="s">
        <v>13087</v>
      </c>
      <c r="Q3166" s="18" t="s">
        <v>131</v>
      </c>
      <c r="R3166" s="18" t="s">
        <v>13088</v>
      </c>
      <c r="S3166" s="18" t="s">
        <v>133</v>
      </c>
      <c r="T3166" s="18" t="s">
        <v>13089</v>
      </c>
      <c r="U3166" s="18"/>
      <c r="V3166" s="19" t="s">
        <v>29</v>
      </c>
      <c r="W3166" s="19"/>
      <c r="X3166" s="19"/>
      <c r="Y3166" s="20"/>
      <c r="Z3166" s="19"/>
      <c r="AA3166" s="18" t="str">
        <f aca="false">IF(OR(V3166="Aprobada"),R3166,IF(AND(OR(V3166="Aprobada con ajuste",V3166="Rechazada"),W3166&lt;&gt;""),W3166,""))</f>
        <v/>
      </c>
    </row>
    <row r="3167" customFormat="false" ht="116.4" hidden="false" customHeight="false" outlineLevel="0" collapsed="false">
      <c r="A3167" s="18" t="s">
        <v>13090</v>
      </c>
      <c r="B3167" s="18" t="s">
        <v>80</v>
      </c>
      <c r="C3167" s="18" t="s">
        <v>81</v>
      </c>
      <c r="D3167" s="18" t="s">
        <v>13086</v>
      </c>
      <c r="E3167" s="18" t="n">
        <v>1</v>
      </c>
      <c r="F3167" s="18" t="s">
        <v>1922</v>
      </c>
      <c r="G3167" s="18" t="s">
        <v>11382</v>
      </c>
      <c r="H3167" s="18" t="s">
        <v>162</v>
      </c>
      <c r="I3167" s="18" t="s">
        <v>298</v>
      </c>
      <c r="J3167" s="18"/>
      <c r="K3167" s="18"/>
      <c r="L3167" s="18" t="s">
        <v>129</v>
      </c>
      <c r="M3167" s="18" t="s">
        <v>129</v>
      </c>
      <c r="N3167" s="18"/>
      <c r="O3167" s="18"/>
      <c r="P3167" s="18" t="s">
        <v>13091</v>
      </c>
      <c r="Q3167" s="18" t="s">
        <v>131</v>
      </c>
      <c r="R3167" s="18" t="s">
        <v>13092</v>
      </c>
      <c r="S3167" s="18" t="s">
        <v>140</v>
      </c>
      <c r="T3167" s="18" t="s">
        <v>13093</v>
      </c>
      <c r="U3167" s="18" t="s">
        <v>11742</v>
      </c>
      <c r="V3167" s="19" t="s">
        <v>29</v>
      </c>
      <c r="W3167" s="19"/>
      <c r="X3167" s="19"/>
      <c r="Y3167" s="20"/>
      <c r="Z3167" s="19"/>
      <c r="AA3167" s="18" t="str">
        <f aca="false">IF(OR(V3167="Aprobada"),R3167,IF(AND(OR(V3167="Aprobada con ajuste",V3167="Rechazada"),W3167&lt;&gt;""),W3167,""))</f>
        <v/>
      </c>
    </row>
    <row r="3168" customFormat="false" ht="43.25" hidden="false" customHeight="false" outlineLevel="0" collapsed="false">
      <c r="A3168" s="18" t="s">
        <v>13094</v>
      </c>
      <c r="B3168" s="18" t="s">
        <v>80</v>
      </c>
      <c r="C3168" s="18" t="s">
        <v>81</v>
      </c>
      <c r="D3168" s="18" t="s">
        <v>13086</v>
      </c>
      <c r="E3168" s="18" t="n">
        <v>1</v>
      </c>
      <c r="F3168" s="18" t="s">
        <v>13095</v>
      </c>
      <c r="G3168" s="18" t="s">
        <v>11001</v>
      </c>
      <c r="H3168" s="18" t="s">
        <v>162</v>
      </c>
      <c r="I3168" s="18"/>
      <c r="J3168" s="18"/>
      <c r="K3168" s="18"/>
      <c r="L3168" s="18" t="s">
        <v>129</v>
      </c>
      <c r="M3168" s="18" t="s">
        <v>129</v>
      </c>
      <c r="N3168" s="18"/>
      <c r="O3168" s="18"/>
      <c r="P3168" s="18" t="s">
        <v>13096</v>
      </c>
      <c r="Q3168" s="18" t="s">
        <v>149</v>
      </c>
      <c r="R3168" s="18" t="s">
        <v>13097</v>
      </c>
      <c r="S3168" s="18" t="s">
        <v>140</v>
      </c>
      <c r="T3168" s="18" t="s">
        <v>13098</v>
      </c>
      <c r="U3168" s="18" t="s">
        <v>13099</v>
      </c>
      <c r="V3168" s="19" t="s">
        <v>29</v>
      </c>
      <c r="W3168" s="19"/>
      <c r="X3168" s="19"/>
      <c r="Y3168" s="20"/>
      <c r="Z3168" s="19"/>
      <c r="AA3168" s="18" t="str">
        <f aca="false">IF(OR(V3168="Aprobada"),R3168,IF(AND(OR(V3168="Aprobada con ajuste",V3168="Rechazada"),W3168&lt;&gt;""),W3168,""))</f>
        <v/>
      </c>
    </row>
    <row r="3169" customFormat="false" ht="53.7" hidden="false" customHeight="false" outlineLevel="0" collapsed="false">
      <c r="A3169" s="18" t="s">
        <v>13100</v>
      </c>
      <c r="B3169" s="18" t="s">
        <v>80</v>
      </c>
      <c r="C3169" s="18" t="s">
        <v>81</v>
      </c>
      <c r="D3169" s="18" t="s">
        <v>13086</v>
      </c>
      <c r="E3169" s="18" t="n">
        <v>1</v>
      </c>
      <c r="F3169" s="18" t="s">
        <v>11744</v>
      </c>
      <c r="G3169" s="18" t="s">
        <v>137</v>
      </c>
      <c r="H3169" s="18" t="s">
        <v>162</v>
      </c>
      <c r="I3169" s="18" t="s">
        <v>298</v>
      </c>
      <c r="J3169" s="18"/>
      <c r="K3169" s="18"/>
      <c r="L3169" s="18" t="s">
        <v>129</v>
      </c>
      <c r="M3169" s="18" t="s">
        <v>129</v>
      </c>
      <c r="N3169" s="18"/>
      <c r="O3169" s="18"/>
      <c r="P3169" s="18" t="s">
        <v>13101</v>
      </c>
      <c r="Q3169" s="18" t="s">
        <v>138</v>
      </c>
      <c r="R3169" s="18" t="s">
        <v>11746</v>
      </c>
      <c r="S3169" s="18" t="s">
        <v>140</v>
      </c>
      <c r="T3169" s="18" t="s">
        <v>141</v>
      </c>
      <c r="U3169" s="18"/>
      <c r="V3169" s="19" t="s">
        <v>29</v>
      </c>
      <c r="W3169" s="19"/>
      <c r="X3169" s="19"/>
      <c r="Y3169" s="20"/>
      <c r="Z3169" s="19"/>
      <c r="AA3169" s="18" t="str">
        <f aca="false">IF(OR(V3169="Aprobada"),R3169,IF(AND(OR(V3169="Aprobada con ajuste",V3169="Rechazada"),W3169&lt;&gt;""),W3169,""))</f>
        <v/>
      </c>
    </row>
    <row r="3170" customFormat="false" ht="74.6" hidden="false" customHeight="false" outlineLevel="0" collapsed="false">
      <c r="A3170" s="18" t="s">
        <v>13102</v>
      </c>
      <c r="B3170" s="18" t="s">
        <v>80</v>
      </c>
      <c r="C3170" s="18" t="s">
        <v>81</v>
      </c>
      <c r="D3170" s="18" t="s">
        <v>13086</v>
      </c>
      <c r="E3170" s="18" t="n">
        <v>1</v>
      </c>
      <c r="F3170" s="18" t="s">
        <v>11748</v>
      </c>
      <c r="G3170" s="18" t="s">
        <v>503</v>
      </c>
      <c r="H3170" s="18" t="s">
        <v>162</v>
      </c>
      <c r="I3170" s="18"/>
      <c r="J3170" s="18"/>
      <c r="K3170" s="18"/>
      <c r="L3170" s="18" t="s">
        <v>129</v>
      </c>
      <c r="M3170" s="18" t="s">
        <v>129</v>
      </c>
      <c r="N3170" s="18"/>
      <c r="O3170" s="18"/>
      <c r="P3170" s="18" t="s">
        <v>13103</v>
      </c>
      <c r="Q3170" s="18" t="s">
        <v>131</v>
      </c>
      <c r="R3170" s="18" t="s">
        <v>13104</v>
      </c>
      <c r="S3170" s="18" t="s">
        <v>133</v>
      </c>
      <c r="T3170" s="18" t="s">
        <v>13105</v>
      </c>
      <c r="U3170" s="18"/>
      <c r="V3170" s="19" t="s">
        <v>29</v>
      </c>
      <c r="W3170" s="19"/>
      <c r="X3170" s="19"/>
      <c r="Y3170" s="20"/>
      <c r="Z3170" s="19"/>
      <c r="AA3170" s="18" t="str">
        <f aca="false">IF(OR(V3170="Aprobada"),R3170,IF(AND(OR(V3170="Aprobada con ajuste",V3170="Rechazada"),W3170&lt;&gt;""),W3170,""))</f>
        <v/>
      </c>
    </row>
    <row r="3171" customFormat="false" ht="43.25" hidden="false" customHeight="false" outlineLevel="0" collapsed="false">
      <c r="A3171" s="18" t="s">
        <v>13106</v>
      </c>
      <c r="B3171" s="18" t="s">
        <v>80</v>
      </c>
      <c r="C3171" s="18" t="s">
        <v>81</v>
      </c>
      <c r="D3171" s="18" t="s">
        <v>13086</v>
      </c>
      <c r="E3171" s="18" t="n">
        <v>1</v>
      </c>
      <c r="F3171" s="18" t="s">
        <v>185</v>
      </c>
      <c r="G3171" s="18" t="s">
        <v>205</v>
      </c>
      <c r="H3171" s="18" t="s">
        <v>129</v>
      </c>
      <c r="I3171" s="18" t="s">
        <v>298</v>
      </c>
      <c r="J3171" s="18" t="s">
        <v>11753</v>
      </c>
      <c r="K3171" s="18"/>
      <c r="L3171" s="18" t="s">
        <v>162</v>
      </c>
      <c r="M3171" s="18" t="s">
        <v>129</v>
      </c>
      <c r="N3171" s="18"/>
      <c r="O3171" s="18"/>
      <c r="P3171" s="18" t="s">
        <v>13107</v>
      </c>
      <c r="Q3171" s="18" t="s">
        <v>131</v>
      </c>
      <c r="R3171" s="18" t="s">
        <v>13108</v>
      </c>
      <c r="S3171" s="18" t="s">
        <v>133</v>
      </c>
      <c r="T3171" s="18" t="s">
        <v>13109</v>
      </c>
      <c r="U3171" s="18"/>
      <c r="V3171" s="19" t="s">
        <v>29</v>
      </c>
      <c r="W3171" s="19"/>
      <c r="X3171" s="19"/>
      <c r="Y3171" s="20"/>
      <c r="Z3171" s="19"/>
      <c r="AA3171" s="18" t="str">
        <f aca="false">IF(OR(V3171="Aprobada"),R3171,IF(AND(OR(V3171="Aprobada con ajuste",V3171="Rechazada"),W3171&lt;&gt;""),W3171,""))</f>
        <v/>
      </c>
    </row>
    <row r="3172" customFormat="false" ht="95.5" hidden="false" customHeight="false" outlineLevel="0" collapsed="false">
      <c r="A3172" s="18" t="s">
        <v>13110</v>
      </c>
      <c r="B3172" s="18" t="s">
        <v>80</v>
      </c>
      <c r="C3172" s="18" t="s">
        <v>81</v>
      </c>
      <c r="D3172" s="18" t="s">
        <v>13086</v>
      </c>
      <c r="E3172" s="18" t="n">
        <v>1</v>
      </c>
      <c r="F3172" s="18" t="s">
        <v>886</v>
      </c>
      <c r="G3172" s="18" t="s">
        <v>128</v>
      </c>
      <c r="H3172" s="18" t="s">
        <v>162</v>
      </c>
      <c r="I3172" s="18" t="s">
        <v>298</v>
      </c>
      <c r="J3172" s="18"/>
      <c r="K3172" s="18"/>
      <c r="L3172" s="18" t="s">
        <v>129</v>
      </c>
      <c r="M3172" s="18" t="s">
        <v>129</v>
      </c>
      <c r="N3172" s="18"/>
      <c r="O3172" s="18"/>
      <c r="P3172" s="18" t="s">
        <v>13111</v>
      </c>
      <c r="Q3172" s="18" t="s">
        <v>131</v>
      </c>
      <c r="R3172" s="18" t="s">
        <v>13112</v>
      </c>
      <c r="S3172" s="18" t="s">
        <v>133</v>
      </c>
      <c r="T3172" s="18" t="s">
        <v>13113</v>
      </c>
      <c r="U3172" s="18"/>
      <c r="V3172" s="19" t="s">
        <v>29</v>
      </c>
      <c r="W3172" s="19"/>
      <c r="X3172" s="19"/>
      <c r="Y3172" s="20"/>
      <c r="Z3172" s="19"/>
      <c r="AA3172" s="18" t="str">
        <f aca="false">IF(OR(V3172="Aprobada"),R3172,IF(AND(OR(V3172="Aprobada con ajuste",V3172="Rechazada"),W3172&lt;&gt;""),W3172,""))</f>
        <v/>
      </c>
    </row>
    <row r="3173" customFormat="false" ht="22.35" hidden="false" customHeight="false" outlineLevel="0" collapsed="false">
      <c r="A3173" s="18" t="s">
        <v>13114</v>
      </c>
      <c r="B3173" s="18" t="s">
        <v>80</v>
      </c>
      <c r="C3173" s="18" t="s">
        <v>81</v>
      </c>
      <c r="D3173" s="18" t="s">
        <v>13086</v>
      </c>
      <c r="E3173" s="18" t="n">
        <v>1</v>
      </c>
      <c r="F3173" s="18" t="s">
        <v>6303</v>
      </c>
      <c r="G3173" s="18" t="s">
        <v>454</v>
      </c>
      <c r="H3173" s="18" t="s">
        <v>162</v>
      </c>
      <c r="I3173" s="18"/>
      <c r="J3173" s="18"/>
      <c r="K3173" s="18"/>
      <c r="L3173" s="18" t="s">
        <v>129</v>
      </c>
      <c r="M3173" s="18" t="s">
        <v>129</v>
      </c>
      <c r="N3173" s="18"/>
      <c r="O3173" s="18"/>
      <c r="P3173" s="18" t="s">
        <v>13115</v>
      </c>
      <c r="Q3173" s="18" t="s">
        <v>138</v>
      </c>
      <c r="R3173" s="18" t="s">
        <v>6305</v>
      </c>
      <c r="S3173" s="18" t="s">
        <v>140</v>
      </c>
      <c r="T3173" s="18" t="s">
        <v>141</v>
      </c>
      <c r="U3173" s="18"/>
      <c r="V3173" s="19" t="s">
        <v>29</v>
      </c>
      <c r="W3173" s="19"/>
      <c r="X3173" s="19"/>
      <c r="Y3173" s="20"/>
      <c r="Z3173" s="19"/>
      <c r="AA3173" s="18" t="str">
        <f aca="false">IF(OR(V3173="Aprobada"),R3173,IF(AND(OR(V3173="Aprobada con ajuste",V3173="Rechazada"),W3173&lt;&gt;""),W3173,""))</f>
        <v/>
      </c>
    </row>
    <row r="3174" customFormat="false" ht="22.35" hidden="false" customHeight="false" outlineLevel="0" collapsed="false">
      <c r="A3174" s="18" t="s">
        <v>13116</v>
      </c>
      <c r="B3174" s="18" t="s">
        <v>80</v>
      </c>
      <c r="C3174" s="18" t="s">
        <v>81</v>
      </c>
      <c r="D3174" s="18" t="s">
        <v>13086</v>
      </c>
      <c r="E3174" s="18" t="n">
        <v>1</v>
      </c>
      <c r="F3174" s="18" t="s">
        <v>11764</v>
      </c>
      <c r="G3174" s="18" t="s">
        <v>584</v>
      </c>
      <c r="H3174" s="18" t="s">
        <v>129</v>
      </c>
      <c r="I3174" s="18"/>
      <c r="J3174" s="18"/>
      <c r="K3174" s="18"/>
      <c r="L3174" s="18" t="s">
        <v>129</v>
      </c>
      <c r="M3174" s="18" t="s">
        <v>129</v>
      </c>
      <c r="N3174" s="18"/>
      <c r="O3174" s="18"/>
      <c r="P3174" s="18" t="s">
        <v>13117</v>
      </c>
      <c r="Q3174" s="18" t="s">
        <v>138</v>
      </c>
      <c r="R3174" s="18" t="s">
        <v>11766</v>
      </c>
      <c r="S3174" s="18" t="s">
        <v>140</v>
      </c>
      <c r="T3174" s="18" t="s">
        <v>141</v>
      </c>
      <c r="U3174" s="18"/>
      <c r="V3174" s="19" t="s">
        <v>29</v>
      </c>
      <c r="W3174" s="19"/>
      <c r="X3174" s="19"/>
      <c r="Y3174" s="20"/>
      <c r="Z3174" s="19"/>
      <c r="AA3174" s="18" t="str">
        <f aca="false">IF(OR(V3174="Aprobada"),R3174,IF(AND(OR(V3174="Aprobada con ajuste",V3174="Rechazada"),W3174&lt;&gt;""),W3174,""))</f>
        <v/>
      </c>
    </row>
    <row r="3175" customFormat="false" ht="22.35" hidden="false" customHeight="false" outlineLevel="0" collapsed="false">
      <c r="A3175" s="18" t="s">
        <v>13118</v>
      </c>
      <c r="B3175" s="18" t="s">
        <v>80</v>
      </c>
      <c r="C3175" s="18" t="s">
        <v>81</v>
      </c>
      <c r="D3175" s="18" t="s">
        <v>13086</v>
      </c>
      <c r="E3175" s="18" t="n">
        <v>1</v>
      </c>
      <c r="F3175" s="18" t="s">
        <v>11768</v>
      </c>
      <c r="G3175" s="18" t="s">
        <v>454</v>
      </c>
      <c r="H3175" s="18" t="s">
        <v>162</v>
      </c>
      <c r="I3175" s="18"/>
      <c r="J3175" s="18"/>
      <c r="K3175" s="18"/>
      <c r="L3175" s="18" t="s">
        <v>129</v>
      </c>
      <c r="M3175" s="18" t="s">
        <v>129</v>
      </c>
      <c r="N3175" s="18"/>
      <c r="O3175" s="18"/>
      <c r="P3175" s="18" t="s">
        <v>13119</v>
      </c>
      <c r="Q3175" s="18" t="s">
        <v>149</v>
      </c>
      <c r="R3175" s="18" t="s">
        <v>13120</v>
      </c>
      <c r="S3175" s="18" t="s">
        <v>140</v>
      </c>
      <c r="T3175" s="18" t="s">
        <v>13121</v>
      </c>
      <c r="U3175" s="18" t="s">
        <v>9527</v>
      </c>
      <c r="V3175" s="19" t="s">
        <v>29</v>
      </c>
      <c r="W3175" s="19"/>
      <c r="X3175" s="19"/>
      <c r="Y3175" s="20"/>
      <c r="Z3175" s="19"/>
      <c r="AA3175" s="18" t="str">
        <f aca="false">IF(OR(V3175="Aprobada"),R3175,IF(AND(OR(V3175="Aprobada con ajuste",V3175="Rechazada"),W3175&lt;&gt;""),W3175,""))</f>
        <v/>
      </c>
    </row>
    <row r="3176" customFormat="false" ht="168.65" hidden="false" customHeight="false" outlineLevel="0" collapsed="false">
      <c r="A3176" s="18" t="s">
        <v>13122</v>
      </c>
      <c r="B3176" s="18" t="s">
        <v>80</v>
      </c>
      <c r="C3176" s="18" t="s">
        <v>81</v>
      </c>
      <c r="D3176" s="18" t="s">
        <v>13123</v>
      </c>
      <c r="E3176" s="18" t="n">
        <v>13</v>
      </c>
      <c r="F3176" s="18" t="s">
        <v>127</v>
      </c>
      <c r="G3176" s="18" t="s">
        <v>186</v>
      </c>
      <c r="H3176" s="18" t="s">
        <v>129</v>
      </c>
      <c r="I3176" s="18" t="s">
        <v>298</v>
      </c>
      <c r="J3176" s="18" t="s">
        <v>13124</v>
      </c>
      <c r="K3176" s="18"/>
      <c r="L3176" s="18" t="s">
        <v>162</v>
      </c>
      <c r="M3176" s="18" t="s">
        <v>129</v>
      </c>
      <c r="N3176" s="18"/>
      <c r="O3176" s="18" t="s">
        <v>13125</v>
      </c>
      <c r="P3176" s="18" t="s">
        <v>13126</v>
      </c>
      <c r="Q3176" s="18" t="s">
        <v>138</v>
      </c>
      <c r="R3176" s="18" t="s">
        <v>13127</v>
      </c>
      <c r="S3176" s="18" t="s">
        <v>140</v>
      </c>
      <c r="T3176" s="18" t="s">
        <v>141</v>
      </c>
      <c r="U3176" s="18"/>
      <c r="V3176" s="19" t="s">
        <v>29</v>
      </c>
      <c r="W3176" s="19"/>
      <c r="X3176" s="19"/>
      <c r="Y3176" s="20"/>
      <c r="Z3176" s="19"/>
      <c r="AA3176" s="18" t="str">
        <f aca="false">IF(OR(V3176="Aprobada"),R3176,IF(AND(OR(V3176="Aprobada con ajuste",V3176="Rechazada"),W3176&lt;&gt;""),W3176,""))</f>
        <v/>
      </c>
    </row>
    <row r="3177" customFormat="false" ht="43.25" hidden="false" customHeight="false" outlineLevel="0" collapsed="false">
      <c r="A3177" s="18" t="s">
        <v>13128</v>
      </c>
      <c r="B3177" s="18" t="s">
        <v>80</v>
      </c>
      <c r="C3177" s="18" t="s">
        <v>81</v>
      </c>
      <c r="D3177" s="18" t="s">
        <v>13123</v>
      </c>
      <c r="E3177" s="18" t="n">
        <v>13</v>
      </c>
      <c r="F3177" s="18" t="s">
        <v>13129</v>
      </c>
      <c r="G3177" s="18" t="s">
        <v>192</v>
      </c>
      <c r="H3177" s="18" t="s">
        <v>129</v>
      </c>
      <c r="I3177" s="18"/>
      <c r="J3177" s="18"/>
      <c r="K3177" s="18"/>
      <c r="L3177" s="18" t="s">
        <v>129</v>
      </c>
      <c r="M3177" s="18" t="s">
        <v>129</v>
      </c>
      <c r="N3177" s="18"/>
      <c r="O3177" s="18" t="s">
        <v>13125</v>
      </c>
      <c r="P3177" s="18" t="s">
        <v>13130</v>
      </c>
      <c r="Q3177" s="18" t="s">
        <v>131</v>
      </c>
      <c r="R3177" s="18" t="s">
        <v>13131</v>
      </c>
      <c r="S3177" s="18" t="s">
        <v>133</v>
      </c>
      <c r="T3177" s="18" t="s">
        <v>13132</v>
      </c>
      <c r="U3177" s="18" t="s">
        <v>13133</v>
      </c>
      <c r="V3177" s="19" t="s">
        <v>29</v>
      </c>
      <c r="W3177" s="19"/>
      <c r="X3177" s="19"/>
      <c r="Y3177" s="20"/>
      <c r="Z3177" s="19"/>
      <c r="AA3177" s="18" t="str">
        <f aca="false">IF(OR(V3177="Aprobada"),R3177,IF(AND(OR(V3177="Aprobada con ajuste",V3177="Rechazada"),W3177&lt;&gt;""),W3177,""))</f>
        <v/>
      </c>
    </row>
    <row r="3178" customFormat="false" ht="64.15" hidden="false" customHeight="false" outlineLevel="0" collapsed="false">
      <c r="A3178" s="18" t="s">
        <v>13134</v>
      </c>
      <c r="B3178" s="18" t="s">
        <v>80</v>
      </c>
      <c r="C3178" s="18" t="s">
        <v>81</v>
      </c>
      <c r="D3178" s="18" t="s">
        <v>13123</v>
      </c>
      <c r="E3178" s="18" t="n">
        <v>13</v>
      </c>
      <c r="F3178" s="18" t="s">
        <v>1918</v>
      </c>
      <c r="G3178" s="18" t="s">
        <v>128</v>
      </c>
      <c r="H3178" s="18" t="s">
        <v>162</v>
      </c>
      <c r="I3178" s="18"/>
      <c r="J3178" s="18"/>
      <c r="K3178" s="18"/>
      <c r="L3178" s="18" t="s">
        <v>129</v>
      </c>
      <c r="M3178" s="18" t="s">
        <v>129</v>
      </c>
      <c r="N3178" s="18"/>
      <c r="O3178" s="18"/>
      <c r="P3178" s="18" t="s">
        <v>13135</v>
      </c>
      <c r="Q3178" s="18" t="s">
        <v>131</v>
      </c>
      <c r="R3178" s="18" t="s">
        <v>13136</v>
      </c>
      <c r="S3178" s="18" t="s">
        <v>133</v>
      </c>
      <c r="T3178" s="18" t="s">
        <v>13137</v>
      </c>
      <c r="U3178" s="18"/>
      <c r="V3178" s="19" t="s">
        <v>29</v>
      </c>
      <c r="W3178" s="19"/>
      <c r="X3178" s="19"/>
      <c r="Y3178" s="20"/>
      <c r="Z3178" s="19"/>
      <c r="AA3178" s="18" t="str">
        <f aca="false">IF(OR(V3178="Aprobada"),R3178,IF(AND(OR(V3178="Aprobada con ajuste",V3178="Rechazada"),W3178&lt;&gt;""),W3178,""))</f>
        <v/>
      </c>
    </row>
    <row r="3179" customFormat="false" ht="32.8" hidden="false" customHeight="false" outlineLevel="0" collapsed="false">
      <c r="A3179" s="18" t="s">
        <v>13138</v>
      </c>
      <c r="B3179" s="18" t="s">
        <v>80</v>
      </c>
      <c r="C3179" s="18" t="s">
        <v>81</v>
      </c>
      <c r="D3179" s="18" t="s">
        <v>13123</v>
      </c>
      <c r="E3179" s="18" t="n">
        <v>13</v>
      </c>
      <c r="F3179" s="18" t="s">
        <v>937</v>
      </c>
      <c r="G3179" s="18" t="s">
        <v>503</v>
      </c>
      <c r="H3179" s="18" t="s">
        <v>129</v>
      </c>
      <c r="I3179" s="18"/>
      <c r="J3179" s="18"/>
      <c r="K3179" s="18"/>
      <c r="L3179" s="18" t="s">
        <v>129</v>
      </c>
      <c r="M3179" s="18" t="s">
        <v>129</v>
      </c>
      <c r="N3179" s="18"/>
      <c r="O3179" s="18" t="s">
        <v>13139</v>
      </c>
      <c r="P3179" s="18" t="s">
        <v>13140</v>
      </c>
      <c r="Q3179" s="18" t="s">
        <v>131</v>
      </c>
      <c r="R3179" s="18" t="s">
        <v>13141</v>
      </c>
      <c r="S3179" s="18" t="s">
        <v>133</v>
      </c>
      <c r="T3179" s="18" t="s">
        <v>13142</v>
      </c>
      <c r="U3179" s="18"/>
      <c r="V3179" s="19" t="s">
        <v>29</v>
      </c>
      <c r="W3179" s="19"/>
      <c r="X3179" s="19"/>
      <c r="Y3179" s="20"/>
      <c r="Z3179" s="19"/>
      <c r="AA3179" s="18" t="str">
        <f aca="false">IF(OR(V3179="Aprobada"),R3179,IF(AND(OR(V3179="Aprobada con ajuste",V3179="Rechazada"),W3179&lt;&gt;""),W3179,""))</f>
        <v/>
      </c>
    </row>
    <row r="3180" customFormat="false" ht="53.7" hidden="false" customHeight="false" outlineLevel="0" collapsed="false">
      <c r="A3180" s="18" t="s">
        <v>13143</v>
      </c>
      <c r="B3180" s="18" t="s">
        <v>80</v>
      </c>
      <c r="C3180" s="18" t="s">
        <v>81</v>
      </c>
      <c r="D3180" s="18" t="s">
        <v>13123</v>
      </c>
      <c r="E3180" s="18" t="n">
        <v>13</v>
      </c>
      <c r="F3180" s="18" t="s">
        <v>13144</v>
      </c>
      <c r="G3180" s="18" t="s">
        <v>584</v>
      </c>
      <c r="H3180" s="18" t="s">
        <v>129</v>
      </c>
      <c r="I3180" s="18" t="s">
        <v>298</v>
      </c>
      <c r="J3180" s="18"/>
      <c r="K3180" s="18"/>
      <c r="L3180" s="18" t="s">
        <v>129</v>
      </c>
      <c r="M3180" s="18" t="s">
        <v>129</v>
      </c>
      <c r="N3180" s="18"/>
      <c r="O3180" s="18"/>
      <c r="P3180" s="18" t="s">
        <v>13145</v>
      </c>
      <c r="Q3180" s="18" t="s">
        <v>131</v>
      </c>
      <c r="R3180" s="18" t="s">
        <v>13146</v>
      </c>
      <c r="S3180" s="18" t="s">
        <v>133</v>
      </c>
      <c r="T3180" s="18" t="s">
        <v>13147</v>
      </c>
      <c r="U3180" s="18"/>
      <c r="V3180" s="19" t="s">
        <v>29</v>
      </c>
      <c r="W3180" s="19"/>
      <c r="X3180" s="19"/>
      <c r="Y3180" s="20"/>
      <c r="Z3180" s="19"/>
      <c r="AA3180" s="18" t="str">
        <f aca="false">IF(OR(V3180="Aprobada"),R3180,IF(AND(OR(V3180="Aprobada con ajuste",V3180="Rechazada"),W3180&lt;&gt;""),W3180,""))</f>
        <v/>
      </c>
    </row>
    <row r="3181" customFormat="false" ht="43.25" hidden="false" customHeight="false" outlineLevel="0" collapsed="false">
      <c r="A3181" s="18" t="s">
        <v>13148</v>
      </c>
      <c r="B3181" s="18" t="s">
        <v>80</v>
      </c>
      <c r="C3181" s="18" t="s">
        <v>81</v>
      </c>
      <c r="D3181" s="18" t="s">
        <v>13123</v>
      </c>
      <c r="E3181" s="18" t="n">
        <v>13</v>
      </c>
      <c r="F3181" s="18" t="s">
        <v>13149</v>
      </c>
      <c r="G3181" s="18" t="s">
        <v>584</v>
      </c>
      <c r="H3181" s="18" t="s">
        <v>162</v>
      </c>
      <c r="I3181" s="18" t="s">
        <v>298</v>
      </c>
      <c r="J3181" s="18"/>
      <c r="K3181" s="18"/>
      <c r="L3181" s="18" t="s">
        <v>129</v>
      </c>
      <c r="M3181" s="18" t="s">
        <v>129</v>
      </c>
      <c r="N3181" s="18"/>
      <c r="O3181" s="18"/>
      <c r="P3181" s="18" t="s">
        <v>13150</v>
      </c>
      <c r="Q3181" s="18" t="s">
        <v>131</v>
      </c>
      <c r="R3181" s="18" t="s">
        <v>13151</v>
      </c>
      <c r="S3181" s="18" t="s">
        <v>133</v>
      </c>
      <c r="T3181" s="18" t="s">
        <v>13152</v>
      </c>
      <c r="U3181" s="18"/>
      <c r="V3181" s="19" t="s">
        <v>29</v>
      </c>
      <c r="W3181" s="19"/>
      <c r="X3181" s="19"/>
      <c r="Y3181" s="20"/>
      <c r="Z3181" s="19"/>
      <c r="AA3181" s="18" t="str">
        <f aca="false">IF(OR(V3181="Aprobada"),R3181,IF(AND(OR(V3181="Aprobada con ajuste",V3181="Rechazada"),W3181&lt;&gt;""),W3181,""))</f>
        <v/>
      </c>
    </row>
    <row r="3182" customFormat="false" ht="64.15" hidden="false" customHeight="false" outlineLevel="0" collapsed="false">
      <c r="A3182" s="18" t="s">
        <v>13153</v>
      </c>
      <c r="B3182" s="18" t="s">
        <v>80</v>
      </c>
      <c r="C3182" s="18" t="s">
        <v>81</v>
      </c>
      <c r="D3182" s="18" t="s">
        <v>13123</v>
      </c>
      <c r="E3182" s="18" t="n">
        <v>13</v>
      </c>
      <c r="F3182" s="18" t="s">
        <v>13154</v>
      </c>
      <c r="G3182" s="18" t="s">
        <v>416</v>
      </c>
      <c r="H3182" s="18" t="s">
        <v>129</v>
      </c>
      <c r="I3182" s="18" t="s">
        <v>298</v>
      </c>
      <c r="J3182" s="18" t="s">
        <v>13155</v>
      </c>
      <c r="K3182" s="18"/>
      <c r="L3182" s="18" t="s">
        <v>162</v>
      </c>
      <c r="M3182" s="18" t="s">
        <v>129</v>
      </c>
      <c r="N3182" s="18"/>
      <c r="O3182" s="18"/>
      <c r="P3182" s="18" t="s">
        <v>13156</v>
      </c>
      <c r="Q3182" s="18" t="s">
        <v>131</v>
      </c>
      <c r="R3182" s="18" t="s">
        <v>13157</v>
      </c>
      <c r="S3182" s="18" t="s">
        <v>133</v>
      </c>
      <c r="T3182" s="18" t="s">
        <v>13158</v>
      </c>
      <c r="U3182" s="18"/>
      <c r="V3182" s="19" t="s">
        <v>29</v>
      </c>
      <c r="W3182" s="19"/>
      <c r="X3182" s="19"/>
      <c r="Y3182" s="20"/>
      <c r="Z3182" s="19"/>
      <c r="AA3182" s="18" t="str">
        <f aca="false">IF(OR(V3182="Aprobada"),R3182,IF(AND(OR(V3182="Aprobada con ajuste",V3182="Rechazada"),W3182&lt;&gt;""),W3182,""))</f>
        <v/>
      </c>
    </row>
    <row r="3183" customFormat="false" ht="179.1" hidden="false" customHeight="false" outlineLevel="0" collapsed="false">
      <c r="A3183" s="18" t="s">
        <v>13159</v>
      </c>
      <c r="B3183" s="18" t="s">
        <v>80</v>
      </c>
      <c r="C3183" s="18" t="s">
        <v>81</v>
      </c>
      <c r="D3183" s="18" t="s">
        <v>13160</v>
      </c>
      <c r="E3183" s="18" t="n">
        <v>0</v>
      </c>
      <c r="F3183" s="18" t="s">
        <v>127</v>
      </c>
      <c r="G3183" s="18" t="s">
        <v>205</v>
      </c>
      <c r="H3183" s="18" t="s">
        <v>129</v>
      </c>
      <c r="I3183" s="18" t="s">
        <v>298</v>
      </c>
      <c r="J3183" s="18" t="s">
        <v>13161</v>
      </c>
      <c r="K3183" s="18"/>
      <c r="L3183" s="18" t="s">
        <v>162</v>
      </c>
      <c r="M3183" s="18" t="s">
        <v>129</v>
      </c>
      <c r="N3183" s="18"/>
      <c r="O3183" s="18" t="s">
        <v>13162</v>
      </c>
      <c r="P3183" s="18" t="s">
        <v>13163</v>
      </c>
      <c r="Q3183" s="18" t="s">
        <v>138</v>
      </c>
      <c r="R3183" s="18" t="s">
        <v>13164</v>
      </c>
      <c r="S3183" s="18" t="s">
        <v>140</v>
      </c>
      <c r="T3183" s="18" t="s">
        <v>141</v>
      </c>
      <c r="U3183" s="18"/>
      <c r="V3183" s="19" t="s">
        <v>29</v>
      </c>
      <c r="W3183" s="19"/>
      <c r="X3183" s="19"/>
      <c r="Y3183" s="20"/>
      <c r="Z3183" s="19"/>
      <c r="AA3183" s="18" t="str">
        <f aca="false">IF(OR(V3183="Aprobada"),R3183,IF(AND(OR(V3183="Aprobada con ajuste",V3183="Rechazada"),W3183&lt;&gt;""),W3183,""))</f>
        <v/>
      </c>
    </row>
    <row r="3184" customFormat="false" ht="95.5" hidden="false" customHeight="false" outlineLevel="0" collapsed="false">
      <c r="A3184" s="18" t="s">
        <v>13165</v>
      </c>
      <c r="B3184" s="18" t="s">
        <v>80</v>
      </c>
      <c r="C3184" s="18" t="s">
        <v>81</v>
      </c>
      <c r="D3184" s="18" t="s">
        <v>13160</v>
      </c>
      <c r="E3184" s="18" t="n">
        <v>0</v>
      </c>
      <c r="F3184" s="18" t="s">
        <v>676</v>
      </c>
      <c r="G3184" s="18" t="s">
        <v>282</v>
      </c>
      <c r="H3184" s="18" t="s">
        <v>129</v>
      </c>
      <c r="I3184" s="18"/>
      <c r="J3184" s="18"/>
      <c r="K3184" s="18"/>
      <c r="L3184" s="18" t="s">
        <v>129</v>
      </c>
      <c r="M3184" s="18" t="s">
        <v>129</v>
      </c>
      <c r="N3184" s="18"/>
      <c r="O3184" s="18"/>
      <c r="P3184" s="18" t="s">
        <v>13166</v>
      </c>
      <c r="Q3184" s="18" t="s">
        <v>138</v>
      </c>
      <c r="R3184" s="18" t="s">
        <v>677</v>
      </c>
      <c r="S3184" s="18" t="s">
        <v>140</v>
      </c>
      <c r="T3184" s="18" t="s">
        <v>141</v>
      </c>
      <c r="U3184" s="18"/>
      <c r="V3184" s="19" t="s">
        <v>29</v>
      </c>
      <c r="W3184" s="19"/>
      <c r="X3184" s="19"/>
      <c r="Y3184" s="20"/>
      <c r="Z3184" s="19"/>
      <c r="AA3184" s="18" t="str">
        <f aca="false">IF(OR(V3184="Aprobada"),R3184,IF(AND(OR(V3184="Aprobada con ajuste",V3184="Rechazada"),W3184&lt;&gt;""),W3184,""))</f>
        <v/>
      </c>
    </row>
    <row r="3185" customFormat="false" ht="64.15" hidden="false" customHeight="false" outlineLevel="0" collapsed="false">
      <c r="A3185" s="18" t="s">
        <v>13167</v>
      </c>
      <c r="B3185" s="18" t="s">
        <v>80</v>
      </c>
      <c r="C3185" s="18" t="s">
        <v>81</v>
      </c>
      <c r="D3185" s="18" t="s">
        <v>13160</v>
      </c>
      <c r="E3185" s="18" t="n">
        <v>0</v>
      </c>
      <c r="F3185" s="18" t="s">
        <v>11744</v>
      </c>
      <c r="G3185" s="18" t="s">
        <v>137</v>
      </c>
      <c r="H3185" s="18" t="s">
        <v>129</v>
      </c>
      <c r="I3185" s="18"/>
      <c r="J3185" s="18"/>
      <c r="K3185" s="18"/>
      <c r="L3185" s="18" t="s">
        <v>129</v>
      </c>
      <c r="M3185" s="18" t="s">
        <v>129</v>
      </c>
      <c r="N3185" s="18"/>
      <c r="O3185" s="18" t="s">
        <v>13168</v>
      </c>
      <c r="P3185" s="18" t="s">
        <v>13169</v>
      </c>
      <c r="Q3185" s="18" t="s">
        <v>138</v>
      </c>
      <c r="R3185" s="18" t="s">
        <v>11746</v>
      </c>
      <c r="S3185" s="18" t="s">
        <v>140</v>
      </c>
      <c r="T3185" s="18" t="s">
        <v>141</v>
      </c>
      <c r="U3185" s="18"/>
      <c r="V3185" s="19" t="s">
        <v>29</v>
      </c>
      <c r="W3185" s="19"/>
      <c r="X3185" s="19"/>
      <c r="Y3185" s="20"/>
      <c r="Z3185" s="19"/>
      <c r="AA3185" s="18" t="str">
        <f aca="false">IF(OR(V3185="Aprobada"),R3185,IF(AND(OR(V3185="Aprobada con ajuste",V3185="Rechazada"),W3185&lt;&gt;""),W3185,""))</f>
        <v/>
      </c>
    </row>
    <row r="3186" customFormat="false" ht="85.05" hidden="false" customHeight="false" outlineLevel="0" collapsed="false">
      <c r="A3186" s="18" t="s">
        <v>13170</v>
      </c>
      <c r="B3186" s="18" t="s">
        <v>80</v>
      </c>
      <c r="C3186" s="18" t="s">
        <v>81</v>
      </c>
      <c r="D3186" s="18" t="s">
        <v>13160</v>
      </c>
      <c r="E3186" s="18" t="n">
        <v>0</v>
      </c>
      <c r="F3186" s="18" t="s">
        <v>13171</v>
      </c>
      <c r="G3186" s="18" t="s">
        <v>11382</v>
      </c>
      <c r="H3186" s="18" t="s">
        <v>162</v>
      </c>
      <c r="I3186" s="18" t="s">
        <v>298</v>
      </c>
      <c r="J3186" s="18"/>
      <c r="K3186" s="18"/>
      <c r="L3186" s="18" t="s">
        <v>129</v>
      </c>
      <c r="M3186" s="18" t="s">
        <v>129</v>
      </c>
      <c r="N3186" s="18"/>
      <c r="O3186" s="18"/>
      <c r="P3186" s="18" t="s">
        <v>13172</v>
      </c>
      <c r="Q3186" s="18" t="s">
        <v>131</v>
      </c>
      <c r="R3186" s="18" t="s">
        <v>13173</v>
      </c>
      <c r="S3186" s="18" t="s">
        <v>133</v>
      </c>
      <c r="T3186" s="18" t="s">
        <v>13174</v>
      </c>
      <c r="U3186" s="18" t="s">
        <v>11516</v>
      </c>
      <c r="V3186" s="19" t="s">
        <v>29</v>
      </c>
      <c r="W3186" s="19"/>
      <c r="X3186" s="19"/>
      <c r="Y3186" s="20"/>
      <c r="Z3186" s="19"/>
      <c r="AA3186" s="18" t="str">
        <f aca="false">IF(OR(V3186="Aprobada"),R3186,IF(AND(OR(V3186="Aprobada con ajuste",V3186="Rechazada"),W3186&lt;&gt;""),W3186,""))</f>
        <v/>
      </c>
    </row>
    <row r="3187" customFormat="false" ht="95.5" hidden="false" customHeight="false" outlineLevel="0" collapsed="false">
      <c r="A3187" s="18" t="s">
        <v>13175</v>
      </c>
      <c r="B3187" s="18" t="s">
        <v>80</v>
      </c>
      <c r="C3187" s="18" t="s">
        <v>81</v>
      </c>
      <c r="D3187" s="18" t="s">
        <v>13160</v>
      </c>
      <c r="E3187" s="18" t="n">
        <v>0</v>
      </c>
      <c r="F3187" s="18" t="s">
        <v>12560</v>
      </c>
      <c r="G3187" s="18" t="s">
        <v>205</v>
      </c>
      <c r="H3187" s="18" t="s">
        <v>162</v>
      </c>
      <c r="I3187" s="18"/>
      <c r="J3187" s="18"/>
      <c r="K3187" s="18"/>
      <c r="L3187" s="18" t="s">
        <v>129</v>
      </c>
      <c r="M3187" s="18" t="s">
        <v>129</v>
      </c>
      <c r="N3187" s="18"/>
      <c r="O3187" s="18"/>
      <c r="P3187" s="18" t="s">
        <v>13176</v>
      </c>
      <c r="Q3187" s="18" t="s">
        <v>131</v>
      </c>
      <c r="R3187" s="18" t="s">
        <v>13177</v>
      </c>
      <c r="S3187" s="18" t="s">
        <v>133</v>
      </c>
      <c r="T3187" s="18" t="s">
        <v>13178</v>
      </c>
      <c r="U3187" s="18" t="s">
        <v>13179</v>
      </c>
      <c r="V3187" s="19" t="s">
        <v>29</v>
      </c>
      <c r="W3187" s="19"/>
      <c r="X3187" s="19"/>
      <c r="Y3187" s="20"/>
      <c r="Z3187" s="19"/>
      <c r="AA3187" s="18" t="str">
        <f aca="false">IF(OR(V3187="Aprobada"),R3187,IF(AND(OR(V3187="Aprobada con ajuste",V3187="Rechazada"),W3187&lt;&gt;""),W3187,""))</f>
        <v/>
      </c>
    </row>
    <row r="3188" customFormat="false" ht="95.5" hidden="false" customHeight="false" outlineLevel="0" collapsed="false">
      <c r="A3188" s="18" t="s">
        <v>13180</v>
      </c>
      <c r="B3188" s="18" t="s">
        <v>80</v>
      </c>
      <c r="C3188" s="18" t="s">
        <v>81</v>
      </c>
      <c r="D3188" s="18" t="s">
        <v>13160</v>
      </c>
      <c r="E3188" s="18" t="n">
        <v>0</v>
      </c>
      <c r="F3188" s="18" t="s">
        <v>13181</v>
      </c>
      <c r="G3188" s="18" t="s">
        <v>137</v>
      </c>
      <c r="H3188" s="18" t="s">
        <v>162</v>
      </c>
      <c r="I3188" s="18" t="s">
        <v>298</v>
      </c>
      <c r="J3188" s="18"/>
      <c r="K3188" s="18"/>
      <c r="L3188" s="18" t="s">
        <v>129</v>
      </c>
      <c r="M3188" s="18" t="s">
        <v>129</v>
      </c>
      <c r="N3188" s="18"/>
      <c r="O3188" s="18"/>
      <c r="P3188" s="18" t="s">
        <v>13182</v>
      </c>
      <c r="Q3188" s="18" t="s">
        <v>131</v>
      </c>
      <c r="R3188" s="18" t="s">
        <v>13183</v>
      </c>
      <c r="S3188" s="18" t="s">
        <v>133</v>
      </c>
      <c r="T3188" s="18" t="s">
        <v>13184</v>
      </c>
      <c r="U3188" s="18"/>
      <c r="V3188" s="19" t="s">
        <v>29</v>
      </c>
      <c r="W3188" s="19"/>
      <c r="X3188" s="19"/>
      <c r="Y3188" s="20"/>
      <c r="Z3188" s="19"/>
      <c r="AA3188" s="18" t="str">
        <f aca="false">IF(OR(V3188="Aprobada"),R3188,IF(AND(OR(V3188="Aprobada con ajuste",V3188="Rechazada"),W3188&lt;&gt;""),W3188,""))</f>
        <v/>
      </c>
    </row>
    <row r="3189" customFormat="false" ht="43.25" hidden="false" customHeight="false" outlineLevel="0" collapsed="false">
      <c r="A3189" s="18" t="s">
        <v>13185</v>
      </c>
      <c r="B3189" s="18" t="s">
        <v>80</v>
      </c>
      <c r="C3189" s="18" t="s">
        <v>81</v>
      </c>
      <c r="D3189" s="18" t="s">
        <v>13160</v>
      </c>
      <c r="E3189" s="18" t="n">
        <v>0</v>
      </c>
      <c r="F3189" s="18" t="s">
        <v>13186</v>
      </c>
      <c r="G3189" s="18" t="s">
        <v>137</v>
      </c>
      <c r="H3189" s="18" t="s">
        <v>162</v>
      </c>
      <c r="I3189" s="18" t="s">
        <v>298</v>
      </c>
      <c r="J3189" s="18"/>
      <c r="K3189" s="18"/>
      <c r="L3189" s="18" t="s">
        <v>129</v>
      </c>
      <c r="M3189" s="18" t="s">
        <v>129</v>
      </c>
      <c r="N3189" s="18"/>
      <c r="O3189" s="18"/>
      <c r="P3189" s="18" t="s">
        <v>13187</v>
      </c>
      <c r="Q3189" s="18" t="s">
        <v>149</v>
      </c>
      <c r="R3189" s="18" t="s">
        <v>13188</v>
      </c>
      <c r="S3189" s="18" t="s">
        <v>133</v>
      </c>
      <c r="T3189" s="18" t="s">
        <v>13189</v>
      </c>
      <c r="U3189" s="18"/>
      <c r="V3189" s="19" t="s">
        <v>29</v>
      </c>
      <c r="W3189" s="19"/>
      <c r="X3189" s="19"/>
      <c r="Y3189" s="20"/>
      <c r="Z3189" s="19"/>
      <c r="AA3189" s="18" t="str">
        <f aca="false">IF(OR(V3189="Aprobada"),R3189,IF(AND(OR(V3189="Aprobada con ajuste",V3189="Rechazada"),W3189&lt;&gt;""),W3189,""))</f>
        <v/>
      </c>
    </row>
    <row r="3190" customFormat="false" ht="22.35" hidden="false" customHeight="false" outlineLevel="0" collapsed="false">
      <c r="A3190" s="18" t="s">
        <v>13190</v>
      </c>
      <c r="B3190" s="18" t="s">
        <v>80</v>
      </c>
      <c r="C3190" s="18" t="s">
        <v>81</v>
      </c>
      <c r="D3190" s="18" t="s">
        <v>13160</v>
      </c>
      <c r="E3190" s="18" t="n">
        <v>0</v>
      </c>
      <c r="F3190" s="18" t="s">
        <v>13191</v>
      </c>
      <c r="G3190" s="18" t="s">
        <v>454</v>
      </c>
      <c r="H3190" s="18" t="s">
        <v>162</v>
      </c>
      <c r="I3190" s="18"/>
      <c r="J3190" s="18"/>
      <c r="K3190" s="18"/>
      <c r="L3190" s="18" t="s">
        <v>129</v>
      </c>
      <c r="M3190" s="18" t="s">
        <v>129</v>
      </c>
      <c r="N3190" s="18"/>
      <c r="O3190" s="18"/>
      <c r="P3190" s="18" t="s">
        <v>13192</v>
      </c>
      <c r="Q3190" s="18" t="s">
        <v>149</v>
      </c>
      <c r="R3190" s="18" t="s">
        <v>13193</v>
      </c>
      <c r="S3190" s="18" t="s">
        <v>140</v>
      </c>
      <c r="T3190" s="18" t="s">
        <v>13121</v>
      </c>
      <c r="U3190" s="18" t="s">
        <v>9527</v>
      </c>
      <c r="V3190" s="19" t="s">
        <v>29</v>
      </c>
      <c r="W3190" s="19"/>
      <c r="X3190" s="19"/>
      <c r="Y3190" s="20"/>
      <c r="Z3190" s="19"/>
      <c r="AA3190" s="18" t="str">
        <f aca="false">IF(OR(V3190="Aprobada"),R3190,IF(AND(OR(V3190="Aprobada con ajuste",V3190="Rechazada"),W3190&lt;&gt;""),W3190,""))</f>
        <v/>
      </c>
    </row>
    <row r="3191" customFormat="false" ht="22.35" hidden="false" customHeight="false" outlineLevel="0" collapsed="false">
      <c r="A3191" s="18" t="s">
        <v>13194</v>
      </c>
      <c r="B3191" s="18" t="s">
        <v>80</v>
      </c>
      <c r="C3191" s="18" t="s">
        <v>81</v>
      </c>
      <c r="D3191" s="18" t="s">
        <v>13160</v>
      </c>
      <c r="E3191" s="18" t="n">
        <v>0</v>
      </c>
      <c r="F3191" s="18" t="s">
        <v>11989</v>
      </c>
      <c r="G3191" s="18" t="s">
        <v>584</v>
      </c>
      <c r="H3191" s="18" t="s">
        <v>162</v>
      </c>
      <c r="I3191" s="18"/>
      <c r="J3191" s="18"/>
      <c r="K3191" s="18"/>
      <c r="L3191" s="18" t="s">
        <v>129</v>
      </c>
      <c r="M3191" s="18" t="s">
        <v>129</v>
      </c>
      <c r="N3191" s="18"/>
      <c r="O3191" s="18"/>
      <c r="P3191" s="18" t="s">
        <v>13195</v>
      </c>
      <c r="Q3191" s="18" t="s">
        <v>138</v>
      </c>
      <c r="R3191" s="18" t="s">
        <v>11869</v>
      </c>
      <c r="S3191" s="18" t="s">
        <v>140</v>
      </c>
      <c r="T3191" s="18" t="s">
        <v>141</v>
      </c>
      <c r="U3191" s="18"/>
      <c r="V3191" s="19" t="s">
        <v>29</v>
      </c>
      <c r="W3191" s="19"/>
      <c r="X3191" s="19"/>
      <c r="Y3191" s="20"/>
      <c r="Z3191" s="19"/>
      <c r="AA3191" s="18" t="str">
        <f aca="false">IF(OR(V3191="Aprobada"),R3191,IF(AND(OR(V3191="Aprobada con ajuste",V3191="Rechazada"),W3191&lt;&gt;""),W3191,""))</f>
        <v/>
      </c>
    </row>
    <row r="3192" customFormat="false" ht="22.35" hidden="false" customHeight="false" outlineLevel="0" collapsed="false">
      <c r="A3192" s="18" t="s">
        <v>13196</v>
      </c>
      <c r="B3192" s="18" t="s">
        <v>80</v>
      </c>
      <c r="C3192" s="18" t="s">
        <v>81</v>
      </c>
      <c r="D3192" s="18" t="s">
        <v>13160</v>
      </c>
      <c r="E3192" s="18" t="n">
        <v>0</v>
      </c>
      <c r="F3192" s="18" t="s">
        <v>11994</v>
      </c>
      <c r="G3192" s="18" t="s">
        <v>454</v>
      </c>
      <c r="H3192" s="18" t="s">
        <v>162</v>
      </c>
      <c r="I3192" s="18"/>
      <c r="J3192" s="18"/>
      <c r="K3192" s="18"/>
      <c r="L3192" s="18" t="s">
        <v>129</v>
      </c>
      <c r="M3192" s="18" t="s">
        <v>129</v>
      </c>
      <c r="N3192" s="18"/>
      <c r="O3192" s="18"/>
      <c r="P3192" s="18" t="s">
        <v>13197</v>
      </c>
      <c r="Q3192" s="18" t="s">
        <v>138</v>
      </c>
      <c r="R3192" s="18" t="s">
        <v>11418</v>
      </c>
      <c r="S3192" s="18" t="s">
        <v>140</v>
      </c>
      <c r="T3192" s="18" t="s">
        <v>141</v>
      </c>
      <c r="U3192" s="18"/>
      <c r="V3192" s="19" t="s">
        <v>29</v>
      </c>
      <c r="W3192" s="19"/>
      <c r="X3192" s="19"/>
      <c r="Y3192" s="20"/>
      <c r="Z3192" s="19"/>
      <c r="AA3192" s="18" t="str">
        <f aca="false">IF(OR(V3192="Aprobada"),R3192,IF(AND(OR(V3192="Aprobada con ajuste",V3192="Rechazada"),W3192&lt;&gt;""),W3192,""))</f>
        <v/>
      </c>
    </row>
    <row r="3193" customFormat="false" ht="32.8" hidden="false" customHeight="false" outlineLevel="0" collapsed="false">
      <c r="A3193" s="18" t="s">
        <v>13198</v>
      </c>
      <c r="B3193" s="18" t="s">
        <v>80</v>
      </c>
      <c r="C3193" s="18" t="s">
        <v>81</v>
      </c>
      <c r="D3193" s="18" t="s">
        <v>13160</v>
      </c>
      <c r="E3193" s="18" t="n">
        <v>0</v>
      </c>
      <c r="F3193" s="18" t="s">
        <v>11420</v>
      </c>
      <c r="G3193" s="18" t="s">
        <v>128</v>
      </c>
      <c r="H3193" s="18" t="s">
        <v>162</v>
      </c>
      <c r="I3193" s="18"/>
      <c r="J3193" s="18"/>
      <c r="K3193" s="18"/>
      <c r="L3193" s="18" t="s">
        <v>129</v>
      </c>
      <c r="M3193" s="18" t="s">
        <v>129</v>
      </c>
      <c r="N3193" s="18"/>
      <c r="O3193" s="18"/>
      <c r="P3193" s="18" t="s">
        <v>13199</v>
      </c>
      <c r="Q3193" s="18" t="s">
        <v>138</v>
      </c>
      <c r="R3193" s="18" t="s">
        <v>11422</v>
      </c>
      <c r="S3193" s="18" t="s">
        <v>140</v>
      </c>
      <c r="T3193" s="18" t="s">
        <v>141</v>
      </c>
      <c r="U3193" s="18"/>
      <c r="V3193" s="19" t="s">
        <v>29</v>
      </c>
      <c r="W3193" s="19"/>
      <c r="X3193" s="19"/>
      <c r="Y3193" s="20"/>
      <c r="Z3193" s="19"/>
      <c r="AA3193" s="18" t="str">
        <f aca="false">IF(OR(V3193="Aprobada"),R3193,IF(AND(OR(V3193="Aprobada con ajuste",V3193="Rechazada"),W3193&lt;&gt;""),W3193,""))</f>
        <v/>
      </c>
    </row>
    <row r="3194" customFormat="false" ht="137.3" hidden="false" customHeight="false" outlineLevel="0" collapsed="false">
      <c r="A3194" s="18" t="s">
        <v>13200</v>
      </c>
      <c r="B3194" s="18" t="s">
        <v>80</v>
      </c>
      <c r="C3194" s="18" t="s">
        <v>81</v>
      </c>
      <c r="D3194" s="18" t="s">
        <v>13201</v>
      </c>
      <c r="E3194" s="18" t="n">
        <v>2</v>
      </c>
      <c r="F3194" s="18" t="s">
        <v>13202</v>
      </c>
      <c r="G3194" s="18" t="s">
        <v>13203</v>
      </c>
      <c r="H3194" s="18" t="s">
        <v>162</v>
      </c>
      <c r="I3194" s="18" t="s">
        <v>298</v>
      </c>
      <c r="J3194" s="18"/>
      <c r="K3194" s="18"/>
      <c r="L3194" s="18" t="s">
        <v>129</v>
      </c>
      <c r="M3194" s="18" t="s">
        <v>129</v>
      </c>
      <c r="N3194" s="18"/>
      <c r="O3194" s="18"/>
      <c r="P3194" s="18" t="s">
        <v>13204</v>
      </c>
      <c r="Q3194" s="18" t="s">
        <v>131</v>
      </c>
      <c r="R3194" s="18" t="s">
        <v>13205</v>
      </c>
      <c r="S3194" s="18" t="s">
        <v>133</v>
      </c>
      <c r="T3194" s="18" t="s">
        <v>13206</v>
      </c>
      <c r="U3194" s="18"/>
      <c r="V3194" s="19" t="s">
        <v>29</v>
      </c>
      <c r="W3194" s="19"/>
      <c r="X3194" s="19"/>
      <c r="Y3194" s="20"/>
      <c r="Z3194" s="19"/>
      <c r="AA3194" s="18" t="str">
        <f aca="false">IF(OR(V3194="Aprobada"),R3194,IF(AND(OR(V3194="Aprobada con ajuste",V3194="Rechazada"),W3194&lt;&gt;""),W3194,""))</f>
        <v/>
      </c>
    </row>
    <row r="3195" customFormat="false" ht="53.7" hidden="false" customHeight="false" outlineLevel="0" collapsed="false">
      <c r="A3195" s="18" t="s">
        <v>13207</v>
      </c>
      <c r="B3195" s="18" t="s">
        <v>80</v>
      </c>
      <c r="C3195" s="18" t="s">
        <v>81</v>
      </c>
      <c r="D3195" s="18" t="s">
        <v>13201</v>
      </c>
      <c r="E3195" s="18" t="n">
        <v>2</v>
      </c>
      <c r="F3195" s="18" t="s">
        <v>13208</v>
      </c>
      <c r="G3195" s="18" t="s">
        <v>13203</v>
      </c>
      <c r="H3195" s="18" t="s">
        <v>162</v>
      </c>
      <c r="I3195" s="18" t="s">
        <v>298</v>
      </c>
      <c r="J3195" s="18"/>
      <c r="K3195" s="18"/>
      <c r="L3195" s="18" t="s">
        <v>129</v>
      </c>
      <c r="M3195" s="18" t="s">
        <v>129</v>
      </c>
      <c r="N3195" s="18"/>
      <c r="O3195" s="18"/>
      <c r="P3195" s="18" t="s">
        <v>13209</v>
      </c>
      <c r="Q3195" s="18" t="s">
        <v>149</v>
      </c>
      <c r="R3195" s="18" t="s">
        <v>13210</v>
      </c>
      <c r="S3195" s="18" t="s">
        <v>133</v>
      </c>
      <c r="T3195" s="18" t="s">
        <v>13211</v>
      </c>
      <c r="U3195" s="18"/>
      <c r="V3195" s="19" t="s">
        <v>29</v>
      </c>
      <c r="W3195" s="19"/>
      <c r="X3195" s="19"/>
      <c r="Y3195" s="20"/>
      <c r="Z3195" s="19"/>
      <c r="AA3195" s="18" t="str">
        <f aca="false">IF(OR(V3195="Aprobada"),R3195,IF(AND(OR(V3195="Aprobada con ajuste",V3195="Rechazada"),W3195&lt;&gt;""),W3195,""))</f>
        <v/>
      </c>
    </row>
    <row r="3196" customFormat="false" ht="137.3" hidden="false" customHeight="false" outlineLevel="0" collapsed="false">
      <c r="A3196" s="18" t="s">
        <v>13212</v>
      </c>
      <c r="B3196" s="18" t="s">
        <v>80</v>
      </c>
      <c r="C3196" s="18" t="s">
        <v>81</v>
      </c>
      <c r="D3196" s="18" t="s">
        <v>13201</v>
      </c>
      <c r="E3196" s="18" t="n">
        <v>2</v>
      </c>
      <c r="F3196" s="18" t="s">
        <v>13213</v>
      </c>
      <c r="G3196" s="18" t="s">
        <v>11382</v>
      </c>
      <c r="H3196" s="18" t="s">
        <v>162</v>
      </c>
      <c r="I3196" s="18" t="s">
        <v>298</v>
      </c>
      <c r="J3196" s="18"/>
      <c r="K3196" s="18"/>
      <c r="L3196" s="18" t="s">
        <v>129</v>
      </c>
      <c r="M3196" s="18" t="s">
        <v>129</v>
      </c>
      <c r="N3196" s="18"/>
      <c r="O3196" s="18"/>
      <c r="P3196" s="18" t="s">
        <v>13214</v>
      </c>
      <c r="Q3196" s="18" t="s">
        <v>131</v>
      </c>
      <c r="R3196" s="18" t="s">
        <v>13215</v>
      </c>
      <c r="S3196" s="18" t="s">
        <v>133</v>
      </c>
      <c r="T3196" s="18" t="s">
        <v>13216</v>
      </c>
      <c r="U3196" s="18" t="s">
        <v>11516</v>
      </c>
      <c r="V3196" s="19" t="s">
        <v>29</v>
      </c>
      <c r="W3196" s="19"/>
      <c r="X3196" s="19"/>
      <c r="Y3196" s="20"/>
      <c r="Z3196" s="19"/>
      <c r="AA3196" s="18" t="str">
        <f aca="false">IF(OR(V3196="Aprobada"),R3196,IF(AND(OR(V3196="Aprobada con ajuste",V3196="Rechazada"),W3196&lt;&gt;""),W3196,""))</f>
        <v/>
      </c>
    </row>
    <row r="3197" customFormat="false" ht="105.95" hidden="false" customHeight="false" outlineLevel="0" collapsed="false">
      <c r="A3197" s="18" t="s">
        <v>13217</v>
      </c>
      <c r="B3197" s="18" t="s">
        <v>80</v>
      </c>
      <c r="C3197" s="18" t="s">
        <v>81</v>
      </c>
      <c r="D3197" s="18" t="s">
        <v>13201</v>
      </c>
      <c r="E3197" s="18" t="n">
        <v>2</v>
      </c>
      <c r="F3197" s="18" t="s">
        <v>3183</v>
      </c>
      <c r="G3197" s="18" t="s">
        <v>128</v>
      </c>
      <c r="H3197" s="18" t="s">
        <v>129</v>
      </c>
      <c r="I3197" s="18"/>
      <c r="J3197" s="18"/>
      <c r="K3197" s="18"/>
      <c r="L3197" s="18" t="s">
        <v>129</v>
      </c>
      <c r="M3197" s="18" t="s">
        <v>129</v>
      </c>
      <c r="N3197" s="18"/>
      <c r="O3197" s="18"/>
      <c r="P3197" s="18" t="s">
        <v>13218</v>
      </c>
      <c r="Q3197" s="18" t="s">
        <v>131</v>
      </c>
      <c r="R3197" s="18" t="s">
        <v>13219</v>
      </c>
      <c r="S3197" s="18" t="s">
        <v>133</v>
      </c>
      <c r="T3197" s="18" t="s">
        <v>13220</v>
      </c>
      <c r="U3197" s="18"/>
      <c r="V3197" s="19" t="s">
        <v>29</v>
      </c>
      <c r="W3197" s="19"/>
      <c r="X3197" s="19"/>
      <c r="Y3197" s="20"/>
      <c r="Z3197" s="19"/>
      <c r="AA3197" s="18" t="str">
        <f aca="false">IF(OR(V3197="Aprobada"),R3197,IF(AND(OR(V3197="Aprobada con ajuste",V3197="Rechazada"),W3197&lt;&gt;""),W3197,""))</f>
        <v/>
      </c>
    </row>
    <row r="3198" customFormat="false" ht="22.35" hidden="false" customHeight="false" outlineLevel="0" collapsed="false">
      <c r="A3198" s="18" t="s">
        <v>13221</v>
      </c>
      <c r="B3198" s="18" t="s">
        <v>80</v>
      </c>
      <c r="C3198" s="18" t="s">
        <v>81</v>
      </c>
      <c r="D3198" s="18" t="s">
        <v>13201</v>
      </c>
      <c r="E3198" s="18" t="n">
        <v>2</v>
      </c>
      <c r="F3198" s="18" t="s">
        <v>185</v>
      </c>
      <c r="G3198" s="18" t="s">
        <v>205</v>
      </c>
      <c r="H3198" s="18" t="s">
        <v>129</v>
      </c>
      <c r="I3198" s="18" t="s">
        <v>298</v>
      </c>
      <c r="J3198" s="18" t="s">
        <v>13222</v>
      </c>
      <c r="K3198" s="18"/>
      <c r="L3198" s="18" t="s">
        <v>162</v>
      </c>
      <c r="M3198" s="18" t="s">
        <v>129</v>
      </c>
      <c r="N3198" s="18"/>
      <c r="O3198" s="18"/>
      <c r="P3198" s="18" t="s">
        <v>13223</v>
      </c>
      <c r="Q3198" s="18" t="s">
        <v>138</v>
      </c>
      <c r="R3198" s="18" t="s">
        <v>13224</v>
      </c>
      <c r="S3198" s="18" t="s">
        <v>140</v>
      </c>
      <c r="T3198" s="18" t="s">
        <v>141</v>
      </c>
      <c r="U3198" s="18"/>
      <c r="V3198" s="19" t="s">
        <v>29</v>
      </c>
      <c r="W3198" s="19"/>
      <c r="X3198" s="19"/>
      <c r="Y3198" s="20"/>
      <c r="Z3198" s="19"/>
      <c r="AA3198" s="18" t="str">
        <f aca="false">IF(OR(V3198="Aprobada"),R3198,IF(AND(OR(V3198="Aprobada con ajuste",V3198="Rechazada"),W3198&lt;&gt;""),W3198,""))</f>
        <v/>
      </c>
    </row>
    <row r="3199" customFormat="false" ht="22.35" hidden="false" customHeight="false" outlineLevel="0" collapsed="false">
      <c r="A3199" s="18" t="s">
        <v>13225</v>
      </c>
      <c r="B3199" s="18" t="s">
        <v>80</v>
      </c>
      <c r="C3199" s="18" t="s">
        <v>81</v>
      </c>
      <c r="D3199" s="18" t="s">
        <v>13201</v>
      </c>
      <c r="E3199" s="18" t="n">
        <v>2</v>
      </c>
      <c r="F3199" s="18" t="s">
        <v>11254</v>
      </c>
      <c r="G3199" s="18" t="s">
        <v>454</v>
      </c>
      <c r="H3199" s="18" t="s">
        <v>162</v>
      </c>
      <c r="I3199" s="18"/>
      <c r="J3199" s="18"/>
      <c r="K3199" s="18"/>
      <c r="L3199" s="18" t="s">
        <v>129</v>
      </c>
      <c r="M3199" s="18" t="s">
        <v>129</v>
      </c>
      <c r="N3199" s="18"/>
      <c r="O3199" s="18"/>
      <c r="P3199" s="18" t="s">
        <v>13226</v>
      </c>
      <c r="Q3199" s="18" t="s">
        <v>138</v>
      </c>
      <c r="R3199" s="18" t="s">
        <v>2017</v>
      </c>
      <c r="S3199" s="18" t="s">
        <v>140</v>
      </c>
      <c r="T3199" s="18" t="s">
        <v>141</v>
      </c>
      <c r="U3199" s="18"/>
      <c r="V3199" s="19" t="s">
        <v>29</v>
      </c>
      <c r="W3199" s="19"/>
      <c r="X3199" s="19"/>
      <c r="Y3199" s="20"/>
      <c r="Z3199" s="19"/>
      <c r="AA3199" s="18" t="str">
        <f aca="false">IF(OR(V3199="Aprobada"),R3199,IF(AND(OR(V3199="Aprobada con ajuste",V3199="Rechazada"),W3199&lt;&gt;""),W3199,""))</f>
        <v/>
      </c>
    </row>
    <row r="3200" customFormat="false" ht="22.35" hidden="false" customHeight="false" outlineLevel="0" collapsed="false">
      <c r="A3200" s="18" t="s">
        <v>13227</v>
      </c>
      <c r="B3200" s="18" t="s">
        <v>80</v>
      </c>
      <c r="C3200" s="18" t="s">
        <v>81</v>
      </c>
      <c r="D3200" s="18" t="s">
        <v>13201</v>
      </c>
      <c r="E3200" s="18" t="n">
        <v>2</v>
      </c>
      <c r="F3200" s="18" t="s">
        <v>13077</v>
      </c>
      <c r="G3200" s="18" t="s">
        <v>584</v>
      </c>
      <c r="H3200" s="18" t="s">
        <v>129</v>
      </c>
      <c r="I3200" s="18"/>
      <c r="J3200" s="18"/>
      <c r="K3200" s="18"/>
      <c r="L3200" s="18" t="s">
        <v>129</v>
      </c>
      <c r="M3200" s="18" t="s">
        <v>129</v>
      </c>
      <c r="N3200" s="18"/>
      <c r="O3200" s="18"/>
      <c r="P3200" s="18" t="s">
        <v>13228</v>
      </c>
      <c r="Q3200" s="18" t="s">
        <v>138</v>
      </c>
      <c r="R3200" s="18" t="s">
        <v>10934</v>
      </c>
      <c r="S3200" s="18" t="s">
        <v>140</v>
      </c>
      <c r="T3200" s="18" t="s">
        <v>141</v>
      </c>
      <c r="U3200" s="18"/>
      <c r="V3200" s="19" t="s">
        <v>29</v>
      </c>
      <c r="W3200" s="19"/>
      <c r="X3200" s="19"/>
      <c r="Y3200" s="20"/>
      <c r="Z3200" s="19"/>
      <c r="AA3200" s="18" t="str">
        <f aca="false">IF(OR(V3200="Aprobada"),R3200,IF(AND(OR(V3200="Aprobada con ajuste",V3200="Rechazada"),W3200&lt;&gt;""),W3200,""))</f>
        <v/>
      </c>
    </row>
    <row r="3201" customFormat="false" ht="32.8" hidden="false" customHeight="false" outlineLevel="0" collapsed="false">
      <c r="A3201" s="18" t="s">
        <v>13229</v>
      </c>
      <c r="B3201" s="18" t="s">
        <v>80</v>
      </c>
      <c r="C3201" s="18" t="s">
        <v>81</v>
      </c>
      <c r="D3201" s="18" t="s">
        <v>13201</v>
      </c>
      <c r="E3201" s="18" t="n">
        <v>2</v>
      </c>
      <c r="F3201" s="18" t="s">
        <v>13230</v>
      </c>
      <c r="G3201" s="18" t="s">
        <v>584</v>
      </c>
      <c r="H3201" s="18" t="s">
        <v>162</v>
      </c>
      <c r="I3201" s="18" t="s">
        <v>298</v>
      </c>
      <c r="J3201" s="18"/>
      <c r="K3201" s="18"/>
      <c r="L3201" s="18" t="s">
        <v>129</v>
      </c>
      <c r="M3201" s="18" t="s">
        <v>129</v>
      </c>
      <c r="N3201" s="18"/>
      <c r="O3201" s="18"/>
      <c r="P3201" s="18" t="s">
        <v>13231</v>
      </c>
      <c r="Q3201" s="18" t="s">
        <v>149</v>
      </c>
      <c r="R3201" s="18" t="s">
        <v>13232</v>
      </c>
      <c r="S3201" s="18" t="s">
        <v>133</v>
      </c>
      <c r="T3201" s="18" t="s">
        <v>13233</v>
      </c>
      <c r="U3201" s="18"/>
      <c r="V3201" s="19" t="s">
        <v>29</v>
      </c>
      <c r="W3201" s="19"/>
      <c r="X3201" s="19"/>
      <c r="Y3201" s="20"/>
      <c r="Z3201" s="19"/>
      <c r="AA3201" s="18" t="str">
        <f aca="false">IF(OR(V3201="Aprobada"),R3201,IF(AND(OR(V3201="Aprobada con ajuste",V3201="Rechazada"),W3201&lt;&gt;""),W3201,""))</f>
        <v/>
      </c>
    </row>
    <row r="3202" customFormat="false" ht="22.35" hidden="false" customHeight="false" outlineLevel="0" collapsed="false">
      <c r="A3202" s="18" t="s">
        <v>13234</v>
      </c>
      <c r="B3202" s="18" t="s">
        <v>80</v>
      </c>
      <c r="C3202" s="18" t="s">
        <v>81</v>
      </c>
      <c r="D3202" s="18" t="s">
        <v>13201</v>
      </c>
      <c r="E3202" s="18" t="n">
        <v>2</v>
      </c>
      <c r="F3202" s="18" t="s">
        <v>13235</v>
      </c>
      <c r="G3202" s="18" t="s">
        <v>454</v>
      </c>
      <c r="H3202" s="18" t="s">
        <v>162</v>
      </c>
      <c r="I3202" s="18"/>
      <c r="J3202" s="18"/>
      <c r="K3202" s="18"/>
      <c r="L3202" s="18" t="s">
        <v>129</v>
      </c>
      <c r="M3202" s="18" t="s">
        <v>129</v>
      </c>
      <c r="N3202" s="18"/>
      <c r="O3202" s="18"/>
      <c r="P3202" s="18" t="s">
        <v>13236</v>
      </c>
      <c r="Q3202" s="18" t="s">
        <v>149</v>
      </c>
      <c r="R3202" s="18" t="s">
        <v>13237</v>
      </c>
      <c r="S3202" s="18" t="s">
        <v>140</v>
      </c>
      <c r="T3202" s="18" t="s">
        <v>13238</v>
      </c>
      <c r="U3202" s="18" t="s">
        <v>9527</v>
      </c>
      <c r="V3202" s="19" t="s">
        <v>29</v>
      </c>
      <c r="W3202" s="19"/>
      <c r="X3202" s="19"/>
      <c r="Y3202" s="20"/>
      <c r="Z3202" s="19"/>
      <c r="AA3202" s="18" t="str">
        <f aca="false">IF(OR(V3202="Aprobada"),R3202,IF(AND(OR(V3202="Aprobada con ajuste",V3202="Rechazada"),W3202&lt;&gt;""),W3202,""))</f>
        <v/>
      </c>
    </row>
    <row r="3203" customFormat="false" ht="22.35" hidden="false" customHeight="false" outlineLevel="0" collapsed="false">
      <c r="A3203" s="18" t="s">
        <v>13239</v>
      </c>
      <c r="B3203" s="18" t="s">
        <v>80</v>
      </c>
      <c r="C3203" s="18" t="s">
        <v>81</v>
      </c>
      <c r="D3203" s="18" t="s">
        <v>13201</v>
      </c>
      <c r="E3203" s="18" t="n">
        <v>2</v>
      </c>
      <c r="F3203" s="18" t="s">
        <v>13240</v>
      </c>
      <c r="G3203" s="18" t="s">
        <v>128</v>
      </c>
      <c r="H3203" s="18" t="s">
        <v>162</v>
      </c>
      <c r="I3203" s="18" t="s">
        <v>298</v>
      </c>
      <c r="J3203" s="18"/>
      <c r="K3203" s="18"/>
      <c r="L3203" s="18" t="s">
        <v>129</v>
      </c>
      <c r="M3203" s="18" t="s">
        <v>129</v>
      </c>
      <c r="N3203" s="18"/>
      <c r="O3203" s="18"/>
      <c r="P3203" s="18" t="s">
        <v>13241</v>
      </c>
      <c r="Q3203" s="18" t="s">
        <v>138</v>
      </c>
      <c r="R3203" s="18" t="s">
        <v>13242</v>
      </c>
      <c r="S3203" s="18" t="s">
        <v>140</v>
      </c>
      <c r="T3203" s="18" t="s">
        <v>141</v>
      </c>
      <c r="U3203" s="18"/>
      <c r="V3203" s="19" t="s">
        <v>29</v>
      </c>
      <c r="W3203" s="19"/>
      <c r="X3203" s="19"/>
      <c r="Y3203" s="20"/>
      <c r="Z3203" s="19"/>
      <c r="AA3203" s="18" t="str">
        <f aca="false">IF(OR(V3203="Aprobada"),R3203,IF(AND(OR(V3203="Aprobada con ajuste",V3203="Rechazada"),W3203&lt;&gt;""),W3203,""))</f>
        <v/>
      </c>
    </row>
    <row r="3204" customFormat="false" ht="53.7" hidden="false" customHeight="false" outlineLevel="0" collapsed="false">
      <c r="A3204" s="18" t="s">
        <v>13243</v>
      </c>
      <c r="B3204" s="18" t="s">
        <v>80</v>
      </c>
      <c r="C3204" s="18" t="s">
        <v>81</v>
      </c>
      <c r="D3204" s="18" t="s">
        <v>13244</v>
      </c>
      <c r="E3204" s="18" t="n">
        <v>12</v>
      </c>
      <c r="F3204" s="18" t="s">
        <v>1616</v>
      </c>
      <c r="G3204" s="18" t="s">
        <v>205</v>
      </c>
      <c r="H3204" s="18" t="s">
        <v>129</v>
      </c>
      <c r="I3204" s="18" t="s">
        <v>298</v>
      </c>
      <c r="J3204" s="18" t="s">
        <v>13245</v>
      </c>
      <c r="K3204" s="18"/>
      <c r="L3204" s="18" t="s">
        <v>162</v>
      </c>
      <c r="M3204" s="18" t="s">
        <v>129</v>
      </c>
      <c r="N3204" s="18"/>
      <c r="O3204" s="18"/>
      <c r="P3204" s="18" t="s">
        <v>13246</v>
      </c>
      <c r="Q3204" s="18" t="s">
        <v>149</v>
      </c>
      <c r="R3204" s="18" t="s">
        <v>13247</v>
      </c>
      <c r="S3204" s="18" t="s">
        <v>133</v>
      </c>
      <c r="T3204" s="18" t="s">
        <v>801</v>
      </c>
      <c r="U3204" s="18"/>
      <c r="V3204" s="19" t="s">
        <v>29</v>
      </c>
      <c r="W3204" s="19"/>
      <c r="X3204" s="19"/>
      <c r="Y3204" s="20"/>
      <c r="Z3204" s="19"/>
      <c r="AA3204" s="18" t="str">
        <f aca="false">IF(OR(V3204="Aprobada"),R3204,IF(AND(OR(V3204="Aprobada con ajuste",V3204="Rechazada"),W3204&lt;&gt;""),W3204,""))</f>
        <v/>
      </c>
    </row>
    <row r="3205" customFormat="false" ht="64.15" hidden="false" customHeight="false" outlineLevel="0" collapsed="false">
      <c r="A3205" s="18" t="s">
        <v>13248</v>
      </c>
      <c r="B3205" s="18" t="s">
        <v>80</v>
      </c>
      <c r="C3205" s="18" t="s">
        <v>81</v>
      </c>
      <c r="D3205" s="18" t="s">
        <v>13244</v>
      </c>
      <c r="E3205" s="18" t="n">
        <v>12</v>
      </c>
      <c r="F3205" s="18" t="s">
        <v>886</v>
      </c>
      <c r="G3205" s="18" t="s">
        <v>128</v>
      </c>
      <c r="H3205" s="18" t="s">
        <v>162</v>
      </c>
      <c r="I3205" s="18" t="s">
        <v>298</v>
      </c>
      <c r="J3205" s="18"/>
      <c r="K3205" s="18"/>
      <c r="L3205" s="18" t="s">
        <v>129</v>
      </c>
      <c r="M3205" s="18" t="s">
        <v>129</v>
      </c>
      <c r="N3205" s="18"/>
      <c r="O3205" s="18"/>
      <c r="P3205" s="18" t="s">
        <v>13249</v>
      </c>
      <c r="Q3205" s="18" t="s">
        <v>131</v>
      </c>
      <c r="R3205" s="18" t="s">
        <v>13250</v>
      </c>
      <c r="S3205" s="18" t="s">
        <v>133</v>
      </c>
      <c r="T3205" s="18" t="s">
        <v>13251</v>
      </c>
      <c r="U3205" s="18"/>
      <c r="V3205" s="19" t="s">
        <v>29</v>
      </c>
      <c r="W3205" s="19"/>
      <c r="X3205" s="19"/>
      <c r="Y3205" s="20"/>
      <c r="Z3205" s="19"/>
      <c r="AA3205" s="18" t="str">
        <f aca="false">IF(OR(V3205="Aprobada"),R3205,IF(AND(OR(V3205="Aprobada con ajuste",V3205="Rechazada"),W3205&lt;&gt;""),W3205,""))</f>
        <v/>
      </c>
    </row>
    <row r="3206" customFormat="false" ht="53.7" hidden="false" customHeight="false" outlineLevel="0" collapsed="false">
      <c r="A3206" s="18" t="s">
        <v>13252</v>
      </c>
      <c r="B3206" s="18" t="s">
        <v>80</v>
      </c>
      <c r="C3206" s="18" t="s">
        <v>81</v>
      </c>
      <c r="D3206" s="18" t="s">
        <v>13244</v>
      </c>
      <c r="E3206" s="18" t="n">
        <v>12</v>
      </c>
      <c r="F3206" s="18" t="s">
        <v>13253</v>
      </c>
      <c r="G3206" s="18" t="s">
        <v>503</v>
      </c>
      <c r="H3206" s="18" t="s">
        <v>129</v>
      </c>
      <c r="I3206" s="18"/>
      <c r="J3206" s="18"/>
      <c r="K3206" s="18"/>
      <c r="L3206" s="18" t="s">
        <v>129</v>
      </c>
      <c r="M3206" s="18" t="s">
        <v>129</v>
      </c>
      <c r="N3206" s="18"/>
      <c r="O3206" s="18"/>
      <c r="P3206" s="18" t="s">
        <v>13254</v>
      </c>
      <c r="Q3206" s="18" t="s">
        <v>131</v>
      </c>
      <c r="R3206" s="18" t="s">
        <v>13255</v>
      </c>
      <c r="S3206" s="18" t="s">
        <v>133</v>
      </c>
      <c r="T3206" s="18" t="s">
        <v>13256</v>
      </c>
      <c r="U3206" s="18"/>
      <c r="V3206" s="19" t="s">
        <v>29</v>
      </c>
      <c r="W3206" s="19"/>
      <c r="X3206" s="19"/>
      <c r="Y3206" s="20"/>
      <c r="Z3206" s="19"/>
      <c r="AA3206" s="18" t="str">
        <f aca="false">IF(OR(V3206="Aprobada"),R3206,IF(AND(OR(V3206="Aprobada con ajuste",V3206="Rechazada"),W3206&lt;&gt;""),W3206,""))</f>
        <v/>
      </c>
    </row>
    <row r="3207" customFormat="false" ht="22.35" hidden="false" customHeight="false" outlineLevel="0" collapsed="false">
      <c r="A3207" s="18" t="s">
        <v>13257</v>
      </c>
      <c r="B3207" s="18" t="s">
        <v>80</v>
      </c>
      <c r="C3207" s="18" t="s">
        <v>81</v>
      </c>
      <c r="D3207" s="18" t="s">
        <v>13244</v>
      </c>
      <c r="E3207" s="18" t="n">
        <v>12</v>
      </c>
      <c r="F3207" s="18" t="s">
        <v>3136</v>
      </c>
      <c r="G3207" s="18" t="s">
        <v>931</v>
      </c>
      <c r="H3207" s="18" t="s">
        <v>129</v>
      </c>
      <c r="I3207" s="18"/>
      <c r="J3207" s="18"/>
      <c r="K3207" s="18"/>
      <c r="L3207" s="18" t="s">
        <v>129</v>
      </c>
      <c r="M3207" s="18" t="s">
        <v>129</v>
      </c>
      <c r="N3207" s="18"/>
      <c r="O3207" s="18"/>
      <c r="P3207" s="18" t="s">
        <v>13258</v>
      </c>
      <c r="Q3207" s="18" t="s">
        <v>138</v>
      </c>
      <c r="R3207" s="18" t="s">
        <v>3309</v>
      </c>
      <c r="S3207" s="18" t="s">
        <v>140</v>
      </c>
      <c r="T3207" s="18" t="s">
        <v>141</v>
      </c>
      <c r="U3207" s="18"/>
      <c r="V3207" s="19" t="s">
        <v>29</v>
      </c>
      <c r="W3207" s="19"/>
      <c r="X3207" s="19"/>
      <c r="Y3207" s="20"/>
      <c r="Z3207" s="19"/>
      <c r="AA3207" s="18" t="str">
        <f aca="false">IF(OR(V3207="Aprobada"),R3207,IF(AND(OR(V3207="Aprobada con ajuste",V3207="Rechazada"),W3207&lt;&gt;""),W3207,""))</f>
        <v/>
      </c>
    </row>
    <row r="3208" customFormat="false" ht="22.35" hidden="false" customHeight="false" outlineLevel="0" collapsed="false">
      <c r="A3208" s="18" t="s">
        <v>13259</v>
      </c>
      <c r="B3208" s="18" t="s">
        <v>80</v>
      </c>
      <c r="C3208" s="18" t="s">
        <v>81</v>
      </c>
      <c r="D3208" s="18" t="s">
        <v>13244</v>
      </c>
      <c r="E3208" s="18" t="n">
        <v>12</v>
      </c>
      <c r="F3208" s="18" t="s">
        <v>13260</v>
      </c>
      <c r="G3208" s="18" t="s">
        <v>931</v>
      </c>
      <c r="H3208" s="18" t="s">
        <v>162</v>
      </c>
      <c r="I3208" s="18"/>
      <c r="J3208" s="18"/>
      <c r="K3208" s="18"/>
      <c r="L3208" s="18" t="s">
        <v>129</v>
      </c>
      <c r="M3208" s="18" t="s">
        <v>129</v>
      </c>
      <c r="N3208" s="18"/>
      <c r="O3208" s="18"/>
      <c r="P3208" s="18" t="s">
        <v>13261</v>
      </c>
      <c r="Q3208" s="18" t="s">
        <v>149</v>
      </c>
      <c r="R3208" s="18" t="s">
        <v>11025</v>
      </c>
      <c r="S3208" s="18" t="s">
        <v>140</v>
      </c>
      <c r="T3208" s="18" t="s">
        <v>13262</v>
      </c>
      <c r="U3208" s="18" t="s">
        <v>13263</v>
      </c>
      <c r="V3208" s="19" t="s">
        <v>29</v>
      </c>
      <c r="W3208" s="19"/>
      <c r="X3208" s="19"/>
      <c r="Y3208" s="20"/>
      <c r="Z3208" s="19"/>
      <c r="AA3208" s="18" t="str">
        <f aca="false">IF(OR(V3208="Aprobada"),R3208,IF(AND(OR(V3208="Aprobada con ajuste",V3208="Rechazada"),W3208&lt;&gt;""),W3208,""))</f>
        <v/>
      </c>
    </row>
    <row r="3209" customFormat="false" ht="199.95" hidden="false" customHeight="false" outlineLevel="0" collapsed="false">
      <c r="A3209" s="18" t="s">
        <v>13264</v>
      </c>
      <c r="B3209" s="18" t="s">
        <v>80</v>
      </c>
      <c r="C3209" s="18" t="s">
        <v>81</v>
      </c>
      <c r="D3209" s="18" t="s">
        <v>13265</v>
      </c>
      <c r="E3209" s="18" t="n">
        <v>1</v>
      </c>
      <c r="F3209" s="18" t="s">
        <v>127</v>
      </c>
      <c r="G3209" s="18" t="s">
        <v>205</v>
      </c>
      <c r="H3209" s="18" t="s">
        <v>129</v>
      </c>
      <c r="I3209" s="18" t="s">
        <v>298</v>
      </c>
      <c r="J3209" s="18" t="s">
        <v>13266</v>
      </c>
      <c r="K3209" s="18"/>
      <c r="L3209" s="18" t="s">
        <v>162</v>
      </c>
      <c r="M3209" s="18" t="s">
        <v>129</v>
      </c>
      <c r="N3209" s="18"/>
      <c r="O3209" s="18"/>
      <c r="P3209" s="18" t="s">
        <v>13267</v>
      </c>
      <c r="Q3209" s="18" t="s">
        <v>131</v>
      </c>
      <c r="R3209" s="18" t="s">
        <v>13268</v>
      </c>
      <c r="S3209" s="18" t="s">
        <v>133</v>
      </c>
      <c r="T3209" s="18" t="s">
        <v>13269</v>
      </c>
      <c r="U3209" s="18"/>
      <c r="V3209" s="19" t="s">
        <v>29</v>
      </c>
      <c r="W3209" s="19"/>
      <c r="X3209" s="19"/>
      <c r="Y3209" s="20"/>
      <c r="Z3209" s="19"/>
      <c r="AA3209" s="18" t="str">
        <f aca="false">IF(OR(V3209="Aprobada"),R3209,IF(AND(OR(V3209="Aprobada con ajuste",V3209="Rechazada"),W3209&lt;&gt;""),W3209,""))</f>
        <v/>
      </c>
    </row>
    <row r="3210" customFormat="false" ht="95.5" hidden="false" customHeight="false" outlineLevel="0" collapsed="false">
      <c r="A3210" s="18" t="s">
        <v>13270</v>
      </c>
      <c r="B3210" s="18" t="s">
        <v>80</v>
      </c>
      <c r="C3210" s="18" t="s">
        <v>81</v>
      </c>
      <c r="D3210" s="18" t="s">
        <v>13265</v>
      </c>
      <c r="E3210" s="18" t="n">
        <v>1</v>
      </c>
      <c r="F3210" s="18" t="s">
        <v>160</v>
      </c>
      <c r="G3210" s="18" t="s">
        <v>128</v>
      </c>
      <c r="H3210" s="18" t="s">
        <v>129</v>
      </c>
      <c r="I3210" s="18" t="s">
        <v>298</v>
      </c>
      <c r="J3210" s="18"/>
      <c r="K3210" s="18"/>
      <c r="L3210" s="18" t="s">
        <v>129</v>
      </c>
      <c r="M3210" s="18" t="s">
        <v>129</v>
      </c>
      <c r="N3210" s="18"/>
      <c r="O3210" s="18"/>
      <c r="P3210" s="18" t="s">
        <v>13271</v>
      </c>
      <c r="Q3210" s="18" t="s">
        <v>131</v>
      </c>
      <c r="R3210" s="18" t="s">
        <v>13272</v>
      </c>
      <c r="S3210" s="18" t="s">
        <v>133</v>
      </c>
      <c r="T3210" s="18" t="s">
        <v>13273</v>
      </c>
      <c r="U3210" s="18"/>
      <c r="V3210" s="19" t="s">
        <v>29</v>
      </c>
      <c r="W3210" s="19"/>
      <c r="X3210" s="19"/>
      <c r="Y3210" s="20"/>
      <c r="Z3210" s="19"/>
      <c r="AA3210" s="18" t="str">
        <f aca="false">IF(OR(V3210="Aprobada"),R3210,IF(AND(OR(V3210="Aprobada con ajuste",V3210="Rechazada"),W3210&lt;&gt;""),W3210,""))</f>
        <v/>
      </c>
    </row>
    <row r="3211" customFormat="false" ht="74.6" hidden="false" customHeight="false" outlineLevel="0" collapsed="false">
      <c r="A3211" s="18" t="s">
        <v>13274</v>
      </c>
      <c r="B3211" s="18" t="s">
        <v>80</v>
      </c>
      <c r="C3211" s="18" t="s">
        <v>81</v>
      </c>
      <c r="D3211" s="18" t="s">
        <v>13265</v>
      </c>
      <c r="E3211" s="18" t="n">
        <v>1</v>
      </c>
      <c r="F3211" s="18" t="s">
        <v>12631</v>
      </c>
      <c r="G3211" s="18" t="s">
        <v>137</v>
      </c>
      <c r="H3211" s="18" t="s">
        <v>162</v>
      </c>
      <c r="I3211" s="18" t="s">
        <v>298</v>
      </c>
      <c r="J3211" s="18"/>
      <c r="K3211" s="18"/>
      <c r="L3211" s="18" t="s">
        <v>129</v>
      </c>
      <c r="M3211" s="18" t="s">
        <v>129</v>
      </c>
      <c r="N3211" s="18"/>
      <c r="O3211" s="18"/>
      <c r="P3211" s="18" t="s">
        <v>13275</v>
      </c>
      <c r="Q3211" s="18" t="s">
        <v>131</v>
      </c>
      <c r="R3211" s="18" t="s">
        <v>13276</v>
      </c>
      <c r="S3211" s="18" t="s">
        <v>133</v>
      </c>
      <c r="T3211" s="18" t="s">
        <v>13277</v>
      </c>
      <c r="U3211" s="18"/>
      <c r="V3211" s="19" t="s">
        <v>29</v>
      </c>
      <c r="W3211" s="19"/>
      <c r="X3211" s="19"/>
      <c r="Y3211" s="20"/>
      <c r="Z3211" s="19"/>
      <c r="AA3211" s="18" t="str">
        <f aca="false">IF(OR(V3211="Aprobada"),R3211,IF(AND(OR(V3211="Aprobada con ajuste",V3211="Rechazada"),W3211&lt;&gt;""),W3211,""))</f>
        <v/>
      </c>
    </row>
    <row r="3212" customFormat="false" ht="43.25" hidden="false" customHeight="false" outlineLevel="0" collapsed="false">
      <c r="A3212" s="18" t="s">
        <v>13278</v>
      </c>
      <c r="B3212" s="18" t="s">
        <v>80</v>
      </c>
      <c r="C3212" s="18" t="s">
        <v>81</v>
      </c>
      <c r="D3212" s="18" t="s">
        <v>13265</v>
      </c>
      <c r="E3212" s="18" t="n">
        <v>1</v>
      </c>
      <c r="F3212" s="18" t="s">
        <v>12636</v>
      </c>
      <c r="G3212" s="18" t="s">
        <v>137</v>
      </c>
      <c r="H3212" s="18" t="s">
        <v>162</v>
      </c>
      <c r="I3212" s="18" t="s">
        <v>298</v>
      </c>
      <c r="J3212" s="18"/>
      <c r="K3212" s="18"/>
      <c r="L3212" s="18" t="s">
        <v>129</v>
      </c>
      <c r="M3212" s="18" t="s">
        <v>129</v>
      </c>
      <c r="N3212" s="18"/>
      <c r="O3212" s="18"/>
      <c r="P3212" s="18" t="s">
        <v>13279</v>
      </c>
      <c r="Q3212" s="18" t="s">
        <v>149</v>
      </c>
      <c r="R3212" s="18" t="s">
        <v>13280</v>
      </c>
      <c r="S3212" s="18" t="s">
        <v>133</v>
      </c>
      <c r="T3212" s="18" t="s">
        <v>13281</v>
      </c>
      <c r="U3212" s="18"/>
      <c r="V3212" s="19" t="s">
        <v>29</v>
      </c>
      <c r="W3212" s="19"/>
      <c r="X3212" s="19"/>
      <c r="Y3212" s="20"/>
      <c r="Z3212" s="19"/>
      <c r="AA3212" s="18" t="str">
        <f aca="false">IF(OR(V3212="Aprobada"),R3212,IF(AND(OR(V3212="Aprobada con ajuste",V3212="Rechazada"),W3212&lt;&gt;""),W3212,""))</f>
        <v/>
      </c>
    </row>
    <row r="3213" customFormat="false" ht="85.05" hidden="false" customHeight="false" outlineLevel="0" collapsed="false">
      <c r="A3213" s="18" t="s">
        <v>13282</v>
      </c>
      <c r="B3213" s="18" t="s">
        <v>80</v>
      </c>
      <c r="C3213" s="18" t="s">
        <v>81</v>
      </c>
      <c r="D3213" s="18" t="s">
        <v>13265</v>
      </c>
      <c r="E3213" s="18" t="n">
        <v>1</v>
      </c>
      <c r="F3213" s="18" t="s">
        <v>13283</v>
      </c>
      <c r="G3213" s="18" t="s">
        <v>137</v>
      </c>
      <c r="H3213" s="18" t="s">
        <v>129</v>
      </c>
      <c r="I3213" s="18"/>
      <c r="J3213" s="18"/>
      <c r="K3213" s="18"/>
      <c r="L3213" s="18" t="s">
        <v>129</v>
      </c>
      <c r="M3213" s="18" t="s">
        <v>129</v>
      </c>
      <c r="N3213" s="18"/>
      <c r="O3213" s="18" t="s">
        <v>13284</v>
      </c>
      <c r="P3213" s="18" t="s">
        <v>13285</v>
      </c>
      <c r="Q3213" s="18" t="s">
        <v>131</v>
      </c>
      <c r="R3213" s="18" t="s">
        <v>13286</v>
      </c>
      <c r="S3213" s="18" t="s">
        <v>133</v>
      </c>
      <c r="T3213" s="18" t="s">
        <v>13287</v>
      </c>
      <c r="U3213" s="18"/>
      <c r="V3213" s="19" t="s">
        <v>29</v>
      </c>
      <c r="W3213" s="19"/>
      <c r="X3213" s="19"/>
      <c r="Y3213" s="20"/>
      <c r="Z3213" s="19"/>
      <c r="AA3213" s="18" t="str">
        <f aca="false">IF(OR(V3213="Aprobada"),R3213,IF(AND(OR(V3213="Aprobada con ajuste",V3213="Rechazada"),W3213&lt;&gt;""),W3213,""))</f>
        <v/>
      </c>
    </row>
    <row r="3214" customFormat="false" ht="43.25" hidden="false" customHeight="false" outlineLevel="0" collapsed="false">
      <c r="A3214" s="18" t="s">
        <v>13288</v>
      </c>
      <c r="B3214" s="18" t="s">
        <v>80</v>
      </c>
      <c r="C3214" s="18" t="s">
        <v>81</v>
      </c>
      <c r="D3214" s="18" t="s">
        <v>13265</v>
      </c>
      <c r="E3214" s="18" t="n">
        <v>1</v>
      </c>
      <c r="F3214" s="18" t="s">
        <v>11254</v>
      </c>
      <c r="G3214" s="18" t="s">
        <v>454</v>
      </c>
      <c r="H3214" s="18" t="s">
        <v>162</v>
      </c>
      <c r="I3214" s="18"/>
      <c r="J3214" s="18"/>
      <c r="K3214" s="18"/>
      <c r="L3214" s="18" t="s">
        <v>129</v>
      </c>
      <c r="M3214" s="18" t="s">
        <v>129</v>
      </c>
      <c r="N3214" s="18"/>
      <c r="O3214" s="18"/>
      <c r="P3214" s="18" t="s">
        <v>13289</v>
      </c>
      <c r="Q3214" s="18" t="s">
        <v>131</v>
      </c>
      <c r="R3214" s="18" t="s">
        <v>13290</v>
      </c>
      <c r="S3214" s="18" t="s">
        <v>133</v>
      </c>
      <c r="T3214" s="18" t="s">
        <v>13291</v>
      </c>
      <c r="U3214" s="18" t="s">
        <v>13292</v>
      </c>
      <c r="V3214" s="19" t="s">
        <v>29</v>
      </c>
      <c r="W3214" s="19"/>
      <c r="X3214" s="19"/>
      <c r="Y3214" s="20"/>
      <c r="Z3214" s="19"/>
      <c r="AA3214" s="18" t="str">
        <f aca="false">IF(OR(V3214="Aprobada"),R3214,IF(AND(OR(V3214="Aprobada con ajuste",V3214="Rechazada"),W3214&lt;&gt;""),W3214,""))</f>
        <v/>
      </c>
    </row>
    <row r="3215" customFormat="false" ht="85.05" hidden="false" customHeight="false" outlineLevel="0" collapsed="false">
      <c r="A3215" s="18" t="s">
        <v>13293</v>
      </c>
      <c r="B3215" s="18" t="s">
        <v>80</v>
      </c>
      <c r="C3215" s="18" t="s">
        <v>81</v>
      </c>
      <c r="D3215" s="18" t="s">
        <v>13294</v>
      </c>
      <c r="E3215" s="18" t="n">
        <v>4</v>
      </c>
      <c r="F3215" s="18" t="s">
        <v>331</v>
      </c>
      <c r="G3215" s="18" t="s">
        <v>137</v>
      </c>
      <c r="H3215" s="18" t="s">
        <v>129</v>
      </c>
      <c r="I3215" s="18"/>
      <c r="J3215" s="18"/>
      <c r="K3215" s="18"/>
      <c r="L3215" s="18" t="s">
        <v>129</v>
      </c>
      <c r="M3215" s="18" t="s">
        <v>129</v>
      </c>
      <c r="N3215" s="18"/>
      <c r="O3215" s="18" t="s">
        <v>13295</v>
      </c>
      <c r="P3215" s="18" t="s">
        <v>13296</v>
      </c>
      <c r="Q3215" s="18" t="s">
        <v>131</v>
      </c>
      <c r="R3215" s="18" t="s">
        <v>13297</v>
      </c>
      <c r="S3215" s="18" t="s">
        <v>133</v>
      </c>
      <c r="T3215" s="18" t="s">
        <v>13298</v>
      </c>
      <c r="U3215" s="18"/>
      <c r="V3215" s="19" t="s">
        <v>29</v>
      </c>
      <c r="W3215" s="19"/>
      <c r="X3215" s="19"/>
      <c r="Y3215" s="20"/>
      <c r="Z3215" s="19"/>
      <c r="AA3215" s="18" t="str">
        <f aca="false">IF(OR(V3215="Aprobada"),R3215,IF(AND(OR(V3215="Aprobada con ajuste",V3215="Rechazada"),W3215&lt;&gt;""),W3215,""))</f>
        <v/>
      </c>
    </row>
    <row r="3216" customFormat="false" ht="64.15" hidden="false" customHeight="false" outlineLevel="0" collapsed="false">
      <c r="A3216" s="18" t="s">
        <v>13299</v>
      </c>
      <c r="B3216" s="18" t="s">
        <v>80</v>
      </c>
      <c r="C3216" s="18" t="s">
        <v>81</v>
      </c>
      <c r="D3216" s="18" t="s">
        <v>13294</v>
      </c>
      <c r="E3216" s="18" t="n">
        <v>4</v>
      </c>
      <c r="F3216" s="18" t="s">
        <v>1616</v>
      </c>
      <c r="G3216" s="18" t="s">
        <v>186</v>
      </c>
      <c r="H3216" s="18" t="s">
        <v>129</v>
      </c>
      <c r="I3216" s="18" t="s">
        <v>298</v>
      </c>
      <c r="J3216" s="18" t="s">
        <v>13300</v>
      </c>
      <c r="K3216" s="18"/>
      <c r="L3216" s="18" t="s">
        <v>162</v>
      </c>
      <c r="M3216" s="18" t="s">
        <v>129</v>
      </c>
      <c r="N3216" s="18"/>
      <c r="O3216" s="18"/>
      <c r="P3216" s="18" t="s">
        <v>13301</v>
      </c>
      <c r="Q3216" s="18" t="s">
        <v>149</v>
      </c>
      <c r="R3216" s="18" t="s">
        <v>13302</v>
      </c>
      <c r="S3216" s="18" t="s">
        <v>133</v>
      </c>
      <c r="T3216" s="18" t="s">
        <v>801</v>
      </c>
      <c r="U3216" s="18"/>
      <c r="V3216" s="19" t="s">
        <v>29</v>
      </c>
      <c r="W3216" s="19"/>
      <c r="X3216" s="19"/>
      <c r="Y3216" s="20"/>
      <c r="Z3216" s="19"/>
      <c r="AA3216" s="18" t="str">
        <f aca="false">IF(OR(V3216="Aprobada"),R3216,IF(AND(OR(V3216="Aprobada con ajuste",V3216="Rechazada"),W3216&lt;&gt;""),W3216,""))</f>
        <v/>
      </c>
    </row>
    <row r="3217" customFormat="false" ht="64.15" hidden="false" customHeight="false" outlineLevel="0" collapsed="false">
      <c r="A3217" s="18" t="s">
        <v>13303</v>
      </c>
      <c r="B3217" s="18" t="s">
        <v>80</v>
      </c>
      <c r="C3217" s="18" t="s">
        <v>81</v>
      </c>
      <c r="D3217" s="18" t="s">
        <v>13294</v>
      </c>
      <c r="E3217" s="18" t="n">
        <v>4</v>
      </c>
      <c r="F3217" s="18" t="s">
        <v>13304</v>
      </c>
      <c r="G3217" s="18" t="s">
        <v>128</v>
      </c>
      <c r="H3217" s="18" t="s">
        <v>162</v>
      </c>
      <c r="I3217" s="18" t="s">
        <v>298</v>
      </c>
      <c r="J3217" s="18"/>
      <c r="K3217" s="18"/>
      <c r="L3217" s="18" t="s">
        <v>129</v>
      </c>
      <c r="M3217" s="18" t="s">
        <v>129</v>
      </c>
      <c r="N3217" s="18"/>
      <c r="O3217" s="18"/>
      <c r="P3217" s="18" t="s">
        <v>13305</v>
      </c>
      <c r="Q3217" s="18" t="s">
        <v>131</v>
      </c>
      <c r="R3217" s="18" t="s">
        <v>13306</v>
      </c>
      <c r="S3217" s="18" t="s">
        <v>133</v>
      </c>
      <c r="T3217" s="18" t="s">
        <v>13307</v>
      </c>
      <c r="U3217" s="18"/>
      <c r="V3217" s="19" t="s">
        <v>29</v>
      </c>
      <c r="W3217" s="19"/>
      <c r="X3217" s="19"/>
      <c r="Y3217" s="20"/>
      <c r="Z3217" s="19"/>
      <c r="AA3217" s="18" t="str">
        <f aca="false">IF(OR(V3217="Aprobada"),R3217,IF(AND(OR(V3217="Aprobada con ajuste",V3217="Rechazada"),W3217&lt;&gt;""),W3217,""))</f>
        <v/>
      </c>
    </row>
    <row r="3218" customFormat="false" ht="32.8" hidden="false" customHeight="false" outlineLevel="0" collapsed="false">
      <c r="A3218" s="18" t="s">
        <v>13308</v>
      </c>
      <c r="B3218" s="18" t="s">
        <v>80</v>
      </c>
      <c r="C3218" s="18" t="s">
        <v>81</v>
      </c>
      <c r="D3218" s="18" t="s">
        <v>13294</v>
      </c>
      <c r="E3218" s="18" t="n">
        <v>4</v>
      </c>
      <c r="F3218" s="18" t="s">
        <v>11254</v>
      </c>
      <c r="G3218" s="18" t="s">
        <v>931</v>
      </c>
      <c r="H3218" s="18" t="s">
        <v>162</v>
      </c>
      <c r="I3218" s="18"/>
      <c r="J3218" s="18"/>
      <c r="K3218" s="18"/>
      <c r="L3218" s="18" t="s">
        <v>129</v>
      </c>
      <c r="M3218" s="18" t="s">
        <v>129</v>
      </c>
      <c r="N3218" s="18"/>
      <c r="O3218" s="18"/>
      <c r="P3218" s="18" t="s">
        <v>13309</v>
      </c>
      <c r="Q3218" s="18" t="s">
        <v>138</v>
      </c>
      <c r="R3218" s="18" t="s">
        <v>2017</v>
      </c>
      <c r="S3218" s="18" t="s">
        <v>140</v>
      </c>
      <c r="T3218" s="18" t="s">
        <v>141</v>
      </c>
      <c r="U3218" s="18"/>
      <c r="V3218" s="19" t="s">
        <v>29</v>
      </c>
      <c r="W3218" s="19"/>
      <c r="X3218" s="19"/>
      <c r="Y3218" s="20"/>
      <c r="Z3218" s="19"/>
      <c r="AA3218" s="18" t="str">
        <f aca="false">IF(OR(V3218="Aprobada"),R3218,IF(AND(OR(V3218="Aprobada con ajuste",V3218="Rechazada"),W3218&lt;&gt;""),W3218,""))</f>
        <v/>
      </c>
    </row>
    <row r="3219" customFormat="false" ht="32.8" hidden="false" customHeight="false" outlineLevel="0" collapsed="false">
      <c r="A3219" s="18" t="s">
        <v>13310</v>
      </c>
      <c r="B3219" s="18" t="s">
        <v>80</v>
      </c>
      <c r="C3219" s="18" t="s">
        <v>81</v>
      </c>
      <c r="D3219" s="18" t="s">
        <v>13294</v>
      </c>
      <c r="E3219" s="18" t="n">
        <v>4</v>
      </c>
      <c r="F3219" s="18" t="s">
        <v>13311</v>
      </c>
      <c r="G3219" s="18" t="s">
        <v>931</v>
      </c>
      <c r="H3219" s="18" t="s">
        <v>162</v>
      </c>
      <c r="I3219" s="18"/>
      <c r="J3219" s="18"/>
      <c r="K3219" s="18"/>
      <c r="L3219" s="18" t="s">
        <v>129</v>
      </c>
      <c r="M3219" s="18" t="s">
        <v>129</v>
      </c>
      <c r="N3219" s="18"/>
      <c r="O3219" s="18"/>
      <c r="P3219" s="18" t="s">
        <v>13312</v>
      </c>
      <c r="Q3219" s="18" t="s">
        <v>149</v>
      </c>
      <c r="R3219" s="18" t="s">
        <v>13313</v>
      </c>
      <c r="S3219" s="18" t="s">
        <v>140</v>
      </c>
      <c r="T3219" s="18" t="s">
        <v>13314</v>
      </c>
      <c r="U3219" s="18" t="s">
        <v>13263</v>
      </c>
      <c r="V3219" s="19" t="s">
        <v>29</v>
      </c>
      <c r="W3219" s="19"/>
      <c r="X3219" s="19"/>
      <c r="Y3219" s="20"/>
      <c r="Z3219" s="19"/>
      <c r="AA3219" s="18" t="str">
        <f aca="false">IF(OR(V3219="Aprobada"),R3219,IF(AND(OR(V3219="Aprobada con ajuste",V3219="Rechazada"),W3219&lt;&gt;""),W3219,""))</f>
        <v/>
      </c>
    </row>
    <row r="3220" customFormat="false" ht="95.5" hidden="false" customHeight="false" outlineLevel="0" collapsed="false">
      <c r="A3220" s="18" t="s">
        <v>13315</v>
      </c>
      <c r="B3220" s="18" t="s">
        <v>80</v>
      </c>
      <c r="C3220" s="18" t="s">
        <v>81</v>
      </c>
      <c r="D3220" s="18" t="s">
        <v>13316</v>
      </c>
      <c r="E3220" s="18" t="n">
        <v>2</v>
      </c>
      <c r="F3220" s="18" t="s">
        <v>1922</v>
      </c>
      <c r="G3220" s="18" t="s">
        <v>11382</v>
      </c>
      <c r="H3220" s="18" t="s">
        <v>129</v>
      </c>
      <c r="I3220" s="18" t="s">
        <v>298</v>
      </c>
      <c r="J3220" s="18"/>
      <c r="K3220" s="18"/>
      <c r="L3220" s="18" t="s">
        <v>162</v>
      </c>
      <c r="M3220" s="18" t="s">
        <v>129</v>
      </c>
      <c r="N3220" s="18"/>
      <c r="O3220" s="18"/>
      <c r="P3220" s="18" t="s">
        <v>13317</v>
      </c>
      <c r="Q3220" s="18" t="s">
        <v>149</v>
      </c>
      <c r="R3220" s="18" t="s">
        <v>13318</v>
      </c>
      <c r="S3220" s="18" t="s">
        <v>133</v>
      </c>
      <c r="T3220" s="18" t="s">
        <v>13319</v>
      </c>
      <c r="U3220" s="18"/>
      <c r="V3220" s="19" t="s">
        <v>29</v>
      </c>
      <c r="W3220" s="19"/>
      <c r="X3220" s="19"/>
      <c r="Y3220" s="20"/>
      <c r="Z3220" s="19"/>
      <c r="AA3220" s="18" t="str">
        <f aca="false">IF(OR(V3220="Aprobada"),R3220,IF(AND(OR(V3220="Aprobada con ajuste",V3220="Rechazada"),W3220&lt;&gt;""),W3220,""))</f>
        <v/>
      </c>
    </row>
    <row r="3221" customFormat="false" ht="53.7" hidden="false" customHeight="false" outlineLevel="0" collapsed="false">
      <c r="A3221" s="18" t="s">
        <v>13320</v>
      </c>
      <c r="B3221" s="18" t="s">
        <v>80</v>
      </c>
      <c r="C3221" s="18" t="s">
        <v>81</v>
      </c>
      <c r="D3221" s="18" t="s">
        <v>13316</v>
      </c>
      <c r="E3221" s="18" t="n">
        <v>2</v>
      </c>
      <c r="F3221" s="18" t="s">
        <v>11507</v>
      </c>
      <c r="G3221" s="18" t="s">
        <v>173</v>
      </c>
      <c r="H3221" s="18" t="s">
        <v>129</v>
      </c>
      <c r="I3221" s="18"/>
      <c r="J3221" s="18"/>
      <c r="K3221" s="18"/>
      <c r="L3221" s="18" t="s">
        <v>162</v>
      </c>
      <c r="M3221" s="18" t="s">
        <v>129</v>
      </c>
      <c r="N3221" s="18"/>
      <c r="O3221" s="18"/>
      <c r="P3221" s="18" t="s">
        <v>13321</v>
      </c>
      <c r="Q3221" s="18" t="s">
        <v>131</v>
      </c>
      <c r="R3221" s="18" t="s">
        <v>13322</v>
      </c>
      <c r="S3221" s="18" t="s">
        <v>133</v>
      </c>
      <c r="T3221" s="18" t="s">
        <v>13323</v>
      </c>
      <c r="U3221" s="18"/>
      <c r="V3221" s="19" t="s">
        <v>29</v>
      </c>
      <c r="W3221" s="19"/>
      <c r="X3221" s="19"/>
      <c r="Y3221" s="20"/>
      <c r="Z3221" s="19"/>
      <c r="AA3221" s="18" t="str">
        <f aca="false">IF(OR(V3221="Aprobada"),R3221,IF(AND(OR(V3221="Aprobada con ajuste",V3221="Rechazada"),W3221&lt;&gt;""),W3221,""))</f>
        <v/>
      </c>
    </row>
    <row r="3222" customFormat="false" ht="179.1" hidden="false" customHeight="false" outlineLevel="0" collapsed="false">
      <c r="A3222" s="18" t="s">
        <v>13324</v>
      </c>
      <c r="B3222" s="18" t="s">
        <v>80</v>
      </c>
      <c r="C3222" s="18" t="s">
        <v>81</v>
      </c>
      <c r="D3222" s="18" t="s">
        <v>13325</v>
      </c>
      <c r="E3222" s="18" t="n">
        <v>1</v>
      </c>
      <c r="F3222" s="18" t="s">
        <v>13326</v>
      </c>
      <c r="G3222" s="18" t="s">
        <v>11382</v>
      </c>
      <c r="H3222" s="18" t="s">
        <v>129</v>
      </c>
      <c r="I3222" s="18" t="s">
        <v>298</v>
      </c>
      <c r="J3222" s="18"/>
      <c r="K3222" s="18"/>
      <c r="L3222" s="18" t="s">
        <v>129</v>
      </c>
      <c r="M3222" s="18" t="s">
        <v>129</v>
      </c>
      <c r="N3222" s="18"/>
      <c r="O3222" s="18"/>
      <c r="P3222" s="18" t="s">
        <v>13327</v>
      </c>
      <c r="Q3222" s="18" t="s">
        <v>131</v>
      </c>
      <c r="R3222" s="18" t="s">
        <v>13328</v>
      </c>
      <c r="S3222" s="18" t="s">
        <v>133</v>
      </c>
      <c r="T3222" s="18" t="s">
        <v>13329</v>
      </c>
      <c r="U3222" s="18" t="s">
        <v>11516</v>
      </c>
      <c r="V3222" s="19" t="s">
        <v>29</v>
      </c>
      <c r="W3222" s="19"/>
      <c r="X3222" s="19"/>
      <c r="Y3222" s="20"/>
      <c r="Z3222" s="19"/>
      <c r="AA3222" s="18" t="str">
        <f aca="false">IF(OR(V3222="Aprobada"),R3222,IF(AND(OR(V3222="Aprobada con ajuste",V3222="Rechazada"),W3222&lt;&gt;""),W3222,""))</f>
        <v/>
      </c>
    </row>
    <row r="3223" customFormat="false" ht="53.7" hidden="false" customHeight="false" outlineLevel="0" collapsed="false">
      <c r="A3223" s="18" t="s">
        <v>13330</v>
      </c>
      <c r="B3223" s="18" t="s">
        <v>80</v>
      </c>
      <c r="C3223" s="18" t="s">
        <v>81</v>
      </c>
      <c r="D3223" s="18" t="s">
        <v>13325</v>
      </c>
      <c r="E3223" s="18" t="n">
        <v>1</v>
      </c>
      <c r="F3223" s="18" t="s">
        <v>3100</v>
      </c>
      <c r="G3223" s="18" t="s">
        <v>128</v>
      </c>
      <c r="H3223" s="18" t="s">
        <v>162</v>
      </c>
      <c r="I3223" s="18"/>
      <c r="J3223" s="18"/>
      <c r="K3223" s="18"/>
      <c r="L3223" s="18" t="s">
        <v>129</v>
      </c>
      <c r="M3223" s="18" t="s">
        <v>129</v>
      </c>
      <c r="N3223" s="18"/>
      <c r="O3223" s="18"/>
      <c r="P3223" s="18" t="s">
        <v>13331</v>
      </c>
      <c r="Q3223" s="18" t="s">
        <v>138</v>
      </c>
      <c r="R3223" s="18" t="s">
        <v>3728</v>
      </c>
      <c r="S3223" s="18" t="s">
        <v>140</v>
      </c>
      <c r="T3223" s="18" t="s">
        <v>141</v>
      </c>
      <c r="U3223" s="18"/>
      <c r="V3223" s="19" t="s">
        <v>29</v>
      </c>
      <c r="W3223" s="19"/>
      <c r="X3223" s="19"/>
      <c r="Y3223" s="20"/>
      <c r="Z3223" s="19"/>
      <c r="AA3223" s="18" t="str">
        <f aca="false">IF(OR(V3223="Aprobada"),R3223,IF(AND(OR(V3223="Aprobada con ajuste",V3223="Rechazada"),W3223&lt;&gt;""),W3223,""))</f>
        <v/>
      </c>
    </row>
    <row r="3224" customFormat="false" ht="22.35" hidden="false" customHeight="false" outlineLevel="0" collapsed="false">
      <c r="A3224" s="18" t="s">
        <v>13332</v>
      </c>
      <c r="B3224" s="18" t="s">
        <v>80</v>
      </c>
      <c r="C3224" s="18" t="s">
        <v>81</v>
      </c>
      <c r="D3224" s="18" t="s">
        <v>13325</v>
      </c>
      <c r="E3224" s="18" t="n">
        <v>1</v>
      </c>
      <c r="F3224" s="18" t="s">
        <v>11545</v>
      </c>
      <c r="G3224" s="18" t="s">
        <v>454</v>
      </c>
      <c r="H3224" s="18" t="s">
        <v>162</v>
      </c>
      <c r="I3224" s="18"/>
      <c r="J3224" s="18"/>
      <c r="K3224" s="18"/>
      <c r="L3224" s="18" t="s">
        <v>129</v>
      </c>
      <c r="M3224" s="18" t="s">
        <v>129</v>
      </c>
      <c r="N3224" s="18"/>
      <c r="O3224" s="18"/>
      <c r="P3224" s="18" t="s">
        <v>13333</v>
      </c>
      <c r="Q3224" s="18" t="s">
        <v>149</v>
      </c>
      <c r="R3224" s="18" t="s">
        <v>13334</v>
      </c>
      <c r="S3224" s="18" t="s">
        <v>140</v>
      </c>
      <c r="T3224" s="18" t="s">
        <v>13335</v>
      </c>
      <c r="U3224" s="18" t="s">
        <v>9527</v>
      </c>
      <c r="V3224" s="19" t="s">
        <v>29</v>
      </c>
      <c r="W3224" s="19"/>
      <c r="X3224" s="19"/>
      <c r="Y3224" s="20"/>
      <c r="Z3224" s="19"/>
      <c r="AA3224" s="18" t="str">
        <f aca="false">IF(OR(V3224="Aprobada"),R3224,IF(AND(OR(V3224="Aprobada con ajuste",V3224="Rechazada"),W3224&lt;&gt;""),W3224,""))</f>
        <v/>
      </c>
    </row>
    <row r="3225" customFormat="false" ht="22.35" hidden="false" customHeight="false" outlineLevel="0" collapsed="false">
      <c r="A3225" s="18" t="s">
        <v>13336</v>
      </c>
      <c r="B3225" s="18" t="s">
        <v>80</v>
      </c>
      <c r="C3225" s="18" t="s">
        <v>81</v>
      </c>
      <c r="D3225" s="18" t="s">
        <v>13325</v>
      </c>
      <c r="E3225" s="18" t="n">
        <v>1</v>
      </c>
      <c r="F3225" s="18" t="s">
        <v>13337</v>
      </c>
      <c r="G3225" s="18" t="s">
        <v>584</v>
      </c>
      <c r="H3225" s="18" t="s">
        <v>129</v>
      </c>
      <c r="I3225" s="18"/>
      <c r="J3225" s="18"/>
      <c r="K3225" s="18"/>
      <c r="L3225" s="18" t="s">
        <v>129</v>
      </c>
      <c r="M3225" s="18" t="s">
        <v>129</v>
      </c>
      <c r="N3225" s="18"/>
      <c r="O3225" s="18"/>
      <c r="P3225" s="18" t="s">
        <v>13338</v>
      </c>
      <c r="Q3225" s="18" t="s">
        <v>149</v>
      </c>
      <c r="R3225" s="18" t="s">
        <v>13339</v>
      </c>
      <c r="S3225" s="18" t="s">
        <v>133</v>
      </c>
      <c r="T3225" s="18" t="s">
        <v>11409</v>
      </c>
      <c r="U3225" s="18"/>
      <c r="V3225" s="19" t="s">
        <v>29</v>
      </c>
      <c r="W3225" s="19"/>
      <c r="X3225" s="19"/>
      <c r="Y3225" s="20"/>
      <c r="Z3225" s="19"/>
      <c r="AA3225" s="18" t="str">
        <f aca="false">IF(OR(V3225="Aprobada"),R3225,IF(AND(OR(V3225="Aprobada con ajuste",V3225="Rechazada"),W3225&lt;&gt;""),W3225,""))</f>
        <v/>
      </c>
    </row>
    <row r="3226" customFormat="false" ht="189.55" hidden="false" customHeight="false" outlineLevel="0" collapsed="false">
      <c r="A3226" s="18" t="s">
        <v>13340</v>
      </c>
      <c r="B3226" s="18" t="s">
        <v>80</v>
      </c>
      <c r="C3226" s="18" t="s">
        <v>81</v>
      </c>
      <c r="D3226" s="18" t="s">
        <v>13341</v>
      </c>
      <c r="E3226" s="18" t="n">
        <v>4</v>
      </c>
      <c r="F3226" s="18" t="s">
        <v>127</v>
      </c>
      <c r="G3226" s="18" t="s">
        <v>186</v>
      </c>
      <c r="H3226" s="18" t="s">
        <v>129</v>
      </c>
      <c r="I3226" s="18" t="s">
        <v>298</v>
      </c>
      <c r="J3226" s="18" t="s">
        <v>13342</v>
      </c>
      <c r="K3226" s="18"/>
      <c r="L3226" s="18" t="s">
        <v>162</v>
      </c>
      <c r="M3226" s="18" t="s">
        <v>129</v>
      </c>
      <c r="N3226" s="18"/>
      <c r="O3226" s="18"/>
      <c r="P3226" s="18" t="s">
        <v>13343</v>
      </c>
      <c r="Q3226" s="18" t="s">
        <v>131</v>
      </c>
      <c r="R3226" s="18" t="s">
        <v>13344</v>
      </c>
      <c r="S3226" s="18" t="s">
        <v>133</v>
      </c>
      <c r="T3226" s="18" t="s">
        <v>13345</v>
      </c>
      <c r="U3226" s="18"/>
      <c r="V3226" s="19" t="s">
        <v>29</v>
      </c>
      <c r="W3226" s="19"/>
      <c r="X3226" s="19"/>
      <c r="Y3226" s="20"/>
      <c r="Z3226" s="19"/>
      <c r="AA3226" s="18" t="str">
        <f aca="false">IF(OR(V3226="Aprobada"),R3226,IF(AND(OR(V3226="Aprobada con ajuste",V3226="Rechazada"),W3226&lt;&gt;""),W3226,""))</f>
        <v/>
      </c>
    </row>
    <row r="3227" customFormat="false" ht="64.15" hidden="false" customHeight="false" outlineLevel="0" collapsed="false">
      <c r="A3227" s="18" t="s">
        <v>13346</v>
      </c>
      <c r="B3227" s="18" t="s">
        <v>80</v>
      </c>
      <c r="C3227" s="18" t="s">
        <v>81</v>
      </c>
      <c r="D3227" s="18" t="s">
        <v>13341</v>
      </c>
      <c r="E3227" s="18" t="n">
        <v>4</v>
      </c>
      <c r="F3227" s="18" t="s">
        <v>160</v>
      </c>
      <c r="G3227" s="18" t="s">
        <v>4598</v>
      </c>
      <c r="H3227" s="18" t="s">
        <v>162</v>
      </c>
      <c r="I3227" s="18"/>
      <c r="J3227" s="18"/>
      <c r="K3227" s="18"/>
      <c r="L3227" s="18" t="s">
        <v>129</v>
      </c>
      <c r="M3227" s="18" t="s">
        <v>129</v>
      </c>
      <c r="N3227" s="18"/>
      <c r="O3227" s="18"/>
      <c r="P3227" s="18" t="s">
        <v>13347</v>
      </c>
      <c r="Q3227" s="18" t="s">
        <v>138</v>
      </c>
      <c r="R3227" s="18" t="s">
        <v>13348</v>
      </c>
      <c r="S3227" s="18" t="s">
        <v>140</v>
      </c>
      <c r="T3227" s="18" t="s">
        <v>141</v>
      </c>
      <c r="U3227" s="18"/>
      <c r="V3227" s="19" t="s">
        <v>29</v>
      </c>
      <c r="W3227" s="19"/>
      <c r="X3227" s="19"/>
      <c r="Y3227" s="20"/>
      <c r="Z3227" s="19"/>
      <c r="AA3227" s="18" t="str">
        <f aca="false">IF(OR(V3227="Aprobada"),R3227,IF(AND(OR(V3227="Aprobada con ajuste",V3227="Rechazada"),W3227&lt;&gt;""),W3227,""))</f>
        <v/>
      </c>
    </row>
    <row r="3228" customFormat="false" ht="22.35" hidden="false" customHeight="false" outlineLevel="0" collapsed="false">
      <c r="A3228" s="18" t="s">
        <v>13349</v>
      </c>
      <c r="B3228" s="18" t="s">
        <v>80</v>
      </c>
      <c r="C3228" s="18" t="s">
        <v>81</v>
      </c>
      <c r="D3228" s="18" t="s">
        <v>13341</v>
      </c>
      <c r="E3228" s="18" t="n">
        <v>4</v>
      </c>
      <c r="F3228" s="18" t="s">
        <v>3131</v>
      </c>
      <c r="G3228" s="18" t="s">
        <v>454</v>
      </c>
      <c r="H3228" s="18" t="s">
        <v>162</v>
      </c>
      <c r="I3228" s="18"/>
      <c r="J3228" s="18"/>
      <c r="K3228" s="18"/>
      <c r="L3228" s="18" t="s">
        <v>129</v>
      </c>
      <c r="M3228" s="18" t="s">
        <v>129</v>
      </c>
      <c r="N3228" s="18"/>
      <c r="O3228" s="18"/>
      <c r="P3228" s="18" t="s">
        <v>13350</v>
      </c>
      <c r="Q3228" s="18" t="s">
        <v>138</v>
      </c>
      <c r="R3228" s="18" t="s">
        <v>5152</v>
      </c>
      <c r="S3228" s="18" t="s">
        <v>140</v>
      </c>
      <c r="T3228" s="18" t="s">
        <v>141</v>
      </c>
      <c r="U3228" s="18"/>
      <c r="V3228" s="19" t="s">
        <v>29</v>
      </c>
      <c r="W3228" s="19"/>
      <c r="X3228" s="19"/>
      <c r="Y3228" s="20"/>
      <c r="Z3228" s="19"/>
      <c r="AA3228" s="18" t="str">
        <f aca="false">IF(OR(V3228="Aprobada"),R3228,IF(AND(OR(V3228="Aprobada con ajuste",V3228="Rechazada"),W3228&lt;&gt;""),W3228,""))</f>
        <v/>
      </c>
    </row>
    <row r="3229" customFormat="false" ht="210.4" hidden="false" customHeight="false" outlineLevel="0" collapsed="false">
      <c r="A3229" s="18" t="s">
        <v>13351</v>
      </c>
      <c r="B3229" s="18" t="s">
        <v>80</v>
      </c>
      <c r="C3229" s="18" t="s">
        <v>81</v>
      </c>
      <c r="D3229" s="18" t="s">
        <v>13352</v>
      </c>
      <c r="E3229" s="18" t="n">
        <v>1</v>
      </c>
      <c r="F3229" s="18" t="s">
        <v>127</v>
      </c>
      <c r="G3229" s="18" t="s">
        <v>205</v>
      </c>
      <c r="H3229" s="18" t="s">
        <v>129</v>
      </c>
      <c r="I3229" s="18" t="s">
        <v>298</v>
      </c>
      <c r="J3229" s="18" t="s">
        <v>13353</v>
      </c>
      <c r="K3229" s="18"/>
      <c r="L3229" s="18" t="s">
        <v>162</v>
      </c>
      <c r="M3229" s="18" t="s">
        <v>129</v>
      </c>
      <c r="N3229" s="18"/>
      <c r="O3229" s="18"/>
      <c r="P3229" s="18" t="s">
        <v>13354</v>
      </c>
      <c r="Q3229" s="18" t="s">
        <v>131</v>
      </c>
      <c r="R3229" s="18" t="s">
        <v>13355</v>
      </c>
      <c r="S3229" s="18" t="s">
        <v>133</v>
      </c>
      <c r="T3229" s="18" t="s">
        <v>13356</v>
      </c>
      <c r="U3229" s="18"/>
      <c r="V3229" s="19" t="s">
        <v>29</v>
      </c>
      <c r="W3229" s="19"/>
      <c r="X3229" s="19"/>
      <c r="Y3229" s="20"/>
      <c r="Z3229" s="19"/>
      <c r="AA3229" s="18" t="str">
        <f aca="false">IF(OR(V3229="Aprobada"),R3229,IF(AND(OR(V3229="Aprobada con ajuste",V3229="Rechazada"),W3229&lt;&gt;""),W3229,""))</f>
        <v/>
      </c>
    </row>
    <row r="3230" customFormat="false" ht="53.7" hidden="false" customHeight="false" outlineLevel="0" collapsed="false">
      <c r="A3230" s="18" t="s">
        <v>13357</v>
      </c>
      <c r="B3230" s="18" t="s">
        <v>80</v>
      </c>
      <c r="C3230" s="18" t="s">
        <v>81</v>
      </c>
      <c r="D3230" s="18" t="s">
        <v>13352</v>
      </c>
      <c r="E3230" s="18" t="n">
        <v>1</v>
      </c>
      <c r="F3230" s="18" t="s">
        <v>5230</v>
      </c>
      <c r="G3230" s="18" t="s">
        <v>454</v>
      </c>
      <c r="H3230" s="18" t="s">
        <v>129</v>
      </c>
      <c r="I3230" s="18"/>
      <c r="J3230" s="18"/>
      <c r="K3230" s="18"/>
      <c r="L3230" s="18" t="s">
        <v>129</v>
      </c>
      <c r="M3230" s="18" t="s">
        <v>129</v>
      </c>
      <c r="N3230" s="18"/>
      <c r="O3230" s="18"/>
      <c r="P3230" s="18" t="s">
        <v>13358</v>
      </c>
      <c r="Q3230" s="18" t="s">
        <v>149</v>
      </c>
      <c r="R3230" s="18" t="s">
        <v>13359</v>
      </c>
      <c r="S3230" s="18" t="s">
        <v>133</v>
      </c>
      <c r="T3230" s="18" t="s">
        <v>13360</v>
      </c>
      <c r="U3230" s="18"/>
      <c r="V3230" s="19" t="s">
        <v>29</v>
      </c>
      <c r="W3230" s="19"/>
      <c r="X3230" s="19"/>
      <c r="Y3230" s="20"/>
      <c r="Z3230" s="19"/>
      <c r="AA3230" s="18" t="str">
        <f aca="false">IF(OR(V3230="Aprobada"),R3230,IF(AND(OR(V3230="Aprobada con ajuste",V3230="Rechazada"),W3230&lt;&gt;""),W3230,""))</f>
        <v/>
      </c>
    </row>
    <row r="3231" customFormat="false" ht="53.7" hidden="false" customHeight="false" outlineLevel="0" collapsed="false">
      <c r="A3231" s="18" t="s">
        <v>13361</v>
      </c>
      <c r="B3231" s="18" t="s">
        <v>80</v>
      </c>
      <c r="C3231" s="18" t="s">
        <v>81</v>
      </c>
      <c r="D3231" s="18" t="s">
        <v>13352</v>
      </c>
      <c r="E3231" s="18" t="n">
        <v>1</v>
      </c>
      <c r="F3231" s="18" t="s">
        <v>2440</v>
      </c>
      <c r="G3231" s="18" t="s">
        <v>2900</v>
      </c>
      <c r="H3231" s="18" t="s">
        <v>162</v>
      </c>
      <c r="I3231" s="18"/>
      <c r="J3231" s="18"/>
      <c r="K3231" s="18"/>
      <c r="L3231" s="18" t="s">
        <v>129</v>
      </c>
      <c r="M3231" s="18" t="s">
        <v>129</v>
      </c>
      <c r="N3231" s="18"/>
      <c r="O3231" s="18"/>
      <c r="P3231" s="18" t="s">
        <v>13362</v>
      </c>
      <c r="Q3231" s="18" t="s">
        <v>138</v>
      </c>
      <c r="R3231" s="18" t="s">
        <v>532</v>
      </c>
      <c r="S3231" s="18" t="s">
        <v>140</v>
      </c>
      <c r="T3231" s="18" t="s">
        <v>141</v>
      </c>
      <c r="U3231" s="18"/>
      <c r="V3231" s="19" t="s">
        <v>29</v>
      </c>
      <c r="W3231" s="19"/>
      <c r="X3231" s="19"/>
      <c r="Y3231" s="20"/>
      <c r="Z3231" s="19"/>
      <c r="AA3231" s="18" t="str">
        <f aca="false">IF(OR(V3231="Aprobada"),R3231,IF(AND(OR(V3231="Aprobada con ajuste",V3231="Rechazada"),W3231&lt;&gt;""),W3231,""))</f>
        <v/>
      </c>
    </row>
    <row r="3232" customFormat="false" ht="105.95" hidden="false" customHeight="false" outlineLevel="0" collapsed="false">
      <c r="A3232" s="18" t="s">
        <v>13363</v>
      </c>
      <c r="B3232" s="18" t="s">
        <v>80</v>
      </c>
      <c r="C3232" s="18" t="s">
        <v>81</v>
      </c>
      <c r="D3232" s="18" t="s">
        <v>13352</v>
      </c>
      <c r="E3232" s="18" t="n">
        <v>1</v>
      </c>
      <c r="F3232" s="18" t="s">
        <v>5187</v>
      </c>
      <c r="G3232" s="18" t="s">
        <v>137</v>
      </c>
      <c r="H3232" s="18" t="s">
        <v>129</v>
      </c>
      <c r="I3232" s="18"/>
      <c r="J3232" s="18"/>
      <c r="K3232" s="18"/>
      <c r="L3232" s="18" t="s">
        <v>129</v>
      </c>
      <c r="M3232" s="18" t="s">
        <v>129</v>
      </c>
      <c r="N3232" s="18"/>
      <c r="O3232" s="18"/>
      <c r="P3232" s="18" t="s">
        <v>13364</v>
      </c>
      <c r="Q3232" s="18" t="s">
        <v>131</v>
      </c>
      <c r="R3232" s="18" t="s">
        <v>13365</v>
      </c>
      <c r="S3232" s="18" t="s">
        <v>133</v>
      </c>
      <c r="T3232" s="18" t="s">
        <v>13366</v>
      </c>
      <c r="U3232" s="18"/>
      <c r="V3232" s="19" t="s">
        <v>29</v>
      </c>
      <c r="W3232" s="19"/>
      <c r="X3232" s="19"/>
      <c r="Y3232" s="20"/>
      <c r="Z3232" s="19"/>
      <c r="AA3232" s="18" t="str">
        <f aca="false">IF(OR(V3232="Aprobada"),R3232,IF(AND(OR(V3232="Aprobada con ajuste",V3232="Rechazada"),W3232&lt;&gt;""),W3232,""))</f>
        <v/>
      </c>
    </row>
    <row r="3233" customFormat="false" ht="116.4" hidden="false" customHeight="false" outlineLevel="0" collapsed="false">
      <c r="A3233" s="18" t="s">
        <v>13367</v>
      </c>
      <c r="B3233" s="18" t="s">
        <v>80</v>
      </c>
      <c r="C3233" s="18" t="s">
        <v>81</v>
      </c>
      <c r="D3233" s="18" t="s">
        <v>13352</v>
      </c>
      <c r="E3233" s="18" t="n">
        <v>1</v>
      </c>
      <c r="F3233" s="18" t="s">
        <v>13368</v>
      </c>
      <c r="G3233" s="18" t="s">
        <v>173</v>
      </c>
      <c r="H3233" s="18" t="s">
        <v>129</v>
      </c>
      <c r="I3233" s="18"/>
      <c r="J3233" s="18"/>
      <c r="K3233" s="18"/>
      <c r="L3233" s="18" t="s">
        <v>129</v>
      </c>
      <c r="M3233" s="18" t="s">
        <v>129</v>
      </c>
      <c r="N3233" s="18"/>
      <c r="O3233" s="18"/>
      <c r="P3233" s="18" t="s">
        <v>13369</v>
      </c>
      <c r="Q3233" s="18" t="s">
        <v>131</v>
      </c>
      <c r="R3233" s="18" t="s">
        <v>13370</v>
      </c>
      <c r="S3233" s="18" t="s">
        <v>133</v>
      </c>
      <c r="T3233" s="18" t="s">
        <v>13371</v>
      </c>
      <c r="U3233" s="18"/>
      <c r="V3233" s="19" t="s">
        <v>29</v>
      </c>
      <c r="W3233" s="19"/>
      <c r="X3233" s="19"/>
      <c r="Y3233" s="20"/>
      <c r="Z3233" s="19"/>
      <c r="AA3233" s="18" t="str">
        <f aca="false">IF(OR(V3233="Aprobada"),R3233,IF(AND(OR(V3233="Aprobada con ajuste",V3233="Rechazada"),W3233&lt;&gt;""),W3233,""))</f>
        <v/>
      </c>
    </row>
    <row r="3234" customFormat="false" ht="43.25" hidden="false" customHeight="false" outlineLevel="0" collapsed="false">
      <c r="A3234" s="18" t="s">
        <v>13372</v>
      </c>
      <c r="B3234" s="18" t="s">
        <v>80</v>
      </c>
      <c r="C3234" s="18" t="s">
        <v>81</v>
      </c>
      <c r="D3234" s="18" t="s">
        <v>13352</v>
      </c>
      <c r="E3234" s="18" t="n">
        <v>1</v>
      </c>
      <c r="F3234" s="18" t="s">
        <v>4478</v>
      </c>
      <c r="G3234" s="18" t="s">
        <v>4598</v>
      </c>
      <c r="H3234" s="18" t="s">
        <v>129</v>
      </c>
      <c r="I3234" s="18"/>
      <c r="J3234" s="18"/>
      <c r="K3234" s="18"/>
      <c r="L3234" s="18" t="s">
        <v>129</v>
      </c>
      <c r="M3234" s="18" t="s">
        <v>129</v>
      </c>
      <c r="N3234" s="18"/>
      <c r="O3234" s="18"/>
      <c r="P3234" s="18" t="s">
        <v>13373</v>
      </c>
      <c r="Q3234" s="18" t="s">
        <v>149</v>
      </c>
      <c r="R3234" s="18" t="s">
        <v>13374</v>
      </c>
      <c r="S3234" s="18" t="s">
        <v>133</v>
      </c>
      <c r="T3234" s="18" t="s">
        <v>11672</v>
      </c>
      <c r="U3234" s="18"/>
      <c r="V3234" s="19" t="s">
        <v>29</v>
      </c>
      <c r="W3234" s="19"/>
      <c r="X3234" s="19"/>
      <c r="Y3234" s="20"/>
      <c r="Z3234" s="19"/>
      <c r="AA3234" s="18" t="str">
        <f aca="false">IF(OR(V3234="Aprobada"),R3234,IF(AND(OR(V3234="Aprobada con ajuste",V3234="Rechazada"),W3234&lt;&gt;""),W3234,""))</f>
        <v/>
      </c>
    </row>
    <row r="3235" customFormat="false" ht="64.15" hidden="false" customHeight="false" outlineLevel="0" collapsed="false">
      <c r="A3235" s="18" t="s">
        <v>13375</v>
      </c>
      <c r="B3235" s="18" t="s">
        <v>80</v>
      </c>
      <c r="C3235" s="18" t="s">
        <v>81</v>
      </c>
      <c r="D3235" s="18" t="s">
        <v>13352</v>
      </c>
      <c r="E3235" s="18" t="n">
        <v>1</v>
      </c>
      <c r="F3235" s="18" t="s">
        <v>3176</v>
      </c>
      <c r="G3235" s="18" t="s">
        <v>128</v>
      </c>
      <c r="H3235" s="18" t="s">
        <v>129</v>
      </c>
      <c r="I3235" s="18"/>
      <c r="J3235" s="18"/>
      <c r="K3235" s="18"/>
      <c r="L3235" s="18" t="s">
        <v>129</v>
      </c>
      <c r="M3235" s="18" t="s">
        <v>129</v>
      </c>
      <c r="N3235" s="18"/>
      <c r="O3235" s="18"/>
      <c r="P3235" s="18" t="s">
        <v>13376</v>
      </c>
      <c r="Q3235" s="18" t="s">
        <v>149</v>
      </c>
      <c r="R3235" s="18" t="s">
        <v>13377</v>
      </c>
      <c r="S3235" s="18" t="s">
        <v>133</v>
      </c>
      <c r="T3235" s="18" t="s">
        <v>12584</v>
      </c>
      <c r="U3235" s="18"/>
      <c r="V3235" s="19" t="s">
        <v>29</v>
      </c>
      <c r="W3235" s="19"/>
      <c r="X3235" s="19"/>
      <c r="Y3235" s="20"/>
      <c r="Z3235" s="19"/>
      <c r="AA3235" s="18" t="str">
        <f aca="false">IF(OR(V3235="Aprobada"),R3235,IF(AND(OR(V3235="Aprobada con ajuste",V3235="Rechazada"),W3235&lt;&gt;""),W3235,""))</f>
        <v/>
      </c>
    </row>
    <row r="3236" customFormat="false" ht="85.05" hidden="false" customHeight="false" outlineLevel="0" collapsed="false">
      <c r="A3236" s="18" t="s">
        <v>13378</v>
      </c>
      <c r="B3236" s="18" t="s">
        <v>80</v>
      </c>
      <c r="C3236" s="18" t="s">
        <v>81</v>
      </c>
      <c r="D3236" s="18" t="s">
        <v>13352</v>
      </c>
      <c r="E3236" s="18" t="n">
        <v>1</v>
      </c>
      <c r="F3236" s="18" t="s">
        <v>4842</v>
      </c>
      <c r="G3236" s="18" t="s">
        <v>128</v>
      </c>
      <c r="H3236" s="18" t="s">
        <v>162</v>
      </c>
      <c r="I3236" s="18" t="s">
        <v>298</v>
      </c>
      <c r="J3236" s="18"/>
      <c r="K3236" s="18"/>
      <c r="L3236" s="18" t="s">
        <v>129</v>
      </c>
      <c r="M3236" s="18" t="s">
        <v>129</v>
      </c>
      <c r="N3236" s="18"/>
      <c r="O3236" s="18"/>
      <c r="P3236" s="18" t="s">
        <v>13379</v>
      </c>
      <c r="Q3236" s="18" t="s">
        <v>131</v>
      </c>
      <c r="R3236" s="18" t="s">
        <v>13380</v>
      </c>
      <c r="S3236" s="18" t="s">
        <v>140</v>
      </c>
      <c r="T3236" s="18" t="s">
        <v>13381</v>
      </c>
      <c r="U3236" s="18"/>
      <c r="V3236" s="19" t="s">
        <v>29</v>
      </c>
      <c r="W3236" s="19"/>
      <c r="X3236" s="19"/>
      <c r="Y3236" s="20"/>
      <c r="Z3236" s="19"/>
      <c r="AA3236" s="18" t="str">
        <f aca="false">IF(OR(V3236="Aprobada"),R3236,IF(AND(OR(V3236="Aprobada con ajuste",V3236="Rechazada"),W3236&lt;&gt;""),W3236,""))</f>
        <v/>
      </c>
    </row>
    <row r="3237" customFormat="false" ht="74.6" hidden="false" customHeight="false" outlineLevel="0" collapsed="false">
      <c r="A3237" s="18" t="s">
        <v>13382</v>
      </c>
      <c r="B3237" s="18" t="s">
        <v>80</v>
      </c>
      <c r="C3237" s="18" t="s">
        <v>81</v>
      </c>
      <c r="D3237" s="18" t="s">
        <v>13352</v>
      </c>
      <c r="E3237" s="18" t="n">
        <v>1</v>
      </c>
      <c r="F3237" s="18" t="s">
        <v>13383</v>
      </c>
      <c r="G3237" s="18" t="s">
        <v>173</v>
      </c>
      <c r="H3237" s="18" t="s">
        <v>162</v>
      </c>
      <c r="I3237" s="18" t="s">
        <v>298</v>
      </c>
      <c r="J3237" s="18"/>
      <c r="K3237" s="18"/>
      <c r="L3237" s="18" t="s">
        <v>129</v>
      </c>
      <c r="M3237" s="18" t="s">
        <v>129</v>
      </c>
      <c r="N3237" s="18"/>
      <c r="O3237" s="18"/>
      <c r="P3237" s="18" t="s">
        <v>13384</v>
      </c>
      <c r="Q3237" s="18" t="s">
        <v>131</v>
      </c>
      <c r="R3237" s="18" t="s">
        <v>13385</v>
      </c>
      <c r="S3237" s="18" t="s">
        <v>133</v>
      </c>
      <c r="T3237" s="18" t="s">
        <v>13386</v>
      </c>
      <c r="U3237" s="18"/>
      <c r="V3237" s="19" t="s">
        <v>29</v>
      </c>
      <c r="W3237" s="19"/>
      <c r="X3237" s="19"/>
      <c r="Y3237" s="20"/>
      <c r="Z3237" s="19"/>
      <c r="AA3237" s="18" t="str">
        <f aca="false">IF(OR(V3237="Aprobada"),R3237,IF(AND(OR(V3237="Aprobada con ajuste",V3237="Rechazada"),W3237&lt;&gt;""),W3237,""))</f>
        <v/>
      </c>
    </row>
    <row r="3238" customFormat="false" ht="22.35" hidden="false" customHeight="false" outlineLevel="0" collapsed="false">
      <c r="A3238" s="18" t="s">
        <v>13387</v>
      </c>
      <c r="B3238" s="18" t="s">
        <v>80</v>
      </c>
      <c r="C3238" s="18" t="s">
        <v>81</v>
      </c>
      <c r="D3238" s="18" t="s">
        <v>13352</v>
      </c>
      <c r="E3238" s="18" t="n">
        <v>1</v>
      </c>
      <c r="F3238" s="18" t="s">
        <v>12596</v>
      </c>
      <c r="G3238" s="18" t="s">
        <v>931</v>
      </c>
      <c r="H3238" s="18" t="s">
        <v>162</v>
      </c>
      <c r="I3238" s="18"/>
      <c r="J3238" s="18"/>
      <c r="K3238" s="18"/>
      <c r="L3238" s="18" t="s">
        <v>129</v>
      </c>
      <c r="M3238" s="18" t="s">
        <v>129</v>
      </c>
      <c r="N3238" s="18"/>
      <c r="O3238" s="18"/>
      <c r="P3238" s="18" t="s">
        <v>13388</v>
      </c>
      <c r="Q3238" s="18" t="s">
        <v>149</v>
      </c>
      <c r="R3238" s="18" t="s">
        <v>13389</v>
      </c>
      <c r="S3238" s="18" t="s">
        <v>140</v>
      </c>
      <c r="T3238" s="18" t="s">
        <v>13390</v>
      </c>
      <c r="U3238" s="18" t="s">
        <v>9527</v>
      </c>
      <c r="V3238" s="19" t="s">
        <v>29</v>
      </c>
      <c r="W3238" s="19"/>
      <c r="X3238" s="19"/>
      <c r="Y3238" s="20"/>
      <c r="Z3238" s="19"/>
      <c r="AA3238" s="18" t="str">
        <f aca="false">IF(OR(V3238="Aprobada"),R3238,IF(AND(OR(V3238="Aprobada con ajuste",V3238="Rechazada"),W3238&lt;&gt;""),W3238,""))</f>
        <v/>
      </c>
    </row>
    <row r="3239" customFormat="false" ht="22.35" hidden="false" customHeight="false" outlineLevel="0" collapsed="false">
      <c r="A3239" s="18" t="s">
        <v>13391</v>
      </c>
      <c r="B3239" s="18" t="s">
        <v>80</v>
      </c>
      <c r="C3239" s="18" t="s">
        <v>81</v>
      </c>
      <c r="D3239" s="18" t="s">
        <v>13352</v>
      </c>
      <c r="E3239" s="18" t="n">
        <v>1</v>
      </c>
      <c r="F3239" s="18" t="s">
        <v>12601</v>
      </c>
      <c r="G3239" s="18" t="s">
        <v>584</v>
      </c>
      <c r="H3239" s="18" t="s">
        <v>162</v>
      </c>
      <c r="I3239" s="18" t="s">
        <v>298</v>
      </c>
      <c r="J3239" s="18"/>
      <c r="K3239" s="18"/>
      <c r="L3239" s="18" t="s">
        <v>129</v>
      </c>
      <c r="M3239" s="18" t="s">
        <v>129</v>
      </c>
      <c r="N3239" s="18"/>
      <c r="O3239" s="18"/>
      <c r="P3239" s="18" t="s">
        <v>13392</v>
      </c>
      <c r="Q3239" s="18" t="s">
        <v>149</v>
      </c>
      <c r="R3239" s="18" t="s">
        <v>13393</v>
      </c>
      <c r="S3239" s="18" t="s">
        <v>133</v>
      </c>
      <c r="T3239" s="18" t="s">
        <v>13394</v>
      </c>
      <c r="U3239" s="18"/>
      <c r="V3239" s="19" t="s">
        <v>29</v>
      </c>
      <c r="W3239" s="19"/>
      <c r="X3239" s="19"/>
      <c r="Y3239" s="20"/>
      <c r="Z3239" s="19"/>
      <c r="AA3239" s="18" t="str">
        <f aca="false">IF(OR(V3239="Aprobada"),R3239,IF(AND(OR(V3239="Aprobada con ajuste",V3239="Rechazada"),W3239&lt;&gt;""),W3239,""))</f>
        <v/>
      </c>
    </row>
    <row r="3240" customFormat="false" ht="22.35" hidden="false" customHeight="false" outlineLevel="0" collapsed="false">
      <c r="A3240" s="18" t="s">
        <v>13395</v>
      </c>
      <c r="B3240" s="18" t="s">
        <v>80</v>
      </c>
      <c r="C3240" s="18" t="s">
        <v>81</v>
      </c>
      <c r="D3240" s="18" t="s">
        <v>13352</v>
      </c>
      <c r="E3240" s="18" t="n">
        <v>1</v>
      </c>
      <c r="F3240" s="18" t="s">
        <v>11254</v>
      </c>
      <c r="G3240" s="18" t="s">
        <v>931</v>
      </c>
      <c r="H3240" s="18" t="s">
        <v>162</v>
      </c>
      <c r="I3240" s="18"/>
      <c r="J3240" s="18"/>
      <c r="K3240" s="18"/>
      <c r="L3240" s="18" t="s">
        <v>129</v>
      </c>
      <c r="M3240" s="18" t="s">
        <v>129</v>
      </c>
      <c r="N3240" s="18"/>
      <c r="O3240" s="18"/>
      <c r="P3240" s="18" t="s">
        <v>13396</v>
      </c>
      <c r="Q3240" s="18" t="s">
        <v>138</v>
      </c>
      <c r="R3240" s="18" t="s">
        <v>2017</v>
      </c>
      <c r="S3240" s="18" t="s">
        <v>140</v>
      </c>
      <c r="T3240" s="18" t="s">
        <v>141</v>
      </c>
      <c r="U3240" s="18"/>
      <c r="V3240" s="19" t="s">
        <v>29</v>
      </c>
      <c r="W3240" s="19"/>
      <c r="X3240" s="19"/>
      <c r="Y3240" s="20"/>
      <c r="Z3240" s="19"/>
      <c r="AA3240" s="18" t="str">
        <f aca="false">IF(OR(V3240="Aprobada"),R3240,IF(AND(OR(V3240="Aprobada con ajuste",V3240="Rechazada"),W3240&lt;&gt;""),W3240,""))</f>
        <v/>
      </c>
    </row>
    <row r="3241" customFormat="false" ht="64.15" hidden="false" customHeight="false" outlineLevel="0" collapsed="false">
      <c r="A3241" s="18" t="s">
        <v>13397</v>
      </c>
      <c r="B3241" s="18" t="s">
        <v>80</v>
      </c>
      <c r="C3241" s="18" t="s">
        <v>81</v>
      </c>
      <c r="D3241" s="18" t="s">
        <v>13398</v>
      </c>
      <c r="E3241" s="18" t="n">
        <v>1</v>
      </c>
      <c r="F3241" s="18" t="s">
        <v>11855</v>
      </c>
      <c r="G3241" s="18" t="s">
        <v>137</v>
      </c>
      <c r="H3241" s="18" t="s">
        <v>129</v>
      </c>
      <c r="I3241" s="18"/>
      <c r="J3241" s="18"/>
      <c r="K3241" s="18"/>
      <c r="L3241" s="18" t="s">
        <v>129</v>
      </c>
      <c r="M3241" s="18" t="s">
        <v>129</v>
      </c>
      <c r="N3241" s="18"/>
      <c r="O3241" s="18"/>
      <c r="P3241" s="18" t="s">
        <v>13399</v>
      </c>
      <c r="Q3241" s="18" t="s">
        <v>131</v>
      </c>
      <c r="R3241" s="18" t="s">
        <v>13400</v>
      </c>
      <c r="S3241" s="18" t="s">
        <v>133</v>
      </c>
      <c r="T3241" s="18" t="s">
        <v>13401</v>
      </c>
      <c r="U3241" s="18"/>
      <c r="V3241" s="19" t="s">
        <v>29</v>
      </c>
      <c r="W3241" s="19"/>
      <c r="X3241" s="19"/>
      <c r="Y3241" s="20"/>
      <c r="Z3241" s="19"/>
      <c r="AA3241" s="18" t="str">
        <f aca="false">IF(OR(V3241="Aprobada"),R3241,IF(AND(OR(V3241="Aprobada con ajuste",V3241="Rechazada"),W3241&lt;&gt;""),W3241,""))</f>
        <v/>
      </c>
    </row>
    <row r="3242" customFormat="false" ht="116.4" hidden="false" customHeight="false" outlineLevel="0" collapsed="false">
      <c r="A3242" s="18" t="s">
        <v>13402</v>
      </c>
      <c r="B3242" s="18" t="s">
        <v>80</v>
      </c>
      <c r="C3242" s="18" t="s">
        <v>81</v>
      </c>
      <c r="D3242" s="18" t="s">
        <v>13398</v>
      </c>
      <c r="E3242" s="18" t="n">
        <v>1</v>
      </c>
      <c r="F3242" s="18" t="s">
        <v>12402</v>
      </c>
      <c r="G3242" s="18" t="s">
        <v>312</v>
      </c>
      <c r="H3242" s="18" t="s">
        <v>129</v>
      </c>
      <c r="I3242" s="18"/>
      <c r="J3242" s="18"/>
      <c r="K3242" s="18"/>
      <c r="L3242" s="18" t="s">
        <v>129</v>
      </c>
      <c r="M3242" s="18" t="s">
        <v>129</v>
      </c>
      <c r="N3242" s="18"/>
      <c r="O3242" s="18" t="s">
        <v>13403</v>
      </c>
      <c r="P3242" s="18" t="s">
        <v>13404</v>
      </c>
      <c r="Q3242" s="18" t="s">
        <v>131</v>
      </c>
      <c r="R3242" s="18" t="s">
        <v>13405</v>
      </c>
      <c r="S3242" s="18" t="s">
        <v>133</v>
      </c>
      <c r="T3242" s="18" t="s">
        <v>13406</v>
      </c>
      <c r="U3242" s="18"/>
      <c r="V3242" s="19" t="s">
        <v>29</v>
      </c>
      <c r="W3242" s="19"/>
      <c r="X3242" s="19"/>
      <c r="Y3242" s="20"/>
      <c r="Z3242" s="19"/>
      <c r="AA3242" s="18" t="str">
        <f aca="false">IF(OR(V3242="Aprobada"),R3242,IF(AND(OR(V3242="Aprobada con ajuste",V3242="Rechazada"),W3242&lt;&gt;""),W3242,""))</f>
        <v/>
      </c>
    </row>
    <row r="3243" customFormat="false" ht="126.85" hidden="false" customHeight="false" outlineLevel="0" collapsed="false">
      <c r="A3243" s="18" t="s">
        <v>13407</v>
      </c>
      <c r="B3243" s="18" t="s">
        <v>80</v>
      </c>
      <c r="C3243" s="18" t="s">
        <v>81</v>
      </c>
      <c r="D3243" s="18" t="s">
        <v>13398</v>
      </c>
      <c r="E3243" s="18" t="n">
        <v>1</v>
      </c>
      <c r="F3243" s="18" t="s">
        <v>275</v>
      </c>
      <c r="G3243" s="18" t="s">
        <v>454</v>
      </c>
      <c r="H3243" s="18" t="s">
        <v>129</v>
      </c>
      <c r="I3243" s="18"/>
      <c r="J3243" s="18"/>
      <c r="K3243" s="18"/>
      <c r="L3243" s="18" t="s">
        <v>129</v>
      </c>
      <c r="M3243" s="18" t="s">
        <v>129</v>
      </c>
      <c r="N3243" s="18"/>
      <c r="O3243" s="18"/>
      <c r="P3243" s="18" t="s">
        <v>13408</v>
      </c>
      <c r="Q3243" s="18" t="s">
        <v>131</v>
      </c>
      <c r="R3243" s="18" t="s">
        <v>13409</v>
      </c>
      <c r="S3243" s="18" t="s">
        <v>133</v>
      </c>
      <c r="T3243" s="18" t="s">
        <v>13410</v>
      </c>
      <c r="U3243" s="18"/>
      <c r="V3243" s="19" t="s">
        <v>29</v>
      </c>
      <c r="W3243" s="19"/>
      <c r="X3243" s="19"/>
      <c r="Y3243" s="20"/>
      <c r="Z3243" s="19"/>
      <c r="AA3243" s="18" t="str">
        <f aca="false">IF(OR(V3243="Aprobada"),R3243,IF(AND(OR(V3243="Aprobada con ajuste",V3243="Rechazada"),W3243&lt;&gt;""),W3243,""))</f>
        <v/>
      </c>
    </row>
    <row r="3244" customFormat="false" ht="32.8" hidden="false" customHeight="false" outlineLevel="0" collapsed="false">
      <c r="A3244" s="18" t="s">
        <v>13411</v>
      </c>
      <c r="B3244" s="18" t="s">
        <v>80</v>
      </c>
      <c r="C3244" s="18" t="s">
        <v>81</v>
      </c>
      <c r="D3244" s="18" t="s">
        <v>13398</v>
      </c>
      <c r="E3244" s="18" t="n">
        <v>1</v>
      </c>
      <c r="F3244" s="18" t="s">
        <v>4269</v>
      </c>
      <c r="G3244" s="18" t="s">
        <v>454</v>
      </c>
      <c r="H3244" s="18" t="s">
        <v>162</v>
      </c>
      <c r="I3244" s="18"/>
      <c r="J3244" s="18"/>
      <c r="K3244" s="18"/>
      <c r="L3244" s="18" t="s">
        <v>129</v>
      </c>
      <c r="M3244" s="18" t="s">
        <v>129</v>
      </c>
      <c r="N3244" s="18"/>
      <c r="O3244" s="18"/>
      <c r="P3244" s="18" t="s">
        <v>13412</v>
      </c>
      <c r="Q3244" s="18" t="s">
        <v>149</v>
      </c>
      <c r="R3244" s="18" t="s">
        <v>13413</v>
      </c>
      <c r="S3244" s="18" t="s">
        <v>133</v>
      </c>
      <c r="T3244" s="18" t="s">
        <v>11404</v>
      </c>
      <c r="U3244" s="18"/>
      <c r="V3244" s="19" t="s">
        <v>29</v>
      </c>
      <c r="W3244" s="19"/>
      <c r="X3244" s="19"/>
      <c r="Y3244" s="20"/>
      <c r="Z3244" s="19"/>
      <c r="AA3244" s="18" t="str">
        <f aca="false">IF(OR(V3244="Aprobada"),R3244,IF(AND(OR(V3244="Aprobada con ajuste",V3244="Rechazada"),W3244&lt;&gt;""),W3244,""))</f>
        <v/>
      </c>
    </row>
    <row r="3245" customFormat="false" ht="43.25" hidden="false" customHeight="false" outlineLevel="0" collapsed="false">
      <c r="A3245" s="18" t="s">
        <v>13414</v>
      </c>
      <c r="B3245" s="18" t="s">
        <v>80</v>
      </c>
      <c r="C3245" s="18" t="s">
        <v>81</v>
      </c>
      <c r="D3245" s="18" t="s">
        <v>13398</v>
      </c>
      <c r="E3245" s="18" t="n">
        <v>1</v>
      </c>
      <c r="F3245" s="18" t="s">
        <v>1127</v>
      </c>
      <c r="G3245" s="18" t="s">
        <v>454</v>
      </c>
      <c r="H3245" s="18" t="s">
        <v>162</v>
      </c>
      <c r="I3245" s="18"/>
      <c r="J3245" s="18"/>
      <c r="K3245" s="18"/>
      <c r="L3245" s="18" t="s">
        <v>129</v>
      </c>
      <c r="M3245" s="18" t="s">
        <v>129</v>
      </c>
      <c r="N3245" s="18"/>
      <c r="O3245" s="18"/>
      <c r="P3245" s="18" t="s">
        <v>13415</v>
      </c>
      <c r="Q3245" s="18" t="s">
        <v>138</v>
      </c>
      <c r="R3245" s="18" t="s">
        <v>1129</v>
      </c>
      <c r="S3245" s="18" t="s">
        <v>140</v>
      </c>
      <c r="T3245" s="18" t="s">
        <v>141</v>
      </c>
      <c r="U3245" s="18"/>
      <c r="V3245" s="19" t="s">
        <v>29</v>
      </c>
      <c r="W3245" s="19"/>
      <c r="X3245" s="19"/>
      <c r="Y3245" s="20"/>
      <c r="Z3245" s="19"/>
      <c r="AA3245" s="18" t="str">
        <f aca="false">IF(OR(V3245="Aprobada"),R3245,IF(AND(OR(V3245="Aprobada con ajuste",V3245="Rechazada"),W3245&lt;&gt;""),W3245,""))</f>
        <v/>
      </c>
    </row>
    <row r="3246" customFormat="false" ht="22.35" hidden="false" customHeight="false" outlineLevel="0" collapsed="false">
      <c r="A3246" s="18" t="s">
        <v>13416</v>
      </c>
      <c r="B3246" s="18" t="s">
        <v>80</v>
      </c>
      <c r="C3246" s="18" t="s">
        <v>81</v>
      </c>
      <c r="D3246" s="18" t="s">
        <v>13398</v>
      </c>
      <c r="E3246" s="18" t="n">
        <v>1</v>
      </c>
      <c r="F3246" s="18" t="s">
        <v>11860</v>
      </c>
      <c r="G3246" s="18" t="s">
        <v>454</v>
      </c>
      <c r="H3246" s="18" t="s">
        <v>162</v>
      </c>
      <c r="I3246" s="18"/>
      <c r="J3246" s="18"/>
      <c r="K3246" s="18"/>
      <c r="L3246" s="18" t="s">
        <v>129</v>
      </c>
      <c r="M3246" s="18" t="s">
        <v>129</v>
      </c>
      <c r="N3246" s="18"/>
      <c r="O3246" s="18"/>
      <c r="P3246" s="18" t="s">
        <v>13417</v>
      </c>
      <c r="Q3246" s="18" t="s">
        <v>149</v>
      </c>
      <c r="R3246" s="18" t="s">
        <v>13418</v>
      </c>
      <c r="S3246" s="18" t="s">
        <v>140</v>
      </c>
      <c r="T3246" s="18" t="s">
        <v>13121</v>
      </c>
      <c r="U3246" s="18" t="s">
        <v>13419</v>
      </c>
      <c r="V3246" s="19" t="s">
        <v>29</v>
      </c>
      <c r="W3246" s="19"/>
      <c r="X3246" s="19"/>
      <c r="Y3246" s="20"/>
      <c r="Z3246" s="19"/>
      <c r="AA3246" s="18" t="str">
        <f aca="false">IF(OR(V3246="Aprobada"),R3246,IF(AND(OR(V3246="Aprobada con ajuste",V3246="Rechazada"),W3246&lt;&gt;""),W3246,""))</f>
        <v/>
      </c>
    </row>
    <row r="3247" customFormat="false" ht="22.35" hidden="false" customHeight="false" outlineLevel="0" collapsed="false">
      <c r="A3247" s="18" t="s">
        <v>13420</v>
      </c>
      <c r="B3247" s="18" t="s">
        <v>80</v>
      </c>
      <c r="C3247" s="18" t="s">
        <v>81</v>
      </c>
      <c r="D3247" s="18" t="s">
        <v>13398</v>
      </c>
      <c r="E3247" s="18" t="n">
        <v>1</v>
      </c>
      <c r="F3247" s="18" t="s">
        <v>185</v>
      </c>
      <c r="G3247" s="18" t="s">
        <v>205</v>
      </c>
      <c r="H3247" s="18" t="s">
        <v>129</v>
      </c>
      <c r="I3247" s="18" t="s">
        <v>298</v>
      </c>
      <c r="J3247" s="18" t="s">
        <v>12784</v>
      </c>
      <c r="K3247" s="18"/>
      <c r="L3247" s="18" t="s">
        <v>162</v>
      </c>
      <c r="M3247" s="18" t="s">
        <v>129</v>
      </c>
      <c r="N3247" s="18"/>
      <c r="O3247" s="18"/>
      <c r="P3247" s="18" t="s">
        <v>13421</v>
      </c>
      <c r="Q3247" s="18" t="s">
        <v>138</v>
      </c>
      <c r="R3247" s="18" t="s">
        <v>13422</v>
      </c>
      <c r="S3247" s="18" t="s">
        <v>140</v>
      </c>
      <c r="T3247" s="18" t="s">
        <v>141</v>
      </c>
      <c r="U3247" s="18"/>
      <c r="V3247" s="19" t="s">
        <v>29</v>
      </c>
      <c r="W3247" s="19"/>
      <c r="X3247" s="19"/>
      <c r="Y3247" s="20"/>
      <c r="Z3247" s="19"/>
      <c r="AA3247" s="18" t="str">
        <f aca="false">IF(OR(V3247="Aprobada"),R3247,IF(AND(OR(V3247="Aprobada con ajuste",V3247="Rechazada"),W3247&lt;&gt;""),W3247,""))</f>
        <v/>
      </c>
    </row>
    <row r="3248" customFormat="false" ht="116.4" hidden="false" customHeight="false" outlineLevel="0" collapsed="false">
      <c r="A3248" s="18" t="s">
        <v>13423</v>
      </c>
      <c r="B3248" s="18" t="s">
        <v>80</v>
      </c>
      <c r="C3248" s="18" t="s">
        <v>81</v>
      </c>
      <c r="D3248" s="18" t="s">
        <v>13398</v>
      </c>
      <c r="E3248" s="18" t="n">
        <v>1</v>
      </c>
      <c r="F3248" s="18" t="s">
        <v>13424</v>
      </c>
      <c r="G3248" s="18" t="s">
        <v>584</v>
      </c>
      <c r="H3248" s="18" t="s">
        <v>162</v>
      </c>
      <c r="I3248" s="18"/>
      <c r="J3248" s="18"/>
      <c r="K3248" s="18"/>
      <c r="L3248" s="18" t="s">
        <v>129</v>
      </c>
      <c r="M3248" s="18" t="s">
        <v>129</v>
      </c>
      <c r="N3248" s="18"/>
      <c r="O3248" s="18"/>
      <c r="P3248" s="18" t="s">
        <v>13425</v>
      </c>
      <c r="Q3248" s="18" t="s">
        <v>131</v>
      </c>
      <c r="R3248" s="18" t="s">
        <v>13426</v>
      </c>
      <c r="S3248" s="18" t="s">
        <v>133</v>
      </c>
      <c r="T3248" s="18" t="s">
        <v>13427</v>
      </c>
      <c r="U3248" s="18"/>
      <c r="V3248" s="19" t="s">
        <v>29</v>
      </c>
      <c r="W3248" s="19"/>
      <c r="X3248" s="19"/>
      <c r="Y3248" s="20"/>
      <c r="Z3248" s="19"/>
      <c r="AA3248" s="18" t="str">
        <f aca="false">IF(OR(V3248="Aprobada"),R3248,IF(AND(OR(V3248="Aprobada con ajuste",V3248="Rechazada"),W3248&lt;&gt;""),W3248,""))</f>
        <v/>
      </c>
    </row>
    <row r="3249" customFormat="false" ht="22.35" hidden="false" customHeight="false" outlineLevel="0" collapsed="false">
      <c r="A3249" s="18" t="s">
        <v>13428</v>
      </c>
      <c r="B3249" s="18" t="s">
        <v>80</v>
      </c>
      <c r="C3249" s="18" t="s">
        <v>81</v>
      </c>
      <c r="D3249" s="18" t="s">
        <v>13398</v>
      </c>
      <c r="E3249" s="18" t="n">
        <v>1</v>
      </c>
      <c r="F3249" s="18" t="s">
        <v>12788</v>
      </c>
      <c r="G3249" s="18" t="s">
        <v>584</v>
      </c>
      <c r="H3249" s="18" t="s">
        <v>162</v>
      </c>
      <c r="I3249" s="18" t="s">
        <v>298</v>
      </c>
      <c r="J3249" s="18"/>
      <c r="K3249" s="18"/>
      <c r="L3249" s="18" t="s">
        <v>129</v>
      </c>
      <c r="M3249" s="18" t="s">
        <v>129</v>
      </c>
      <c r="N3249" s="18"/>
      <c r="O3249" s="18"/>
      <c r="P3249" s="18" t="s">
        <v>13429</v>
      </c>
      <c r="Q3249" s="18" t="s">
        <v>149</v>
      </c>
      <c r="R3249" s="18" t="s">
        <v>13430</v>
      </c>
      <c r="S3249" s="18" t="s">
        <v>133</v>
      </c>
      <c r="T3249" s="18" t="s">
        <v>12791</v>
      </c>
      <c r="U3249" s="18"/>
      <c r="V3249" s="19" t="s">
        <v>29</v>
      </c>
      <c r="W3249" s="19"/>
      <c r="X3249" s="19"/>
      <c r="Y3249" s="20"/>
      <c r="Z3249" s="19"/>
      <c r="AA3249" s="18" t="str">
        <f aca="false">IF(OR(V3249="Aprobada"),R3249,IF(AND(OR(V3249="Aprobada con ajuste",V3249="Rechazada"),W3249&lt;&gt;""),W3249,""))</f>
        <v/>
      </c>
    </row>
    <row r="3250" customFormat="false" ht="22.35" hidden="false" customHeight="false" outlineLevel="0" collapsed="false">
      <c r="A3250" s="18" t="s">
        <v>13431</v>
      </c>
      <c r="B3250" s="18" t="s">
        <v>80</v>
      </c>
      <c r="C3250" s="18" t="s">
        <v>81</v>
      </c>
      <c r="D3250" s="18" t="s">
        <v>13398</v>
      </c>
      <c r="E3250" s="18" t="n">
        <v>1</v>
      </c>
      <c r="F3250" s="18" t="s">
        <v>12793</v>
      </c>
      <c r="G3250" s="18" t="s">
        <v>454</v>
      </c>
      <c r="H3250" s="18" t="s">
        <v>162</v>
      </c>
      <c r="I3250" s="18"/>
      <c r="J3250" s="18"/>
      <c r="K3250" s="18"/>
      <c r="L3250" s="18" t="s">
        <v>129</v>
      </c>
      <c r="M3250" s="18" t="s">
        <v>129</v>
      </c>
      <c r="N3250" s="18"/>
      <c r="O3250" s="18"/>
      <c r="P3250" s="18" t="s">
        <v>13432</v>
      </c>
      <c r="Q3250" s="18" t="s">
        <v>149</v>
      </c>
      <c r="R3250" s="18" t="s">
        <v>13433</v>
      </c>
      <c r="S3250" s="18" t="s">
        <v>140</v>
      </c>
      <c r="T3250" s="18" t="s">
        <v>12796</v>
      </c>
      <c r="U3250" s="18" t="s">
        <v>9527</v>
      </c>
      <c r="V3250" s="19" t="s">
        <v>29</v>
      </c>
      <c r="W3250" s="19"/>
      <c r="X3250" s="19"/>
      <c r="Y3250" s="20"/>
      <c r="Z3250" s="19"/>
      <c r="AA3250" s="18" t="str">
        <f aca="false">IF(OR(V3250="Aprobada"),R3250,IF(AND(OR(V3250="Aprobada con ajuste",V3250="Rechazada"),W3250&lt;&gt;""),W3250,""))</f>
        <v/>
      </c>
    </row>
    <row r="3251" customFormat="false" ht="22.35" hidden="false" customHeight="false" outlineLevel="0" collapsed="false">
      <c r="A3251" s="18" t="s">
        <v>13434</v>
      </c>
      <c r="B3251" s="18" t="s">
        <v>80</v>
      </c>
      <c r="C3251" s="18" t="s">
        <v>81</v>
      </c>
      <c r="D3251" s="18" t="s">
        <v>13398</v>
      </c>
      <c r="E3251" s="18" t="n">
        <v>1</v>
      </c>
      <c r="F3251" s="18" t="s">
        <v>12798</v>
      </c>
      <c r="G3251" s="18" t="s">
        <v>128</v>
      </c>
      <c r="H3251" s="18" t="s">
        <v>162</v>
      </c>
      <c r="I3251" s="18" t="s">
        <v>298</v>
      </c>
      <c r="J3251" s="18"/>
      <c r="K3251" s="18"/>
      <c r="L3251" s="18" t="s">
        <v>129</v>
      </c>
      <c r="M3251" s="18" t="s">
        <v>129</v>
      </c>
      <c r="N3251" s="18"/>
      <c r="O3251" s="18"/>
      <c r="P3251" s="18" t="s">
        <v>13435</v>
      </c>
      <c r="Q3251" s="18" t="s">
        <v>138</v>
      </c>
      <c r="R3251" s="18" t="s">
        <v>12800</v>
      </c>
      <c r="S3251" s="18" t="s">
        <v>140</v>
      </c>
      <c r="T3251" s="18" t="s">
        <v>141</v>
      </c>
      <c r="U3251" s="18"/>
      <c r="V3251" s="19" t="s">
        <v>29</v>
      </c>
      <c r="W3251" s="19"/>
      <c r="X3251" s="19"/>
      <c r="Y3251" s="20"/>
      <c r="Z3251" s="19"/>
      <c r="AA3251" s="18" t="str">
        <f aca="false">IF(OR(V3251="Aprobada"),R3251,IF(AND(OR(V3251="Aprobada con ajuste",V3251="Rechazada"),W3251&lt;&gt;""),W3251,""))</f>
        <v/>
      </c>
    </row>
    <row r="3252" customFormat="false" ht="64.15" hidden="false" customHeight="false" outlineLevel="0" collapsed="false">
      <c r="A3252" s="18" t="s">
        <v>13436</v>
      </c>
      <c r="B3252" s="18" t="s">
        <v>80</v>
      </c>
      <c r="C3252" s="18" t="s">
        <v>81</v>
      </c>
      <c r="D3252" s="18" t="s">
        <v>13437</v>
      </c>
      <c r="E3252" s="18" t="n">
        <v>1</v>
      </c>
      <c r="F3252" s="18" t="s">
        <v>12440</v>
      </c>
      <c r="G3252" s="18" t="s">
        <v>137</v>
      </c>
      <c r="H3252" s="18" t="s">
        <v>129</v>
      </c>
      <c r="I3252" s="18"/>
      <c r="J3252" s="18"/>
      <c r="K3252" s="18"/>
      <c r="L3252" s="18" t="s">
        <v>129</v>
      </c>
      <c r="M3252" s="18" t="s">
        <v>129</v>
      </c>
      <c r="N3252" s="18"/>
      <c r="O3252" s="18"/>
      <c r="P3252" s="18" t="s">
        <v>13438</v>
      </c>
      <c r="Q3252" s="18" t="s">
        <v>131</v>
      </c>
      <c r="R3252" s="18" t="s">
        <v>13439</v>
      </c>
      <c r="S3252" s="18" t="s">
        <v>133</v>
      </c>
      <c r="T3252" s="18" t="s">
        <v>13440</v>
      </c>
      <c r="U3252" s="18"/>
      <c r="V3252" s="19" t="s">
        <v>29</v>
      </c>
      <c r="W3252" s="19"/>
      <c r="X3252" s="19"/>
      <c r="Y3252" s="20"/>
      <c r="Z3252" s="19"/>
      <c r="AA3252" s="18" t="str">
        <f aca="false">IF(OR(V3252="Aprobada"),R3252,IF(AND(OR(V3252="Aprobada con ajuste",V3252="Rechazada"),W3252&lt;&gt;""),W3252,""))</f>
        <v/>
      </c>
    </row>
    <row r="3253" customFormat="false" ht="22.35" hidden="false" customHeight="false" outlineLevel="0" collapsed="false">
      <c r="A3253" s="18" t="s">
        <v>13441</v>
      </c>
      <c r="B3253" s="18" t="s">
        <v>80</v>
      </c>
      <c r="C3253" s="18" t="s">
        <v>81</v>
      </c>
      <c r="D3253" s="18" t="s">
        <v>13437</v>
      </c>
      <c r="E3253" s="18" t="n">
        <v>1</v>
      </c>
      <c r="F3253" s="18" t="s">
        <v>11254</v>
      </c>
      <c r="G3253" s="18" t="s">
        <v>454</v>
      </c>
      <c r="H3253" s="18" t="s">
        <v>162</v>
      </c>
      <c r="I3253" s="18"/>
      <c r="J3253" s="18"/>
      <c r="K3253" s="18"/>
      <c r="L3253" s="18" t="s">
        <v>129</v>
      </c>
      <c r="M3253" s="18" t="s">
        <v>129</v>
      </c>
      <c r="N3253" s="18"/>
      <c r="O3253" s="18"/>
      <c r="P3253" s="18" t="s">
        <v>13442</v>
      </c>
      <c r="Q3253" s="18" t="s">
        <v>138</v>
      </c>
      <c r="R3253" s="18" t="s">
        <v>2017</v>
      </c>
      <c r="S3253" s="18" t="s">
        <v>140</v>
      </c>
      <c r="T3253" s="18" t="s">
        <v>141</v>
      </c>
      <c r="U3253" s="18"/>
      <c r="V3253" s="19" t="s">
        <v>29</v>
      </c>
      <c r="W3253" s="19"/>
      <c r="X3253" s="19"/>
      <c r="Y3253" s="20"/>
      <c r="Z3253" s="19"/>
      <c r="AA3253" s="18" t="str">
        <f aca="false">IF(OR(V3253="Aprobada"),R3253,IF(AND(OR(V3253="Aprobada con ajuste",V3253="Rechazada"),W3253&lt;&gt;""),W3253,""))</f>
        <v/>
      </c>
    </row>
    <row r="3254" customFormat="false" ht="95.5" hidden="false" customHeight="false" outlineLevel="0" collapsed="false">
      <c r="A3254" s="18" t="s">
        <v>13443</v>
      </c>
      <c r="B3254" s="18" t="s">
        <v>80</v>
      </c>
      <c r="C3254" s="18" t="s">
        <v>81</v>
      </c>
      <c r="D3254" s="18" t="s">
        <v>13444</v>
      </c>
      <c r="E3254" s="18" t="n">
        <v>12</v>
      </c>
      <c r="F3254" s="18" t="s">
        <v>275</v>
      </c>
      <c r="G3254" s="18" t="s">
        <v>454</v>
      </c>
      <c r="H3254" s="18" t="s">
        <v>129</v>
      </c>
      <c r="I3254" s="18"/>
      <c r="J3254" s="18"/>
      <c r="K3254" s="18"/>
      <c r="L3254" s="18" t="s">
        <v>162</v>
      </c>
      <c r="M3254" s="18" t="s">
        <v>129</v>
      </c>
      <c r="N3254" s="18"/>
      <c r="O3254" s="18"/>
      <c r="P3254" s="18" t="s">
        <v>13445</v>
      </c>
      <c r="Q3254" s="18" t="s">
        <v>138</v>
      </c>
      <c r="R3254" s="18" t="s">
        <v>13446</v>
      </c>
      <c r="S3254" s="18" t="s">
        <v>140</v>
      </c>
      <c r="T3254" s="18" t="s">
        <v>141</v>
      </c>
      <c r="U3254" s="18"/>
      <c r="V3254" s="19" t="s">
        <v>29</v>
      </c>
      <c r="W3254" s="19"/>
      <c r="X3254" s="19"/>
      <c r="Y3254" s="20"/>
      <c r="Z3254" s="19"/>
      <c r="AA3254" s="18" t="str">
        <f aca="false">IF(OR(V3254="Aprobada"),R3254,IF(AND(OR(V3254="Aprobada con ajuste",V3254="Rechazada"),W3254&lt;&gt;""),W3254,""))</f>
        <v/>
      </c>
    </row>
    <row r="3255" customFormat="false" ht="74.6" hidden="false" customHeight="false" outlineLevel="0" collapsed="false">
      <c r="A3255" s="18" t="s">
        <v>13447</v>
      </c>
      <c r="B3255" s="18" t="s">
        <v>80</v>
      </c>
      <c r="C3255" s="18" t="s">
        <v>81</v>
      </c>
      <c r="D3255" s="18" t="s">
        <v>13444</v>
      </c>
      <c r="E3255" s="18" t="n">
        <v>12</v>
      </c>
      <c r="F3255" s="18" t="s">
        <v>160</v>
      </c>
      <c r="G3255" s="18" t="s">
        <v>128</v>
      </c>
      <c r="H3255" s="18" t="s">
        <v>162</v>
      </c>
      <c r="I3255" s="18"/>
      <c r="J3255" s="18"/>
      <c r="K3255" s="18"/>
      <c r="L3255" s="18" t="s">
        <v>162</v>
      </c>
      <c r="M3255" s="18" t="s">
        <v>129</v>
      </c>
      <c r="N3255" s="18"/>
      <c r="O3255" s="18"/>
      <c r="P3255" s="18" t="s">
        <v>13448</v>
      </c>
      <c r="Q3255" s="18" t="s">
        <v>138</v>
      </c>
      <c r="R3255" s="18" t="s">
        <v>13449</v>
      </c>
      <c r="S3255" s="18" t="s">
        <v>140</v>
      </c>
      <c r="T3255" s="18" t="s">
        <v>141</v>
      </c>
      <c r="U3255" s="18"/>
      <c r="V3255" s="19" t="s">
        <v>29</v>
      </c>
      <c r="W3255" s="19"/>
      <c r="X3255" s="19"/>
      <c r="Y3255" s="20"/>
      <c r="Z3255" s="19"/>
      <c r="AA3255" s="18" t="str">
        <f aca="false">IF(OR(V3255="Aprobada"),R3255,IF(AND(OR(V3255="Aprobada con ajuste",V3255="Rechazada"),W3255&lt;&gt;""),W3255,""))</f>
        <v/>
      </c>
    </row>
    <row r="3256" customFormat="false" ht="64.15" hidden="false" customHeight="false" outlineLevel="0" collapsed="false">
      <c r="A3256" s="18" t="s">
        <v>13450</v>
      </c>
      <c r="B3256" s="18" t="s">
        <v>80</v>
      </c>
      <c r="C3256" s="18" t="s">
        <v>81</v>
      </c>
      <c r="D3256" s="18" t="s">
        <v>13444</v>
      </c>
      <c r="E3256" s="18" t="n">
        <v>12</v>
      </c>
      <c r="F3256" s="18" t="s">
        <v>13451</v>
      </c>
      <c r="G3256" s="18" t="s">
        <v>205</v>
      </c>
      <c r="H3256" s="18" t="s">
        <v>129</v>
      </c>
      <c r="I3256" s="18"/>
      <c r="J3256" s="18"/>
      <c r="K3256" s="18"/>
      <c r="L3256" s="18" t="s">
        <v>162</v>
      </c>
      <c r="M3256" s="18" t="s">
        <v>129</v>
      </c>
      <c r="N3256" s="18"/>
      <c r="O3256" s="18"/>
      <c r="P3256" s="18" t="s">
        <v>13452</v>
      </c>
      <c r="Q3256" s="18" t="s">
        <v>131</v>
      </c>
      <c r="R3256" s="18" t="s">
        <v>13453</v>
      </c>
      <c r="S3256" s="18" t="s">
        <v>133</v>
      </c>
      <c r="T3256" s="18" t="s">
        <v>13454</v>
      </c>
      <c r="U3256" s="18"/>
      <c r="V3256" s="19" t="s">
        <v>29</v>
      </c>
      <c r="W3256" s="19"/>
      <c r="X3256" s="19"/>
      <c r="Y3256" s="20"/>
      <c r="Z3256" s="19"/>
      <c r="AA3256" s="18" t="str">
        <f aca="false">IF(OR(V3256="Aprobada"),R3256,IF(AND(OR(V3256="Aprobada con ajuste",V3256="Rechazada"),W3256&lt;&gt;""),W3256,""))</f>
        <v/>
      </c>
    </row>
    <row r="3257" customFormat="false" ht="64.15" hidden="false" customHeight="false" outlineLevel="0" collapsed="false">
      <c r="A3257" s="18" t="s">
        <v>13455</v>
      </c>
      <c r="B3257" s="18" t="s">
        <v>80</v>
      </c>
      <c r="C3257" s="18" t="s">
        <v>81</v>
      </c>
      <c r="D3257" s="18" t="s">
        <v>13444</v>
      </c>
      <c r="E3257" s="18" t="n">
        <v>12</v>
      </c>
      <c r="F3257" s="18" t="s">
        <v>13456</v>
      </c>
      <c r="G3257" s="18" t="s">
        <v>173</v>
      </c>
      <c r="H3257" s="18" t="s">
        <v>129</v>
      </c>
      <c r="I3257" s="18"/>
      <c r="J3257" s="18"/>
      <c r="K3257" s="18"/>
      <c r="L3257" s="18" t="s">
        <v>162</v>
      </c>
      <c r="M3257" s="18" t="s">
        <v>129</v>
      </c>
      <c r="N3257" s="18"/>
      <c r="O3257" s="18"/>
      <c r="P3257" s="18" t="s">
        <v>13457</v>
      </c>
      <c r="Q3257" s="18" t="s">
        <v>131</v>
      </c>
      <c r="R3257" s="18" t="s">
        <v>13458</v>
      </c>
      <c r="S3257" s="18" t="s">
        <v>133</v>
      </c>
      <c r="T3257" s="18" t="s">
        <v>13459</v>
      </c>
      <c r="U3257" s="18"/>
      <c r="V3257" s="19" t="s">
        <v>29</v>
      </c>
      <c r="W3257" s="19"/>
      <c r="X3257" s="19"/>
      <c r="Y3257" s="20"/>
      <c r="Z3257" s="19"/>
      <c r="AA3257" s="18" t="str">
        <f aca="false">IF(OR(V3257="Aprobada"),R3257,IF(AND(OR(V3257="Aprobada con ajuste",V3257="Rechazada"),W3257&lt;&gt;""),W3257,""))</f>
        <v/>
      </c>
    </row>
    <row r="3258" customFormat="false" ht="32.8" hidden="false" customHeight="false" outlineLevel="0" collapsed="false">
      <c r="A3258" s="18" t="s">
        <v>13460</v>
      </c>
      <c r="B3258" s="18" t="s">
        <v>80</v>
      </c>
      <c r="C3258" s="18" t="s">
        <v>81</v>
      </c>
      <c r="D3258" s="18" t="s">
        <v>13444</v>
      </c>
      <c r="E3258" s="18" t="n">
        <v>12</v>
      </c>
      <c r="F3258" s="18" t="s">
        <v>172</v>
      </c>
      <c r="G3258" s="18" t="s">
        <v>173</v>
      </c>
      <c r="H3258" s="18" t="s">
        <v>129</v>
      </c>
      <c r="I3258" s="18"/>
      <c r="J3258" s="18"/>
      <c r="K3258" s="18"/>
      <c r="L3258" s="18" t="s">
        <v>162</v>
      </c>
      <c r="M3258" s="18" t="s">
        <v>129</v>
      </c>
      <c r="N3258" s="18"/>
      <c r="O3258" s="18"/>
      <c r="P3258" s="18" t="s">
        <v>13461</v>
      </c>
      <c r="Q3258" s="18" t="s">
        <v>138</v>
      </c>
      <c r="R3258" s="18" t="s">
        <v>176</v>
      </c>
      <c r="S3258" s="18" t="s">
        <v>140</v>
      </c>
      <c r="T3258" s="18" t="s">
        <v>141</v>
      </c>
      <c r="U3258" s="18"/>
      <c r="V3258" s="19" t="s">
        <v>29</v>
      </c>
      <c r="W3258" s="19"/>
      <c r="X3258" s="19"/>
      <c r="Y3258" s="20"/>
      <c r="Z3258" s="19"/>
      <c r="AA3258" s="18" t="str">
        <f aca="false">IF(OR(V3258="Aprobada"),R3258,IF(AND(OR(V3258="Aprobada con ajuste",V3258="Rechazada"),W3258&lt;&gt;""),W3258,""))</f>
        <v/>
      </c>
    </row>
    <row r="3259" customFormat="false" ht="32.8" hidden="false" customHeight="false" outlineLevel="0" collapsed="false">
      <c r="A3259" s="18" t="s">
        <v>13462</v>
      </c>
      <c r="B3259" s="18" t="s">
        <v>80</v>
      </c>
      <c r="C3259" s="18" t="s">
        <v>81</v>
      </c>
      <c r="D3259" s="18" t="s">
        <v>13444</v>
      </c>
      <c r="E3259" s="18" t="n">
        <v>12</v>
      </c>
      <c r="F3259" s="18" t="s">
        <v>937</v>
      </c>
      <c r="G3259" s="18" t="s">
        <v>503</v>
      </c>
      <c r="H3259" s="18" t="s">
        <v>129</v>
      </c>
      <c r="I3259" s="18"/>
      <c r="J3259" s="18"/>
      <c r="K3259" s="18"/>
      <c r="L3259" s="18" t="s">
        <v>162</v>
      </c>
      <c r="M3259" s="18" t="s">
        <v>129</v>
      </c>
      <c r="N3259" s="18"/>
      <c r="O3259" s="18"/>
      <c r="P3259" s="18" t="s">
        <v>13463</v>
      </c>
      <c r="Q3259" s="18" t="s">
        <v>138</v>
      </c>
      <c r="R3259" s="18" t="s">
        <v>939</v>
      </c>
      <c r="S3259" s="18" t="s">
        <v>140</v>
      </c>
      <c r="T3259" s="18" t="s">
        <v>141</v>
      </c>
      <c r="U3259" s="18"/>
      <c r="V3259" s="19" t="s">
        <v>29</v>
      </c>
      <c r="W3259" s="19"/>
      <c r="X3259" s="19"/>
      <c r="Y3259" s="20"/>
      <c r="Z3259" s="19"/>
      <c r="AA3259" s="18" t="str">
        <f aca="false">IF(OR(V3259="Aprobada"),R3259,IF(AND(OR(V3259="Aprobada con ajuste",V3259="Rechazada"),W3259&lt;&gt;""),W3259,""))</f>
        <v/>
      </c>
    </row>
    <row r="3260" customFormat="false" ht="85.05" hidden="false" customHeight="false" outlineLevel="0" collapsed="false">
      <c r="A3260" s="18" t="s">
        <v>13464</v>
      </c>
      <c r="B3260" s="18" t="s">
        <v>80</v>
      </c>
      <c r="C3260" s="18" t="s">
        <v>81</v>
      </c>
      <c r="D3260" s="18" t="s">
        <v>13465</v>
      </c>
      <c r="E3260" s="18" t="n">
        <v>7</v>
      </c>
      <c r="F3260" s="18" t="s">
        <v>275</v>
      </c>
      <c r="G3260" s="18" t="s">
        <v>454</v>
      </c>
      <c r="H3260" s="18" t="s">
        <v>129</v>
      </c>
      <c r="I3260" s="18"/>
      <c r="J3260" s="18"/>
      <c r="K3260" s="18"/>
      <c r="L3260" s="18" t="s">
        <v>162</v>
      </c>
      <c r="M3260" s="18" t="s">
        <v>129</v>
      </c>
      <c r="N3260" s="18"/>
      <c r="O3260" s="18"/>
      <c r="P3260" s="18" t="s">
        <v>13466</v>
      </c>
      <c r="Q3260" s="18" t="s">
        <v>138</v>
      </c>
      <c r="R3260" s="18" t="s">
        <v>13467</v>
      </c>
      <c r="S3260" s="18" t="s">
        <v>140</v>
      </c>
      <c r="T3260" s="18" t="s">
        <v>141</v>
      </c>
      <c r="U3260" s="18"/>
      <c r="V3260" s="19" t="s">
        <v>29</v>
      </c>
      <c r="W3260" s="19"/>
      <c r="X3260" s="19"/>
      <c r="Y3260" s="20"/>
      <c r="Z3260" s="19"/>
      <c r="AA3260" s="18" t="str">
        <f aca="false">IF(OR(V3260="Aprobada"),R3260,IF(AND(OR(V3260="Aprobada con ajuste",V3260="Rechazada"),W3260&lt;&gt;""),W3260,""))</f>
        <v/>
      </c>
    </row>
    <row r="3261" customFormat="false" ht="64.15" hidden="false" customHeight="false" outlineLevel="0" collapsed="false">
      <c r="A3261" s="18" t="s">
        <v>13468</v>
      </c>
      <c r="B3261" s="18" t="s">
        <v>80</v>
      </c>
      <c r="C3261" s="18" t="s">
        <v>81</v>
      </c>
      <c r="D3261" s="18" t="s">
        <v>13465</v>
      </c>
      <c r="E3261" s="18" t="n">
        <v>7</v>
      </c>
      <c r="F3261" s="18" t="s">
        <v>160</v>
      </c>
      <c r="G3261" s="18" t="s">
        <v>128</v>
      </c>
      <c r="H3261" s="18" t="s">
        <v>162</v>
      </c>
      <c r="I3261" s="18"/>
      <c r="J3261" s="18"/>
      <c r="K3261" s="18"/>
      <c r="L3261" s="18" t="s">
        <v>162</v>
      </c>
      <c r="M3261" s="18" t="s">
        <v>129</v>
      </c>
      <c r="N3261" s="18"/>
      <c r="O3261" s="18"/>
      <c r="P3261" s="18" t="s">
        <v>13469</v>
      </c>
      <c r="Q3261" s="18" t="s">
        <v>138</v>
      </c>
      <c r="R3261" s="18" t="s">
        <v>13470</v>
      </c>
      <c r="S3261" s="18" t="s">
        <v>140</v>
      </c>
      <c r="T3261" s="18" t="s">
        <v>141</v>
      </c>
      <c r="U3261" s="18"/>
      <c r="V3261" s="19" t="s">
        <v>29</v>
      </c>
      <c r="W3261" s="19"/>
      <c r="X3261" s="19"/>
      <c r="Y3261" s="20"/>
      <c r="Z3261" s="19"/>
      <c r="AA3261" s="18" t="str">
        <f aca="false">IF(OR(V3261="Aprobada"),R3261,IF(AND(OR(V3261="Aprobada con ajuste",V3261="Rechazada"),W3261&lt;&gt;""),W3261,""))</f>
        <v/>
      </c>
    </row>
    <row r="3262" customFormat="false" ht="22.35" hidden="false" customHeight="false" outlineLevel="0" collapsed="false">
      <c r="A3262" s="18" t="s">
        <v>13471</v>
      </c>
      <c r="B3262" s="18" t="s">
        <v>80</v>
      </c>
      <c r="C3262" s="18" t="s">
        <v>81</v>
      </c>
      <c r="D3262" s="18" t="s">
        <v>13465</v>
      </c>
      <c r="E3262" s="18" t="n">
        <v>7</v>
      </c>
      <c r="F3262" s="18" t="s">
        <v>172</v>
      </c>
      <c r="G3262" s="18" t="s">
        <v>173</v>
      </c>
      <c r="H3262" s="18" t="s">
        <v>129</v>
      </c>
      <c r="I3262" s="18"/>
      <c r="J3262" s="18"/>
      <c r="K3262" s="18"/>
      <c r="L3262" s="18" t="s">
        <v>162</v>
      </c>
      <c r="M3262" s="18" t="s">
        <v>129</v>
      </c>
      <c r="N3262" s="18"/>
      <c r="O3262" s="18"/>
      <c r="P3262" s="18" t="s">
        <v>13472</v>
      </c>
      <c r="Q3262" s="18" t="s">
        <v>138</v>
      </c>
      <c r="R3262" s="18" t="s">
        <v>176</v>
      </c>
      <c r="S3262" s="18" t="s">
        <v>140</v>
      </c>
      <c r="T3262" s="18" t="s">
        <v>141</v>
      </c>
      <c r="U3262" s="18"/>
      <c r="V3262" s="19" t="s">
        <v>29</v>
      </c>
      <c r="W3262" s="19"/>
      <c r="X3262" s="19"/>
      <c r="Y3262" s="20"/>
      <c r="Z3262" s="19"/>
      <c r="AA3262" s="18" t="str">
        <f aca="false">IF(OR(V3262="Aprobada"),R3262,IF(AND(OR(V3262="Aprobada con ajuste",V3262="Rechazada"),W3262&lt;&gt;""),W3262,""))</f>
        <v/>
      </c>
    </row>
    <row r="3263" customFormat="false" ht="22.35" hidden="false" customHeight="false" outlineLevel="0" collapsed="false">
      <c r="A3263" s="18" t="s">
        <v>13473</v>
      </c>
      <c r="B3263" s="18" t="s">
        <v>80</v>
      </c>
      <c r="C3263" s="18" t="s">
        <v>81</v>
      </c>
      <c r="D3263" s="18" t="s">
        <v>13465</v>
      </c>
      <c r="E3263" s="18" t="n">
        <v>7</v>
      </c>
      <c r="F3263" s="18" t="s">
        <v>937</v>
      </c>
      <c r="G3263" s="18" t="s">
        <v>503</v>
      </c>
      <c r="H3263" s="18" t="s">
        <v>129</v>
      </c>
      <c r="I3263" s="18"/>
      <c r="J3263" s="18"/>
      <c r="K3263" s="18"/>
      <c r="L3263" s="18" t="s">
        <v>162</v>
      </c>
      <c r="M3263" s="18" t="s">
        <v>129</v>
      </c>
      <c r="N3263" s="18"/>
      <c r="O3263" s="18"/>
      <c r="P3263" s="18" t="s">
        <v>13474</v>
      </c>
      <c r="Q3263" s="18" t="s">
        <v>138</v>
      </c>
      <c r="R3263" s="18" t="s">
        <v>939</v>
      </c>
      <c r="S3263" s="18" t="s">
        <v>140</v>
      </c>
      <c r="T3263" s="18" t="s">
        <v>141</v>
      </c>
      <c r="U3263" s="18"/>
      <c r="V3263" s="19" t="s">
        <v>29</v>
      </c>
      <c r="W3263" s="19"/>
      <c r="X3263" s="19"/>
      <c r="Y3263" s="20"/>
      <c r="Z3263" s="19"/>
      <c r="AA3263" s="18" t="str">
        <f aca="false">IF(OR(V3263="Aprobada"),R3263,IF(AND(OR(V3263="Aprobada con ajuste",V3263="Rechazada"),W3263&lt;&gt;""),W3263,""))</f>
        <v/>
      </c>
    </row>
    <row r="3264" customFormat="false" ht="22.35" hidden="false" customHeight="false" outlineLevel="0" collapsed="false">
      <c r="A3264" s="18" t="s">
        <v>13475</v>
      </c>
      <c r="B3264" s="18" t="s">
        <v>80</v>
      </c>
      <c r="C3264" s="18" t="s">
        <v>81</v>
      </c>
      <c r="D3264" s="18" t="s">
        <v>13476</v>
      </c>
      <c r="E3264" s="18" t="n">
        <v>1</v>
      </c>
      <c r="F3264" s="18" t="s">
        <v>13477</v>
      </c>
      <c r="G3264" s="18" t="s">
        <v>5738</v>
      </c>
      <c r="H3264" s="18" t="s">
        <v>129</v>
      </c>
      <c r="I3264" s="18" t="s">
        <v>298</v>
      </c>
      <c r="J3264" s="18"/>
      <c r="K3264" s="18"/>
      <c r="L3264" s="18" t="s">
        <v>162</v>
      </c>
      <c r="M3264" s="18" t="s">
        <v>129</v>
      </c>
      <c r="N3264" s="18"/>
      <c r="O3264" s="18"/>
      <c r="P3264" s="18" t="s">
        <v>13478</v>
      </c>
      <c r="Q3264" s="18" t="s">
        <v>149</v>
      </c>
      <c r="R3264" s="18" t="s">
        <v>13479</v>
      </c>
      <c r="S3264" s="18" t="s">
        <v>133</v>
      </c>
      <c r="T3264" s="18" t="s">
        <v>13480</v>
      </c>
      <c r="U3264" s="18"/>
      <c r="V3264" s="19" t="s">
        <v>29</v>
      </c>
      <c r="W3264" s="19"/>
      <c r="X3264" s="19"/>
      <c r="Y3264" s="20"/>
      <c r="Z3264" s="19"/>
      <c r="AA3264" s="18" t="str">
        <f aca="false">IF(OR(V3264="Aprobada"),R3264,IF(AND(OR(V3264="Aprobada con ajuste",V3264="Rechazada"),W3264&lt;&gt;""),W3264,""))</f>
        <v/>
      </c>
    </row>
    <row r="3265" customFormat="false" ht="32.8" hidden="false" customHeight="false" outlineLevel="0" collapsed="false">
      <c r="A3265" s="18" t="s">
        <v>13481</v>
      </c>
      <c r="B3265" s="18" t="s">
        <v>80</v>
      </c>
      <c r="C3265" s="18" t="s">
        <v>81</v>
      </c>
      <c r="D3265" s="18" t="s">
        <v>13476</v>
      </c>
      <c r="E3265" s="18" t="n">
        <v>1</v>
      </c>
      <c r="F3265" s="18" t="s">
        <v>5215</v>
      </c>
      <c r="G3265" s="18" t="s">
        <v>128</v>
      </c>
      <c r="H3265" s="18" t="s">
        <v>162</v>
      </c>
      <c r="I3265" s="18"/>
      <c r="J3265" s="18"/>
      <c r="K3265" s="18"/>
      <c r="L3265" s="18" t="s">
        <v>162</v>
      </c>
      <c r="M3265" s="18" t="s">
        <v>129</v>
      </c>
      <c r="N3265" s="18"/>
      <c r="O3265" s="18"/>
      <c r="P3265" s="18" t="s">
        <v>13482</v>
      </c>
      <c r="Q3265" s="18" t="s">
        <v>149</v>
      </c>
      <c r="R3265" s="18" t="s">
        <v>13483</v>
      </c>
      <c r="S3265" s="18" t="s">
        <v>140</v>
      </c>
      <c r="T3265" s="18" t="s">
        <v>13484</v>
      </c>
      <c r="U3265" s="18" t="s">
        <v>13485</v>
      </c>
      <c r="V3265" s="19" t="s">
        <v>29</v>
      </c>
      <c r="W3265" s="19"/>
      <c r="X3265" s="19"/>
      <c r="Y3265" s="20"/>
      <c r="Z3265" s="19"/>
      <c r="AA3265" s="18" t="str">
        <f aca="false">IF(OR(V3265="Aprobada"),R3265,IF(AND(OR(V3265="Aprobada con ajuste",V3265="Rechazada"),W3265&lt;&gt;""),W3265,""))</f>
        <v/>
      </c>
    </row>
    <row r="3266" customFormat="false" ht="64.15" hidden="false" customHeight="false" outlineLevel="0" collapsed="false">
      <c r="A3266" s="18" t="s">
        <v>13486</v>
      </c>
      <c r="B3266" s="18" t="s">
        <v>80</v>
      </c>
      <c r="C3266" s="18" t="s">
        <v>81</v>
      </c>
      <c r="D3266" s="18" t="s">
        <v>13476</v>
      </c>
      <c r="E3266" s="18" t="n">
        <v>1</v>
      </c>
      <c r="F3266" s="18" t="s">
        <v>11507</v>
      </c>
      <c r="G3266" s="18" t="s">
        <v>173</v>
      </c>
      <c r="H3266" s="18" t="s">
        <v>129</v>
      </c>
      <c r="I3266" s="18"/>
      <c r="J3266" s="18"/>
      <c r="K3266" s="18"/>
      <c r="L3266" s="18" t="s">
        <v>162</v>
      </c>
      <c r="M3266" s="18" t="s">
        <v>129</v>
      </c>
      <c r="N3266" s="18"/>
      <c r="O3266" s="18"/>
      <c r="P3266" s="18" t="s">
        <v>13487</v>
      </c>
      <c r="Q3266" s="18" t="s">
        <v>131</v>
      </c>
      <c r="R3266" s="18" t="s">
        <v>13488</v>
      </c>
      <c r="S3266" s="18" t="s">
        <v>133</v>
      </c>
      <c r="T3266" s="18" t="s">
        <v>13489</v>
      </c>
      <c r="U3266" s="18"/>
      <c r="V3266" s="19" t="s">
        <v>29</v>
      </c>
      <c r="W3266" s="19"/>
      <c r="X3266" s="19"/>
      <c r="Y3266" s="20"/>
      <c r="Z3266" s="19"/>
      <c r="AA3266" s="18" t="str">
        <f aca="false">IF(OR(V3266="Aprobada"),R3266,IF(AND(OR(V3266="Aprobada con ajuste",V3266="Rechazada"),W3266&lt;&gt;""),W3266,""))</f>
        <v/>
      </c>
    </row>
    <row r="3267" customFormat="false" ht="22.35" hidden="false" customHeight="false" outlineLevel="0" collapsed="false">
      <c r="A3267" s="18" t="s">
        <v>13490</v>
      </c>
      <c r="B3267" s="18" t="s">
        <v>80</v>
      </c>
      <c r="C3267" s="18" t="s">
        <v>81</v>
      </c>
      <c r="D3267" s="18" t="s">
        <v>13476</v>
      </c>
      <c r="E3267" s="18" t="n">
        <v>1</v>
      </c>
      <c r="F3267" s="18" t="s">
        <v>12854</v>
      </c>
      <c r="G3267" s="18" t="s">
        <v>584</v>
      </c>
      <c r="H3267" s="18" t="s">
        <v>129</v>
      </c>
      <c r="I3267" s="18"/>
      <c r="J3267" s="18"/>
      <c r="K3267" s="18"/>
      <c r="L3267" s="18" t="s">
        <v>162</v>
      </c>
      <c r="M3267" s="18" t="s">
        <v>129</v>
      </c>
      <c r="N3267" s="18"/>
      <c r="O3267" s="18"/>
      <c r="P3267" s="18" t="s">
        <v>13491</v>
      </c>
      <c r="Q3267" s="18" t="s">
        <v>138</v>
      </c>
      <c r="R3267" s="18" t="s">
        <v>2029</v>
      </c>
      <c r="S3267" s="18" t="s">
        <v>140</v>
      </c>
      <c r="T3267" s="18" t="s">
        <v>141</v>
      </c>
      <c r="U3267" s="18"/>
      <c r="V3267" s="19" t="s">
        <v>29</v>
      </c>
      <c r="W3267" s="19"/>
      <c r="X3267" s="19"/>
      <c r="Y3267" s="20"/>
      <c r="Z3267" s="19"/>
      <c r="AA3267" s="18" t="str">
        <f aca="false">IF(OR(V3267="Aprobada"),R3267,IF(AND(OR(V3267="Aprobada con ajuste",V3267="Rechazada"),W3267&lt;&gt;""),W3267,""))</f>
        <v/>
      </c>
    </row>
    <row r="3268" customFormat="false" ht="22.35" hidden="false" customHeight="false" outlineLevel="0" collapsed="false">
      <c r="A3268" s="18" t="s">
        <v>13492</v>
      </c>
      <c r="B3268" s="18" t="s">
        <v>80</v>
      </c>
      <c r="C3268" s="18" t="s">
        <v>81</v>
      </c>
      <c r="D3268" s="18" t="s">
        <v>13493</v>
      </c>
      <c r="E3268" s="18" t="n">
        <v>236</v>
      </c>
      <c r="F3268" s="18" t="s">
        <v>8495</v>
      </c>
      <c r="G3268" s="18" t="s">
        <v>282</v>
      </c>
      <c r="H3268" s="18" t="s">
        <v>129</v>
      </c>
      <c r="I3268" s="18"/>
      <c r="J3268" s="18"/>
      <c r="K3268" s="18"/>
      <c r="L3268" s="18" t="s">
        <v>129</v>
      </c>
      <c r="M3268" s="18" t="s">
        <v>129</v>
      </c>
      <c r="N3268" s="18"/>
      <c r="O3268" s="18"/>
      <c r="P3268" s="18" t="s">
        <v>13494</v>
      </c>
      <c r="Q3268" s="18" t="s">
        <v>149</v>
      </c>
      <c r="R3268" s="18" t="s">
        <v>13495</v>
      </c>
      <c r="S3268" s="18" t="s">
        <v>140</v>
      </c>
      <c r="T3268" s="18" t="s">
        <v>13496</v>
      </c>
      <c r="U3268" s="18" t="s">
        <v>13497</v>
      </c>
      <c r="V3268" s="19" t="s">
        <v>29</v>
      </c>
      <c r="W3268" s="19"/>
      <c r="X3268" s="19"/>
      <c r="Y3268" s="20"/>
      <c r="Z3268" s="19"/>
      <c r="AA3268" s="18" t="str">
        <f aca="false">IF(OR(V3268="Aprobada"),R3268,IF(AND(OR(V3268="Aprobada con ajuste",V3268="Rechazada"),W3268&lt;&gt;""),W3268,""))</f>
        <v/>
      </c>
    </row>
    <row r="3269" customFormat="false" ht="22.35" hidden="false" customHeight="false" outlineLevel="0" collapsed="false">
      <c r="A3269" s="18" t="s">
        <v>13498</v>
      </c>
      <c r="B3269" s="18" t="s">
        <v>80</v>
      </c>
      <c r="C3269" s="18" t="s">
        <v>81</v>
      </c>
      <c r="D3269" s="18" t="s">
        <v>13493</v>
      </c>
      <c r="E3269" s="18" t="n">
        <v>236</v>
      </c>
      <c r="F3269" s="18" t="s">
        <v>1759</v>
      </c>
      <c r="G3269" s="18" t="s">
        <v>312</v>
      </c>
      <c r="H3269" s="18" t="s">
        <v>162</v>
      </c>
      <c r="I3269" s="18"/>
      <c r="J3269" s="18"/>
      <c r="K3269" s="18"/>
      <c r="L3269" s="18" t="s">
        <v>129</v>
      </c>
      <c r="M3269" s="18" t="s">
        <v>129</v>
      </c>
      <c r="N3269" s="18"/>
      <c r="O3269" s="18"/>
      <c r="P3269" s="18" t="s">
        <v>13499</v>
      </c>
      <c r="Q3269" s="18" t="s">
        <v>149</v>
      </c>
      <c r="R3269" s="18" t="s">
        <v>1760</v>
      </c>
      <c r="S3269" s="18" t="s">
        <v>133</v>
      </c>
      <c r="T3269" s="18" t="s">
        <v>13500</v>
      </c>
      <c r="U3269" s="18"/>
      <c r="V3269" s="19" t="s">
        <v>29</v>
      </c>
      <c r="W3269" s="19"/>
      <c r="X3269" s="19"/>
      <c r="Y3269" s="20"/>
      <c r="Z3269" s="19"/>
      <c r="AA3269" s="18" t="str">
        <f aca="false">IF(OR(V3269="Aprobada"),R3269,IF(AND(OR(V3269="Aprobada con ajuste",V3269="Rechazada"),W3269&lt;&gt;""),W3269,""))</f>
        <v/>
      </c>
    </row>
    <row r="3270" customFormat="false" ht="32.8" hidden="false" customHeight="false" outlineLevel="0" collapsed="false">
      <c r="A3270" s="18" t="s">
        <v>13501</v>
      </c>
      <c r="B3270" s="18" t="s">
        <v>80</v>
      </c>
      <c r="C3270" s="18" t="s">
        <v>81</v>
      </c>
      <c r="D3270" s="18" t="s">
        <v>13493</v>
      </c>
      <c r="E3270" s="18" t="n">
        <v>236</v>
      </c>
      <c r="F3270" s="18" t="s">
        <v>1744</v>
      </c>
      <c r="G3270" s="18" t="s">
        <v>2900</v>
      </c>
      <c r="H3270" s="18" t="s">
        <v>129</v>
      </c>
      <c r="I3270" s="18"/>
      <c r="J3270" s="18"/>
      <c r="K3270" s="18"/>
      <c r="L3270" s="18" t="s">
        <v>129</v>
      </c>
      <c r="M3270" s="18" t="s">
        <v>129</v>
      </c>
      <c r="N3270" s="18"/>
      <c r="O3270" s="18"/>
      <c r="P3270" s="18" t="s">
        <v>13502</v>
      </c>
      <c r="Q3270" s="18" t="s">
        <v>149</v>
      </c>
      <c r="R3270" s="18" t="s">
        <v>13503</v>
      </c>
      <c r="S3270" s="18" t="s">
        <v>140</v>
      </c>
      <c r="T3270" s="18" t="s">
        <v>13504</v>
      </c>
      <c r="U3270" s="18" t="s">
        <v>13505</v>
      </c>
      <c r="V3270" s="19" t="s">
        <v>29</v>
      </c>
      <c r="W3270" s="19"/>
      <c r="X3270" s="19"/>
      <c r="Y3270" s="20"/>
      <c r="Z3270" s="19"/>
      <c r="AA3270" s="18" t="str">
        <f aca="false">IF(OR(V3270="Aprobada"),R3270,IF(AND(OR(V3270="Aprobada con ajuste",V3270="Rechazada"),W3270&lt;&gt;""),W3270,""))</f>
        <v/>
      </c>
    </row>
    <row r="3271" customFormat="false" ht="22.35" hidden="false" customHeight="false" outlineLevel="0" collapsed="false">
      <c r="A3271" s="18" t="s">
        <v>13506</v>
      </c>
      <c r="B3271" s="18" t="s">
        <v>80</v>
      </c>
      <c r="C3271" s="18" t="s">
        <v>81</v>
      </c>
      <c r="D3271" s="18" t="s">
        <v>13493</v>
      </c>
      <c r="E3271" s="18" t="n">
        <v>236</v>
      </c>
      <c r="F3271" s="18" t="s">
        <v>4666</v>
      </c>
      <c r="G3271" s="18" t="s">
        <v>192</v>
      </c>
      <c r="H3271" s="18" t="s">
        <v>162</v>
      </c>
      <c r="I3271" s="18"/>
      <c r="J3271" s="18"/>
      <c r="K3271" s="18"/>
      <c r="L3271" s="18" t="s">
        <v>129</v>
      </c>
      <c r="M3271" s="18" t="s">
        <v>129</v>
      </c>
      <c r="N3271" s="18"/>
      <c r="O3271" s="18"/>
      <c r="P3271" s="18" t="s">
        <v>13507</v>
      </c>
      <c r="Q3271" s="18" t="s">
        <v>149</v>
      </c>
      <c r="R3271" s="18" t="s">
        <v>13508</v>
      </c>
      <c r="S3271" s="18" t="s">
        <v>140</v>
      </c>
      <c r="T3271" s="18" t="s">
        <v>13509</v>
      </c>
      <c r="U3271" s="18" t="s">
        <v>13510</v>
      </c>
      <c r="V3271" s="19" t="s">
        <v>29</v>
      </c>
      <c r="W3271" s="19"/>
      <c r="X3271" s="19"/>
      <c r="Y3271" s="20"/>
      <c r="Z3271" s="19"/>
      <c r="AA3271" s="18" t="str">
        <f aca="false">IF(OR(V3271="Aprobada"),R3271,IF(AND(OR(V3271="Aprobada con ajuste",V3271="Rechazada"),W3271&lt;&gt;""),W3271,""))</f>
        <v/>
      </c>
    </row>
    <row r="3272" customFormat="false" ht="32.8" hidden="false" customHeight="false" outlineLevel="0" collapsed="false">
      <c r="A3272" s="18" t="s">
        <v>13511</v>
      </c>
      <c r="B3272" s="18" t="s">
        <v>80</v>
      </c>
      <c r="C3272" s="18" t="s">
        <v>81</v>
      </c>
      <c r="D3272" s="18" t="s">
        <v>13493</v>
      </c>
      <c r="E3272" s="18" t="n">
        <v>236</v>
      </c>
      <c r="F3272" s="18" t="s">
        <v>1734</v>
      </c>
      <c r="G3272" s="18" t="s">
        <v>931</v>
      </c>
      <c r="H3272" s="18" t="s">
        <v>162</v>
      </c>
      <c r="I3272" s="18"/>
      <c r="J3272" s="18"/>
      <c r="K3272" s="18"/>
      <c r="L3272" s="18" t="s">
        <v>129</v>
      </c>
      <c r="M3272" s="18" t="s">
        <v>129</v>
      </c>
      <c r="N3272" s="18"/>
      <c r="O3272" s="18"/>
      <c r="P3272" s="18" t="s">
        <v>13512</v>
      </c>
      <c r="Q3272" s="18" t="s">
        <v>149</v>
      </c>
      <c r="R3272" s="18" t="s">
        <v>13513</v>
      </c>
      <c r="S3272" s="18" t="s">
        <v>140</v>
      </c>
      <c r="T3272" s="18" t="s">
        <v>13514</v>
      </c>
      <c r="U3272" s="18" t="s">
        <v>13263</v>
      </c>
      <c r="V3272" s="19" t="s">
        <v>29</v>
      </c>
      <c r="W3272" s="19"/>
      <c r="X3272" s="19"/>
      <c r="Y3272" s="20"/>
      <c r="Z3272" s="19"/>
      <c r="AA3272" s="18" t="str">
        <f aca="false">IF(OR(V3272="Aprobada"),R3272,IF(AND(OR(V3272="Aprobada con ajuste",V3272="Rechazada"),W3272&lt;&gt;""),W3272,""))</f>
        <v/>
      </c>
    </row>
    <row r="3273" customFormat="false" ht="22.35" hidden="false" customHeight="false" outlineLevel="0" collapsed="false">
      <c r="A3273" s="18" t="s">
        <v>13515</v>
      </c>
      <c r="B3273" s="18" t="s">
        <v>80</v>
      </c>
      <c r="C3273" s="18" t="s">
        <v>81</v>
      </c>
      <c r="D3273" s="18" t="s">
        <v>13493</v>
      </c>
      <c r="E3273" s="18" t="n">
        <v>236</v>
      </c>
      <c r="F3273" s="18" t="s">
        <v>1738</v>
      </c>
      <c r="G3273" s="18" t="s">
        <v>454</v>
      </c>
      <c r="H3273" s="18" t="s">
        <v>162</v>
      </c>
      <c r="I3273" s="18"/>
      <c r="J3273" s="18"/>
      <c r="K3273" s="18"/>
      <c r="L3273" s="18" t="s">
        <v>129</v>
      </c>
      <c r="M3273" s="18" t="s">
        <v>129</v>
      </c>
      <c r="N3273" s="18"/>
      <c r="O3273" s="18"/>
      <c r="P3273" s="18" t="s">
        <v>13516</v>
      </c>
      <c r="Q3273" s="18" t="s">
        <v>149</v>
      </c>
      <c r="R3273" s="18" t="s">
        <v>13517</v>
      </c>
      <c r="S3273" s="18" t="s">
        <v>133</v>
      </c>
      <c r="T3273" s="18" t="s">
        <v>13518</v>
      </c>
      <c r="U3273" s="18"/>
      <c r="V3273" s="19" t="s">
        <v>29</v>
      </c>
      <c r="W3273" s="19"/>
      <c r="X3273" s="19"/>
      <c r="Y3273" s="20"/>
      <c r="Z3273" s="19"/>
      <c r="AA3273" s="18" t="str">
        <f aca="false">IF(OR(V3273="Aprobada"),R3273,IF(AND(OR(V3273="Aprobada con ajuste",V3273="Rechazada"),W3273&lt;&gt;""),W3273,""))</f>
        <v/>
      </c>
    </row>
    <row r="3274" customFormat="false" ht="105.95" hidden="false" customHeight="false" outlineLevel="0" collapsed="false">
      <c r="A3274" s="18" t="s">
        <v>13519</v>
      </c>
      <c r="B3274" s="18" t="s">
        <v>80</v>
      </c>
      <c r="C3274" s="18" t="s">
        <v>81</v>
      </c>
      <c r="D3274" s="18" t="s">
        <v>13520</v>
      </c>
      <c r="E3274" s="18" t="n">
        <v>1</v>
      </c>
      <c r="F3274" s="18" t="s">
        <v>1922</v>
      </c>
      <c r="G3274" s="18" t="s">
        <v>11382</v>
      </c>
      <c r="H3274" s="18" t="s">
        <v>129</v>
      </c>
      <c r="I3274" s="18" t="s">
        <v>298</v>
      </c>
      <c r="J3274" s="18"/>
      <c r="K3274" s="18"/>
      <c r="L3274" s="18" t="s">
        <v>129</v>
      </c>
      <c r="M3274" s="18" t="s">
        <v>129</v>
      </c>
      <c r="N3274" s="18"/>
      <c r="O3274" s="18"/>
      <c r="P3274" s="18" t="s">
        <v>13521</v>
      </c>
      <c r="Q3274" s="18" t="s">
        <v>131</v>
      </c>
      <c r="R3274" s="18" t="s">
        <v>13522</v>
      </c>
      <c r="S3274" s="18" t="s">
        <v>133</v>
      </c>
      <c r="T3274" s="18" t="s">
        <v>13523</v>
      </c>
      <c r="U3274" s="18" t="s">
        <v>13524</v>
      </c>
      <c r="V3274" s="19" t="s">
        <v>29</v>
      </c>
      <c r="W3274" s="19"/>
      <c r="X3274" s="19"/>
      <c r="Y3274" s="20"/>
      <c r="Z3274" s="19"/>
      <c r="AA3274" s="18" t="str">
        <f aca="false">IF(OR(V3274="Aprobada"),R3274,IF(AND(OR(V3274="Aprobada con ajuste",V3274="Rechazada"),W3274&lt;&gt;""),W3274,""))</f>
        <v/>
      </c>
    </row>
    <row r="3275" customFormat="false" ht="53.7" hidden="false" customHeight="false" outlineLevel="0" collapsed="false">
      <c r="A3275" s="18" t="s">
        <v>13525</v>
      </c>
      <c r="B3275" s="18" t="s">
        <v>80</v>
      </c>
      <c r="C3275" s="18" t="s">
        <v>81</v>
      </c>
      <c r="D3275" s="18" t="s">
        <v>13520</v>
      </c>
      <c r="E3275" s="18" t="n">
        <v>1</v>
      </c>
      <c r="F3275" s="18" t="s">
        <v>12731</v>
      </c>
      <c r="G3275" s="18" t="s">
        <v>828</v>
      </c>
      <c r="H3275" s="18" t="s">
        <v>129</v>
      </c>
      <c r="I3275" s="18" t="s">
        <v>298</v>
      </c>
      <c r="J3275" s="18" t="s">
        <v>12732</v>
      </c>
      <c r="K3275" s="18"/>
      <c r="L3275" s="18" t="s">
        <v>162</v>
      </c>
      <c r="M3275" s="18" t="s">
        <v>129</v>
      </c>
      <c r="N3275" s="18"/>
      <c r="O3275" s="18"/>
      <c r="P3275" s="18" t="s">
        <v>13526</v>
      </c>
      <c r="Q3275" s="18" t="s">
        <v>131</v>
      </c>
      <c r="R3275" s="18" t="s">
        <v>13527</v>
      </c>
      <c r="S3275" s="18" t="s">
        <v>133</v>
      </c>
      <c r="T3275" s="18" t="s">
        <v>13528</v>
      </c>
      <c r="U3275" s="18"/>
      <c r="V3275" s="19" t="s">
        <v>29</v>
      </c>
      <c r="W3275" s="19"/>
      <c r="X3275" s="19"/>
      <c r="Y3275" s="20"/>
      <c r="Z3275" s="19"/>
      <c r="AA3275" s="18" t="str">
        <f aca="false">IF(OR(V3275="Aprobada"),R3275,IF(AND(OR(V3275="Aprobada con ajuste",V3275="Rechazada"),W3275&lt;&gt;""),W3275,""))</f>
        <v/>
      </c>
    </row>
    <row r="3276" customFormat="false" ht="64.15" hidden="false" customHeight="false" outlineLevel="0" collapsed="false">
      <c r="A3276" s="18" t="s">
        <v>13529</v>
      </c>
      <c r="B3276" s="18" t="s">
        <v>80</v>
      </c>
      <c r="C3276" s="18" t="s">
        <v>81</v>
      </c>
      <c r="D3276" s="18" t="s">
        <v>13520</v>
      </c>
      <c r="E3276" s="18" t="n">
        <v>1</v>
      </c>
      <c r="F3276" s="18" t="s">
        <v>5215</v>
      </c>
      <c r="G3276" s="18" t="s">
        <v>128</v>
      </c>
      <c r="H3276" s="18" t="s">
        <v>162</v>
      </c>
      <c r="I3276" s="18"/>
      <c r="J3276" s="18"/>
      <c r="K3276" s="18"/>
      <c r="L3276" s="18" t="s">
        <v>129</v>
      </c>
      <c r="M3276" s="18" t="s">
        <v>129</v>
      </c>
      <c r="N3276" s="18"/>
      <c r="O3276" s="18"/>
      <c r="P3276" s="18" t="s">
        <v>13530</v>
      </c>
      <c r="Q3276" s="18" t="s">
        <v>131</v>
      </c>
      <c r="R3276" s="18" t="s">
        <v>13531</v>
      </c>
      <c r="S3276" s="18" t="s">
        <v>133</v>
      </c>
      <c r="T3276" s="18" t="s">
        <v>13532</v>
      </c>
      <c r="U3276" s="18"/>
      <c r="V3276" s="19" t="s">
        <v>29</v>
      </c>
      <c r="W3276" s="19"/>
      <c r="X3276" s="19"/>
      <c r="Y3276" s="20"/>
      <c r="Z3276" s="19"/>
      <c r="AA3276" s="18" t="str">
        <f aca="false">IF(OR(V3276="Aprobada"),R3276,IF(AND(OR(V3276="Aprobada con ajuste",V3276="Rechazada"),W3276&lt;&gt;""),W3276,""))</f>
        <v/>
      </c>
    </row>
    <row r="3277" customFormat="false" ht="32.8" hidden="false" customHeight="false" outlineLevel="0" collapsed="false">
      <c r="A3277" s="18" t="s">
        <v>13533</v>
      </c>
      <c r="B3277" s="18" t="s">
        <v>80</v>
      </c>
      <c r="C3277" s="18" t="s">
        <v>81</v>
      </c>
      <c r="D3277" s="18" t="s">
        <v>13520</v>
      </c>
      <c r="E3277" s="18" t="n">
        <v>1</v>
      </c>
      <c r="F3277" s="18" t="s">
        <v>11507</v>
      </c>
      <c r="G3277" s="18" t="s">
        <v>173</v>
      </c>
      <c r="H3277" s="18" t="s">
        <v>129</v>
      </c>
      <c r="I3277" s="18"/>
      <c r="J3277" s="18"/>
      <c r="K3277" s="18"/>
      <c r="L3277" s="18" t="s">
        <v>129</v>
      </c>
      <c r="M3277" s="18" t="s">
        <v>129</v>
      </c>
      <c r="N3277" s="18"/>
      <c r="O3277" s="18"/>
      <c r="P3277" s="18" t="s">
        <v>13534</v>
      </c>
      <c r="Q3277" s="18" t="s">
        <v>131</v>
      </c>
      <c r="R3277" s="18" t="s">
        <v>13535</v>
      </c>
      <c r="S3277" s="18" t="s">
        <v>133</v>
      </c>
      <c r="T3277" s="18" t="s">
        <v>13536</v>
      </c>
      <c r="U3277" s="18"/>
      <c r="V3277" s="19" t="s">
        <v>29</v>
      </c>
      <c r="W3277" s="19"/>
      <c r="X3277" s="19"/>
      <c r="Y3277" s="20"/>
      <c r="Z3277" s="19"/>
      <c r="AA3277" s="18" t="str">
        <f aca="false">IF(OR(V3277="Aprobada"),R3277,IF(AND(OR(V3277="Aprobada con ajuste",V3277="Rechazada"),W3277&lt;&gt;""),W3277,""))</f>
        <v/>
      </c>
    </row>
    <row r="3278" customFormat="false" ht="85.05" hidden="false" customHeight="false" outlineLevel="0" collapsed="false">
      <c r="A3278" s="18" t="s">
        <v>13537</v>
      </c>
      <c r="B3278" s="18" t="s">
        <v>80</v>
      </c>
      <c r="C3278" s="18" t="s">
        <v>81</v>
      </c>
      <c r="D3278" s="18" t="s">
        <v>13538</v>
      </c>
      <c r="E3278" s="18" t="n">
        <v>3</v>
      </c>
      <c r="F3278" s="18" t="s">
        <v>13539</v>
      </c>
      <c r="G3278" s="18" t="s">
        <v>11382</v>
      </c>
      <c r="H3278" s="18" t="s">
        <v>162</v>
      </c>
      <c r="I3278" s="18" t="s">
        <v>298</v>
      </c>
      <c r="J3278" s="18"/>
      <c r="K3278" s="18"/>
      <c r="L3278" s="18" t="s">
        <v>129</v>
      </c>
      <c r="M3278" s="18" t="s">
        <v>129</v>
      </c>
      <c r="N3278" s="18"/>
      <c r="O3278" s="18"/>
      <c r="P3278" s="18" t="s">
        <v>13540</v>
      </c>
      <c r="Q3278" s="18" t="s">
        <v>131</v>
      </c>
      <c r="R3278" s="18" t="s">
        <v>13541</v>
      </c>
      <c r="S3278" s="18" t="s">
        <v>133</v>
      </c>
      <c r="T3278" s="18" t="s">
        <v>13542</v>
      </c>
      <c r="U3278" s="18"/>
      <c r="V3278" s="19" t="s">
        <v>29</v>
      </c>
      <c r="W3278" s="19"/>
      <c r="X3278" s="19"/>
      <c r="Y3278" s="20"/>
      <c r="Z3278" s="19"/>
      <c r="AA3278" s="18" t="str">
        <f aca="false">IF(OR(V3278="Aprobada"),R3278,IF(AND(OR(V3278="Aprobada con ajuste",V3278="Rechazada"),W3278&lt;&gt;""),W3278,""))</f>
        <v/>
      </c>
    </row>
    <row r="3279" customFormat="false" ht="53.7" hidden="false" customHeight="false" outlineLevel="0" collapsed="false">
      <c r="A3279" s="18" t="s">
        <v>13543</v>
      </c>
      <c r="B3279" s="18" t="s">
        <v>80</v>
      </c>
      <c r="C3279" s="18" t="s">
        <v>81</v>
      </c>
      <c r="D3279" s="18" t="s">
        <v>13538</v>
      </c>
      <c r="E3279" s="18" t="n">
        <v>3</v>
      </c>
      <c r="F3279" s="18" t="s">
        <v>13544</v>
      </c>
      <c r="G3279" s="18" t="s">
        <v>11382</v>
      </c>
      <c r="H3279" s="18" t="s">
        <v>162</v>
      </c>
      <c r="I3279" s="18" t="s">
        <v>298</v>
      </c>
      <c r="J3279" s="18"/>
      <c r="K3279" s="18"/>
      <c r="L3279" s="18" t="s">
        <v>129</v>
      </c>
      <c r="M3279" s="18" t="s">
        <v>129</v>
      </c>
      <c r="N3279" s="18"/>
      <c r="O3279" s="18"/>
      <c r="P3279" s="18" t="s">
        <v>13545</v>
      </c>
      <c r="Q3279" s="18" t="s">
        <v>149</v>
      </c>
      <c r="R3279" s="18" t="s">
        <v>13546</v>
      </c>
      <c r="S3279" s="18" t="s">
        <v>140</v>
      </c>
      <c r="T3279" s="18" t="s">
        <v>13547</v>
      </c>
      <c r="U3279" s="18" t="s">
        <v>13548</v>
      </c>
      <c r="V3279" s="19" t="s">
        <v>29</v>
      </c>
      <c r="W3279" s="19"/>
      <c r="X3279" s="19"/>
      <c r="Y3279" s="20"/>
      <c r="Z3279" s="19"/>
      <c r="AA3279" s="18" t="str">
        <f aca="false">IF(OR(V3279="Aprobada"),R3279,IF(AND(OR(V3279="Aprobada con ajuste",V3279="Rechazada"),W3279&lt;&gt;""),W3279,""))</f>
        <v/>
      </c>
    </row>
    <row r="3280" customFormat="false" ht="53.7" hidden="false" customHeight="false" outlineLevel="0" collapsed="false">
      <c r="A3280" s="18" t="s">
        <v>13549</v>
      </c>
      <c r="B3280" s="18" t="s">
        <v>80</v>
      </c>
      <c r="C3280" s="18" t="s">
        <v>81</v>
      </c>
      <c r="D3280" s="18" t="s">
        <v>13538</v>
      </c>
      <c r="E3280" s="18" t="n">
        <v>3</v>
      </c>
      <c r="F3280" s="18" t="s">
        <v>12731</v>
      </c>
      <c r="G3280" s="18" t="s">
        <v>828</v>
      </c>
      <c r="H3280" s="18" t="s">
        <v>129</v>
      </c>
      <c r="I3280" s="18" t="s">
        <v>298</v>
      </c>
      <c r="J3280" s="18" t="s">
        <v>12732</v>
      </c>
      <c r="K3280" s="18"/>
      <c r="L3280" s="18" t="s">
        <v>162</v>
      </c>
      <c r="M3280" s="18" t="s">
        <v>129</v>
      </c>
      <c r="N3280" s="18"/>
      <c r="O3280" s="18"/>
      <c r="P3280" s="18" t="s">
        <v>13550</v>
      </c>
      <c r="Q3280" s="18" t="s">
        <v>131</v>
      </c>
      <c r="R3280" s="18" t="s">
        <v>13551</v>
      </c>
      <c r="S3280" s="18" t="s">
        <v>133</v>
      </c>
      <c r="T3280" s="18" t="s">
        <v>13552</v>
      </c>
      <c r="U3280" s="18"/>
      <c r="V3280" s="19" t="s">
        <v>29</v>
      </c>
      <c r="W3280" s="19"/>
      <c r="X3280" s="19"/>
      <c r="Y3280" s="20"/>
      <c r="Z3280" s="19"/>
      <c r="AA3280" s="18" t="str">
        <f aca="false">IF(OR(V3280="Aprobada"),R3280,IF(AND(OR(V3280="Aprobada con ajuste",V3280="Rechazada"),W3280&lt;&gt;""),W3280,""))</f>
        <v/>
      </c>
    </row>
    <row r="3281" customFormat="false" ht="74.6" hidden="false" customHeight="false" outlineLevel="0" collapsed="false">
      <c r="A3281" s="18" t="s">
        <v>13553</v>
      </c>
      <c r="B3281" s="18" t="s">
        <v>80</v>
      </c>
      <c r="C3281" s="18" t="s">
        <v>81</v>
      </c>
      <c r="D3281" s="18" t="s">
        <v>13538</v>
      </c>
      <c r="E3281" s="18" t="n">
        <v>3</v>
      </c>
      <c r="F3281" s="18" t="s">
        <v>11518</v>
      </c>
      <c r="G3281" s="18" t="s">
        <v>137</v>
      </c>
      <c r="H3281" s="18" t="s">
        <v>129</v>
      </c>
      <c r="I3281" s="18" t="s">
        <v>298</v>
      </c>
      <c r="J3281" s="18"/>
      <c r="K3281" s="18"/>
      <c r="L3281" s="18" t="s">
        <v>129</v>
      </c>
      <c r="M3281" s="18" t="s">
        <v>129</v>
      </c>
      <c r="N3281" s="18"/>
      <c r="O3281" s="18" t="s">
        <v>13554</v>
      </c>
      <c r="P3281" s="18" t="s">
        <v>13555</v>
      </c>
      <c r="Q3281" s="18" t="s">
        <v>131</v>
      </c>
      <c r="R3281" s="18" t="s">
        <v>13556</v>
      </c>
      <c r="S3281" s="18" t="s">
        <v>133</v>
      </c>
      <c r="T3281" s="18" t="s">
        <v>13557</v>
      </c>
      <c r="U3281" s="18"/>
      <c r="V3281" s="19" t="s">
        <v>29</v>
      </c>
      <c r="W3281" s="19"/>
      <c r="X3281" s="19"/>
      <c r="Y3281" s="20"/>
      <c r="Z3281" s="19"/>
      <c r="AA3281" s="18" t="str">
        <f aca="false">IF(OR(V3281="Aprobada"),R3281,IF(AND(OR(V3281="Aprobada con ajuste",V3281="Rechazada"),W3281&lt;&gt;""),W3281,""))</f>
        <v/>
      </c>
    </row>
    <row r="3282" customFormat="false" ht="32.8" hidden="false" customHeight="false" outlineLevel="0" collapsed="false">
      <c r="A3282" s="18" t="s">
        <v>13558</v>
      </c>
      <c r="B3282" s="18" t="s">
        <v>80</v>
      </c>
      <c r="C3282" s="18" t="s">
        <v>81</v>
      </c>
      <c r="D3282" s="18" t="s">
        <v>13538</v>
      </c>
      <c r="E3282" s="18" t="n">
        <v>3</v>
      </c>
      <c r="F3282" s="18" t="s">
        <v>11523</v>
      </c>
      <c r="G3282" s="18" t="s">
        <v>137</v>
      </c>
      <c r="H3282" s="18" t="s">
        <v>162</v>
      </c>
      <c r="I3282" s="18" t="s">
        <v>298</v>
      </c>
      <c r="J3282" s="18"/>
      <c r="K3282" s="18"/>
      <c r="L3282" s="18" t="s">
        <v>129</v>
      </c>
      <c r="M3282" s="18" t="s">
        <v>129</v>
      </c>
      <c r="N3282" s="18"/>
      <c r="O3282" s="18" t="s">
        <v>13554</v>
      </c>
      <c r="P3282" s="18" t="s">
        <v>13559</v>
      </c>
      <c r="Q3282" s="18" t="s">
        <v>131</v>
      </c>
      <c r="R3282" s="18" t="s">
        <v>13560</v>
      </c>
      <c r="S3282" s="18" t="s">
        <v>133</v>
      </c>
      <c r="T3282" s="18" t="s">
        <v>13561</v>
      </c>
      <c r="U3282" s="18"/>
      <c r="V3282" s="19" t="s">
        <v>29</v>
      </c>
      <c r="W3282" s="19"/>
      <c r="X3282" s="19"/>
      <c r="Y3282" s="20"/>
      <c r="Z3282" s="19"/>
      <c r="AA3282" s="18" t="str">
        <f aca="false">IF(OR(V3282="Aprobada"),R3282,IF(AND(OR(V3282="Aprobada con ajuste",V3282="Rechazada"),W3282&lt;&gt;""),W3282,""))</f>
        <v/>
      </c>
    </row>
    <row r="3283" customFormat="false" ht="53.7" hidden="false" customHeight="false" outlineLevel="0" collapsed="false">
      <c r="A3283" s="18" t="s">
        <v>13562</v>
      </c>
      <c r="B3283" s="18" t="s">
        <v>80</v>
      </c>
      <c r="C3283" s="18" t="s">
        <v>81</v>
      </c>
      <c r="D3283" s="18" t="s">
        <v>13538</v>
      </c>
      <c r="E3283" s="18" t="n">
        <v>3</v>
      </c>
      <c r="F3283" s="18" t="s">
        <v>11507</v>
      </c>
      <c r="G3283" s="18" t="s">
        <v>173</v>
      </c>
      <c r="H3283" s="18" t="s">
        <v>129</v>
      </c>
      <c r="I3283" s="18"/>
      <c r="J3283" s="18"/>
      <c r="K3283" s="18"/>
      <c r="L3283" s="18" t="s">
        <v>129</v>
      </c>
      <c r="M3283" s="18" t="s">
        <v>129</v>
      </c>
      <c r="N3283" s="18"/>
      <c r="O3283" s="18"/>
      <c r="P3283" s="18" t="s">
        <v>13563</v>
      </c>
      <c r="Q3283" s="18" t="s">
        <v>131</v>
      </c>
      <c r="R3283" s="18" t="s">
        <v>13535</v>
      </c>
      <c r="S3283" s="18" t="s">
        <v>133</v>
      </c>
      <c r="T3283" s="18" t="s">
        <v>13564</v>
      </c>
      <c r="U3283" s="18"/>
      <c r="V3283" s="19" t="s">
        <v>29</v>
      </c>
      <c r="W3283" s="19"/>
      <c r="X3283" s="19"/>
      <c r="Y3283" s="20"/>
      <c r="Z3283" s="19"/>
      <c r="AA3283" s="18" t="str">
        <f aca="false">IF(OR(V3283="Aprobada"),R3283,IF(AND(OR(V3283="Aprobada con ajuste",V3283="Rechazada"),W3283&lt;&gt;""),W3283,""))</f>
        <v/>
      </c>
    </row>
    <row r="3284" customFormat="false" ht="32.8" hidden="false" customHeight="false" outlineLevel="0" collapsed="false">
      <c r="A3284" s="18" t="s">
        <v>13565</v>
      </c>
      <c r="B3284" s="18" t="s">
        <v>82</v>
      </c>
      <c r="C3284" s="18" t="s">
        <v>83</v>
      </c>
      <c r="D3284" s="18" t="s">
        <v>13566</v>
      </c>
      <c r="E3284" s="18" t="n">
        <v>0</v>
      </c>
      <c r="F3284" s="18" t="s">
        <v>1127</v>
      </c>
      <c r="G3284" s="18" t="s">
        <v>180</v>
      </c>
      <c r="H3284" s="18" t="s">
        <v>162</v>
      </c>
      <c r="I3284" s="18"/>
      <c r="J3284" s="18"/>
      <c r="K3284" s="18"/>
      <c r="L3284" s="18" t="s">
        <v>129</v>
      </c>
      <c r="M3284" s="18" t="s">
        <v>129</v>
      </c>
      <c r="N3284" s="18"/>
      <c r="O3284" s="18"/>
      <c r="P3284" s="18" t="s">
        <v>13567</v>
      </c>
      <c r="Q3284" s="18" t="s">
        <v>138</v>
      </c>
      <c r="R3284" s="18" t="s">
        <v>1129</v>
      </c>
      <c r="S3284" s="18" t="s">
        <v>140</v>
      </c>
      <c r="T3284" s="18" t="s">
        <v>141</v>
      </c>
      <c r="U3284" s="18"/>
      <c r="V3284" s="19" t="s">
        <v>29</v>
      </c>
      <c r="W3284" s="19"/>
      <c r="X3284" s="19"/>
      <c r="Y3284" s="20"/>
      <c r="Z3284" s="19"/>
      <c r="AA3284" s="18" t="str">
        <f aca="false">IF(OR(V3284="Aprobada"),R3284,IF(AND(OR(V3284="Aprobada con ajuste",V3284="Rechazada"),W3284&lt;&gt;""),W3284,""))</f>
        <v/>
      </c>
    </row>
    <row r="3285" customFormat="false" ht="32.8" hidden="false" customHeight="false" outlineLevel="0" collapsed="false">
      <c r="A3285" s="18" t="s">
        <v>13568</v>
      </c>
      <c r="B3285" s="18" t="s">
        <v>82</v>
      </c>
      <c r="C3285" s="18" t="s">
        <v>83</v>
      </c>
      <c r="D3285" s="18" t="s">
        <v>13566</v>
      </c>
      <c r="E3285" s="18" t="n">
        <v>0</v>
      </c>
      <c r="F3285" s="18" t="s">
        <v>2448</v>
      </c>
      <c r="G3285" s="18" t="s">
        <v>145</v>
      </c>
      <c r="H3285" s="18" t="s">
        <v>162</v>
      </c>
      <c r="I3285" s="18"/>
      <c r="J3285" s="18"/>
      <c r="K3285" s="18"/>
      <c r="L3285" s="18" t="s">
        <v>129</v>
      </c>
      <c r="M3285" s="18" t="s">
        <v>129</v>
      </c>
      <c r="N3285" s="18"/>
      <c r="O3285" s="18"/>
      <c r="P3285" s="18" t="s">
        <v>13569</v>
      </c>
      <c r="Q3285" s="18" t="s">
        <v>138</v>
      </c>
      <c r="R3285" s="18" t="s">
        <v>2450</v>
      </c>
      <c r="S3285" s="18" t="s">
        <v>140</v>
      </c>
      <c r="T3285" s="18" t="s">
        <v>141</v>
      </c>
      <c r="U3285" s="18"/>
      <c r="V3285" s="19" t="s">
        <v>29</v>
      </c>
      <c r="W3285" s="19"/>
      <c r="X3285" s="19"/>
      <c r="Y3285" s="20"/>
      <c r="Z3285" s="19"/>
      <c r="AA3285" s="18" t="str">
        <f aca="false">IF(OR(V3285="Aprobada"),R3285,IF(AND(OR(V3285="Aprobada con ajuste",V3285="Rechazada"),W3285&lt;&gt;""),W3285,""))</f>
        <v/>
      </c>
    </row>
    <row r="3286" customFormat="false" ht="32.8" hidden="false" customHeight="false" outlineLevel="0" collapsed="false">
      <c r="A3286" s="18" t="s">
        <v>13570</v>
      </c>
      <c r="B3286" s="18" t="s">
        <v>82</v>
      </c>
      <c r="C3286" s="18" t="s">
        <v>83</v>
      </c>
      <c r="D3286" s="18" t="s">
        <v>13566</v>
      </c>
      <c r="E3286" s="18" t="n">
        <v>0</v>
      </c>
      <c r="F3286" s="18" t="s">
        <v>4269</v>
      </c>
      <c r="G3286" s="18" t="s">
        <v>180</v>
      </c>
      <c r="H3286" s="18" t="s">
        <v>162</v>
      </c>
      <c r="I3286" s="18"/>
      <c r="J3286" s="18"/>
      <c r="K3286" s="18"/>
      <c r="L3286" s="18" t="s">
        <v>129</v>
      </c>
      <c r="M3286" s="18" t="s">
        <v>129</v>
      </c>
      <c r="N3286" s="18"/>
      <c r="O3286" s="18"/>
      <c r="P3286" s="18" t="s">
        <v>13571</v>
      </c>
      <c r="Q3286" s="18" t="s">
        <v>149</v>
      </c>
      <c r="R3286" s="18" t="s">
        <v>13572</v>
      </c>
      <c r="S3286" s="18" t="s">
        <v>140</v>
      </c>
      <c r="T3286" s="18" t="s">
        <v>3165</v>
      </c>
      <c r="U3286" s="18" t="s">
        <v>13573</v>
      </c>
      <c r="V3286" s="19" t="s">
        <v>29</v>
      </c>
      <c r="W3286" s="19"/>
      <c r="X3286" s="19"/>
      <c r="Y3286" s="20"/>
      <c r="Z3286" s="19"/>
      <c r="AA3286" s="18" t="str">
        <f aca="false">IF(OR(V3286="Aprobada"),R3286,IF(AND(OR(V3286="Aprobada con ajuste",V3286="Rechazada"),W3286&lt;&gt;""),W3286,""))</f>
        <v/>
      </c>
    </row>
    <row r="3287" customFormat="false" ht="43.25" hidden="false" customHeight="false" outlineLevel="0" collapsed="false">
      <c r="A3287" s="18" t="s">
        <v>13574</v>
      </c>
      <c r="B3287" s="18" t="s">
        <v>82</v>
      </c>
      <c r="C3287" s="18" t="s">
        <v>83</v>
      </c>
      <c r="D3287" s="18" t="s">
        <v>13575</v>
      </c>
      <c r="E3287" s="18" t="n">
        <v>4</v>
      </c>
      <c r="F3287" s="18" t="s">
        <v>13576</v>
      </c>
      <c r="G3287" s="18" t="s">
        <v>205</v>
      </c>
      <c r="H3287" s="18" t="s">
        <v>129</v>
      </c>
      <c r="I3287" s="18" t="s">
        <v>146</v>
      </c>
      <c r="J3287" s="18"/>
      <c r="K3287" s="18"/>
      <c r="L3287" s="18" t="s">
        <v>129</v>
      </c>
      <c r="M3287" s="18" t="s">
        <v>129</v>
      </c>
      <c r="N3287" s="18"/>
      <c r="O3287" s="18" t="s">
        <v>13577</v>
      </c>
      <c r="P3287" s="18" t="s">
        <v>13578</v>
      </c>
      <c r="Q3287" s="18" t="s">
        <v>149</v>
      </c>
      <c r="R3287" s="18" t="s">
        <v>13579</v>
      </c>
      <c r="S3287" s="18" t="s">
        <v>133</v>
      </c>
      <c r="T3287" s="18" t="s">
        <v>13580</v>
      </c>
      <c r="U3287" s="18"/>
      <c r="V3287" s="19" t="s">
        <v>29</v>
      </c>
      <c r="W3287" s="19"/>
      <c r="X3287" s="19"/>
      <c r="Y3287" s="20"/>
      <c r="Z3287" s="19"/>
      <c r="AA3287" s="18" t="str">
        <f aca="false">IF(OR(V3287="Aprobada"),R3287,IF(AND(OR(V3287="Aprobada con ajuste",V3287="Rechazada"),W3287&lt;&gt;""),W3287,""))</f>
        <v/>
      </c>
    </row>
    <row r="3288" customFormat="false" ht="43.25" hidden="false" customHeight="false" outlineLevel="0" collapsed="false">
      <c r="A3288" s="18" t="s">
        <v>13581</v>
      </c>
      <c r="B3288" s="18" t="s">
        <v>82</v>
      </c>
      <c r="C3288" s="18" t="s">
        <v>83</v>
      </c>
      <c r="D3288" s="18" t="s">
        <v>13575</v>
      </c>
      <c r="E3288" s="18" t="n">
        <v>4</v>
      </c>
      <c r="F3288" s="18" t="s">
        <v>2456</v>
      </c>
      <c r="G3288" s="18" t="s">
        <v>486</v>
      </c>
      <c r="H3288" s="18" t="s">
        <v>129</v>
      </c>
      <c r="I3288" s="18"/>
      <c r="J3288" s="18"/>
      <c r="K3288" s="18"/>
      <c r="L3288" s="18" t="s">
        <v>129</v>
      </c>
      <c r="M3288" s="18" t="s">
        <v>129</v>
      </c>
      <c r="N3288" s="18"/>
      <c r="O3288" s="18"/>
      <c r="P3288" s="18" t="s">
        <v>13582</v>
      </c>
      <c r="Q3288" s="18" t="s">
        <v>149</v>
      </c>
      <c r="R3288" s="18" t="s">
        <v>13583</v>
      </c>
      <c r="S3288" s="18" t="s">
        <v>133</v>
      </c>
      <c r="T3288" s="18" t="s">
        <v>275</v>
      </c>
      <c r="U3288" s="18"/>
      <c r="V3288" s="19" t="s">
        <v>29</v>
      </c>
      <c r="W3288" s="19"/>
      <c r="X3288" s="19"/>
      <c r="Y3288" s="20"/>
      <c r="Z3288" s="19"/>
      <c r="AA3288" s="18" t="str">
        <f aca="false">IF(OR(V3288="Aprobada"),R3288,IF(AND(OR(V3288="Aprobada con ajuste",V3288="Rechazada"),W3288&lt;&gt;""),W3288,""))</f>
        <v/>
      </c>
    </row>
    <row r="3289" customFormat="false" ht="43.25" hidden="false" customHeight="false" outlineLevel="0" collapsed="false">
      <c r="A3289" s="18" t="s">
        <v>13584</v>
      </c>
      <c r="B3289" s="18" t="s">
        <v>82</v>
      </c>
      <c r="C3289" s="18" t="s">
        <v>83</v>
      </c>
      <c r="D3289" s="18" t="s">
        <v>13575</v>
      </c>
      <c r="E3289" s="18" t="n">
        <v>4</v>
      </c>
      <c r="F3289" s="18" t="s">
        <v>2460</v>
      </c>
      <c r="G3289" s="18" t="s">
        <v>486</v>
      </c>
      <c r="H3289" s="18" t="s">
        <v>162</v>
      </c>
      <c r="I3289" s="18"/>
      <c r="J3289" s="18"/>
      <c r="K3289" s="18"/>
      <c r="L3289" s="18" t="s">
        <v>129</v>
      </c>
      <c r="M3289" s="18" t="s">
        <v>129</v>
      </c>
      <c r="N3289" s="18"/>
      <c r="O3289" s="18"/>
      <c r="P3289" s="18" t="s">
        <v>13585</v>
      </c>
      <c r="Q3289" s="18" t="s">
        <v>149</v>
      </c>
      <c r="R3289" s="18" t="s">
        <v>13586</v>
      </c>
      <c r="S3289" s="18" t="s">
        <v>133</v>
      </c>
      <c r="T3289" s="18" t="s">
        <v>275</v>
      </c>
      <c r="U3289" s="18"/>
      <c r="V3289" s="19" t="s">
        <v>29</v>
      </c>
      <c r="W3289" s="19"/>
      <c r="X3289" s="19"/>
      <c r="Y3289" s="20"/>
      <c r="Z3289" s="19"/>
      <c r="AA3289" s="18" t="str">
        <f aca="false">IF(OR(V3289="Aprobada"),R3289,IF(AND(OR(V3289="Aprobada con ajuste",V3289="Rechazada"),W3289&lt;&gt;""),W3289,""))</f>
        <v/>
      </c>
    </row>
    <row r="3290" customFormat="false" ht="43.25" hidden="false" customHeight="false" outlineLevel="0" collapsed="false">
      <c r="A3290" s="18" t="s">
        <v>13587</v>
      </c>
      <c r="B3290" s="18" t="s">
        <v>82</v>
      </c>
      <c r="C3290" s="18" t="s">
        <v>83</v>
      </c>
      <c r="D3290" s="18" t="s">
        <v>13575</v>
      </c>
      <c r="E3290" s="18" t="n">
        <v>4</v>
      </c>
      <c r="F3290" s="18" t="s">
        <v>2464</v>
      </c>
      <c r="G3290" s="18" t="s">
        <v>486</v>
      </c>
      <c r="H3290" s="18" t="s">
        <v>129</v>
      </c>
      <c r="I3290" s="18"/>
      <c r="J3290" s="18"/>
      <c r="K3290" s="18"/>
      <c r="L3290" s="18" t="s">
        <v>129</v>
      </c>
      <c r="M3290" s="18" t="s">
        <v>129</v>
      </c>
      <c r="N3290" s="18"/>
      <c r="O3290" s="18"/>
      <c r="P3290" s="18" t="s">
        <v>13588</v>
      </c>
      <c r="Q3290" s="18" t="s">
        <v>149</v>
      </c>
      <c r="R3290" s="18" t="s">
        <v>13589</v>
      </c>
      <c r="S3290" s="18" t="s">
        <v>133</v>
      </c>
      <c r="T3290" s="18" t="s">
        <v>275</v>
      </c>
      <c r="U3290" s="18"/>
      <c r="V3290" s="19" t="s">
        <v>29</v>
      </c>
      <c r="W3290" s="19"/>
      <c r="X3290" s="19"/>
      <c r="Y3290" s="20"/>
      <c r="Z3290" s="19"/>
      <c r="AA3290" s="18" t="str">
        <f aca="false">IF(OR(V3290="Aprobada"),R3290,IF(AND(OR(V3290="Aprobada con ajuste",V3290="Rechazada"),W3290&lt;&gt;""),W3290,""))</f>
        <v/>
      </c>
    </row>
    <row r="3291" customFormat="false" ht="43.25" hidden="false" customHeight="false" outlineLevel="0" collapsed="false">
      <c r="A3291" s="18" t="s">
        <v>13590</v>
      </c>
      <c r="B3291" s="18" t="s">
        <v>82</v>
      </c>
      <c r="C3291" s="18" t="s">
        <v>83</v>
      </c>
      <c r="D3291" s="18" t="s">
        <v>13575</v>
      </c>
      <c r="E3291" s="18" t="n">
        <v>4</v>
      </c>
      <c r="F3291" s="18" t="s">
        <v>2467</v>
      </c>
      <c r="G3291" s="18" t="s">
        <v>486</v>
      </c>
      <c r="H3291" s="18" t="s">
        <v>162</v>
      </c>
      <c r="I3291" s="18"/>
      <c r="J3291" s="18"/>
      <c r="K3291" s="18"/>
      <c r="L3291" s="18" t="s">
        <v>129</v>
      </c>
      <c r="M3291" s="18" t="s">
        <v>129</v>
      </c>
      <c r="N3291" s="18"/>
      <c r="O3291" s="18"/>
      <c r="P3291" s="18" t="s">
        <v>13591</v>
      </c>
      <c r="Q3291" s="18" t="s">
        <v>149</v>
      </c>
      <c r="R3291" s="18" t="s">
        <v>13592</v>
      </c>
      <c r="S3291" s="18" t="s">
        <v>133</v>
      </c>
      <c r="T3291" s="18" t="s">
        <v>275</v>
      </c>
      <c r="U3291" s="18"/>
      <c r="V3291" s="19" t="s">
        <v>29</v>
      </c>
      <c r="W3291" s="19"/>
      <c r="X3291" s="19"/>
      <c r="Y3291" s="20"/>
      <c r="Z3291" s="19"/>
      <c r="AA3291" s="18" t="str">
        <f aca="false">IF(OR(V3291="Aprobada"),R3291,IF(AND(OR(V3291="Aprobada con ajuste",V3291="Rechazada"),W3291&lt;&gt;""),W3291,""))</f>
        <v/>
      </c>
    </row>
    <row r="3292" customFormat="false" ht="43.25" hidden="false" customHeight="false" outlineLevel="0" collapsed="false">
      <c r="A3292" s="18" t="s">
        <v>13593</v>
      </c>
      <c r="B3292" s="18" t="s">
        <v>82</v>
      </c>
      <c r="C3292" s="18" t="s">
        <v>83</v>
      </c>
      <c r="D3292" s="18" t="s">
        <v>13575</v>
      </c>
      <c r="E3292" s="18" t="n">
        <v>4</v>
      </c>
      <c r="F3292" s="18" t="s">
        <v>1127</v>
      </c>
      <c r="G3292" s="18" t="s">
        <v>337</v>
      </c>
      <c r="H3292" s="18" t="s">
        <v>129</v>
      </c>
      <c r="I3292" s="18"/>
      <c r="J3292" s="18"/>
      <c r="K3292" s="18"/>
      <c r="L3292" s="18" t="s">
        <v>129</v>
      </c>
      <c r="M3292" s="18" t="s">
        <v>129</v>
      </c>
      <c r="N3292" s="18"/>
      <c r="O3292" s="18"/>
      <c r="P3292" s="18" t="s">
        <v>13594</v>
      </c>
      <c r="Q3292" s="18" t="s">
        <v>138</v>
      </c>
      <c r="R3292" s="18" t="s">
        <v>1129</v>
      </c>
      <c r="S3292" s="18" t="s">
        <v>140</v>
      </c>
      <c r="T3292" s="18" t="s">
        <v>141</v>
      </c>
      <c r="U3292" s="18"/>
      <c r="V3292" s="19" t="s">
        <v>29</v>
      </c>
      <c r="W3292" s="19"/>
      <c r="X3292" s="19"/>
      <c r="Y3292" s="20"/>
      <c r="Z3292" s="19"/>
      <c r="AA3292" s="18" t="str">
        <f aca="false">IF(OR(V3292="Aprobada"),R3292,IF(AND(OR(V3292="Aprobada con ajuste",V3292="Rechazada"),W3292&lt;&gt;""),W3292,""))</f>
        <v/>
      </c>
    </row>
    <row r="3293" customFormat="false" ht="43.25" hidden="false" customHeight="false" outlineLevel="0" collapsed="false">
      <c r="A3293" s="18" t="s">
        <v>13595</v>
      </c>
      <c r="B3293" s="18" t="s">
        <v>82</v>
      </c>
      <c r="C3293" s="18" t="s">
        <v>83</v>
      </c>
      <c r="D3293" s="18" t="s">
        <v>13575</v>
      </c>
      <c r="E3293" s="18" t="n">
        <v>4</v>
      </c>
      <c r="F3293" s="18" t="s">
        <v>13596</v>
      </c>
      <c r="G3293" s="18" t="s">
        <v>337</v>
      </c>
      <c r="H3293" s="18" t="s">
        <v>129</v>
      </c>
      <c r="I3293" s="18"/>
      <c r="J3293" s="18"/>
      <c r="K3293" s="18"/>
      <c r="L3293" s="18" t="s">
        <v>129</v>
      </c>
      <c r="M3293" s="18" t="s">
        <v>129</v>
      </c>
      <c r="N3293" s="18"/>
      <c r="O3293" s="18"/>
      <c r="P3293" s="18" t="s">
        <v>13597</v>
      </c>
      <c r="Q3293" s="18" t="s">
        <v>149</v>
      </c>
      <c r="R3293" s="18" t="s">
        <v>13598</v>
      </c>
      <c r="S3293" s="18" t="s">
        <v>140</v>
      </c>
      <c r="T3293" s="18" t="s">
        <v>13599</v>
      </c>
      <c r="U3293" s="18" t="s">
        <v>13600</v>
      </c>
      <c r="V3293" s="19" t="s">
        <v>29</v>
      </c>
      <c r="W3293" s="19"/>
      <c r="X3293" s="19"/>
      <c r="Y3293" s="20"/>
      <c r="Z3293" s="19"/>
      <c r="AA3293" s="18" t="str">
        <f aca="false">IF(OR(V3293="Aprobada"),R3293,IF(AND(OR(V3293="Aprobada con ajuste",V3293="Rechazada"),W3293&lt;&gt;""),W3293,""))</f>
        <v/>
      </c>
    </row>
    <row r="3294" customFormat="false" ht="64.15" hidden="false" customHeight="false" outlineLevel="0" collapsed="false">
      <c r="A3294" s="18" t="s">
        <v>13601</v>
      </c>
      <c r="B3294" s="18" t="s">
        <v>82</v>
      </c>
      <c r="C3294" s="18" t="s">
        <v>83</v>
      </c>
      <c r="D3294" s="18" t="s">
        <v>13575</v>
      </c>
      <c r="E3294" s="18" t="n">
        <v>4</v>
      </c>
      <c r="F3294" s="18" t="s">
        <v>13602</v>
      </c>
      <c r="G3294" s="18" t="s">
        <v>145</v>
      </c>
      <c r="H3294" s="18" t="s">
        <v>129</v>
      </c>
      <c r="I3294" s="18" t="s">
        <v>298</v>
      </c>
      <c r="J3294" s="18" t="s">
        <v>13603</v>
      </c>
      <c r="K3294" s="18"/>
      <c r="L3294" s="18" t="s">
        <v>162</v>
      </c>
      <c r="M3294" s="18" t="s">
        <v>129</v>
      </c>
      <c r="N3294" s="18"/>
      <c r="O3294" s="18"/>
      <c r="P3294" s="18" t="s">
        <v>13604</v>
      </c>
      <c r="Q3294" s="18" t="s">
        <v>149</v>
      </c>
      <c r="R3294" s="18" t="s">
        <v>13605</v>
      </c>
      <c r="S3294" s="18" t="s">
        <v>133</v>
      </c>
      <c r="T3294" s="18" t="s">
        <v>13606</v>
      </c>
      <c r="U3294" s="18"/>
      <c r="V3294" s="19" t="s">
        <v>29</v>
      </c>
      <c r="W3294" s="19"/>
      <c r="X3294" s="19"/>
      <c r="Y3294" s="20"/>
      <c r="Z3294" s="19"/>
      <c r="AA3294" s="18" t="str">
        <f aca="false">IF(OR(V3294="Aprobada"),R3294,IF(AND(OR(V3294="Aprobada con ajuste",V3294="Rechazada"),W3294&lt;&gt;""),W3294,""))</f>
        <v/>
      </c>
    </row>
    <row r="3295" customFormat="false" ht="43.25" hidden="false" customHeight="false" outlineLevel="0" collapsed="false">
      <c r="A3295" s="18" t="s">
        <v>13607</v>
      </c>
      <c r="B3295" s="18" t="s">
        <v>82</v>
      </c>
      <c r="C3295" s="18" t="s">
        <v>83</v>
      </c>
      <c r="D3295" s="18" t="s">
        <v>13575</v>
      </c>
      <c r="E3295" s="18" t="n">
        <v>4</v>
      </c>
      <c r="F3295" s="18" t="s">
        <v>13608</v>
      </c>
      <c r="G3295" s="18" t="s">
        <v>145</v>
      </c>
      <c r="H3295" s="18" t="s">
        <v>129</v>
      </c>
      <c r="I3295" s="18" t="s">
        <v>298</v>
      </c>
      <c r="J3295" s="18" t="s">
        <v>13609</v>
      </c>
      <c r="K3295" s="18"/>
      <c r="L3295" s="18" t="s">
        <v>162</v>
      </c>
      <c r="M3295" s="18" t="s">
        <v>129</v>
      </c>
      <c r="N3295" s="18"/>
      <c r="O3295" s="18"/>
      <c r="P3295" s="18" t="s">
        <v>13610</v>
      </c>
      <c r="Q3295" s="18" t="s">
        <v>149</v>
      </c>
      <c r="R3295" s="18" t="s">
        <v>13611</v>
      </c>
      <c r="S3295" s="18" t="s">
        <v>140</v>
      </c>
      <c r="T3295" s="18" t="s">
        <v>13612</v>
      </c>
      <c r="U3295" s="18" t="s">
        <v>13613</v>
      </c>
      <c r="V3295" s="19" t="s">
        <v>29</v>
      </c>
      <c r="W3295" s="19"/>
      <c r="X3295" s="19"/>
      <c r="Y3295" s="20"/>
      <c r="Z3295" s="19"/>
      <c r="AA3295" s="18" t="str">
        <f aca="false">IF(OR(V3295="Aprobada"),R3295,IF(AND(OR(V3295="Aprobada con ajuste",V3295="Rechazada"),W3295&lt;&gt;""),W3295,""))</f>
        <v/>
      </c>
    </row>
    <row r="3296" customFormat="false" ht="43.25" hidden="false" customHeight="false" outlineLevel="0" collapsed="false">
      <c r="A3296" s="18" t="s">
        <v>13614</v>
      </c>
      <c r="B3296" s="18" t="s">
        <v>82</v>
      </c>
      <c r="C3296" s="18" t="s">
        <v>83</v>
      </c>
      <c r="D3296" s="18" t="s">
        <v>13575</v>
      </c>
      <c r="E3296" s="18" t="n">
        <v>4</v>
      </c>
      <c r="F3296" s="18" t="s">
        <v>13615</v>
      </c>
      <c r="G3296" s="18" t="s">
        <v>173</v>
      </c>
      <c r="H3296" s="18" t="s">
        <v>129</v>
      </c>
      <c r="I3296" s="18"/>
      <c r="J3296" s="18"/>
      <c r="K3296" s="18"/>
      <c r="L3296" s="18" t="s">
        <v>129</v>
      </c>
      <c r="M3296" s="18" t="s">
        <v>129</v>
      </c>
      <c r="N3296" s="18"/>
      <c r="O3296" s="18"/>
      <c r="P3296" s="18" t="s">
        <v>13616</v>
      </c>
      <c r="Q3296" s="18" t="s">
        <v>138</v>
      </c>
      <c r="R3296" s="18" t="s">
        <v>13617</v>
      </c>
      <c r="S3296" s="18" t="s">
        <v>140</v>
      </c>
      <c r="T3296" s="18" t="s">
        <v>141</v>
      </c>
      <c r="U3296" s="18"/>
      <c r="V3296" s="19" t="s">
        <v>29</v>
      </c>
      <c r="W3296" s="19"/>
      <c r="X3296" s="19"/>
      <c r="Y3296" s="20"/>
      <c r="Z3296" s="19"/>
      <c r="AA3296" s="18" t="str">
        <f aca="false">IF(OR(V3296="Aprobada"),R3296,IF(AND(OR(V3296="Aprobada con ajuste",V3296="Rechazada"),W3296&lt;&gt;""),W3296,""))</f>
        <v/>
      </c>
    </row>
    <row r="3297" customFormat="false" ht="32.8" hidden="false" customHeight="false" outlineLevel="0" collapsed="false">
      <c r="A3297" s="18" t="s">
        <v>13618</v>
      </c>
      <c r="B3297" s="18" t="s">
        <v>82</v>
      </c>
      <c r="C3297" s="18" t="s">
        <v>83</v>
      </c>
      <c r="D3297" s="18" t="s">
        <v>13575</v>
      </c>
      <c r="E3297" s="18" t="n">
        <v>4</v>
      </c>
      <c r="F3297" s="18" t="s">
        <v>13619</v>
      </c>
      <c r="G3297" s="18" t="s">
        <v>317</v>
      </c>
      <c r="H3297" s="18" t="s">
        <v>162</v>
      </c>
      <c r="I3297" s="18"/>
      <c r="J3297" s="18"/>
      <c r="K3297" s="18"/>
      <c r="L3297" s="18" t="s">
        <v>129</v>
      </c>
      <c r="M3297" s="18" t="s">
        <v>129</v>
      </c>
      <c r="N3297" s="18"/>
      <c r="O3297" s="18"/>
      <c r="P3297" s="18" t="s">
        <v>13620</v>
      </c>
      <c r="Q3297" s="18" t="s">
        <v>138</v>
      </c>
      <c r="R3297" s="18" t="s">
        <v>13621</v>
      </c>
      <c r="S3297" s="18" t="s">
        <v>140</v>
      </c>
      <c r="T3297" s="18" t="s">
        <v>141</v>
      </c>
      <c r="U3297" s="18"/>
      <c r="V3297" s="19" t="s">
        <v>29</v>
      </c>
      <c r="W3297" s="19"/>
      <c r="X3297" s="19"/>
      <c r="Y3297" s="20"/>
      <c r="Z3297" s="19"/>
      <c r="AA3297" s="18" t="str">
        <f aca="false">IF(OR(V3297="Aprobada"),R3297,IF(AND(OR(V3297="Aprobada con ajuste",V3297="Rechazada"),W3297&lt;&gt;""),W3297,""))</f>
        <v/>
      </c>
    </row>
    <row r="3298" customFormat="false" ht="43.25" hidden="false" customHeight="false" outlineLevel="0" collapsed="false">
      <c r="A3298" s="18" t="s">
        <v>13622</v>
      </c>
      <c r="B3298" s="18" t="s">
        <v>82</v>
      </c>
      <c r="C3298" s="18" t="s">
        <v>83</v>
      </c>
      <c r="D3298" s="18" t="s">
        <v>13575</v>
      </c>
      <c r="E3298" s="18" t="n">
        <v>4</v>
      </c>
      <c r="F3298" s="18" t="s">
        <v>13623</v>
      </c>
      <c r="G3298" s="18" t="s">
        <v>8100</v>
      </c>
      <c r="H3298" s="18" t="s">
        <v>162</v>
      </c>
      <c r="I3298" s="18"/>
      <c r="J3298" s="18"/>
      <c r="K3298" s="18"/>
      <c r="L3298" s="18" t="s">
        <v>129</v>
      </c>
      <c r="M3298" s="18" t="s">
        <v>129</v>
      </c>
      <c r="N3298" s="18"/>
      <c r="O3298" s="18"/>
      <c r="P3298" s="18" t="s">
        <v>13624</v>
      </c>
      <c r="Q3298" s="18" t="s">
        <v>149</v>
      </c>
      <c r="R3298" s="18" t="s">
        <v>13625</v>
      </c>
      <c r="S3298" s="18" t="s">
        <v>133</v>
      </c>
      <c r="T3298" s="18" t="s">
        <v>13626</v>
      </c>
      <c r="U3298" s="18"/>
      <c r="V3298" s="19" t="s">
        <v>29</v>
      </c>
      <c r="W3298" s="19"/>
      <c r="X3298" s="19"/>
      <c r="Y3298" s="20"/>
      <c r="Z3298" s="19"/>
      <c r="AA3298" s="18" t="str">
        <f aca="false">IF(OR(V3298="Aprobada"),R3298,IF(AND(OR(V3298="Aprobada con ajuste",V3298="Rechazada"),W3298&lt;&gt;""),W3298,""))</f>
        <v/>
      </c>
    </row>
    <row r="3299" customFormat="false" ht="43.25" hidden="false" customHeight="false" outlineLevel="0" collapsed="false">
      <c r="A3299" s="18" t="s">
        <v>13627</v>
      </c>
      <c r="B3299" s="18" t="s">
        <v>82</v>
      </c>
      <c r="C3299" s="18" t="s">
        <v>83</v>
      </c>
      <c r="D3299" s="18" t="s">
        <v>13628</v>
      </c>
      <c r="E3299" s="18" t="n">
        <v>19</v>
      </c>
      <c r="F3299" s="18" t="s">
        <v>7294</v>
      </c>
      <c r="G3299" s="18" t="s">
        <v>486</v>
      </c>
      <c r="H3299" s="18" t="s">
        <v>129</v>
      </c>
      <c r="I3299" s="18" t="s">
        <v>146</v>
      </c>
      <c r="J3299" s="18"/>
      <c r="K3299" s="18"/>
      <c r="L3299" s="18" t="s">
        <v>162</v>
      </c>
      <c r="M3299" s="18" t="s">
        <v>129</v>
      </c>
      <c r="N3299" s="18"/>
      <c r="O3299" s="18" t="s">
        <v>13629</v>
      </c>
      <c r="P3299" s="18" t="s">
        <v>13630</v>
      </c>
      <c r="Q3299" s="18" t="s">
        <v>149</v>
      </c>
      <c r="R3299" s="18" t="s">
        <v>13631</v>
      </c>
      <c r="S3299" s="18" t="s">
        <v>133</v>
      </c>
      <c r="T3299" s="18" t="s">
        <v>13632</v>
      </c>
      <c r="U3299" s="18"/>
      <c r="V3299" s="19" t="s">
        <v>29</v>
      </c>
      <c r="W3299" s="19"/>
      <c r="X3299" s="19"/>
      <c r="Y3299" s="20"/>
      <c r="Z3299" s="19"/>
      <c r="AA3299" s="18" t="str">
        <f aca="false">IF(OR(V3299="Aprobada"),R3299,IF(AND(OR(V3299="Aprobada con ajuste",V3299="Rechazada"),W3299&lt;&gt;""),W3299,""))</f>
        <v/>
      </c>
    </row>
    <row r="3300" customFormat="false" ht="32.8" hidden="false" customHeight="false" outlineLevel="0" collapsed="false">
      <c r="A3300" s="18" t="s">
        <v>13633</v>
      </c>
      <c r="B3300" s="18" t="s">
        <v>82</v>
      </c>
      <c r="C3300" s="18" t="s">
        <v>83</v>
      </c>
      <c r="D3300" s="18" t="s">
        <v>13628</v>
      </c>
      <c r="E3300" s="18" t="n">
        <v>19</v>
      </c>
      <c r="F3300" s="18" t="s">
        <v>3677</v>
      </c>
      <c r="G3300" s="18" t="s">
        <v>454</v>
      </c>
      <c r="H3300" s="18" t="s">
        <v>129</v>
      </c>
      <c r="I3300" s="18"/>
      <c r="J3300" s="18"/>
      <c r="K3300" s="18"/>
      <c r="L3300" s="18" t="s">
        <v>162</v>
      </c>
      <c r="M3300" s="18" t="s">
        <v>129</v>
      </c>
      <c r="N3300" s="18"/>
      <c r="O3300" s="18"/>
      <c r="P3300" s="18" t="s">
        <v>13634</v>
      </c>
      <c r="Q3300" s="18" t="s">
        <v>149</v>
      </c>
      <c r="R3300" s="18" t="s">
        <v>13635</v>
      </c>
      <c r="S3300" s="18" t="s">
        <v>133</v>
      </c>
      <c r="T3300" s="18" t="s">
        <v>13636</v>
      </c>
      <c r="U3300" s="18"/>
      <c r="V3300" s="19" t="s">
        <v>29</v>
      </c>
      <c r="W3300" s="19"/>
      <c r="X3300" s="19"/>
      <c r="Y3300" s="20"/>
      <c r="Z3300" s="19"/>
      <c r="AA3300" s="18" t="str">
        <f aca="false">IF(OR(V3300="Aprobada"),R3300,IF(AND(OR(V3300="Aprobada con ajuste",V3300="Rechazada"),W3300&lt;&gt;""),W3300,""))</f>
        <v/>
      </c>
    </row>
    <row r="3301" customFormat="false" ht="22.35" hidden="false" customHeight="false" outlineLevel="0" collapsed="false">
      <c r="A3301" s="18" t="s">
        <v>13637</v>
      </c>
      <c r="B3301" s="18" t="s">
        <v>82</v>
      </c>
      <c r="C3301" s="18" t="s">
        <v>83</v>
      </c>
      <c r="D3301" s="18" t="s">
        <v>13628</v>
      </c>
      <c r="E3301" s="18" t="n">
        <v>19</v>
      </c>
      <c r="F3301" s="18" t="s">
        <v>13638</v>
      </c>
      <c r="G3301" s="18" t="s">
        <v>145</v>
      </c>
      <c r="H3301" s="18" t="s">
        <v>129</v>
      </c>
      <c r="I3301" s="18"/>
      <c r="J3301" s="18"/>
      <c r="K3301" s="18"/>
      <c r="L3301" s="18" t="s">
        <v>162</v>
      </c>
      <c r="M3301" s="18" t="s">
        <v>129</v>
      </c>
      <c r="N3301" s="18"/>
      <c r="O3301" s="18"/>
      <c r="P3301" s="18" t="s">
        <v>13639</v>
      </c>
      <c r="Q3301" s="18" t="s">
        <v>149</v>
      </c>
      <c r="R3301" s="18" t="s">
        <v>13640</v>
      </c>
      <c r="S3301" s="18" t="s">
        <v>140</v>
      </c>
      <c r="T3301" s="18" t="s">
        <v>13636</v>
      </c>
      <c r="U3301" s="18" t="s">
        <v>13641</v>
      </c>
      <c r="V3301" s="19" t="s">
        <v>29</v>
      </c>
      <c r="W3301" s="19"/>
      <c r="X3301" s="19"/>
      <c r="Y3301" s="20"/>
      <c r="Z3301" s="19"/>
      <c r="AA3301" s="18" t="str">
        <f aca="false">IF(OR(V3301="Aprobada"),R3301,IF(AND(OR(V3301="Aprobada con ajuste",V3301="Rechazada"),W3301&lt;&gt;""),W3301,""))</f>
        <v/>
      </c>
    </row>
    <row r="3302" customFormat="false" ht="32.8" hidden="false" customHeight="false" outlineLevel="0" collapsed="false">
      <c r="A3302" s="18" t="s">
        <v>13642</v>
      </c>
      <c r="B3302" s="18" t="s">
        <v>82</v>
      </c>
      <c r="C3302" s="18" t="s">
        <v>83</v>
      </c>
      <c r="D3302" s="18" t="s">
        <v>13628</v>
      </c>
      <c r="E3302" s="18" t="n">
        <v>19</v>
      </c>
      <c r="F3302" s="18" t="s">
        <v>13643</v>
      </c>
      <c r="G3302" s="18" t="s">
        <v>454</v>
      </c>
      <c r="H3302" s="18" t="s">
        <v>162</v>
      </c>
      <c r="I3302" s="18"/>
      <c r="J3302" s="18"/>
      <c r="K3302" s="18"/>
      <c r="L3302" s="18" t="s">
        <v>162</v>
      </c>
      <c r="M3302" s="18" t="s">
        <v>129</v>
      </c>
      <c r="N3302" s="18"/>
      <c r="O3302" s="18"/>
      <c r="P3302" s="18" t="s">
        <v>13644</v>
      </c>
      <c r="Q3302" s="18" t="s">
        <v>149</v>
      </c>
      <c r="R3302" s="18" t="s">
        <v>13645</v>
      </c>
      <c r="S3302" s="18" t="s">
        <v>133</v>
      </c>
      <c r="T3302" s="18" t="s">
        <v>13636</v>
      </c>
      <c r="U3302" s="18"/>
      <c r="V3302" s="19" t="s">
        <v>29</v>
      </c>
      <c r="W3302" s="19"/>
      <c r="X3302" s="19"/>
      <c r="Y3302" s="20"/>
      <c r="Z3302" s="19"/>
      <c r="AA3302" s="18" t="str">
        <f aca="false">IF(OR(V3302="Aprobada"),R3302,IF(AND(OR(V3302="Aprobada con ajuste",V3302="Rechazada"),W3302&lt;&gt;""),W3302,""))</f>
        <v/>
      </c>
    </row>
    <row r="3303" customFormat="false" ht="22.35" hidden="false" customHeight="false" outlineLevel="0" collapsed="false">
      <c r="A3303" s="18" t="s">
        <v>13646</v>
      </c>
      <c r="B3303" s="18" t="s">
        <v>82</v>
      </c>
      <c r="C3303" s="18" t="s">
        <v>83</v>
      </c>
      <c r="D3303" s="18" t="s">
        <v>13628</v>
      </c>
      <c r="E3303" s="18" t="n">
        <v>19</v>
      </c>
      <c r="F3303" s="18" t="s">
        <v>11691</v>
      </c>
      <c r="G3303" s="18" t="s">
        <v>192</v>
      </c>
      <c r="H3303" s="18" t="s">
        <v>162</v>
      </c>
      <c r="I3303" s="18"/>
      <c r="J3303" s="18"/>
      <c r="K3303" s="18"/>
      <c r="L3303" s="18" t="s">
        <v>162</v>
      </c>
      <c r="M3303" s="18" t="s">
        <v>129</v>
      </c>
      <c r="N3303" s="18"/>
      <c r="O3303" s="18"/>
      <c r="P3303" s="18" t="s">
        <v>13647</v>
      </c>
      <c r="Q3303" s="18" t="s">
        <v>149</v>
      </c>
      <c r="R3303" s="18" t="s">
        <v>13648</v>
      </c>
      <c r="S3303" s="18" t="s">
        <v>140</v>
      </c>
      <c r="T3303" s="18" t="s">
        <v>3193</v>
      </c>
      <c r="U3303" s="18" t="s">
        <v>13649</v>
      </c>
      <c r="V3303" s="19" t="s">
        <v>29</v>
      </c>
      <c r="W3303" s="19"/>
      <c r="X3303" s="19"/>
      <c r="Y3303" s="20"/>
      <c r="Z3303" s="19"/>
      <c r="AA3303" s="18" t="str">
        <f aca="false">IF(OR(V3303="Aprobada"),R3303,IF(AND(OR(V3303="Aprobada con ajuste",V3303="Rechazada"),W3303&lt;&gt;""),W3303,""))</f>
        <v/>
      </c>
    </row>
    <row r="3304" customFormat="false" ht="22.35" hidden="false" customHeight="false" outlineLevel="0" collapsed="false">
      <c r="A3304" s="18" t="s">
        <v>13650</v>
      </c>
      <c r="B3304" s="18" t="s">
        <v>82</v>
      </c>
      <c r="C3304" s="18" t="s">
        <v>83</v>
      </c>
      <c r="D3304" s="18" t="s">
        <v>13628</v>
      </c>
      <c r="E3304" s="18" t="n">
        <v>19</v>
      </c>
      <c r="F3304" s="18" t="s">
        <v>1933</v>
      </c>
      <c r="G3304" s="18" t="s">
        <v>145</v>
      </c>
      <c r="H3304" s="18" t="s">
        <v>162</v>
      </c>
      <c r="I3304" s="18"/>
      <c r="J3304" s="18"/>
      <c r="K3304" s="18"/>
      <c r="L3304" s="18" t="s">
        <v>162</v>
      </c>
      <c r="M3304" s="18" t="s">
        <v>129</v>
      </c>
      <c r="N3304" s="18"/>
      <c r="O3304" s="18" t="s">
        <v>13651</v>
      </c>
      <c r="P3304" s="18" t="s">
        <v>13652</v>
      </c>
      <c r="Q3304" s="18" t="s">
        <v>149</v>
      </c>
      <c r="R3304" s="18" t="s">
        <v>13653</v>
      </c>
      <c r="S3304" s="18" t="s">
        <v>140</v>
      </c>
      <c r="T3304" s="18" t="s">
        <v>13654</v>
      </c>
      <c r="U3304" s="18" t="s">
        <v>13655</v>
      </c>
      <c r="V3304" s="19" t="s">
        <v>29</v>
      </c>
      <c r="W3304" s="19"/>
      <c r="X3304" s="19"/>
      <c r="Y3304" s="20"/>
      <c r="Z3304" s="19"/>
      <c r="AA3304" s="18" t="str">
        <f aca="false">IF(OR(V3304="Aprobada"),R3304,IF(AND(OR(V3304="Aprobada con ajuste",V3304="Rechazada"),W3304&lt;&gt;""),W3304,""))</f>
        <v/>
      </c>
    </row>
    <row r="3305" customFormat="false" ht="32.8" hidden="false" customHeight="false" outlineLevel="0" collapsed="false">
      <c r="A3305" s="18" t="s">
        <v>13656</v>
      </c>
      <c r="B3305" s="18" t="s">
        <v>82</v>
      </c>
      <c r="C3305" s="18" t="s">
        <v>83</v>
      </c>
      <c r="D3305" s="18" t="s">
        <v>13628</v>
      </c>
      <c r="E3305" s="18" t="n">
        <v>19</v>
      </c>
      <c r="F3305" s="18" t="s">
        <v>937</v>
      </c>
      <c r="G3305" s="18" t="s">
        <v>503</v>
      </c>
      <c r="H3305" s="18" t="s">
        <v>129</v>
      </c>
      <c r="I3305" s="18"/>
      <c r="J3305" s="18"/>
      <c r="K3305" s="18"/>
      <c r="L3305" s="18" t="s">
        <v>162</v>
      </c>
      <c r="M3305" s="18" t="s">
        <v>129</v>
      </c>
      <c r="N3305" s="18"/>
      <c r="O3305" s="18" t="s">
        <v>13651</v>
      </c>
      <c r="P3305" s="18" t="s">
        <v>13657</v>
      </c>
      <c r="Q3305" s="18" t="s">
        <v>138</v>
      </c>
      <c r="R3305" s="18" t="s">
        <v>939</v>
      </c>
      <c r="S3305" s="18" t="s">
        <v>140</v>
      </c>
      <c r="T3305" s="18" t="s">
        <v>141</v>
      </c>
      <c r="U3305" s="18"/>
      <c r="V3305" s="19" t="s">
        <v>29</v>
      </c>
      <c r="W3305" s="19"/>
      <c r="X3305" s="19"/>
      <c r="Y3305" s="20"/>
      <c r="Z3305" s="19"/>
      <c r="AA3305" s="18" t="str">
        <f aca="false">IF(OR(V3305="Aprobada"),R3305,IF(AND(OR(V3305="Aprobada con ajuste",V3305="Rechazada"),W3305&lt;&gt;""),W3305,""))</f>
        <v/>
      </c>
    </row>
    <row r="3306" customFormat="false" ht="32.8" hidden="false" customHeight="false" outlineLevel="0" collapsed="false">
      <c r="A3306" s="18" t="s">
        <v>13658</v>
      </c>
      <c r="B3306" s="18" t="s">
        <v>82</v>
      </c>
      <c r="C3306" s="18" t="s">
        <v>83</v>
      </c>
      <c r="D3306" s="18" t="s">
        <v>13628</v>
      </c>
      <c r="E3306" s="18" t="n">
        <v>19</v>
      </c>
      <c r="F3306" s="18" t="s">
        <v>172</v>
      </c>
      <c r="G3306" s="18" t="s">
        <v>173</v>
      </c>
      <c r="H3306" s="18" t="s">
        <v>129</v>
      </c>
      <c r="I3306" s="18"/>
      <c r="J3306" s="18"/>
      <c r="K3306" s="18"/>
      <c r="L3306" s="18" t="s">
        <v>162</v>
      </c>
      <c r="M3306" s="18" t="s">
        <v>129</v>
      </c>
      <c r="N3306" s="18"/>
      <c r="O3306" s="18"/>
      <c r="P3306" s="18" t="s">
        <v>13659</v>
      </c>
      <c r="Q3306" s="18" t="s">
        <v>138</v>
      </c>
      <c r="R3306" s="18" t="s">
        <v>176</v>
      </c>
      <c r="S3306" s="18" t="s">
        <v>140</v>
      </c>
      <c r="T3306" s="18" t="s">
        <v>141</v>
      </c>
      <c r="U3306" s="18"/>
      <c r="V3306" s="19" t="s">
        <v>29</v>
      </c>
      <c r="W3306" s="19"/>
      <c r="X3306" s="19"/>
      <c r="Y3306" s="20"/>
      <c r="Z3306" s="19"/>
      <c r="AA3306" s="18" t="str">
        <f aca="false">IF(OR(V3306="Aprobada"),R3306,IF(AND(OR(V3306="Aprobada con ajuste",V3306="Rechazada"),W3306&lt;&gt;""),W3306,""))</f>
        <v/>
      </c>
    </row>
    <row r="3307" customFormat="false" ht="43.25" hidden="false" customHeight="false" outlineLevel="0" collapsed="false">
      <c r="A3307" s="18" t="s">
        <v>13660</v>
      </c>
      <c r="B3307" s="18" t="s">
        <v>82</v>
      </c>
      <c r="C3307" s="18" t="s">
        <v>83</v>
      </c>
      <c r="D3307" s="18" t="s">
        <v>13661</v>
      </c>
      <c r="E3307" s="18" t="n">
        <v>1</v>
      </c>
      <c r="F3307" s="18" t="s">
        <v>611</v>
      </c>
      <c r="G3307" s="18" t="s">
        <v>145</v>
      </c>
      <c r="H3307" s="18" t="s">
        <v>129</v>
      </c>
      <c r="I3307" s="18" t="s">
        <v>146</v>
      </c>
      <c r="J3307" s="18"/>
      <c r="K3307" s="18"/>
      <c r="L3307" s="18" t="s">
        <v>162</v>
      </c>
      <c r="M3307" s="18" t="s">
        <v>129</v>
      </c>
      <c r="N3307" s="18"/>
      <c r="O3307" s="18" t="s">
        <v>13662</v>
      </c>
      <c r="P3307" s="18" t="s">
        <v>13663</v>
      </c>
      <c r="Q3307" s="18" t="s">
        <v>138</v>
      </c>
      <c r="R3307" s="18" t="s">
        <v>13664</v>
      </c>
      <c r="S3307" s="18" t="s">
        <v>140</v>
      </c>
      <c r="T3307" s="18" t="s">
        <v>141</v>
      </c>
      <c r="U3307" s="18"/>
      <c r="V3307" s="19" t="s">
        <v>29</v>
      </c>
      <c r="W3307" s="19"/>
      <c r="X3307" s="19"/>
      <c r="Y3307" s="20"/>
      <c r="Z3307" s="19"/>
      <c r="AA3307" s="18" t="str">
        <f aca="false">IF(OR(V3307="Aprobada"),R3307,IF(AND(OR(V3307="Aprobada con ajuste",V3307="Rechazada"),W3307&lt;&gt;""),W3307,""))</f>
        <v/>
      </c>
    </row>
    <row r="3308" customFormat="false" ht="32.8" hidden="false" customHeight="false" outlineLevel="0" collapsed="false">
      <c r="A3308" s="18" t="s">
        <v>13665</v>
      </c>
      <c r="B3308" s="18" t="s">
        <v>82</v>
      </c>
      <c r="C3308" s="18" t="s">
        <v>83</v>
      </c>
      <c r="D3308" s="18" t="s">
        <v>13661</v>
      </c>
      <c r="E3308" s="18" t="n">
        <v>1</v>
      </c>
      <c r="F3308" s="18" t="s">
        <v>275</v>
      </c>
      <c r="G3308" s="18" t="s">
        <v>486</v>
      </c>
      <c r="H3308" s="18" t="s">
        <v>129</v>
      </c>
      <c r="I3308" s="18"/>
      <c r="J3308" s="18"/>
      <c r="K3308" s="18"/>
      <c r="L3308" s="18" t="s">
        <v>162</v>
      </c>
      <c r="M3308" s="18" t="s">
        <v>129</v>
      </c>
      <c r="N3308" s="18"/>
      <c r="O3308" s="18"/>
      <c r="P3308" s="18" t="s">
        <v>13666</v>
      </c>
      <c r="Q3308" s="18" t="s">
        <v>138</v>
      </c>
      <c r="R3308" s="18" t="s">
        <v>13667</v>
      </c>
      <c r="S3308" s="18" t="s">
        <v>140</v>
      </c>
      <c r="T3308" s="18" t="s">
        <v>141</v>
      </c>
      <c r="U3308" s="18"/>
      <c r="V3308" s="19" t="s">
        <v>29</v>
      </c>
      <c r="W3308" s="19"/>
      <c r="X3308" s="19"/>
      <c r="Y3308" s="20"/>
      <c r="Z3308" s="19"/>
      <c r="AA3308" s="18" t="str">
        <f aca="false">IF(OR(V3308="Aprobada"),R3308,IF(AND(OR(V3308="Aprobada con ajuste",V3308="Rechazada"),W3308&lt;&gt;""),W3308,""))</f>
        <v/>
      </c>
    </row>
    <row r="3309" customFormat="false" ht="32.8" hidden="false" customHeight="false" outlineLevel="0" collapsed="false">
      <c r="A3309" s="18" t="s">
        <v>13668</v>
      </c>
      <c r="B3309" s="18" t="s">
        <v>82</v>
      </c>
      <c r="C3309" s="18" t="s">
        <v>83</v>
      </c>
      <c r="D3309" s="18" t="s">
        <v>13661</v>
      </c>
      <c r="E3309" s="18" t="n">
        <v>1</v>
      </c>
      <c r="F3309" s="18" t="s">
        <v>11068</v>
      </c>
      <c r="G3309" s="18" t="s">
        <v>13669</v>
      </c>
      <c r="H3309" s="18" t="s">
        <v>129</v>
      </c>
      <c r="I3309" s="18"/>
      <c r="J3309" s="18"/>
      <c r="K3309" s="18"/>
      <c r="L3309" s="18" t="s">
        <v>162</v>
      </c>
      <c r="M3309" s="18" t="s">
        <v>129</v>
      </c>
      <c r="N3309" s="18"/>
      <c r="O3309" s="18"/>
      <c r="P3309" s="18" t="s">
        <v>13670</v>
      </c>
      <c r="Q3309" s="18" t="s">
        <v>149</v>
      </c>
      <c r="R3309" s="18" t="s">
        <v>13671</v>
      </c>
      <c r="S3309" s="18" t="s">
        <v>133</v>
      </c>
      <c r="T3309" s="18" t="s">
        <v>13672</v>
      </c>
      <c r="U3309" s="18"/>
      <c r="V3309" s="19" t="s">
        <v>29</v>
      </c>
      <c r="W3309" s="19"/>
      <c r="X3309" s="19"/>
      <c r="Y3309" s="20"/>
      <c r="Z3309" s="19"/>
      <c r="AA3309" s="18" t="str">
        <f aca="false">IF(OR(V3309="Aprobada"),R3309,IF(AND(OR(V3309="Aprobada con ajuste",V3309="Rechazada"),W3309&lt;&gt;""),W3309,""))</f>
        <v/>
      </c>
    </row>
    <row r="3310" customFormat="false" ht="22.35" hidden="false" customHeight="false" outlineLevel="0" collapsed="false">
      <c r="A3310" s="18" t="s">
        <v>13673</v>
      </c>
      <c r="B3310" s="18" t="s">
        <v>82</v>
      </c>
      <c r="C3310" s="18" t="s">
        <v>83</v>
      </c>
      <c r="D3310" s="18" t="s">
        <v>13661</v>
      </c>
      <c r="E3310" s="18" t="n">
        <v>1</v>
      </c>
      <c r="F3310" s="18" t="s">
        <v>11073</v>
      </c>
      <c r="G3310" s="18" t="s">
        <v>13669</v>
      </c>
      <c r="H3310" s="18" t="s">
        <v>129</v>
      </c>
      <c r="I3310" s="18"/>
      <c r="J3310" s="18"/>
      <c r="K3310" s="18"/>
      <c r="L3310" s="18" t="s">
        <v>162</v>
      </c>
      <c r="M3310" s="18" t="s">
        <v>129</v>
      </c>
      <c r="N3310" s="18"/>
      <c r="O3310" s="18"/>
      <c r="P3310" s="18" t="s">
        <v>13674</v>
      </c>
      <c r="Q3310" s="18" t="s">
        <v>149</v>
      </c>
      <c r="R3310" s="18" t="s">
        <v>13675</v>
      </c>
      <c r="S3310" s="18" t="s">
        <v>133</v>
      </c>
      <c r="T3310" s="18" t="s">
        <v>13676</v>
      </c>
      <c r="U3310" s="18"/>
      <c r="V3310" s="19" t="s">
        <v>29</v>
      </c>
      <c r="W3310" s="19"/>
      <c r="X3310" s="19"/>
      <c r="Y3310" s="20"/>
      <c r="Z3310" s="19"/>
      <c r="AA3310" s="18" t="str">
        <f aca="false">IF(OR(V3310="Aprobada"),R3310,IF(AND(OR(V3310="Aprobada con ajuste",V3310="Rechazada"),W3310&lt;&gt;""),W3310,""))</f>
        <v/>
      </c>
    </row>
    <row r="3311" customFormat="false" ht="53.7" hidden="false" customHeight="false" outlineLevel="0" collapsed="false">
      <c r="A3311" s="18" t="s">
        <v>13677</v>
      </c>
      <c r="B3311" s="18" t="s">
        <v>82</v>
      </c>
      <c r="C3311" s="18" t="s">
        <v>83</v>
      </c>
      <c r="D3311" s="18" t="s">
        <v>13661</v>
      </c>
      <c r="E3311" s="18" t="n">
        <v>1</v>
      </c>
      <c r="F3311" s="18" t="s">
        <v>13678</v>
      </c>
      <c r="G3311" s="18" t="s">
        <v>192</v>
      </c>
      <c r="H3311" s="18" t="s">
        <v>129</v>
      </c>
      <c r="I3311" s="18"/>
      <c r="J3311" s="18"/>
      <c r="K3311" s="18"/>
      <c r="L3311" s="18" t="s">
        <v>162</v>
      </c>
      <c r="M3311" s="18" t="s">
        <v>129</v>
      </c>
      <c r="N3311" s="18"/>
      <c r="O3311" s="18"/>
      <c r="P3311" s="18" t="s">
        <v>13679</v>
      </c>
      <c r="Q3311" s="18" t="s">
        <v>131</v>
      </c>
      <c r="R3311" s="18" t="s">
        <v>13680</v>
      </c>
      <c r="S3311" s="18" t="s">
        <v>133</v>
      </c>
      <c r="T3311" s="18" t="s">
        <v>13681</v>
      </c>
      <c r="U3311" s="18"/>
      <c r="V3311" s="19" t="s">
        <v>29</v>
      </c>
      <c r="W3311" s="19"/>
      <c r="X3311" s="19"/>
      <c r="Y3311" s="20"/>
      <c r="Z3311" s="19"/>
      <c r="AA3311" s="18" t="str">
        <f aca="false">IF(OR(V3311="Aprobada"),R3311,IF(AND(OR(V3311="Aprobada con ajuste",V3311="Rechazada"),W3311&lt;&gt;""),W3311,""))</f>
        <v/>
      </c>
    </row>
    <row r="3312" customFormat="false" ht="53.7" hidden="false" customHeight="false" outlineLevel="0" collapsed="false">
      <c r="A3312" s="18" t="s">
        <v>13682</v>
      </c>
      <c r="B3312" s="18" t="s">
        <v>82</v>
      </c>
      <c r="C3312" s="18" t="s">
        <v>83</v>
      </c>
      <c r="D3312" s="18" t="s">
        <v>13661</v>
      </c>
      <c r="E3312" s="18" t="n">
        <v>1</v>
      </c>
      <c r="F3312" s="18" t="s">
        <v>13683</v>
      </c>
      <c r="G3312" s="18" t="s">
        <v>503</v>
      </c>
      <c r="H3312" s="18" t="s">
        <v>129</v>
      </c>
      <c r="I3312" s="18"/>
      <c r="J3312" s="18"/>
      <c r="K3312" s="18"/>
      <c r="L3312" s="18" t="s">
        <v>162</v>
      </c>
      <c r="M3312" s="18" t="s">
        <v>129</v>
      </c>
      <c r="N3312" s="18"/>
      <c r="O3312" s="18"/>
      <c r="P3312" s="18" t="s">
        <v>13684</v>
      </c>
      <c r="Q3312" s="18" t="s">
        <v>131</v>
      </c>
      <c r="R3312" s="18" t="s">
        <v>13685</v>
      </c>
      <c r="S3312" s="18" t="s">
        <v>133</v>
      </c>
      <c r="T3312" s="18" t="s">
        <v>13686</v>
      </c>
      <c r="U3312" s="18" t="s">
        <v>13687</v>
      </c>
      <c r="V3312" s="19" t="s">
        <v>29</v>
      </c>
      <c r="W3312" s="19"/>
      <c r="X3312" s="19"/>
      <c r="Y3312" s="20"/>
      <c r="Z3312" s="19"/>
      <c r="AA3312" s="18" t="str">
        <f aca="false">IF(OR(V3312="Aprobada"),R3312,IF(AND(OR(V3312="Aprobada con ajuste",V3312="Rechazada"),W3312&lt;&gt;""),W3312,""))</f>
        <v/>
      </c>
    </row>
    <row r="3313" customFormat="false" ht="53.7" hidden="false" customHeight="false" outlineLevel="0" collapsed="false">
      <c r="A3313" s="18" t="s">
        <v>13688</v>
      </c>
      <c r="B3313" s="18" t="s">
        <v>82</v>
      </c>
      <c r="C3313" s="18" t="s">
        <v>83</v>
      </c>
      <c r="D3313" s="18" t="s">
        <v>13661</v>
      </c>
      <c r="E3313" s="18" t="n">
        <v>1</v>
      </c>
      <c r="F3313" s="18" t="s">
        <v>13689</v>
      </c>
      <c r="G3313" s="18" t="s">
        <v>503</v>
      </c>
      <c r="H3313" s="18" t="s">
        <v>129</v>
      </c>
      <c r="I3313" s="18"/>
      <c r="J3313" s="18"/>
      <c r="K3313" s="18"/>
      <c r="L3313" s="18" t="s">
        <v>162</v>
      </c>
      <c r="M3313" s="18" t="s">
        <v>129</v>
      </c>
      <c r="N3313" s="18"/>
      <c r="O3313" s="18"/>
      <c r="P3313" s="18" t="s">
        <v>13690</v>
      </c>
      <c r="Q3313" s="18" t="s">
        <v>131</v>
      </c>
      <c r="R3313" s="18" t="s">
        <v>13691</v>
      </c>
      <c r="S3313" s="18" t="s">
        <v>133</v>
      </c>
      <c r="T3313" s="18" t="s">
        <v>13692</v>
      </c>
      <c r="U3313" s="18" t="s">
        <v>13693</v>
      </c>
      <c r="V3313" s="19" t="s">
        <v>29</v>
      </c>
      <c r="W3313" s="19"/>
      <c r="X3313" s="19"/>
      <c r="Y3313" s="20"/>
      <c r="Z3313" s="19"/>
      <c r="AA3313" s="18" t="str">
        <f aca="false">IF(OR(V3313="Aprobada"),R3313,IF(AND(OR(V3313="Aprobada con ajuste",V3313="Rechazada"),W3313&lt;&gt;""),W3313,""))</f>
        <v/>
      </c>
    </row>
    <row r="3314" customFormat="false" ht="32.8" hidden="false" customHeight="false" outlineLevel="0" collapsed="false">
      <c r="A3314" s="18" t="s">
        <v>13694</v>
      </c>
      <c r="B3314" s="18" t="s">
        <v>82</v>
      </c>
      <c r="C3314" s="18" t="s">
        <v>83</v>
      </c>
      <c r="D3314" s="18" t="s">
        <v>13661</v>
      </c>
      <c r="E3314" s="18" t="n">
        <v>1</v>
      </c>
      <c r="F3314" s="18" t="s">
        <v>172</v>
      </c>
      <c r="G3314" s="18" t="s">
        <v>173</v>
      </c>
      <c r="H3314" s="18" t="s">
        <v>129</v>
      </c>
      <c r="I3314" s="18"/>
      <c r="J3314" s="18"/>
      <c r="K3314" s="18"/>
      <c r="L3314" s="18" t="s">
        <v>162</v>
      </c>
      <c r="M3314" s="18" t="s">
        <v>129</v>
      </c>
      <c r="N3314" s="18"/>
      <c r="O3314" s="18" t="s">
        <v>13695</v>
      </c>
      <c r="P3314" s="18" t="s">
        <v>13696</v>
      </c>
      <c r="Q3314" s="18" t="s">
        <v>138</v>
      </c>
      <c r="R3314" s="18" t="s">
        <v>176</v>
      </c>
      <c r="S3314" s="18" t="s">
        <v>140</v>
      </c>
      <c r="T3314" s="18" t="s">
        <v>141</v>
      </c>
      <c r="U3314" s="18"/>
      <c r="V3314" s="19" t="s">
        <v>29</v>
      </c>
      <c r="W3314" s="19"/>
      <c r="X3314" s="19"/>
      <c r="Y3314" s="20"/>
      <c r="Z3314" s="19"/>
      <c r="AA3314" s="18" t="str">
        <f aca="false">IF(OR(V3314="Aprobada"),R3314,IF(AND(OR(V3314="Aprobada con ajuste",V3314="Rechazada"),W3314&lt;&gt;""),W3314,""))</f>
        <v/>
      </c>
    </row>
    <row r="3315" customFormat="false" ht="43.25" hidden="false" customHeight="false" outlineLevel="0" collapsed="false">
      <c r="A3315" s="18" t="s">
        <v>13697</v>
      </c>
      <c r="B3315" s="18" t="s">
        <v>82</v>
      </c>
      <c r="C3315" s="18" t="s">
        <v>83</v>
      </c>
      <c r="D3315" s="18" t="s">
        <v>13661</v>
      </c>
      <c r="E3315" s="18" t="n">
        <v>1</v>
      </c>
      <c r="F3315" s="18" t="s">
        <v>160</v>
      </c>
      <c r="G3315" s="18" t="s">
        <v>128</v>
      </c>
      <c r="H3315" s="18" t="s">
        <v>162</v>
      </c>
      <c r="I3315" s="18"/>
      <c r="J3315" s="18"/>
      <c r="K3315" s="18"/>
      <c r="L3315" s="18" t="s">
        <v>162</v>
      </c>
      <c r="M3315" s="18" t="s">
        <v>129</v>
      </c>
      <c r="N3315" s="18"/>
      <c r="O3315" s="18"/>
      <c r="P3315" s="18" t="s">
        <v>13698</v>
      </c>
      <c r="Q3315" s="18" t="s">
        <v>138</v>
      </c>
      <c r="R3315" s="18" t="s">
        <v>13699</v>
      </c>
      <c r="S3315" s="18" t="s">
        <v>140</v>
      </c>
      <c r="T3315" s="18" t="s">
        <v>141</v>
      </c>
      <c r="U3315" s="18"/>
      <c r="V3315" s="19" t="s">
        <v>29</v>
      </c>
      <c r="W3315" s="19"/>
      <c r="X3315" s="19"/>
      <c r="Y3315" s="20"/>
      <c r="Z3315" s="19"/>
      <c r="AA3315" s="18" t="str">
        <f aca="false">IF(OR(V3315="Aprobada"),R3315,IF(AND(OR(V3315="Aprobada con ajuste",V3315="Rechazada"),W3315&lt;&gt;""),W3315,""))</f>
        <v/>
      </c>
    </row>
    <row r="3316" customFormat="false" ht="43.25" hidden="false" customHeight="false" outlineLevel="0" collapsed="false">
      <c r="A3316" s="18" t="s">
        <v>13700</v>
      </c>
      <c r="B3316" s="18" t="s">
        <v>82</v>
      </c>
      <c r="C3316" s="18" t="s">
        <v>83</v>
      </c>
      <c r="D3316" s="18" t="s">
        <v>13701</v>
      </c>
      <c r="E3316" s="18" t="n">
        <v>2</v>
      </c>
      <c r="F3316" s="18" t="s">
        <v>12283</v>
      </c>
      <c r="G3316" s="18" t="s">
        <v>503</v>
      </c>
      <c r="H3316" s="18" t="s">
        <v>129</v>
      </c>
      <c r="I3316" s="18" t="s">
        <v>298</v>
      </c>
      <c r="J3316" s="18"/>
      <c r="K3316" s="18"/>
      <c r="L3316" s="18" t="s">
        <v>162</v>
      </c>
      <c r="M3316" s="18" t="s">
        <v>129</v>
      </c>
      <c r="N3316" s="18"/>
      <c r="O3316" s="18"/>
      <c r="P3316" s="18" t="s">
        <v>13702</v>
      </c>
      <c r="Q3316" s="18" t="s">
        <v>138</v>
      </c>
      <c r="R3316" s="18" t="s">
        <v>13703</v>
      </c>
      <c r="S3316" s="18" t="s">
        <v>140</v>
      </c>
      <c r="T3316" s="18" t="s">
        <v>141</v>
      </c>
      <c r="U3316" s="18"/>
      <c r="V3316" s="19" t="s">
        <v>29</v>
      </c>
      <c r="W3316" s="19"/>
      <c r="X3316" s="19"/>
      <c r="Y3316" s="20"/>
      <c r="Z3316" s="19"/>
      <c r="AA3316" s="18" t="str">
        <f aca="false">IF(OR(V3316="Aprobada"),R3316,IF(AND(OR(V3316="Aprobada con ajuste",V3316="Rechazada"),W3316&lt;&gt;""),W3316,""))</f>
        <v/>
      </c>
    </row>
    <row r="3317" customFormat="false" ht="43.25" hidden="false" customHeight="false" outlineLevel="0" collapsed="false">
      <c r="A3317" s="18" t="s">
        <v>13704</v>
      </c>
      <c r="B3317" s="18" t="s">
        <v>82</v>
      </c>
      <c r="C3317" s="18" t="s">
        <v>83</v>
      </c>
      <c r="D3317" s="18" t="s">
        <v>13701</v>
      </c>
      <c r="E3317" s="18" t="n">
        <v>2</v>
      </c>
      <c r="F3317" s="18" t="s">
        <v>13705</v>
      </c>
      <c r="G3317" s="18" t="s">
        <v>503</v>
      </c>
      <c r="H3317" s="18" t="s">
        <v>129</v>
      </c>
      <c r="I3317" s="18" t="s">
        <v>298</v>
      </c>
      <c r="J3317" s="18"/>
      <c r="K3317" s="18"/>
      <c r="L3317" s="18" t="s">
        <v>162</v>
      </c>
      <c r="M3317" s="18" t="s">
        <v>129</v>
      </c>
      <c r="N3317" s="18"/>
      <c r="O3317" s="18"/>
      <c r="P3317" s="18" t="s">
        <v>13706</v>
      </c>
      <c r="Q3317" s="18" t="s">
        <v>149</v>
      </c>
      <c r="R3317" s="18" t="s">
        <v>13707</v>
      </c>
      <c r="S3317" s="18" t="s">
        <v>140</v>
      </c>
      <c r="T3317" s="18" t="s">
        <v>13708</v>
      </c>
      <c r="U3317" s="18" t="s">
        <v>13709</v>
      </c>
      <c r="V3317" s="19" t="s">
        <v>29</v>
      </c>
      <c r="W3317" s="19"/>
      <c r="X3317" s="19"/>
      <c r="Y3317" s="20"/>
      <c r="Z3317" s="19"/>
      <c r="AA3317" s="18" t="str">
        <f aca="false">IF(OR(V3317="Aprobada"),R3317,IF(AND(OR(V3317="Aprobada con ajuste",V3317="Rechazada"),W3317&lt;&gt;""),W3317,""))</f>
        <v/>
      </c>
    </row>
    <row r="3318" customFormat="false" ht="43.25" hidden="false" customHeight="false" outlineLevel="0" collapsed="false">
      <c r="A3318" s="18" t="s">
        <v>13710</v>
      </c>
      <c r="B3318" s="18" t="s">
        <v>82</v>
      </c>
      <c r="C3318" s="18" t="s">
        <v>83</v>
      </c>
      <c r="D3318" s="18" t="s">
        <v>13701</v>
      </c>
      <c r="E3318" s="18" t="n">
        <v>2</v>
      </c>
      <c r="F3318" s="18" t="s">
        <v>172</v>
      </c>
      <c r="G3318" s="18" t="s">
        <v>173</v>
      </c>
      <c r="H3318" s="18" t="s">
        <v>129</v>
      </c>
      <c r="I3318" s="18"/>
      <c r="J3318" s="18"/>
      <c r="K3318" s="18"/>
      <c r="L3318" s="18" t="s">
        <v>162</v>
      </c>
      <c r="M3318" s="18" t="s">
        <v>129</v>
      </c>
      <c r="N3318" s="18"/>
      <c r="O3318" s="18"/>
      <c r="P3318" s="18" t="s">
        <v>13711</v>
      </c>
      <c r="Q3318" s="18" t="s">
        <v>138</v>
      </c>
      <c r="R3318" s="18" t="s">
        <v>176</v>
      </c>
      <c r="S3318" s="18" t="s">
        <v>140</v>
      </c>
      <c r="T3318" s="18" t="s">
        <v>141</v>
      </c>
      <c r="U3318" s="18"/>
      <c r="V3318" s="19" t="s">
        <v>29</v>
      </c>
      <c r="W3318" s="19"/>
      <c r="X3318" s="19"/>
      <c r="Y3318" s="20"/>
      <c r="Z3318" s="19"/>
      <c r="AA3318" s="18" t="str">
        <f aca="false">IF(OR(V3318="Aprobada"),R3318,IF(AND(OR(V3318="Aprobada con ajuste",V3318="Rechazada"),W3318&lt;&gt;""),W3318,""))</f>
        <v/>
      </c>
    </row>
    <row r="3319" customFormat="false" ht="43.25" hidden="false" customHeight="false" outlineLevel="0" collapsed="false">
      <c r="A3319" s="18" t="s">
        <v>13712</v>
      </c>
      <c r="B3319" s="18" t="s">
        <v>82</v>
      </c>
      <c r="C3319" s="18" t="s">
        <v>83</v>
      </c>
      <c r="D3319" s="18" t="s">
        <v>13701</v>
      </c>
      <c r="E3319" s="18" t="n">
        <v>2</v>
      </c>
      <c r="F3319" s="18" t="s">
        <v>13713</v>
      </c>
      <c r="G3319" s="18" t="s">
        <v>312</v>
      </c>
      <c r="H3319" s="18" t="s">
        <v>162</v>
      </c>
      <c r="I3319" s="18"/>
      <c r="J3319" s="18"/>
      <c r="K3319" s="18"/>
      <c r="L3319" s="18" t="s">
        <v>162</v>
      </c>
      <c r="M3319" s="18" t="s">
        <v>129</v>
      </c>
      <c r="N3319" s="18"/>
      <c r="O3319" s="18"/>
      <c r="P3319" s="18" t="s">
        <v>13714</v>
      </c>
      <c r="Q3319" s="18" t="s">
        <v>149</v>
      </c>
      <c r="R3319" s="18" t="s">
        <v>13715</v>
      </c>
      <c r="S3319" s="18" t="s">
        <v>140</v>
      </c>
      <c r="T3319" s="18" t="s">
        <v>13716</v>
      </c>
      <c r="U3319" s="18" t="s">
        <v>13717</v>
      </c>
      <c r="V3319" s="19" t="s">
        <v>29</v>
      </c>
      <c r="W3319" s="19"/>
      <c r="X3319" s="19"/>
      <c r="Y3319" s="20"/>
      <c r="Z3319" s="19"/>
      <c r="AA3319" s="18" t="str">
        <f aca="false">IF(OR(V3319="Aprobada"),R3319,IF(AND(OR(V3319="Aprobada con ajuste",V3319="Rechazada"),W3319&lt;&gt;""),W3319,""))</f>
        <v/>
      </c>
    </row>
    <row r="3320" customFormat="false" ht="43.25" hidden="false" customHeight="false" outlineLevel="0" collapsed="false">
      <c r="A3320" s="18" t="s">
        <v>13718</v>
      </c>
      <c r="B3320" s="18" t="s">
        <v>82</v>
      </c>
      <c r="C3320" s="18" t="s">
        <v>83</v>
      </c>
      <c r="D3320" s="18" t="s">
        <v>13719</v>
      </c>
      <c r="E3320" s="18" t="n">
        <v>42</v>
      </c>
      <c r="F3320" s="18" t="s">
        <v>13720</v>
      </c>
      <c r="G3320" s="18" t="s">
        <v>205</v>
      </c>
      <c r="H3320" s="18" t="s">
        <v>129</v>
      </c>
      <c r="I3320" s="18" t="s">
        <v>298</v>
      </c>
      <c r="J3320" s="18" t="s">
        <v>13721</v>
      </c>
      <c r="K3320" s="18"/>
      <c r="L3320" s="18" t="s">
        <v>162</v>
      </c>
      <c r="M3320" s="18" t="s">
        <v>129</v>
      </c>
      <c r="N3320" s="18"/>
      <c r="O3320" s="18"/>
      <c r="P3320" s="18" t="s">
        <v>13722</v>
      </c>
      <c r="Q3320" s="18" t="s">
        <v>149</v>
      </c>
      <c r="R3320" s="18" t="s">
        <v>13723</v>
      </c>
      <c r="S3320" s="18" t="s">
        <v>133</v>
      </c>
      <c r="T3320" s="18" t="s">
        <v>13724</v>
      </c>
      <c r="U3320" s="18"/>
      <c r="V3320" s="19" t="s">
        <v>29</v>
      </c>
      <c r="W3320" s="19"/>
      <c r="X3320" s="19"/>
      <c r="Y3320" s="20"/>
      <c r="Z3320" s="19"/>
      <c r="AA3320" s="18" t="str">
        <f aca="false">IF(OR(V3320="Aprobada"),R3320,IF(AND(OR(V3320="Aprobada con ajuste",V3320="Rechazada"),W3320&lt;&gt;""),W3320,""))</f>
        <v/>
      </c>
    </row>
    <row r="3321" customFormat="false" ht="53.7" hidden="false" customHeight="false" outlineLevel="0" collapsed="false">
      <c r="A3321" s="18" t="s">
        <v>13725</v>
      </c>
      <c r="B3321" s="18" t="s">
        <v>82</v>
      </c>
      <c r="C3321" s="18" t="s">
        <v>83</v>
      </c>
      <c r="D3321" s="18" t="s">
        <v>13719</v>
      </c>
      <c r="E3321" s="18" t="n">
        <v>42</v>
      </c>
      <c r="F3321" s="18" t="s">
        <v>937</v>
      </c>
      <c r="G3321" s="18" t="s">
        <v>503</v>
      </c>
      <c r="H3321" s="18" t="s">
        <v>129</v>
      </c>
      <c r="I3321" s="18"/>
      <c r="J3321" s="18"/>
      <c r="K3321" s="18"/>
      <c r="L3321" s="18" t="s">
        <v>162</v>
      </c>
      <c r="M3321" s="18" t="s">
        <v>129</v>
      </c>
      <c r="N3321" s="18"/>
      <c r="O3321" s="18"/>
      <c r="P3321" s="18" t="s">
        <v>13726</v>
      </c>
      <c r="Q3321" s="18" t="s">
        <v>138</v>
      </c>
      <c r="R3321" s="18" t="s">
        <v>939</v>
      </c>
      <c r="S3321" s="18" t="s">
        <v>140</v>
      </c>
      <c r="T3321" s="18" t="s">
        <v>141</v>
      </c>
      <c r="U3321" s="18"/>
      <c r="V3321" s="19" t="s">
        <v>29</v>
      </c>
      <c r="W3321" s="19"/>
      <c r="X3321" s="19"/>
      <c r="Y3321" s="20"/>
      <c r="Z3321" s="19"/>
      <c r="AA3321" s="18" t="str">
        <f aca="false">IF(OR(V3321="Aprobada"),R3321,IF(AND(OR(V3321="Aprobada con ajuste",V3321="Rechazada"),W3321&lt;&gt;""),W3321,""))</f>
        <v/>
      </c>
    </row>
    <row r="3322" customFormat="false" ht="53.7" hidden="false" customHeight="false" outlineLevel="0" collapsed="false">
      <c r="A3322" s="18" t="s">
        <v>13727</v>
      </c>
      <c r="B3322" s="18" t="s">
        <v>82</v>
      </c>
      <c r="C3322" s="18" t="s">
        <v>83</v>
      </c>
      <c r="D3322" s="18" t="s">
        <v>13719</v>
      </c>
      <c r="E3322" s="18" t="n">
        <v>42</v>
      </c>
      <c r="F3322" s="18" t="s">
        <v>172</v>
      </c>
      <c r="G3322" s="18" t="s">
        <v>173</v>
      </c>
      <c r="H3322" s="18" t="s">
        <v>129</v>
      </c>
      <c r="I3322" s="18"/>
      <c r="J3322" s="18"/>
      <c r="K3322" s="18"/>
      <c r="L3322" s="18" t="s">
        <v>162</v>
      </c>
      <c r="M3322" s="18" t="s">
        <v>129</v>
      </c>
      <c r="N3322" s="18"/>
      <c r="O3322" s="18"/>
      <c r="P3322" s="18" t="s">
        <v>13728</v>
      </c>
      <c r="Q3322" s="18" t="s">
        <v>138</v>
      </c>
      <c r="R3322" s="18" t="s">
        <v>176</v>
      </c>
      <c r="S3322" s="18" t="s">
        <v>140</v>
      </c>
      <c r="T3322" s="18" t="s">
        <v>141</v>
      </c>
      <c r="U3322" s="18"/>
      <c r="V3322" s="19" t="s">
        <v>29</v>
      </c>
      <c r="W3322" s="19"/>
      <c r="X3322" s="19"/>
      <c r="Y3322" s="20"/>
      <c r="Z3322" s="19"/>
      <c r="AA3322" s="18" t="str">
        <f aca="false">IF(OR(V3322="Aprobada"),R3322,IF(AND(OR(V3322="Aprobada con ajuste",V3322="Rechazada"),W3322&lt;&gt;""),W3322,""))</f>
        <v/>
      </c>
    </row>
    <row r="3323" customFormat="false" ht="64.15" hidden="false" customHeight="false" outlineLevel="0" collapsed="false">
      <c r="A3323" s="18" t="s">
        <v>13729</v>
      </c>
      <c r="B3323" s="18" t="s">
        <v>82</v>
      </c>
      <c r="C3323" s="18" t="s">
        <v>83</v>
      </c>
      <c r="D3323" s="18" t="s">
        <v>13730</v>
      </c>
      <c r="E3323" s="18" t="n">
        <v>7</v>
      </c>
      <c r="F3323" s="18" t="s">
        <v>13602</v>
      </c>
      <c r="G3323" s="18" t="s">
        <v>145</v>
      </c>
      <c r="H3323" s="18" t="s">
        <v>129</v>
      </c>
      <c r="I3323" s="18" t="s">
        <v>146</v>
      </c>
      <c r="J3323" s="18"/>
      <c r="K3323" s="18"/>
      <c r="L3323" s="18" t="s">
        <v>162</v>
      </c>
      <c r="M3323" s="18" t="s">
        <v>129</v>
      </c>
      <c r="N3323" s="18"/>
      <c r="O3323" s="18" t="s">
        <v>13731</v>
      </c>
      <c r="P3323" s="18" t="s">
        <v>13732</v>
      </c>
      <c r="Q3323" s="18" t="s">
        <v>149</v>
      </c>
      <c r="R3323" s="18" t="s">
        <v>13733</v>
      </c>
      <c r="S3323" s="18" t="s">
        <v>133</v>
      </c>
      <c r="T3323" s="18" t="s">
        <v>13734</v>
      </c>
      <c r="U3323" s="18"/>
      <c r="V3323" s="19" t="s">
        <v>29</v>
      </c>
      <c r="W3323" s="19"/>
      <c r="X3323" s="19"/>
      <c r="Y3323" s="20"/>
      <c r="Z3323" s="19"/>
      <c r="AA3323" s="18" t="str">
        <f aca="false">IF(OR(V3323="Aprobada"),R3323,IF(AND(OR(V3323="Aprobada con ajuste",V3323="Rechazada"),W3323&lt;&gt;""),W3323,""))</f>
        <v/>
      </c>
    </row>
    <row r="3324" customFormat="false" ht="43.25" hidden="false" customHeight="false" outlineLevel="0" collapsed="false">
      <c r="A3324" s="18" t="s">
        <v>13735</v>
      </c>
      <c r="B3324" s="18" t="s">
        <v>82</v>
      </c>
      <c r="C3324" s="18" t="s">
        <v>83</v>
      </c>
      <c r="D3324" s="18" t="s">
        <v>13730</v>
      </c>
      <c r="E3324" s="18" t="n">
        <v>7</v>
      </c>
      <c r="F3324" s="18" t="s">
        <v>13736</v>
      </c>
      <c r="G3324" s="18" t="s">
        <v>145</v>
      </c>
      <c r="H3324" s="18" t="s">
        <v>129</v>
      </c>
      <c r="I3324" s="18"/>
      <c r="J3324" s="18"/>
      <c r="K3324" s="18"/>
      <c r="L3324" s="18" t="s">
        <v>162</v>
      </c>
      <c r="M3324" s="18" t="s">
        <v>129</v>
      </c>
      <c r="N3324" s="18"/>
      <c r="O3324" s="18" t="s">
        <v>13737</v>
      </c>
      <c r="P3324" s="18" t="s">
        <v>13738</v>
      </c>
      <c r="Q3324" s="18" t="s">
        <v>149</v>
      </c>
      <c r="R3324" s="18" t="s">
        <v>13739</v>
      </c>
      <c r="S3324" s="18" t="s">
        <v>140</v>
      </c>
      <c r="T3324" s="18" t="s">
        <v>2050</v>
      </c>
      <c r="U3324" s="18" t="s">
        <v>13740</v>
      </c>
      <c r="V3324" s="19" t="s">
        <v>29</v>
      </c>
      <c r="W3324" s="19"/>
      <c r="X3324" s="19"/>
      <c r="Y3324" s="20"/>
      <c r="Z3324" s="19"/>
      <c r="AA3324" s="18" t="str">
        <f aca="false">IF(OR(V3324="Aprobada"),R3324,IF(AND(OR(V3324="Aprobada con ajuste",V3324="Rechazada"),W3324&lt;&gt;""),W3324,""))</f>
        <v/>
      </c>
    </row>
    <row r="3325" customFormat="false" ht="43.25" hidden="false" customHeight="false" outlineLevel="0" collapsed="false">
      <c r="A3325" s="18" t="s">
        <v>13741</v>
      </c>
      <c r="B3325" s="18" t="s">
        <v>82</v>
      </c>
      <c r="C3325" s="18" t="s">
        <v>83</v>
      </c>
      <c r="D3325" s="18" t="s">
        <v>13730</v>
      </c>
      <c r="E3325" s="18" t="n">
        <v>7</v>
      </c>
      <c r="F3325" s="18" t="s">
        <v>13742</v>
      </c>
      <c r="G3325" s="18" t="s">
        <v>192</v>
      </c>
      <c r="H3325" s="18" t="s">
        <v>129</v>
      </c>
      <c r="I3325" s="18"/>
      <c r="J3325" s="18"/>
      <c r="K3325" s="18"/>
      <c r="L3325" s="18" t="s">
        <v>162</v>
      </c>
      <c r="M3325" s="18" t="s">
        <v>129</v>
      </c>
      <c r="N3325" s="18"/>
      <c r="O3325" s="18"/>
      <c r="P3325" s="18" t="s">
        <v>13743</v>
      </c>
      <c r="Q3325" s="18" t="s">
        <v>149</v>
      </c>
      <c r="R3325" s="18" t="s">
        <v>13744</v>
      </c>
      <c r="S3325" s="18" t="s">
        <v>140</v>
      </c>
      <c r="T3325" s="18" t="s">
        <v>13745</v>
      </c>
      <c r="U3325" s="18" t="s">
        <v>13746</v>
      </c>
      <c r="V3325" s="19" t="s">
        <v>29</v>
      </c>
      <c r="W3325" s="19"/>
      <c r="X3325" s="19"/>
      <c r="Y3325" s="20"/>
      <c r="Z3325" s="19"/>
      <c r="AA3325" s="18" t="str">
        <f aca="false">IF(OR(V3325="Aprobada"),R3325,IF(AND(OR(V3325="Aprobada con ajuste",V3325="Rechazada"),W3325&lt;&gt;""),W3325,""))</f>
        <v/>
      </c>
    </row>
    <row r="3326" customFormat="false" ht="43.25" hidden="false" customHeight="false" outlineLevel="0" collapsed="false">
      <c r="A3326" s="18" t="s">
        <v>13747</v>
      </c>
      <c r="B3326" s="18" t="s">
        <v>82</v>
      </c>
      <c r="C3326" s="18" t="s">
        <v>83</v>
      </c>
      <c r="D3326" s="18" t="s">
        <v>13730</v>
      </c>
      <c r="E3326" s="18" t="n">
        <v>7</v>
      </c>
      <c r="F3326" s="18" t="s">
        <v>13748</v>
      </c>
      <c r="G3326" s="18" t="s">
        <v>192</v>
      </c>
      <c r="H3326" s="18" t="s">
        <v>129</v>
      </c>
      <c r="I3326" s="18"/>
      <c r="J3326" s="18"/>
      <c r="K3326" s="18"/>
      <c r="L3326" s="18" t="s">
        <v>162</v>
      </c>
      <c r="M3326" s="18" t="s">
        <v>129</v>
      </c>
      <c r="N3326" s="18"/>
      <c r="O3326" s="18"/>
      <c r="P3326" s="18" t="s">
        <v>13749</v>
      </c>
      <c r="Q3326" s="18" t="s">
        <v>149</v>
      </c>
      <c r="R3326" s="18" t="s">
        <v>13750</v>
      </c>
      <c r="S3326" s="18" t="s">
        <v>140</v>
      </c>
      <c r="T3326" s="18" t="s">
        <v>13745</v>
      </c>
      <c r="U3326" s="18" t="s">
        <v>13746</v>
      </c>
      <c r="V3326" s="19" t="s">
        <v>29</v>
      </c>
      <c r="W3326" s="19"/>
      <c r="X3326" s="19"/>
      <c r="Y3326" s="20"/>
      <c r="Z3326" s="19"/>
      <c r="AA3326" s="18" t="str">
        <f aca="false">IF(OR(V3326="Aprobada"),R3326,IF(AND(OR(V3326="Aprobada con ajuste",V3326="Rechazada"),W3326&lt;&gt;""),W3326,""))</f>
        <v/>
      </c>
    </row>
    <row r="3327" customFormat="false" ht="43.25" hidden="false" customHeight="false" outlineLevel="0" collapsed="false">
      <c r="A3327" s="18" t="s">
        <v>13751</v>
      </c>
      <c r="B3327" s="18" t="s">
        <v>82</v>
      </c>
      <c r="C3327" s="18" t="s">
        <v>83</v>
      </c>
      <c r="D3327" s="18" t="s">
        <v>13730</v>
      </c>
      <c r="E3327" s="18" t="n">
        <v>7</v>
      </c>
      <c r="F3327" s="18" t="s">
        <v>13752</v>
      </c>
      <c r="G3327" s="18" t="s">
        <v>192</v>
      </c>
      <c r="H3327" s="18" t="s">
        <v>129</v>
      </c>
      <c r="I3327" s="18"/>
      <c r="J3327" s="18"/>
      <c r="K3327" s="18"/>
      <c r="L3327" s="18" t="s">
        <v>162</v>
      </c>
      <c r="M3327" s="18" t="s">
        <v>129</v>
      </c>
      <c r="N3327" s="18"/>
      <c r="O3327" s="18"/>
      <c r="P3327" s="18" t="s">
        <v>13753</v>
      </c>
      <c r="Q3327" s="18" t="s">
        <v>149</v>
      </c>
      <c r="R3327" s="18" t="s">
        <v>13754</v>
      </c>
      <c r="S3327" s="18" t="s">
        <v>140</v>
      </c>
      <c r="T3327" s="18" t="s">
        <v>13745</v>
      </c>
      <c r="U3327" s="18" t="s">
        <v>13746</v>
      </c>
      <c r="V3327" s="19" t="s">
        <v>29</v>
      </c>
      <c r="W3327" s="19"/>
      <c r="X3327" s="19"/>
      <c r="Y3327" s="20"/>
      <c r="Z3327" s="19"/>
      <c r="AA3327" s="18" t="str">
        <f aca="false">IF(OR(V3327="Aprobada"),R3327,IF(AND(OR(V3327="Aprobada con ajuste",V3327="Rechazada"),W3327&lt;&gt;""),W3327,""))</f>
        <v/>
      </c>
    </row>
    <row r="3328" customFormat="false" ht="32.8" hidden="false" customHeight="false" outlineLevel="0" collapsed="false">
      <c r="A3328" s="18" t="s">
        <v>13755</v>
      </c>
      <c r="B3328" s="18" t="s">
        <v>82</v>
      </c>
      <c r="C3328" s="18" t="s">
        <v>83</v>
      </c>
      <c r="D3328" s="18" t="s">
        <v>13730</v>
      </c>
      <c r="E3328" s="18" t="n">
        <v>7</v>
      </c>
      <c r="F3328" s="18" t="s">
        <v>172</v>
      </c>
      <c r="G3328" s="18" t="s">
        <v>173</v>
      </c>
      <c r="H3328" s="18" t="s">
        <v>129</v>
      </c>
      <c r="I3328" s="18"/>
      <c r="J3328" s="18"/>
      <c r="K3328" s="18"/>
      <c r="L3328" s="18" t="s">
        <v>162</v>
      </c>
      <c r="M3328" s="18" t="s">
        <v>129</v>
      </c>
      <c r="N3328" s="18"/>
      <c r="O3328" s="18"/>
      <c r="P3328" s="18" t="s">
        <v>13756</v>
      </c>
      <c r="Q3328" s="18" t="s">
        <v>138</v>
      </c>
      <c r="R3328" s="18" t="s">
        <v>176</v>
      </c>
      <c r="S3328" s="18" t="s">
        <v>140</v>
      </c>
      <c r="T3328" s="18" t="s">
        <v>141</v>
      </c>
      <c r="U3328" s="18"/>
      <c r="V3328" s="19" t="s">
        <v>29</v>
      </c>
      <c r="W3328" s="19"/>
      <c r="X3328" s="19"/>
      <c r="Y3328" s="20"/>
      <c r="Z3328" s="19"/>
      <c r="AA3328" s="18" t="str">
        <f aca="false">IF(OR(V3328="Aprobada"),R3328,IF(AND(OR(V3328="Aprobada con ajuste",V3328="Rechazada"),W3328&lt;&gt;""),W3328,""))</f>
        <v/>
      </c>
    </row>
    <row r="3329" customFormat="false" ht="32.8" hidden="false" customHeight="false" outlineLevel="0" collapsed="false">
      <c r="A3329" s="18" t="s">
        <v>13757</v>
      </c>
      <c r="B3329" s="18" t="s">
        <v>82</v>
      </c>
      <c r="C3329" s="18" t="s">
        <v>83</v>
      </c>
      <c r="D3329" s="18" t="s">
        <v>13758</v>
      </c>
      <c r="E3329" s="18" t="n">
        <v>24</v>
      </c>
      <c r="F3329" s="18" t="s">
        <v>13720</v>
      </c>
      <c r="G3329" s="18" t="s">
        <v>205</v>
      </c>
      <c r="H3329" s="18" t="s">
        <v>129</v>
      </c>
      <c r="I3329" s="18" t="s">
        <v>298</v>
      </c>
      <c r="J3329" s="18" t="s">
        <v>13721</v>
      </c>
      <c r="K3329" s="18"/>
      <c r="L3329" s="18" t="s">
        <v>162</v>
      </c>
      <c r="M3329" s="18" t="s">
        <v>129</v>
      </c>
      <c r="N3329" s="18"/>
      <c r="O3329" s="18"/>
      <c r="P3329" s="18" t="s">
        <v>13759</v>
      </c>
      <c r="Q3329" s="18" t="s">
        <v>149</v>
      </c>
      <c r="R3329" s="18" t="s">
        <v>13760</v>
      </c>
      <c r="S3329" s="18" t="s">
        <v>133</v>
      </c>
      <c r="T3329" s="18" t="s">
        <v>13761</v>
      </c>
      <c r="U3329" s="18"/>
      <c r="V3329" s="19" t="s">
        <v>29</v>
      </c>
      <c r="W3329" s="19"/>
      <c r="X3329" s="19"/>
      <c r="Y3329" s="20"/>
      <c r="Z3329" s="19"/>
      <c r="AA3329" s="18" t="str">
        <f aca="false">IF(OR(V3329="Aprobada"),R3329,IF(AND(OR(V3329="Aprobada con ajuste",V3329="Rechazada"),W3329&lt;&gt;""),W3329,""))</f>
        <v/>
      </c>
    </row>
    <row r="3330" customFormat="false" ht="22.35" hidden="false" customHeight="false" outlineLevel="0" collapsed="false">
      <c r="A3330" s="18" t="s">
        <v>13762</v>
      </c>
      <c r="B3330" s="18" t="s">
        <v>82</v>
      </c>
      <c r="C3330" s="18" t="s">
        <v>83</v>
      </c>
      <c r="D3330" s="18" t="s">
        <v>13763</v>
      </c>
      <c r="E3330" s="18" t="n">
        <v>6</v>
      </c>
      <c r="F3330" s="18" t="s">
        <v>1922</v>
      </c>
      <c r="G3330" s="18" t="s">
        <v>128</v>
      </c>
      <c r="H3330" s="18" t="s">
        <v>129</v>
      </c>
      <c r="I3330" s="18"/>
      <c r="J3330" s="18"/>
      <c r="K3330" s="18"/>
      <c r="L3330" s="18" t="s">
        <v>162</v>
      </c>
      <c r="M3330" s="18" t="s">
        <v>129</v>
      </c>
      <c r="N3330" s="18"/>
      <c r="O3330" s="18"/>
      <c r="P3330" s="18"/>
      <c r="Q3330" s="18" t="s">
        <v>149</v>
      </c>
      <c r="R3330" s="18" t="s">
        <v>13764</v>
      </c>
      <c r="S3330" s="18" t="s">
        <v>140</v>
      </c>
      <c r="T3330" s="18" t="s">
        <v>13765</v>
      </c>
      <c r="U3330" s="18" t="s">
        <v>13766</v>
      </c>
      <c r="V3330" s="19" t="s">
        <v>29</v>
      </c>
      <c r="W3330" s="19"/>
      <c r="X3330" s="19"/>
      <c r="Y3330" s="20"/>
      <c r="Z3330" s="19"/>
      <c r="AA3330" s="18" t="str">
        <f aca="false">IF(OR(V3330="Aprobada"),R3330,IF(AND(OR(V3330="Aprobada con ajuste",V3330="Rechazada"),W3330&lt;&gt;""),W3330,""))</f>
        <v/>
      </c>
    </row>
    <row r="3331" customFormat="false" ht="22.35" hidden="false" customHeight="false" outlineLevel="0" collapsed="false">
      <c r="A3331" s="18" t="s">
        <v>13767</v>
      </c>
      <c r="B3331" s="18" t="s">
        <v>82</v>
      </c>
      <c r="C3331" s="18" t="s">
        <v>83</v>
      </c>
      <c r="D3331" s="18" t="s">
        <v>13763</v>
      </c>
      <c r="E3331" s="18" t="n">
        <v>6</v>
      </c>
      <c r="F3331" s="18" t="s">
        <v>160</v>
      </c>
      <c r="G3331" s="18" t="s">
        <v>128</v>
      </c>
      <c r="H3331" s="18" t="s">
        <v>162</v>
      </c>
      <c r="I3331" s="18"/>
      <c r="J3331" s="18"/>
      <c r="K3331" s="18"/>
      <c r="L3331" s="18" t="s">
        <v>162</v>
      </c>
      <c r="M3331" s="18" t="s">
        <v>129</v>
      </c>
      <c r="N3331" s="18"/>
      <c r="O3331" s="18"/>
      <c r="P3331" s="18"/>
      <c r="Q3331" s="18" t="s">
        <v>138</v>
      </c>
      <c r="R3331" s="18" t="s">
        <v>13768</v>
      </c>
      <c r="S3331" s="18" t="s">
        <v>140</v>
      </c>
      <c r="T3331" s="18" t="s">
        <v>141</v>
      </c>
      <c r="U3331" s="18"/>
      <c r="V3331" s="19" t="s">
        <v>29</v>
      </c>
      <c r="W3331" s="19"/>
      <c r="X3331" s="19"/>
      <c r="Y3331" s="20"/>
      <c r="Z3331" s="19"/>
      <c r="AA3331" s="18" t="str">
        <f aca="false">IF(OR(V3331="Aprobada"),R3331,IF(AND(OR(V3331="Aprobada con ajuste",V3331="Rechazada"),W3331&lt;&gt;""),W3331,""))</f>
        <v/>
      </c>
    </row>
    <row r="3332" customFormat="false" ht="32.8" hidden="false" customHeight="false" outlineLevel="0" collapsed="false">
      <c r="A3332" s="18" t="s">
        <v>13769</v>
      </c>
      <c r="B3332" s="18" t="s">
        <v>82</v>
      </c>
      <c r="C3332" s="18" t="s">
        <v>83</v>
      </c>
      <c r="D3332" s="18" t="s">
        <v>13770</v>
      </c>
      <c r="E3332" s="18" t="n">
        <v>0</v>
      </c>
      <c r="F3332" s="18" t="s">
        <v>896</v>
      </c>
      <c r="G3332" s="18" t="s">
        <v>145</v>
      </c>
      <c r="H3332" s="18" t="s">
        <v>129</v>
      </c>
      <c r="I3332" s="18" t="s">
        <v>298</v>
      </c>
      <c r="J3332" s="18" t="s">
        <v>13771</v>
      </c>
      <c r="K3332" s="18"/>
      <c r="L3332" s="18" t="s">
        <v>162</v>
      </c>
      <c r="M3332" s="18" t="s">
        <v>129</v>
      </c>
      <c r="N3332" s="18"/>
      <c r="O3332" s="18"/>
      <c r="P3332" s="18" t="s">
        <v>13772</v>
      </c>
      <c r="Q3332" s="18" t="s">
        <v>149</v>
      </c>
      <c r="R3332" s="18" t="s">
        <v>13773</v>
      </c>
      <c r="S3332" s="18" t="s">
        <v>133</v>
      </c>
      <c r="T3332" s="18" t="s">
        <v>13606</v>
      </c>
      <c r="U3332" s="18"/>
      <c r="V3332" s="19" t="s">
        <v>29</v>
      </c>
      <c r="W3332" s="19"/>
      <c r="X3332" s="19"/>
      <c r="Y3332" s="20"/>
      <c r="Z3332" s="19"/>
      <c r="AA3332" s="18" t="str">
        <f aca="false">IF(OR(V3332="Aprobada"),R3332,IF(AND(OR(V3332="Aprobada con ajuste",V3332="Rechazada"),W3332&lt;&gt;""),W3332,""))</f>
        <v/>
      </c>
    </row>
    <row r="3333" customFormat="false" ht="43.25" hidden="false" customHeight="false" outlineLevel="0" collapsed="false">
      <c r="A3333" s="18" t="s">
        <v>13774</v>
      </c>
      <c r="B3333" s="18" t="s">
        <v>82</v>
      </c>
      <c r="C3333" s="18" t="s">
        <v>83</v>
      </c>
      <c r="D3333" s="18" t="s">
        <v>13770</v>
      </c>
      <c r="E3333" s="18" t="n">
        <v>0</v>
      </c>
      <c r="F3333" s="18" t="s">
        <v>7566</v>
      </c>
      <c r="G3333" s="18" t="s">
        <v>180</v>
      </c>
      <c r="H3333" s="18" t="s">
        <v>129</v>
      </c>
      <c r="I3333" s="18"/>
      <c r="J3333" s="18"/>
      <c r="K3333" s="18"/>
      <c r="L3333" s="18" t="s">
        <v>129</v>
      </c>
      <c r="M3333" s="18" t="s">
        <v>129</v>
      </c>
      <c r="N3333" s="18"/>
      <c r="O3333" s="18"/>
      <c r="P3333" s="18" t="s">
        <v>13775</v>
      </c>
      <c r="Q3333" s="18" t="s">
        <v>149</v>
      </c>
      <c r="R3333" s="18" t="s">
        <v>13776</v>
      </c>
      <c r="S3333" s="18" t="s">
        <v>133</v>
      </c>
      <c r="T3333" s="18" t="s">
        <v>13777</v>
      </c>
      <c r="U3333" s="18"/>
      <c r="V3333" s="19" t="s">
        <v>29</v>
      </c>
      <c r="W3333" s="19"/>
      <c r="X3333" s="19"/>
      <c r="Y3333" s="20"/>
      <c r="Z3333" s="19"/>
      <c r="AA3333" s="18" t="str">
        <f aca="false">IF(OR(V3333="Aprobada"),R3333,IF(AND(OR(V3333="Aprobada con ajuste",V3333="Rechazada"),W3333&lt;&gt;""),W3333,""))</f>
        <v/>
      </c>
    </row>
    <row r="3334" customFormat="false" ht="43.25" hidden="false" customHeight="false" outlineLevel="0" collapsed="false">
      <c r="A3334" s="18" t="s">
        <v>13778</v>
      </c>
      <c r="B3334" s="18" t="s">
        <v>82</v>
      </c>
      <c r="C3334" s="18" t="s">
        <v>83</v>
      </c>
      <c r="D3334" s="18" t="s">
        <v>13770</v>
      </c>
      <c r="E3334" s="18" t="n">
        <v>0</v>
      </c>
      <c r="F3334" s="18" t="s">
        <v>13779</v>
      </c>
      <c r="G3334" s="18" t="s">
        <v>180</v>
      </c>
      <c r="H3334" s="18" t="s">
        <v>129</v>
      </c>
      <c r="I3334" s="18"/>
      <c r="J3334" s="18"/>
      <c r="K3334" s="18"/>
      <c r="L3334" s="18" t="s">
        <v>129</v>
      </c>
      <c r="M3334" s="18" t="s">
        <v>129</v>
      </c>
      <c r="N3334" s="18"/>
      <c r="O3334" s="18"/>
      <c r="P3334" s="18" t="s">
        <v>13780</v>
      </c>
      <c r="Q3334" s="18" t="s">
        <v>149</v>
      </c>
      <c r="R3334" s="18" t="s">
        <v>13781</v>
      </c>
      <c r="S3334" s="18" t="s">
        <v>140</v>
      </c>
      <c r="T3334" s="18" t="s">
        <v>13782</v>
      </c>
      <c r="U3334" s="18" t="s">
        <v>13783</v>
      </c>
      <c r="V3334" s="19" t="s">
        <v>29</v>
      </c>
      <c r="W3334" s="19"/>
      <c r="X3334" s="19"/>
      <c r="Y3334" s="20"/>
      <c r="Z3334" s="19"/>
      <c r="AA3334" s="18" t="str">
        <f aca="false">IF(OR(V3334="Aprobada"),R3334,IF(AND(OR(V3334="Aprobada con ajuste",V3334="Rechazada"),W3334&lt;&gt;""),W3334,""))</f>
        <v/>
      </c>
    </row>
    <row r="3335" customFormat="false" ht="32.8" hidden="false" customHeight="false" outlineLevel="0" collapsed="false">
      <c r="A3335" s="18" t="s">
        <v>13784</v>
      </c>
      <c r="B3335" s="18" t="s">
        <v>82</v>
      </c>
      <c r="C3335" s="18" t="s">
        <v>83</v>
      </c>
      <c r="D3335" s="18" t="s">
        <v>13770</v>
      </c>
      <c r="E3335" s="18" t="n">
        <v>0</v>
      </c>
      <c r="F3335" s="18" t="s">
        <v>13785</v>
      </c>
      <c r="G3335" s="18" t="s">
        <v>13786</v>
      </c>
      <c r="H3335" s="18" t="s">
        <v>129</v>
      </c>
      <c r="I3335" s="18"/>
      <c r="J3335" s="18"/>
      <c r="K3335" s="18"/>
      <c r="L3335" s="18" t="s">
        <v>129</v>
      </c>
      <c r="M3335" s="18" t="s">
        <v>129</v>
      </c>
      <c r="N3335" s="18"/>
      <c r="O3335" s="18"/>
      <c r="P3335" s="18" t="s">
        <v>13787</v>
      </c>
      <c r="Q3335" s="18" t="s">
        <v>149</v>
      </c>
      <c r="R3335" s="18" t="s">
        <v>13788</v>
      </c>
      <c r="S3335" s="18" t="s">
        <v>140</v>
      </c>
      <c r="T3335" s="18" t="s">
        <v>13789</v>
      </c>
      <c r="U3335" s="18" t="s">
        <v>13790</v>
      </c>
      <c r="V3335" s="19" t="s">
        <v>29</v>
      </c>
      <c r="W3335" s="19"/>
      <c r="X3335" s="19"/>
      <c r="Y3335" s="20"/>
      <c r="Z3335" s="19"/>
      <c r="AA3335" s="18" t="str">
        <f aca="false">IF(OR(V3335="Aprobada"),R3335,IF(AND(OR(V3335="Aprobada con ajuste",V3335="Rechazada"),W3335&lt;&gt;""),W3335,""))</f>
        <v/>
      </c>
    </row>
    <row r="3336" customFormat="false" ht="32.8" hidden="false" customHeight="false" outlineLevel="0" collapsed="false">
      <c r="A3336" s="18" t="s">
        <v>13791</v>
      </c>
      <c r="B3336" s="18" t="s">
        <v>82</v>
      </c>
      <c r="C3336" s="18" t="s">
        <v>83</v>
      </c>
      <c r="D3336" s="18" t="s">
        <v>13770</v>
      </c>
      <c r="E3336" s="18" t="n">
        <v>0</v>
      </c>
      <c r="F3336" s="18" t="s">
        <v>3167</v>
      </c>
      <c r="G3336" s="18" t="s">
        <v>486</v>
      </c>
      <c r="H3336" s="18" t="s">
        <v>162</v>
      </c>
      <c r="I3336" s="18"/>
      <c r="J3336" s="18"/>
      <c r="K3336" s="18"/>
      <c r="L3336" s="18" t="s">
        <v>129</v>
      </c>
      <c r="M3336" s="18" t="s">
        <v>129</v>
      </c>
      <c r="N3336" s="18"/>
      <c r="O3336" s="18"/>
      <c r="P3336" s="18" t="s">
        <v>13792</v>
      </c>
      <c r="Q3336" s="18" t="s">
        <v>149</v>
      </c>
      <c r="R3336" s="18" t="s">
        <v>7498</v>
      </c>
      <c r="S3336" s="18" t="s">
        <v>133</v>
      </c>
      <c r="T3336" s="18" t="s">
        <v>13793</v>
      </c>
      <c r="U3336" s="18"/>
      <c r="V3336" s="19" t="s">
        <v>29</v>
      </c>
      <c r="W3336" s="19"/>
      <c r="X3336" s="19"/>
      <c r="Y3336" s="20"/>
      <c r="Z3336" s="19"/>
      <c r="AA3336" s="18" t="str">
        <f aca="false">IF(OR(V3336="Aprobada"),R3336,IF(AND(OR(V3336="Aprobada con ajuste",V3336="Rechazada"),W3336&lt;&gt;""),W3336,""))</f>
        <v/>
      </c>
    </row>
    <row r="3337" customFormat="false" ht="43.25" hidden="false" customHeight="false" outlineLevel="0" collapsed="false">
      <c r="A3337" s="18" t="s">
        <v>13794</v>
      </c>
      <c r="B3337" s="18" t="s">
        <v>82</v>
      </c>
      <c r="C3337" s="18" t="s">
        <v>83</v>
      </c>
      <c r="D3337" s="18" t="s">
        <v>13795</v>
      </c>
      <c r="E3337" s="18" t="n">
        <v>11</v>
      </c>
      <c r="F3337" s="18" t="s">
        <v>13796</v>
      </c>
      <c r="G3337" s="18" t="s">
        <v>145</v>
      </c>
      <c r="H3337" s="18" t="s">
        <v>129</v>
      </c>
      <c r="I3337" s="18"/>
      <c r="J3337" s="18"/>
      <c r="K3337" s="18"/>
      <c r="L3337" s="18" t="s">
        <v>129</v>
      </c>
      <c r="M3337" s="18" t="s">
        <v>129</v>
      </c>
      <c r="N3337" s="18"/>
      <c r="O3337" s="18"/>
      <c r="P3337" s="18" t="s">
        <v>13797</v>
      </c>
      <c r="Q3337" s="18" t="s">
        <v>149</v>
      </c>
      <c r="R3337" s="18" t="s">
        <v>13798</v>
      </c>
      <c r="S3337" s="18" t="s">
        <v>133</v>
      </c>
      <c r="T3337" s="18" t="s">
        <v>13799</v>
      </c>
      <c r="U3337" s="18"/>
      <c r="V3337" s="19" t="s">
        <v>29</v>
      </c>
      <c r="W3337" s="19"/>
      <c r="X3337" s="19"/>
      <c r="Y3337" s="20"/>
      <c r="Z3337" s="19"/>
      <c r="AA3337" s="18" t="str">
        <f aca="false">IF(OR(V3337="Aprobada"),R3337,IF(AND(OR(V3337="Aprobada con ajuste",V3337="Rechazada"),W3337&lt;&gt;""),W3337,""))</f>
        <v/>
      </c>
    </row>
    <row r="3338" customFormat="false" ht="43.25" hidden="false" customHeight="false" outlineLevel="0" collapsed="false">
      <c r="A3338" s="18" t="s">
        <v>13800</v>
      </c>
      <c r="B3338" s="18" t="s">
        <v>82</v>
      </c>
      <c r="C3338" s="18" t="s">
        <v>83</v>
      </c>
      <c r="D3338" s="18" t="s">
        <v>13795</v>
      </c>
      <c r="E3338" s="18" t="n">
        <v>11</v>
      </c>
      <c r="F3338" s="18" t="s">
        <v>13801</v>
      </c>
      <c r="G3338" s="18" t="s">
        <v>503</v>
      </c>
      <c r="H3338" s="18" t="s">
        <v>129</v>
      </c>
      <c r="I3338" s="18"/>
      <c r="J3338" s="18"/>
      <c r="K3338" s="18"/>
      <c r="L3338" s="18" t="s">
        <v>129</v>
      </c>
      <c r="M3338" s="18" t="s">
        <v>129</v>
      </c>
      <c r="N3338" s="18"/>
      <c r="O3338" s="18" t="s">
        <v>13802</v>
      </c>
      <c r="P3338" s="18" t="s">
        <v>13803</v>
      </c>
      <c r="Q3338" s="18" t="s">
        <v>149</v>
      </c>
      <c r="R3338" s="18" t="s">
        <v>13804</v>
      </c>
      <c r="S3338" s="18" t="s">
        <v>133</v>
      </c>
      <c r="T3338" s="18" t="s">
        <v>13805</v>
      </c>
      <c r="U3338" s="18"/>
      <c r="V3338" s="19" t="s">
        <v>29</v>
      </c>
      <c r="W3338" s="19"/>
      <c r="X3338" s="19"/>
      <c r="Y3338" s="20"/>
      <c r="Z3338" s="19"/>
      <c r="AA3338" s="18" t="str">
        <f aca="false">IF(OR(V3338="Aprobada"),R3338,IF(AND(OR(V3338="Aprobada con ajuste",V3338="Rechazada"),W3338&lt;&gt;""),W3338,""))</f>
        <v/>
      </c>
    </row>
    <row r="3339" customFormat="false" ht="43.25" hidden="false" customHeight="false" outlineLevel="0" collapsed="false">
      <c r="A3339" s="18" t="s">
        <v>13806</v>
      </c>
      <c r="B3339" s="18" t="s">
        <v>82</v>
      </c>
      <c r="C3339" s="18" t="s">
        <v>83</v>
      </c>
      <c r="D3339" s="18" t="s">
        <v>13795</v>
      </c>
      <c r="E3339" s="18" t="n">
        <v>11</v>
      </c>
      <c r="F3339" s="18" t="s">
        <v>13807</v>
      </c>
      <c r="G3339" s="18" t="s">
        <v>3994</v>
      </c>
      <c r="H3339" s="18" t="s">
        <v>129</v>
      </c>
      <c r="I3339" s="18"/>
      <c r="J3339" s="18"/>
      <c r="K3339" s="18"/>
      <c r="L3339" s="18" t="s">
        <v>129</v>
      </c>
      <c r="M3339" s="18" t="s">
        <v>129</v>
      </c>
      <c r="N3339" s="18"/>
      <c r="O3339" s="18" t="s">
        <v>13808</v>
      </c>
      <c r="P3339" s="18" t="s">
        <v>13809</v>
      </c>
      <c r="Q3339" s="18" t="s">
        <v>149</v>
      </c>
      <c r="R3339" s="18" t="s">
        <v>13810</v>
      </c>
      <c r="S3339" s="18" t="s">
        <v>140</v>
      </c>
      <c r="T3339" s="18" t="s">
        <v>13811</v>
      </c>
      <c r="U3339" s="18" t="s">
        <v>13812</v>
      </c>
      <c r="V3339" s="19" t="s">
        <v>29</v>
      </c>
      <c r="W3339" s="19"/>
      <c r="X3339" s="19"/>
      <c r="Y3339" s="20"/>
      <c r="Z3339" s="19"/>
      <c r="AA3339" s="18" t="str">
        <f aca="false">IF(OR(V3339="Aprobada"),R3339,IF(AND(OR(V3339="Aprobada con ajuste",V3339="Rechazada"),W3339&lt;&gt;""),W3339,""))</f>
        <v/>
      </c>
    </row>
    <row r="3340" customFormat="false" ht="43.25" hidden="false" customHeight="false" outlineLevel="0" collapsed="false">
      <c r="A3340" s="18" t="s">
        <v>13813</v>
      </c>
      <c r="B3340" s="18" t="s">
        <v>82</v>
      </c>
      <c r="C3340" s="18" t="s">
        <v>83</v>
      </c>
      <c r="D3340" s="18" t="s">
        <v>13795</v>
      </c>
      <c r="E3340" s="18" t="n">
        <v>11</v>
      </c>
      <c r="F3340" s="18" t="s">
        <v>13814</v>
      </c>
      <c r="G3340" s="18" t="s">
        <v>3994</v>
      </c>
      <c r="H3340" s="18" t="s">
        <v>129</v>
      </c>
      <c r="I3340" s="18"/>
      <c r="J3340" s="18"/>
      <c r="K3340" s="18"/>
      <c r="L3340" s="18" t="s">
        <v>129</v>
      </c>
      <c r="M3340" s="18" t="s">
        <v>129</v>
      </c>
      <c r="N3340" s="18"/>
      <c r="O3340" s="18" t="s">
        <v>13808</v>
      </c>
      <c r="P3340" s="18" t="s">
        <v>13815</v>
      </c>
      <c r="Q3340" s="18" t="s">
        <v>149</v>
      </c>
      <c r="R3340" s="18" t="s">
        <v>13816</v>
      </c>
      <c r="S3340" s="18" t="s">
        <v>140</v>
      </c>
      <c r="T3340" s="18" t="s">
        <v>13817</v>
      </c>
      <c r="U3340" s="18" t="s">
        <v>13812</v>
      </c>
      <c r="V3340" s="19" t="s">
        <v>29</v>
      </c>
      <c r="W3340" s="19"/>
      <c r="X3340" s="19"/>
      <c r="Y3340" s="20"/>
      <c r="Z3340" s="19"/>
      <c r="AA3340" s="18" t="str">
        <f aca="false">IF(OR(V3340="Aprobada"),R3340,IF(AND(OR(V3340="Aprobada con ajuste",V3340="Rechazada"),W3340&lt;&gt;""),W3340,""))</f>
        <v/>
      </c>
    </row>
    <row r="3341" customFormat="false" ht="43.25" hidden="false" customHeight="false" outlineLevel="0" collapsed="false">
      <c r="A3341" s="18" t="s">
        <v>13818</v>
      </c>
      <c r="B3341" s="18" t="s">
        <v>82</v>
      </c>
      <c r="C3341" s="18" t="s">
        <v>83</v>
      </c>
      <c r="D3341" s="18" t="s">
        <v>13795</v>
      </c>
      <c r="E3341" s="18" t="n">
        <v>11</v>
      </c>
      <c r="F3341" s="18" t="s">
        <v>13819</v>
      </c>
      <c r="G3341" s="18" t="s">
        <v>3994</v>
      </c>
      <c r="H3341" s="18" t="s">
        <v>129</v>
      </c>
      <c r="I3341" s="18"/>
      <c r="J3341" s="18"/>
      <c r="K3341" s="18"/>
      <c r="L3341" s="18" t="s">
        <v>129</v>
      </c>
      <c r="M3341" s="18" t="s">
        <v>129</v>
      </c>
      <c r="N3341" s="18"/>
      <c r="O3341" s="18"/>
      <c r="P3341" s="18" t="s">
        <v>13820</v>
      </c>
      <c r="Q3341" s="18" t="s">
        <v>149</v>
      </c>
      <c r="R3341" s="18" t="s">
        <v>13821</v>
      </c>
      <c r="S3341" s="18" t="s">
        <v>140</v>
      </c>
      <c r="T3341" s="18" t="s">
        <v>13822</v>
      </c>
      <c r="U3341" s="18" t="s">
        <v>13823</v>
      </c>
      <c r="V3341" s="19" t="s">
        <v>29</v>
      </c>
      <c r="W3341" s="19"/>
      <c r="X3341" s="19"/>
      <c r="Y3341" s="20"/>
      <c r="Z3341" s="19"/>
      <c r="AA3341" s="18" t="str">
        <f aca="false">IF(OR(V3341="Aprobada"),R3341,IF(AND(OR(V3341="Aprobada con ajuste",V3341="Rechazada"),W3341&lt;&gt;""),W3341,""))</f>
        <v/>
      </c>
    </row>
    <row r="3342" customFormat="false" ht="43.25" hidden="false" customHeight="false" outlineLevel="0" collapsed="false">
      <c r="A3342" s="18" t="s">
        <v>13824</v>
      </c>
      <c r="B3342" s="18" t="s">
        <v>82</v>
      </c>
      <c r="C3342" s="18" t="s">
        <v>83</v>
      </c>
      <c r="D3342" s="18" t="s">
        <v>13795</v>
      </c>
      <c r="E3342" s="18" t="n">
        <v>11</v>
      </c>
      <c r="F3342" s="18" t="s">
        <v>172</v>
      </c>
      <c r="G3342" s="18" t="s">
        <v>173</v>
      </c>
      <c r="H3342" s="18" t="s">
        <v>129</v>
      </c>
      <c r="I3342" s="18"/>
      <c r="J3342" s="18"/>
      <c r="K3342" s="18"/>
      <c r="L3342" s="18" t="s">
        <v>129</v>
      </c>
      <c r="M3342" s="18" t="s">
        <v>129</v>
      </c>
      <c r="N3342" s="18"/>
      <c r="O3342" s="18" t="s">
        <v>13825</v>
      </c>
      <c r="P3342" s="18" t="s">
        <v>13826</v>
      </c>
      <c r="Q3342" s="18" t="s">
        <v>138</v>
      </c>
      <c r="R3342" s="18" t="s">
        <v>176</v>
      </c>
      <c r="S3342" s="18" t="s">
        <v>140</v>
      </c>
      <c r="T3342" s="18" t="s">
        <v>141</v>
      </c>
      <c r="U3342" s="18"/>
      <c r="V3342" s="19" t="s">
        <v>29</v>
      </c>
      <c r="W3342" s="19"/>
      <c r="X3342" s="19"/>
      <c r="Y3342" s="20"/>
      <c r="Z3342" s="19"/>
      <c r="AA3342" s="18" t="str">
        <f aca="false">IF(OR(V3342="Aprobada"),R3342,IF(AND(OR(V3342="Aprobada con ajuste",V3342="Rechazada"),W3342&lt;&gt;""),W3342,""))</f>
        <v/>
      </c>
    </row>
    <row r="3343" customFormat="false" ht="43.25" hidden="false" customHeight="false" outlineLevel="0" collapsed="false">
      <c r="A3343" s="18" t="s">
        <v>13827</v>
      </c>
      <c r="B3343" s="18" t="s">
        <v>82</v>
      </c>
      <c r="C3343" s="18" t="s">
        <v>83</v>
      </c>
      <c r="D3343" s="18" t="s">
        <v>13828</v>
      </c>
      <c r="E3343" s="18" t="n">
        <v>0</v>
      </c>
      <c r="F3343" s="18" t="s">
        <v>13829</v>
      </c>
      <c r="G3343" s="18" t="s">
        <v>312</v>
      </c>
      <c r="H3343" s="18" t="s">
        <v>129</v>
      </c>
      <c r="I3343" s="18"/>
      <c r="J3343" s="18"/>
      <c r="K3343" s="18"/>
      <c r="L3343" s="18" t="s">
        <v>129</v>
      </c>
      <c r="M3343" s="18" t="s">
        <v>129</v>
      </c>
      <c r="N3343" s="18"/>
      <c r="O3343" s="18" t="s">
        <v>13830</v>
      </c>
      <c r="P3343" s="18" t="s">
        <v>13831</v>
      </c>
      <c r="Q3343" s="18" t="s">
        <v>149</v>
      </c>
      <c r="R3343" s="18" t="s">
        <v>13832</v>
      </c>
      <c r="S3343" s="18" t="s">
        <v>133</v>
      </c>
      <c r="T3343" s="18" t="s">
        <v>13833</v>
      </c>
      <c r="U3343" s="18"/>
      <c r="V3343" s="19" t="s">
        <v>29</v>
      </c>
      <c r="W3343" s="19"/>
      <c r="X3343" s="19"/>
      <c r="Y3343" s="20"/>
      <c r="Z3343" s="19"/>
      <c r="AA3343" s="18" t="str">
        <f aca="false">IF(OR(V3343="Aprobada"),R3343,IF(AND(OR(V3343="Aprobada con ajuste",V3343="Rechazada"),W3343&lt;&gt;""),W3343,""))</f>
        <v/>
      </c>
    </row>
    <row r="3344" customFormat="false" ht="43.25" hidden="false" customHeight="false" outlineLevel="0" collapsed="false">
      <c r="A3344" s="18" t="s">
        <v>13834</v>
      </c>
      <c r="B3344" s="18" t="s">
        <v>82</v>
      </c>
      <c r="C3344" s="18" t="s">
        <v>83</v>
      </c>
      <c r="D3344" s="18" t="s">
        <v>13828</v>
      </c>
      <c r="E3344" s="18" t="n">
        <v>0</v>
      </c>
      <c r="F3344" s="18" t="s">
        <v>1682</v>
      </c>
      <c r="G3344" s="18" t="s">
        <v>145</v>
      </c>
      <c r="H3344" s="18" t="s">
        <v>129</v>
      </c>
      <c r="I3344" s="18" t="s">
        <v>298</v>
      </c>
      <c r="J3344" s="18" t="s">
        <v>13835</v>
      </c>
      <c r="K3344" s="18"/>
      <c r="L3344" s="18" t="s">
        <v>162</v>
      </c>
      <c r="M3344" s="18" t="s">
        <v>129</v>
      </c>
      <c r="N3344" s="18"/>
      <c r="O3344" s="18" t="s">
        <v>13836</v>
      </c>
      <c r="P3344" s="18" t="s">
        <v>13837</v>
      </c>
      <c r="Q3344" s="18" t="s">
        <v>131</v>
      </c>
      <c r="R3344" s="18" t="s">
        <v>13838</v>
      </c>
      <c r="S3344" s="18" t="s">
        <v>133</v>
      </c>
      <c r="T3344" s="18" t="s">
        <v>13839</v>
      </c>
      <c r="U3344" s="18"/>
      <c r="V3344" s="19" t="s">
        <v>29</v>
      </c>
      <c r="W3344" s="19"/>
      <c r="X3344" s="19"/>
      <c r="Y3344" s="20"/>
      <c r="Z3344" s="19"/>
      <c r="AA3344" s="18" t="str">
        <f aca="false">IF(OR(V3344="Aprobada"),R3344,IF(AND(OR(V3344="Aprobada con ajuste",V3344="Rechazada"),W3344&lt;&gt;""),W3344,""))</f>
        <v/>
      </c>
    </row>
    <row r="3345" customFormat="false" ht="32.8" hidden="false" customHeight="false" outlineLevel="0" collapsed="false">
      <c r="A3345" s="18" t="s">
        <v>13840</v>
      </c>
      <c r="B3345" s="18" t="s">
        <v>82</v>
      </c>
      <c r="C3345" s="18" t="s">
        <v>83</v>
      </c>
      <c r="D3345" s="18" t="s">
        <v>13828</v>
      </c>
      <c r="E3345" s="18" t="n">
        <v>0</v>
      </c>
      <c r="F3345" s="18" t="s">
        <v>13841</v>
      </c>
      <c r="G3345" s="18" t="s">
        <v>337</v>
      </c>
      <c r="H3345" s="18" t="s">
        <v>129</v>
      </c>
      <c r="I3345" s="18" t="s">
        <v>298</v>
      </c>
      <c r="J3345" s="18" t="s">
        <v>13842</v>
      </c>
      <c r="K3345" s="18"/>
      <c r="L3345" s="18" t="s">
        <v>162</v>
      </c>
      <c r="M3345" s="18" t="s">
        <v>129</v>
      </c>
      <c r="N3345" s="18"/>
      <c r="O3345" s="18"/>
      <c r="P3345" s="18" t="s">
        <v>13843</v>
      </c>
      <c r="Q3345" s="18" t="s">
        <v>131</v>
      </c>
      <c r="R3345" s="18" t="s">
        <v>13844</v>
      </c>
      <c r="S3345" s="18" t="s">
        <v>133</v>
      </c>
      <c r="T3345" s="18" t="s">
        <v>13845</v>
      </c>
      <c r="U3345" s="18"/>
      <c r="V3345" s="19" t="s">
        <v>29</v>
      </c>
      <c r="W3345" s="19"/>
      <c r="X3345" s="19"/>
      <c r="Y3345" s="20"/>
      <c r="Z3345" s="19"/>
      <c r="AA3345" s="18" t="str">
        <f aca="false">IF(OR(V3345="Aprobada"),R3345,IF(AND(OR(V3345="Aprobada con ajuste",V3345="Rechazada"),W3345&lt;&gt;""),W3345,""))</f>
        <v/>
      </c>
    </row>
    <row r="3346" customFormat="false" ht="53.7" hidden="false" customHeight="false" outlineLevel="0" collapsed="false">
      <c r="A3346" s="18" t="s">
        <v>13846</v>
      </c>
      <c r="B3346" s="18" t="s">
        <v>82</v>
      </c>
      <c r="C3346" s="18" t="s">
        <v>83</v>
      </c>
      <c r="D3346" s="18" t="s">
        <v>13828</v>
      </c>
      <c r="E3346" s="18" t="n">
        <v>0</v>
      </c>
      <c r="F3346" s="18" t="s">
        <v>13847</v>
      </c>
      <c r="G3346" s="18" t="s">
        <v>486</v>
      </c>
      <c r="H3346" s="18" t="s">
        <v>129</v>
      </c>
      <c r="I3346" s="18"/>
      <c r="J3346" s="18"/>
      <c r="K3346" s="18"/>
      <c r="L3346" s="18" t="s">
        <v>129</v>
      </c>
      <c r="M3346" s="18" t="s">
        <v>129</v>
      </c>
      <c r="N3346" s="18"/>
      <c r="O3346" s="18"/>
      <c r="P3346" s="18" t="s">
        <v>13848</v>
      </c>
      <c r="Q3346" s="18" t="s">
        <v>149</v>
      </c>
      <c r="R3346" s="18" t="s">
        <v>13849</v>
      </c>
      <c r="S3346" s="18" t="s">
        <v>140</v>
      </c>
      <c r="T3346" s="18" t="s">
        <v>13850</v>
      </c>
      <c r="U3346" s="18" t="s">
        <v>13851</v>
      </c>
      <c r="V3346" s="19" t="s">
        <v>29</v>
      </c>
      <c r="W3346" s="19"/>
      <c r="X3346" s="19"/>
      <c r="Y3346" s="20"/>
      <c r="Z3346" s="19"/>
      <c r="AA3346" s="18" t="str">
        <f aca="false">IF(OR(V3346="Aprobada"),R3346,IF(AND(OR(V3346="Aprobada con ajuste",V3346="Rechazada"),W3346&lt;&gt;""),W3346,""))</f>
        <v/>
      </c>
    </row>
    <row r="3347" customFormat="false" ht="43.25" hidden="false" customHeight="false" outlineLevel="0" collapsed="false">
      <c r="A3347" s="18" t="s">
        <v>13852</v>
      </c>
      <c r="B3347" s="18" t="s">
        <v>82</v>
      </c>
      <c r="C3347" s="18" t="s">
        <v>83</v>
      </c>
      <c r="D3347" s="18" t="s">
        <v>13828</v>
      </c>
      <c r="E3347" s="18" t="n">
        <v>0</v>
      </c>
      <c r="F3347" s="18" t="s">
        <v>13853</v>
      </c>
      <c r="G3347" s="18" t="s">
        <v>161</v>
      </c>
      <c r="H3347" s="18" t="s">
        <v>162</v>
      </c>
      <c r="I3347" s="18"/>
      <c r="J3347" s="18"/>
      <c r="K3347" s="18"/>
      <c r="L3347" s="18" t="s">
        <v>129</v>
      </c>
      <c r="M3347" s="18" t="s">
        <v>129</v>
      </c>
      <c r="N3347" s="18"/>
      <c r="O3347" s="18"/>
      <c r="P3347" s="18" t="s">
        <v>13854</v>
      </c>
      <c r="Q3347" s="18" t="s">
        <v>149</v>
      </c>
      <c r="R3347" s="18" t="s">
        <v>13855</v>
      </c>
      <c r="S3347" s="18" t="s">
        <v>133</v>
      </c>
      <c r="T3347" s="18" t="s">
        <v>13856</v>
      </c>
      <c r="U3347" s="18"/>
      <c r="V3347" s="19" t="s">
        <v>29</v>
      </c>
      <c r="W3347" s="19"/>
      <c r="X3347" s="19"/>
      <c r="Y3347" s="20"/>
      <c r="Z3347" s="19"/>
      <c r="AA3347" s="18" t="str">
        <f aca="false">IF(OR(V3347="Aprobada"),R3347,IF(AND(OR(V3347="Aprobada con ajuste",V3347="Rechazada"),W3347&lt;&gt;""),W3347,""))</f>
        <v/>
      </c>
    </row>
    <row r="3348" customFormat="false" ht="43.25" hidden="false" customHeight="false" outlineLevel="0" collapsed="false">
      <c r="A3348" s="18" t="s">
        <v>13857</v>
      </c>
      <c r="B3348" s="18" t="s">
        <v>82</v>
      </c>
      <c r="C3348" s="18" t="s">
        <v>83</v>
      </c>
      <c r="D3348" s="18" t="s">
        <v>13828</v>
      </c>
      <c r="E3348" s="18" t="n">
        <v>0</v>
      </c>
      <c r="F3348" s="18" t="s">
        <v>305</v>
      </c>
      <c r="G3348" s="18" t="s">
        <v>128</v>
      </c>
      <c r="H3348" s="18" t="s">
        <v>162</v>
      </c>
      <c r="I3348" s="18"/>
      <c r="J3348" s="18"/>
      <c r="K3348" s="18"/>
      <c r="L3348" s="18" t="s">
        <v>129</v>
      </c>
      <c r="M3348" s="18" t="s">
        <v>129</v>
      </c>
      <c r="N3348" s="18"/>
      <c r="O3348" s="18"/>
      <c r="P3348" s="18" t="s">
        <v>13858</v>
      </c>
      <c r="Q3348" s="18" t="s">
        <v>149</v>
      </c>
      <c r="R3348" s="18" t="s">
        <v>13859</v>
      </c>
      <c r="S3348" s="18" t="s">
        <v>133</v>
      </c>
      <c r="T3348" s="18" t="s">
        <v>2122</v>
      </c>
      <c r="U3348" s="18"/>
      <c r="V3348" s="19" t="s">
        <v>29</v>
      </c>
      <c r="W3348" s="19"/>
      <c r="X3348" s="19"/>
      <c r="Y3348" s="20"/>
      <c r="Z3348" s="19"/>
      <c r="AA3348" s="18" t="str">
        <f aca="false">IF(OR(V3348="Aprobada"),R3348,IF(AND(OR(V3348="Aprobada con ajuste",V3348="Rechazada"),W3348&lt;&gt;""),W3348,""))</f>
        <v/>
      </c>
    </row>
    <row r="3349" customFormat="false" ht="32.8" hidden="false" customHeight="false" outlineLevel="0" collapsed="false">
      <c r="A3349" s="18" t="s">
        <v>13860</v>
      </c>
      <c r="B3349" s="18" t="s">
        <v>82</v>
      </c>
      <c r="C3349" s="18" t="s">
        <v>83</v>
      </c>
      <c r="D3349" s="18" t="s">
        <v>13861</v>
      </c>
      <c r="E3349" s="18" t="n">
        <v>0</v>
      </c>
      <c r="F3349" s="18" t="s">
        <v>185</v>
      </c>
      <c r="G3349" s="18" t="s">
        <v>205</v>
      </c>
      <c r="H3349" s="18" t="s">
        <v>129</v>
      </c>
      <c r="I3349" s="18" t="s">
        <v>298</v>
      </c>
      <c r="J3349" s="18" t="s">
        <v>13862</v>
      </c>
      <c r="K3349" s="18"/>
      <c r="L3349" s="18" t="s">
        <v>162</v>
      </c>
      <c r="M3349" s="18" t="s">
        <v>129</v>
      </c>
      <c r="N3349" s="18"/>
      <c r="O3349" s="18"/>
      <c r="P3349" s="18" t="s">
        <v>13863</v>
      </c>
      <c r="Q3349" s="18" t="s">
        <v>138</v>
      </c>
      <c r="R3349" s="18" t="s">
        <v>13864</v>
      </c>
      <c r="S3349" s="18" t="s">
        <v>140</v>
      </c>
      <c r="T3349" s="18" t="s">
        <v>141</v>
      </c>
      <c r="U3349" s="18"/>
      <c r="V3349" s="19" t="s">
        <v>29</v>
      </c>
      <c r="W3349" s="19"/>
      <c r="X3349" s="19"/>
      <c r="Y3349" s="20"/>
      <c r="Z3349" s="19"/>
      <c r="AA3349" s="18" t="str">
        <f aca="false">IF(OR(V3349="Aprobada"),R3349,IF(AND(OR(V3349="Aprobada con ajuste",V3349="Rechazada"),W3349&lt;&gt;""),W3349,""))</f>
        <v/>
      </c>
    </row>
    <row r="3350" customFormat="false" ht="43.25" hidden="false" customHeight="false" outlineLevel="0" collapsed="false">
      <c r="A3350" s="18" t="s">
        <v>13865</v>
      </c>
      <c r="B3350" s="18" t="s">
        <v>82</v>
      </c>
      <c r="C3350" s="18" t="s">
        <v>83</v>
      </c>
      <c r="D3350" s="18" t="s">
        <v>13861</v>
      </c>
      <c r="E3350" s="18" t="n">
        <v>0</v>
      </c>
      <c r="F3350" s="18" t="s">
        <v>3036</v>
      </c>
      <c r="G3350" s="18" t="s">
        <v>128</v>
      </c>
      <c r="H3350" s="18" t="s">
        <v>129</v>
      </c>
      <c r="I3350" s="18" t="s">
        <v>298</v>
      </c>
      <c r="J3350" s="18"/>
      <c r="K3350" s="18"/>
      <c r="L3350" s="18" t="s">
        <v>129</v>
      </c>
      <c r="M3350" s="18" t="s">
        <v>129</v>
      </c>
      <c r="N3350" s="18"/>
      <c r="O3350" s="18"/>
      <c r="P3350" s="18" t="s">
        <v>13866</v>
      </c>
      <c r="Q3350" s="18" t="s">
        <v>149</v>
      </c>
      <c r="R3350" s="18" t="s">
        <v>13867</v>
      </c>
      <c r="S3350" s="18" t="s">
        <v>133</v>
      </c>
      <c r="T3350" s="18" t="s">
        <v>13868</v>
      </c>
      <c r="U3350" s="18"/>
      <c r="V3350" s="19" t="s">
        <v>29</v>
      </c>
      <c r="W3350" s="19"/>
      <c r="X3350" s="19"/>
      <c r="Y3350" s="20"/>
      <c r="Z3350" s="19"/>
      <c r="AA3350" s="18" t="str">
        <f aca="false">IF(OR(V3350="Aprobada"),R3350,IF(AND(OR(V3350="Aprobada con ajuste",V3350="Rechazada"),W3350&lt;&gt;""),W3350,""))</f>
        <v/>
      </c>
    </row>
    <row r="3351" customFormat="false" ht="43.25" hidden="false" customHeight="false" outlineLevel="0" collapsed="false">
      <c r="A3351" s="18" t="s">
        <v>13869</v>
      </c>
      <c r="B3351" s="18" t="s">
        <v>82</v>
      </c>
      <c r="C3351" s="18" t="s">
        <v>83</v>
      </c>
      <c r="D3351" s="18" t="s">
        <v>13861</v>
      </c>
      <c r="E3351" s="18" t="n">
        <v>0</v>
      </c>
      <c r="F3351" s="18" t="s">
        <v>13870</v>
      </c>
      <c r="G3351" s="18" t="s">
        <v>312</v>
      </c>
      <c r="H3351" s="18" t="s">
        <v>129</v>
      </c>
      <c r="I3351" s="18" t="s">
        <v>298</v>
      </c>
      <c r="J3351" s="18"/>
      <c r="K3351" s="18"/>
      <c r="L3351" s="18" t="s">
        <v>129</v>
      </c>
      <c r="M3351" s="18" t="s">
        <v>129</v>
      </c>
      <c r="N3351" s="18"/>
      <c r="O3351" s="18"/>
      <c r="P3351" s="18" t="s">
        <v>13871</v>
      </c>
      <c r="Q3351" s="18" t="s">
        <v>149</v>
      </c>
      <c r="R3351" s="18" t="s">
        <v>13872</v>
      </c>
      <c r="S3351" s="18" t="s">
        <v>140</v>
      </c>
      <c r="T3351" s="18" t="s">
        <v>13873</v>
      </c>
      <c r="U3351" s="18" t="s">
        <v>13874</v>
      </c>
      <c r="V3351" s="19" t="s">
        <v>29</v>
      </c>
      <c r="W3351" s="19"/>
      <c r="X3351" s="19"/>
      <c r="Y3351" s="20"/>
      <c r="Z3351" s="19"/>
      <c r="AA3351" s="18" t="str">
        <f aca="false">IF(OR(V3351="Aprobada"),R3351,IF(AND(OR(V3351="Aprobada con ajuste",V3351="Rechazada"),W3351&lt;&gt;""),W3351,""))</f>
        <v/>
      </c>
    </row>
    <row r="3352" customFormat="false" ht="43.25" hidden="false" customHeight="false" outlineLevel="0" collapsed="false">
      <c r="A3352" s="18" t="s">
        <v>13875</v>
      </c>
      <c r="B3352" s="18" t="s">
        <v>82</v>
      </c>
      <c r="C3352" s="18" t="s">
        <v>83</v>
      </c>
      <c r="D3352" s="18" t="s">
        <v>13861</v>
      </c>
      <c r="E3352" s="18" t="n">
        <v>0</v>
      </c>
      <c r="F3352" s="18" t="s">
        <v>13876</v>
      </c>
      <c r="G3352" s="18" t="s">
        <v>584</v>
      </c>
      <c r="H3352" s="18" t="s">
        <v>129</v>
      </c>
      <c r="I3352" s="18"/>
      <c r="J3352" s="18"/>
      <c r="K3352" s="18"/>
      <c r="L3352" s="18" t="s">
        <v>129</v>
      </c>
      <c r="M3352" s="18" t="s">
        <v>129</v>
      </c>
      <c r="N3352" s="18"/>
      <c r="O3352" s="18" t="s">
        <v>13877</v>
      </c>
      <c r="P3352" s="18" t="s">
        <v>13878</v>
      </c>
      <c r="Q3352" s="18" t="s">
        <v>138</v>
      </c>
      <c r="R3352" s="18" t="s">
        <v>11766</v>
      </c>
      <c r="S3352" s="18" t="s">
        <v>140</v>
      </c>
      <c r="T3352" s="18" t="s">
        <v>141</v>
      </c>
      <c r="U3352" s="18"/>
      <c r="V3352" s="19" t="s">
        <v>29</v>
      </c>
      <c r="W3352" s="19"/>
      <c r="X3352" s="19"/>
      <c r="Y3352" s="20"/>
      <c r="Z3352" s="19"/>
      <c r="AA3352" s="18" t="str">
        <f aca="false">IF(OR(V3352="Aprobada"),R3352,IF(AND(OR(V3352="Aprobada con ajuste",V3352="Rechazada"),W3352&lt;&gt;""),W3352,""))</f>
        <v/>
      </c>
    </row>
    <row r="3353" customFormat="false" ht="43.25" hidden="false" customHeight="false" outlineLevel="0" collapsed="false">
      <c r="A3353" s="18" t="s">
        <v>13879</v>
      </c>
      <c r="B3353" s="18" t="s">
        <v>82</v>
      </c>
      <c r="C3353" s="18" t="s">
        <v>83</v>
      </c>
      <c r="D3353" s="18" t="s">
        <v>13861</v>
      </c>
      <c r="E3353" s="18" t="n">
        <v>0</v>
      </c>
      <c r="F3353" s="18" t="s">
        <v>13880</v>
      </c>
      <c r="G3353" s="18" t="s">
        <v>312</v>
      </c>
      <c r="H3353" s="18" t="s">
        <v>162</v>
      </c>
      <c r="I3353" s="18" t="s">
        <v>298</v>
      </c>
      <c r="J3353" s="18"/>
      <c r="K3353" s="18"/>
      <c r="L3353" s="18" t="s">
        <v>129</v>
      </c>
      <c r="M3353" s="18" t="s">
        <v>129</v>
      </c>
      <c r="N3353" s="18"/>
      <c r="O3353" s="18"/>
      <c r="P3353" s="18" t="s">
        <v>13881</v>
      </c>
      <c r="Q3353" s="18" t="s">
        <v>149</v>
      </c>
      <c r="R3353" s="18" t="s">
        <v>13882</v>
      </c>
      <c r="S3353" s="18" t="s">
        <v>140</v>
      </c>
      <c r="T3353" s="18" t="s">
        <v>13883</v>
      </c>
      <c r="U3353" s="18" t="s">
        <v>13874</v>
      </c>
      <c r="V3353" s="19" t="s">
        <v>29</v>
      </c>
      <c r="W3353" s="19"/>
      <c r="X3353" s="19"/>
      <c r="Y3353" s="20"/>
      <c r="Z3353" s="19"/>
      <c r="AA3353" s="18" t="str">
        <f aca="false">IF(OR(V3353="Aprobada"),R3353,IF(AND(OR(V3353="Aprobada con ajuste",V3353="Rechazada"),W3353&lt;&gt;""),W3353,""))</f>
        <v/>
      </c>
    </row>
    <row r="3354" customFormat="false" ht="32.8" hidden="false" customHeight="false" outlineLevel="0" collapsed="false">
      <c r="A3354" s="18" t="s">
        <v>13884</v>
      </c>
      <c r="B3354" s="18" t="s">
        <v>82</v>
      </c>
      <c r="C3354" s="18" t="s">
        <v>83</v>
      </c>
      <c r="D3354" s="18" t="s">
        <v>13861</v>
      </c>
      <c r="E3354" s="18" t="n">
        <v>0</v>
      </c>
      <c r="F3354" s="18" t="s">
        <v>13885</v>
      </c>
      <c r="G3354" s="18" t="s">
        <v>584</v>
      </c>
      <c r="H3354" s="18" t="s">
        <v>162</v>
      </c>
      <c r="I3354" s="18" t="s">
        <v>298</v>
      </c>
      <c r="J3354" s="18"/>
      <c r="K3354" s="18"/>
      <c r="L3354" s="18" t="s">
        <v>129</v>
      </c>
      <c r="M3354" s="18" t="s">
        <v>129</v>
      </c>
      <c r="N3354" s="18"/>
      <c r="O3354" s="18"/>
      <c r="P3354" s="18" t="s">
        <v>13886</v>
      </c>
      <c r="Q3354" s="18" t="s">
        <v>149</v>
      </c>
      <c r="R3354" s="18" t="s">
        <v>13887</v>
      </c>
      <c r="S3354" s="18" t="s">
        <v>133</v>
      </c>
      <c r="T3354" s="18" t="s">
        <v>13888</v>
      </c>
      <c r="U3354" s="18"/>
      <c r="V3354" s="19" t="s">
        <v>29</v>
      </c>
      <c r="W3354" s="19"/>
      <c r="X3354" s="19"/>
      <c r="Y3354" s="20"/>
      <c r="Z3354" s="19"/>
      <c r="AA3354" s="18" t="str">
        <f aca="false">IF(OR(V3354="Aprobada"),R3354,IF(AND(OR(V3354="Aprobada con ajuste",V3354="Rechazada"),W3354&lt;&gt;""),W3354,""))</f>
        <v/>
      </c>
    </row>
    <row r="3355" customFormat="false" ht="43.25" hidden="false" customHeight="false" outlineLevel="0" collapsed="false">
      <c r="A3355" s="18" t="s">
        <v>13889</v>
      </c>
      <c r="B3355" s="18" t="s">
        <v>82</v>
      </c>
      <c r="C3355" s="18" t="s">
        <v>83</v>
      </c>
      <c r="D3355" s="18" t="s">
        <v>13861</v>
      </c>
      <c r="E3355" s="18" t="n">
        <v>0</v>
      </c>
      <c r="F3355" s="18" t="s">
        <v>13890</v>
      </c>
      <c r="G3355" s="18" t="s">
        <v>128</v>
      </c>
      <c r="H3355" s="18" t="s">
        <v>162</v>
      </c>
      <c r="I3355" s="18" t="s">
        <v>298</v>
      </c>
      <c r="J3355" s="18"/>
      <c r="K3355" s="18"/>
      <c r="L3355" s="18" t="s">
        <v>129</v>
      </c>
      <c r="M3355" s="18" t="s">
        <v>129</v>
      </c>
      <c r="N3355" s="18"/>
      <c r="O3355" s="18"/>
      <c r="P3355" s="18" t="s">
        <v>13891</v>
      </c>
      <c r="Q3355" s="18" t="s">
        <v>149</v>
      </c>
      <c r="R3355" s="18" t="s">
        <v>13892</v>
      </c>
      <c r="S3355" s="18" t="s">
        <v>140</v>
      </c>
      <c r="T3355" s="18" t="s">
        <v>13893</v>
      </c>
      <c r="U3355" s="18" t="s">
        <v>13894</v>
      </c>
      <c r="V3355" s="19" t="s">
        <v>29</v>
      </c>
      <c r="W3355" s="19"/>
      <c r="X3355" s="19"/>
      <c r="Y3355" s="20"/>
      <c r="Z3355" s="19"/>
      <c r="AA3355" s="18" t="str">
        <f aca="false">IF(OR(V3355="Aprobada"),R3355,IF(AND(OR(V3355="Aprobada con ajuste",V3355="Rechazada"),W3355&lt;&gt;""),W3355,""))</f>
        <v/>
      </c>
    </row>
    <row r="3356" customFormat="false" ht="32.8" hidden="false" customHeight="false" outlineLevel="0" collapsed="false">
      <c r="A3356" s="18" t="s">
        <v>13895</v>
      </c>
      <c r="B3356" s="18" t="s">
        <v>82</v>
      </c>
      <c r="C3356" s="18" t="s">
        <v>83</v>
      </c>
      <c r="D3356" s="18" t="s">
        <v>13896</v>
      </c>
      <c r="E3356" s="18" t="n">
        <v>0</v>
      </c>
      <c r="F3356" s="18" t="s">
        <v>3105</v>
      </c>
      <c r="G3356" s="18" t="s">
        <v>312</v>
      </c>
      <c r="H3356" s="18" t="s">
        <v>162</v>
      </c>
      <c r="I3356" s="18"/>
      <c r="J3356" s="18"/>
      <c r="K3356" s="18"/>
      <c r="L3356" s="18" t="s">
        <v>129</v>
      </c>
      <c r="M3356" s="18" t="s">
        <v>129</v>
      </c>
      <c r="N3356" s="18"/>
      <c r="O3356" s="18"/>
      <c r="P3356" s="18" t="s">
        <v>13897</v>
      </c>
      <c r="Q3356" s="18" t="s">
        <v>149</v>
      </c>
      <c r="R3356" s="18" t="s">
        <v>13898</v>
      </c>
      <c r="S3356" s="18" t="s">
        <v>140</v>
      </c>
      <c r="T3356" s="18" t="s">
        <v>13899</v>
      </c>
      <c r="U3356" s="18" t="s">
        <v>13900</v>
      </c>
      <c r="V3356" s="19" t="s">
        <v>29</v>
      </c>
      <c r="W3356" s="19"/>
      <c r="X3356" s="19"/>
      <c r="Y3356" s="20"/>
      <c r="Z3356" s="19"/>
      <c r="AA3356" s="18" t="str">
        <f aca="false">IF(OR(V3356="Aprobada"),R3356,IF(AND(OR(V3356="Aprobada con ajuste",V3356="Rechazada"),W3356&lt;&gt;""),W3356,""))</f>
        <v/>
      </c>
    </row>
    <row r="3357" customFormat="false" ht="85.05" hidden="false" customHeight="false" outlineLevel="0" collapsed="false">
      <c r="A3357" s="18" t="s">
        <v>13901</v>
      </c>
      <c r="B3357" s="18" t="s">
        <v>82</v>
      </c>
      <c r="C3357" s="18" t="s">
        <v>83</v>
      </c>
      <c r="D3357" s="18" t="s">
        <v>13896</v>
      </c>
      <c r="E3357" s="18" t="n">
        <v>0</v>
      </c>
      <c r="F3357" s="18" t="s">
        <v>1744</v>
      </c>
      <c r="G3357" s="18" t="s">
        <v>288</v>
      </c>
      <c r="H3357" s="18" t="s">
        <v>129</v>
      </c>
      <c r="I3357" s="18" t="s">
        <v>298</v>
      </c>
      <c r="J3357" s="18" t="s">
        <v>13902</v>
      </c>
      <c r="K3357" s="18"/>
      <c r="L3357" s="18" t="s">
        <v>162</v>
      </c>
      <c r="M3357" s="18" t="s">
        <v>129</v>
      </c>
      <c r="N3357" s="18"/>
      <c r="O3357" s="18"/>
      <c r="P3357" s="18" t="s">
        <v>13903</v>
      </c>
      <c r="Q3357" s="18" t="s">
        <v>149</v>
      </c>
      <c r="R3357" s="18" t="s">
        <v>13904</v>
      </c>
      <c r="S3357" s="18" t="s">
        <v>133</v>
      </c>
      <c r="T3357" s="18" t="s">
        <v>13606</v>
      </c>
      <c r="U3357" s="18"/>
      <c r="V3357" s="19" t="s">
        <v>29</v>
      </c>
      <c r="W3357" s="19"/>
      <c r="X3357" s="19"/>
      <c r="Y3357" s="20"/>
      <c r="Z3357" s="19"/>
      <c r="AA3357" s="18" t="str">
        <f aca="false">IF(OR(V3357="Aprobada"),R3357,IF(AND(OR(V3357="Aprobada con ajuste",V3357="Rechazada"),W3357&lt;&gt;""),W3357,""))</f>
        <v/>
      </c>
    </row>
    <row r="3358" customFormat="false" ht="32.8" hidden="false" customHeight="false" outlineLevel="0" collapsed="false">
      <c r="A3358" s="18" t="s">
        <v>13905</v>
      </c>
      <c r="B3358" s="18" t="s">
        <v>82</v>
      </c>
      <c r="C3358" s="18" t="s">
        <v>83</v>
      </c>
      <c r="D3358" s="18" t="s">
        <v>13896</v>
      </c>
      <c r="E3358" s="18" t="n">
        <v>0</v>
      </c>
      <c r="F3358" s="18" t="s">
        <v>3100</v>
      </c>
      <c r="G3358" s="18" t="s">
        <v>128</v>
      </c>
      <c r="H3358" s="18" t="s">
        <v>162</v>
      </c>
      <c r="I3358" s="18"/>
      <c r="J3358" s="18"/>
      <c r="K3358" s="18"/>
      <c r="L3358" s="18" t="s">
        <v>129</v>
      </c>
      <c r="M3358" s="18" t="s">
        <v>129</v>
      </c>
      <c r="N3358" s="18"/>
      <c r="O3358" s="18"/>
      <c r="P3358" s="18" t="s">
        <v>13906</v>
      </c>
      <c r="Q3358" s="18" t="s">
        <v>138</v>
      </c>
      <c r="R3358" s="18" t="s">
        <v>3728</v>
      </c>
      <c r="S3358" s="18" t="s">
        <v>140</v>
      </c>
      <c r="T3358" s="18" t="s">
        <v>141</v>
      </c>
      <c r="U3358" s="18"/>
      <c r="V3358" s="19" t="s">
        <v>29</v>
      </c>
      <c r="W3358" s="19"/>
      <c r="X3358" s="19"/>
      <c r="Y3358" s="20"/>
      <c r="Z3358" s="19"/>
      <c r="AA3358" s="18" t="str">
        <f aca="false">IF(OR(V3358="Aprobada"),R3358,IF(AND(OR(V3358="Aprobada con ajuste",V3358="Rechazada"),W3358&lt;&gt;""),W3358,""))</f>
        <v/>
      </c>
    </row>
    <row r="3359" customFormat="false" ht="32.8" hidden="false" customHeight="false" outlineLevel="0" collapsed="false">
      <c r="A3359" s="18" t="s">
        <v>13907</v>
      </c>
      <c r="B3359" s="18" t="s">
        <v>82</v>
      </c>
      <c r="C3359" s="18" t="s">
        <v>83</v>
      </c>
      <c r="D3359" s="18" t="s">
        <v>13896</v>
      </c>
      <c r="E3359" s="18" t="n">
        <v>0</v>
      </c>
      <c r="F3359" s="18" t="s">
        <v>4666</v>
      </c>
      <c r="G3359" s="18" t="s">
        <v>192</v>
      </c>
      <c r="H3359" s="18" t="s">
        <v>162</v>
      </c>
      <c r="I3359" s="18"/>
      <c r="J3359" s="18"/>
      <c r="K3359" s="18"/>
      <c r="L3359" s="18" t="s">
        <v>129</v>
      </c>
      <c r="M3359" s="18" t="s">
        <v>129</v>
      </c>
      <c r="N3359" s="18"/>
      <c r="O3359" s="18"/>
      <c r="P3359" s="18" t="s">
        <v>13908</v>
      </c>
      <c r="Q3359" s="18" t="s">
        <v>149</v>
      </c>
      <c r="R3359" s="18" t="s">
        <v>13909</v>
      </c>
      <c r="S3359" s="18" t="s">
        <v>242</v>
      </c>
      <c r="T3359" s="18" t="s">
        <v>3193</v>
      </c>
      <c r="U3359" s="18" t="s">
        <v>13910</v>
      </c>
      <c r="V3359" s="19" t="s">
        <v>29</v>
      </c>
      <c r="W3359" s="19"/>
      <c r="X3359" s="19"/>
      <c r="Y3359" s="20"/>
      <c r="Z3359" s="19"/>
      <c r="AA3359" s="18" t="str">
        <f aca="false">IF(OR(V3359="Aprobada"),R3359,IF(AND(OR(V3359="Aprobada con ajuste",V3359="Rechazada"),W3359&lt;&gt;""),W3359,""))</f>
        <v/>
      </c>
    </row>
    <row r="3360" customFormat="false" ht="32.8" hidden="false" customHeight="false" outlineLevel="0" collapsed="false">
      <c r="A3360" s="18" t="s">
        <v>13911</v>
      </c>
      <c r="B3360" s="18" t="s">
        <v>82</v>
      </c>
      <c r="C3360" s="18" t="s">
        <v>83</v>
      </c>
      <c r="D3360" s="18" t="s">
        <v>13896</v>
      </c>
      <c r="E3360" s="18" t="n">
        <v>0</v>
      </c>
      <c r="F3360" s="18" t="s">
        <v>1734</v>
      </c>
      <c r="G3360" s="18" t="s">
        <v>312</v>
      </c>
      <c r="H3360" s="18" t="s">
        <v>129</v>
      </c>
      <c r="I3360" s="18"/>
      <c r="J3360" s="18"/>
      <c r="K3360" s="18"/>
      <c r="L3360" s="18" t="s">
        <v>129</v>
      </c>
      <c r="M3360" s="18" t="s">
        <v>129</v>
      </c>
      <c r="N3360" s="18"/>
      <c r="O3360" s="18"/>
      <c r="P3360" s="18" t="s">
        <v>13912</v>
      </c>
      <c r="Q3360" s="18" t="s">
        <v>149</v>
      </c>
      <c r="R3360" s="18" t="s">
        <v>1735</v>
      </c>
      <c r="S3360" s="18" t="s">
        <v>140</v>
      </c>
      <c r="T3360" s="18" t="s">
        <v>13913</v>
      </c>
      <c r="U3360" s="18" t="s">
        <v>13874</v>
      </c>
      <c r="V3360" s="19" t="s">
        <v>29</v>
      </c>
      <c r="W3360" s="19"/>
      <c r="X3360" s="19"/>
      <c r="Y3360" s="20"/>
      <c r="Z3360" s="19"/>
      <c r="AA3360" s="18" t="str">
        <f aca="false">IF(OR(V3360="Aprobada"),R3360,IF(AND(OR(V3360="Aprobada con ajuste",V3360="Rechazada"),W3360&lt;&gt;""),W3360,""))</f>
        <v/>
      </c>
    </row>
    <row r="3361" customFormat="false" ht="53.7" hidden="false" customHeight="false" outlineLevel="0" collapsed="false">
      <c r="A3361" s="18" t="s">
        <v>13914</v>
      </c>
      <c r="B3361" s="18" t="s">
        <v>82</v>
      </c>
      <c r="C3361" s="18" t="s">
        <v>83</v>
      </c>
      <c r="D3361" s="18" t="s">
        <v>13915</v>
      </c>
      <c r="E3361" s="18" t="n">
        <v>0</v>
      </c>
      <c r="F3361" s="18" t="s">
        <v>7566</v>
      </c>
      <c r="G3361" s="18" t="s">
        <v>180</v>
      </c>
      <c r="H3361" s="18" t="s">
        <v>129</v>
      </c>
      <c r="I3361" s="18"/>
      <c r="J3361" s="18"/>
      <c r="K3361" s="18"/>
      <c r="L3361" s="18" t="s">
        <v>129</v>
      </c>
      <c r="M3361" s="18" t="s">
        <v>129</v>
      </c>
      <c r="N3361" s="18"/>
      <c r="O3361" s="18"/>
      <c r="P3361" s="18" t="s">
        <v>13916</v>
      </c>
      <c r="Q3361" s="18" t="s">
        <v>149</v>
      </c>
      <c r="R3361" s="18" t="s">
        <v>13917</v>
      </c>
      <c r="S3361" s="18" t="s">
        <v>133</v>
      </c>
      <c r="T3361" s="18" t="s">
        <v>3165</v>
      </c>
      <c r="U3361" s="18"/>
      <c r="V3361" s="19" t="s">
        <v>29</v>
      </c>
      <c r="W3361" s="19"/>
      <c r="X3361" s="19"/>
      <c r="Y3361" s="20"/>
      <c r="Z3361" s="19"/>
      <c r="AA3361" s="18" t="str">
        <f aca="false">IF(OR(V3361="Aprobada"),R3361,IF(AND(OR(V3361="Aprobada con ajuste",V3361="Rechazada"),W3361&lt;&gt;""),W3361,""))</f>
        <v/>
      </c>
    </row>
    <row r="3362" customFormat="false" ht="32.8" hidden="false" customHeight="false" outlineLevel="0" collapsed="false">
      <c r="A3362" s="18" t="s">
        <v>13918</v>
      </c>
      <c r="B3362" s="18" t="s">
        <v>82</v>
      </c>
      <c r="C3362" s="18" t="s">
        <v>83</v>
      </c>
      <c r="D3362" s="18" t="s">
        <v>13915</v>
      </c>
      <c r="E3362" s="18" t="n">
        <v>0</v>
      </c>
      <c r="F3362" s="18" t="s">
        <v>13919</v>
      </c>
      <c r="G3362" s="18" t="s">
        <v>13786</v>
      </c>
      <c r="H3362" s="18" t="s">
        <v>129</v>
      </c>
      <c r="I3362" s="18"/>
      <c r="J3362" s="18"/>
      <c r="K3362" s="18"/>
      <c r="L3362" s="18" t="s">
        <v>129</v>
      </c>
      <c r="M3362" s="18" t="s">
        <v>129</v>
      </c>
      <c r="N3362" s="18"/>
      <c r="O3362" s="18"/>
      <c r="P3362" s="18" t="s">
        <v>13920</v>
      </c>
      <c r="Q3362" s="18" t="s">
        <v>149</v>
      </c>
      <c r="R3362" s="18" t="s">
        <v>13921</v>
      </c>
      <c r="S3362" s="18" t="s">
        <v>140</v>
      </c>
      <c r="T3362" s="18" t="s">
        <v>13789</v>
      </c>
      <c r="U3362" s="18" t="s">
        <v>13922</v>
      </c>
      <c r="V3362" s="19" t="s">
        <v>29</v>
      </c>
      <c r="W3362" s="19"/>
      <c r="X3362" s="19"/>
      <c r="Y3362" s="20"/>
      <c r="Z3362" s="19"/>
      <c r="AA3362" s="18" t="str">
        <f aca="false">IF(OR(V3362="Aprobada"),R3362,IF(AND(OR(V3362="Aprobada con ajuste",V3362="Rechazada"),W3362&lt;&gt;""),W3362,""))</f>
        <v/>
      </c>
    </row>
    <row r="3363" customFormat="false" ht="32.8" hidden="false" customHeight="false" outlineLevel="0" collapsed="false">
      <c r="A3363" s="18" t="s">
        <v>13923</v>
      </c>
      <c r="B3363" s="18" t="s">
        <v>82</v>
      </c>
      <c r="C3363" s="18" t="s">
        <v>83</v>
      </c>
      <c r="D3363" s="18" t="s">
        <v>13915</v>
      </c>
      <c r="E3363" s="18" t="n">
        <v>0</v>
      </c>
      <c r="F3363" s="18" t="s">
        <v>293</v>
      </c>
      <c r="G3363" s="18" t="s">
        <v>503</v>
      </c>
      <c r="H3363" s="18" t="s">
        <v>129</v>
      </c>
      <c r="I3363" s="18" t="s">
        <v>298</v>
      </c>
      <c r="J3363" s="18"/>
      <c r="K3363" s="18"/>
      <c r="L3363" s="18" t="s">
        <v>129</v>
      </c>
      <c r="M3363" s="18" t="s">
        <v>129</v>
      </c>
      <c r="N3363" s="18"/>
      <c r="O3363" s="18"/>
      <c r="P3363" s="18" t="s">
        <v>13924</v>
      </c>
      <c r="Q3363" s="18" t="s">
        <v>138</v>
      </c>
      <c r="R3363" s="18" t="s">
        <v>296</v>
      </c>
      <c r="S3363" s="18" t="s">
        <v>140</v>
      </c>
      <c r="T3363" s="18" t="s">
        <v>141</v>
      </c>
      <c r="U3363" s="18"/>
      <c r="V3363" s="19" t="s">
        <v>29</v>
      </c>
      <c r="W3363" s="19"/>
      <c r="X3363" s="19"/>
      <c r="Y3363" s="20"/>
      <c r="Z3363" s="19"/>
      <c r="AA3363" s="18" t="str">
        <f aca="false">IF(OR(V3363="Aprobada"),R3363,IF(AND(OR(V3363="Aprobada con ajuste",V3363="Rechazada"),W3363&lt;&gt;""),W3363,""))</f>
        <v/>
      </c>
    </row>
    <row r="3364" customFormat="false" ht="32.8" hidden="false" customHeight="false" outlineLevel="0" collapsed="false">
      <c r="A3364" s="18" t="s">
        <v>13925</v>
      </c>
      <c r="B3364" s="18" t="s">
        <v>82</v>
      </c>
      <c r="C3364" s="18" t="s">
        <v>83</v>
      </c>
      <c r="D3364" s="18" t="s">
        <v>13915</v>
      </c>
      <c r="E3364" s="18" t="n">
        <v>0</v>
      </c>
      <c r="F3364" s="18" t="s">
        <v>3171</v>
      </c>
      <c r="G3364" s="18" t="s">
        <v>2003</v>
      </c>
      <c r="H3364" s="18" t="s">
        <v>129</v>
      </c>
      <c r="I3364" s="18"/>
      <c r="J3364" s="18"/>
      <c r="K3364" s="18"/>
      <c r="L3364" s="18" t="s">
        <v>129</v>
      </c>
      <c r="M3364" s="18" t="s">
        <v>129</v>
      </c>
      <c r="N3364" s="18"/>
      <c r="O3364" s="18"/>
      <c r="P3364" s="18" t="s">
        <v>13926</v>
      </c>
      <c r="Q3364" s="18" t="s">
        <v>149</v>
      </c>
      <c r="R3364" s="18" t="s">
        <v>13927</v>
      </c>
      <c r="S3364" s="18" t="s">
        <v>133</v>
      </c>
      <c r="T3364" s="18" t="s">
        <v>10961</v>
      </c>
      <c r="U3364" s="18"/>
      <c r="V3364" s="19" t="s">
        <v>29</v>
      </c>
      <c r="W3364" s="19"/>
      <c r="X3364" s="19"/>
      <c r="Y3364" s="20"/>
      <c r="Z3364" s="19"/>
      <c r="AA3364" s="18" t="str">
        <f aca="false">IF(OR(V3364="Aprobada"),R3364,IF(AND(OR(V3364="Aprobada con ajuste",V3364="Rechazada"),W3364&lt;&gt;""),W3364,""))</f>
        <v/>
      </c>
    </row>
    <row r="3365" customFormat="false" ht="32.8" hidden="false" customHeight="false" outlineLevel="0" collapsed="false">
      <c r="A3365" s="18" t="s">
        <v>13928</v>
      </c>
      <c r="B3365" s="18" t="s">
        <v>82</v>
      </c>
      <c r="C3365" s="18" t="s">
        <v>83</v>
      </c>
      <c r="D3365" s="18" t="s">
        <v>13915</v>
      </c>
      <c r="E3365" s="18" t="n">
        <v>0</v>
      </c>
      <c r="F3365" s="18" t="s">
        <v>6749</v>
      </c>
      <c r="G3365" s="18" t="s">
        <v>312</v>
      </c>
      <c r="H3365" s="18" t="s">
        <v>129</v>
      </c>
      <c r="I3365" s="18"/>
      <c r="J3365" s="18"/>
      <c r="K3365" s="18"/>
      <c r="L3365" s="18" t="s">
        <v>129</v>
      </c>
      <c r="M3365" s="18" t="s">
        <v>129</v>
      </c>
      <c r="N3365" s="18"/>
      <c r="O3365" s="18"/>
      <c r="P3365" s="18" t="s">
        <v>13929</v>
      </c>
      <c r="Q3365" s="18" t="s">
        <v>149</v>
      </c>
      <c r="R3365" s="18" t="s">
        <v>13930</v>
      </c>
      <c r="S3365" s="18" t="s">
        <v>140</v>
      </c>
      <c r="T3365" s="18" t="s">
        <v>13716</v>
      </c>
      <c r="U3365" s="18" t="s">
        <v>13874</v>
      </c>
      <c r="V3365" s="19" t="s">
        <v>29</v>
      </c>
      <c r="W3365" s="19"/>
      <c r="X3365" s="19"/>
      <c r="Y3365" s="20"/>
      <c r="Z3365" s="19"/>
      <c r="AA3365" s="18" t="str">
        <f aca="false">IF(OR(V3365="Aprobada"),R3365,IF(AND(OR(V3365="Aprobada con ajuste",V3365="Rechazada"),W3365&lt;&gt;""),W3365,""))</f>
        <v/>
      </c>
    </row>
    <row r="3366" customFormat="false" ht="43.25" hidden="false" customHeight="false" outlineLevel="0" collapsed="false">
      <c r="A3366" s="18" t="s">
        <v>13931</v>
      </c>
      <c r="B3366" s="18" t="s">
        <v>82</v>
      </c>
      <c r="C3366" s="18" t="s">
        <v>83</v>
      </c>
      <c r="D3366" s="18" t="s">
        <v>13915</v>
      </c>
      <c r="E3366" s="18" t="n">
        <v>0</v>
      </c>
      <c r="F3366" s="18" t="s">
        <v>13932</v>
      </c>
      <c r="G3366" s="18" t="s">
        <v>205</v>
      </c>
      <c r="H3366" s="18" t="s">
        <v>162</v>
      </c>
      <c r="I3366" s="18" t="s">
        <v>298</v>
      </c>
      <c r="J3366" s="18" t="s">
        <v>13933</v>
      </c>
      <c r="K3366" s="18"/>
      <c r="L3366" s="18" t="s">
        <v>162</v>
      </c>
      <c r="M3366" s="18" t="s">
        <v>129</v>
      </c>
      <c r="N3366" s="18"/>
      <c r="O3366" s="18"/>
      <c r="P3366" s="18" t="s">
        <v>13934</v>
      </c>
      <c r="Q3366" s="18" t="s">
        <v>131</v>
      </c>
      <c r="R3366" s="18" t="s">
        <v>13935</v>
      </c>
      <c r="S3366" s="18" t="s">
        <v>140</v>
      </c>
      <c r="T3366" s="18" t="s">
        <v>13936</v>
      </c>
      <c r="U3366" s="18" t="s">
        <v>13937</v>
      </c>
      <c r="V3366" s="19" t="s">
        <v>29</v>
      </c>
      <c r="W3366" s="19"/>
      <c r="X3366" s="19"/>
      <c r="Y3366" s="20"/>
      <c r="Z3366" s="19"/>
      <c r="AA3366" s="18" t="str">
        <f aca="false">IF(OR(V3366="Aprobada"),R3366,IF(AND(OR(V3366="Aprobada con ajuste",V3366="Rechazada"),W3366&lt;&gt;""),W3366,""))</f>
        <v/>
      </c>
    </row>
    <row r="3367" customFormat="false" ht="32.8" hidden="false" customHeight="false" outlineLevel="0" collapsed="false">
      <c r="A3367" s="18" t="s">
        <v>13938</v>
      </c>
      <c r="B3367" s="18" t="s">
        <v>82</v>
      </c>
      <c r="C3367" s="18" t="s">
        <v>83</v>
      </c>
      <c r="D3367" s="18" t="s">
        <v>13915</v>
      </c>
      <c r="E3367" s="18" t="n">
        <v>0</v>
      </c>
      <c r="F3367" s="18" t="s">
        <v>13939</v>
      </c>
      <c r="G3367" s="18" t="s">
        <v>128</v>
      </c>
      <c r="H3367" s="18" t="s">
        <v>162</v>
      </c>
      <c r="I3367" s="18" t="s">
        <v>298</v>
      </c>
      <c r="J3367" s="18"/>
      <c r="K3367" s="18"/>
      <c r="L3367" s="18" t="s">
        <v>129</v>
      </c>
      <c r="M3367" s="18" t="s">
        <v>129</v>
      </c>
      <c r="N3367" s="18"/>
      <c r="O3367" s="18"/>
      <c r="P3367" s="18" t="s">
        <v>13940</v>
      </c>
      <c r="Q3367" s="18" t="s">
        <v>131</v>
      </c>
      <c r="R3367" s="18" t="s">
        <v>13941</v>
      </c>
      <c r="S3367" s="18" t="s">
        <v>133</v>
      </c>
      <c r="T3367" s="18" t="s">
        <v>13942</v>
      </c>
      <c r="U3367" s="18"/>
      <c r="V3367" s="19" t="s">
        <v>29</v>
      </c>
      <c r="W3367" s="19"/>
      <c r="X3367" s="19"/>
      <c r="Y3367" s="20"/>
      <c r="Z3367" s="19"/>
      <c r="AA3367" s="18" t="str">
        <f aca="false">IF(OR(V3367="Aprobada"),R3367,IF(AND(OR(V3367="Aprobada con ajuste",V3367="Rechazada"),W3367&lt;&gt;""),W3367,""))</f>
        <v/>
      </c>
    </row>
    <row r="3368" customFormat="false" ht="32.8" hidden="false" customHeight="false" outlineLevel="0" collapsed="false">
      <c r="A3368" s="18" t="s">
        <v>13943</v>
      </c>
      <c r="B3368" s="18" t="s">
        <v>82</v>
      </c>
      <c r="C3368" s="18" t="s">
        <v>83</v>
      </c>
      <c r="D3368" s="18" t="s">
        <v>13915</v>
      </c>
      <c r="E3368" s="18" t="n">
        <v>0</v>
      </c>
      <c r="F3368" s="18" t="s">
        <v>13260</v>
      </c>
      <c r="G3368" s="18" t="s">
        <v>312</v>
      </c>
      <c r="H3368" s="18" t="s">
        <v>162</v>
      </c>
      <c r="I3368" s="18"/>
      <c r="J3368" s="18"/>
      <c r="K3368" s="18"/>
      <c r="L3368" s="18" t="s">
        <v>129</v>
      </c>
      <c r="M3368" s="18" t="s">
        <v>129</v>
      </c>
      <c r="N3368" s="18"/>
      <c r="O3368" s="18"/>
      <c r="P3368" s="18" t="s">
        <v>13944</v>
      </c>
      <c r="Q3368" s="18" t="s">
        <v>131</v>
      </c>
      <c r="R3368" s="18" t="s">
        <v>13945</v>
      </c>
      <c r="S3368" s="18" t="s">
        <v>133</v>
      </c>
      <c r="T3368" s="18" t="s">
        <v>13946</v>
      </c>
      <c r="U3368" s="18"/>
      <c r="V3368" s="19" t="s">
        <v>29</v>
      </c>
      <c r="W3368" s="19"/>
      <c r="X3368" s="19"/>
      <c r="Y3368" s="20"/>
      <c r="Z3368" s="19"/>
      <c r="AA3368" s="18" t="str">
        <f aca="false">IF(OR(V3368="Aprobada"),R3368,IF(AND(OR(V3368="Aprobada con ajuste",V3368="Rechazada"),W3368&lt;&gt;""),W3368,""))</f>
        <v/>
      </c>
    </row>
    <row r="3369" customFormat="false" ht="32.8" hidden="false" customHeight="false" outlineLevel="0" collapsed="false">
      <c r="A3369" s="18" t="s">
        <v>13947</v>
      </c>
      <c r="B3369" s="18" t="s">
        <v>82</v>
      </c>
      <c r="C3369" s="18" t="s">
        <v>83</v>
      </c>
      <c r="D3369" s="18" t="s">
        <v>13915</v>
      </c>
      <c r="E3369" s="18" t="n">
        <v>0</v>
      </c>
      <c r="F3369" s="18" t="s">
        <v>3315</v>
      </c>
      <c r="G3369" s="18" t="s">
        <v>584</v>
      </c>
      <c r="H3369" s="18" t="s">
        <v>162</v>
      </c>
      <c r="I3369" s="18" t="s">
        <v>298</v>
      </c>
      <c r="J3369" s="18"/>
      <c r="K3369" s="18"/>
      <c r="L3369" s="18" t="s">
        <v>129</v>
      </c>
      <c r="M3369" s="18" t="s">
        <v>129</v>
      </c>
      <c r="N3369" s="18"/>
      <c r="O3369" s="18"/>
      <c r="P3369" s="18" t="s">
        <v>13948</v>
      </c>
      <c r="Q3369" s="18" t="s">
        <v>131</v>
      </c>
      <c r="R3369" s="18" t="s">
        <v>13949</v>
      </c>
      <c r="S3369" s="18" t="s">
        <v>133</v>
      </c>
      <c r="T3369" s="18" t="s">
        <v>13950</v>
      </c>
      <c r="U3369" s="18"/>
      <c r="V3369" s="19" t="s">
        <v>29</v>
      </c>
      <c r="W3369" s="19"/>
      <c r="X3369" s="19"/>
      <c r="Y3369" s="20"/>
      <c r="Z3369" s="19"/>
      <c r="AA3369" s="18" t="str">
        <f aca="false">IF(OR(V3369="Aprobada"),R3369,IF(AND(OR(V3369="Aprobada con ajuste",V3369="Rechazada"),W3369&lt;&gt;""),W3369,""))</f>
        <v/>
      </c>
    </row>
    <row r="3370" customFormat="false" ht="85.05" hidden="false" customHeight="false" outlineLevel="0" collapsed="false">
      <c r="A3370" s="18" t="s">
        <v>13951</v>
      </c>
      <c r="B3370" s="18" t="s">
        <v>82</v>
      </c>
      <c r="C3370" s="18" t="s">
        <v>83</v>
      </c>
      <c r="D3370" s="18" t="s">
        <v>13952</v>
      </c>
      <c r="E3370" s="18" t="n">
        <v>0</v>
      </c>
      <c r="F3370" s="18" t="s">
        <v>13953</v>
      </c>
      <c r="G3370" s="18" t="s">
        <v>145</v>
      </c>
      <c r="H3370" s="18" t="s">
        <v>129</v>
      </c>
      <c r="I3370" s="18"/>
      <c r="J3370" s="18"/>
      <c r="K3370" s="18"/>
      <c r="L3370" s="18" t="s">
        <v>129</v>
      </c>
      <c r="M3370" s="18" t="s">
        <v>129</v>
      </c>
      <c r="N3370" s="18"/>
      <c r="O3370" s="18"/>
      <c r="P3370" s="18" t="s">
        <v>13954</v>
      </c>
      <c r="Q3370" s="18" t="s">
        <v>149</v>
      </c>
      <c r="R3370" s="18" t="s">
        <v>13955</v>
      </c>
      <c r="S3370" s="18" t="s">
        <v>140</v>
      </c>
      <c r="T3370" s="18" t="s">
        <v>13956</v>
      </c>
      <c r="U3370" s="18" t="s">
        <v>13957</v>
      </c>
      <c r="V3370" s="19" t="s">
        <v>29</v>
      </c>
      <c r="W3370" s="19"/>
      <c r="X3370" s="19"/>
      <c r="Y3370" s="20"/>
      <c r="Z3370" s="19"/>
      <c r="AA3370" s="18" t="str">
        <f aca="false">IF(OR(V3370="Aprobada"),R3370,IF(AND(OR(V3370="Aprobada con ajuste",V3370="Rechazada"),W3370&lt;&gt;""),W3370,""))</f>
        <v/>
      </c>
    </row>
    <row r="3371" customFormat="false" ht="43.25" hidden="false" customHeight="false" outlineLevel="0" collapsed="false">
      <c r="A3371" s="18" t="s">
        <v>13958</v>
      </c>
      <c r="B3371" s="18" t="s">
        <v>82</v>
      </c>
      <c r="C3371" s="18" t="s">
        <v>83</v>
      </c>
      <c r="D3371" s="18" t="s">
        <v>13952</v>
      </c>
      <c r="E3371" s="18" t="n">
        <v>0</v>
      </c>
      <c r="F3371" s="18" t="s">
        <v>13959</v>
      </c>
      <c r="G3371" s="18" t="s">
        <v>145</v>
      </c>
      <c r="H3371" s="18" t="s">
        <v>129</v>
      </c>
      <c r="I3371" s="18"/>
      <c r="J3371" s="18"/>
      <c r="K3371" s="18"/>
      <c r="L3371" s="18" t="s">
        <v>129</v>
      </c>
      <c r="M3371" s="18" t="s">
        <v>129</v>
      </c>
      <c r="N3371" s="18"/>
      <c r="O3371" s="18"/>
      <c r="P3371" s="18" t="s">
        <v>13960</v>
      </c>
      <c r="Q3371" s="18" t="s">
        <v>149</v>
      </c>
      <c r="R3371" s="18" t="s">
        <v>13961</v>
      </c>
      <c r="S3371" s="18" t="s">
        <v>140</v>
      </c>
      <c r="T3371" s="18" t="s">
        <v>13962</v>
      </c>
      <c r="U3371" s="18" t="s">
        <v>13963</v>
      </c>
      <c r="V3371" s="19" t="s">
        <v>29</v>
      </c>
      <c r="W3371" s="19"/>
      <c r="X3371" s="19"/>
      <c r="Y3371" s="20"/>
      <c r="Z3371" s="19"/>
      <c r="AA3371" s="18" t="str">
        <f aca="false">IF(OR(V3371="Aprobada"),R3371,IF(AND(OR(V3371="Aprobada con ajuste",V3371="Rechazada"),W3371&lt;&gt;""),W3371,""))</f>
        <v/>
      </c>
    </row>
    <row r="3372" customFormat="false" ht="43.25" hidden="false" customHeight="false" outlineLevel="0" collapsed="false">
      <c r="A3372" s="18" t="s">
        <v>13964</v>
      </c>
      <c r="B3372" s="18" t="s">
        <v>82</v>
      </c>
      <c r="C3372" s="18" t="s">
        <v>83</v>
      </c>
      <c r="D3372" s="18" t="s">
        <v>13952</v>
      </c>
      <c r="E3372" s="18" t="n">
        <v>0</v>
      </c>
      <c r="F3372" s="18" t="s">
        <v>13965</v>
      </c>
      <c r="G3372" s="18" t="s">
        <v>584</v>
      </c>
      <c r="H3372" s="18" t="s">
        <v>129</v>
      </c>
      <c r="I3372" s="18"/>
      <c r="J3372" s="18"/>
      <c r="K3372" s="18"/>
      <c r="L3372" s="18" t="s">
        <v>129</v>
      </c>
      <c r="M3372" s="18" t="s">
        <v>129</v>
      </c>
      <c r="N3372" s="18"/>
      <c r="O3372" s="18"/>
      <c r="P3372" s="18" t="s">
        <v>13966</v>
      </c>
      <c r="Q3372" s="18" t="s">
        <v>138</v>
      </c>
      <c r="R3372" s="18" t="s">
        <v>13967</v>
      </c>
      <c r="S3372" s="18" t="s">
        <v>140</v>
      </c>
      <c r="T3372" s="18" t="s">
        <v>141</v>
      </c>
      <c r="U3372" s="18"/>
      <c r="V3372" s="19" t="s">
        <v>29</v>
      </c>
      <c r="W3372" s="19"/>
      <c r="X3372" s="19"/>
      <c r="Y3372" s="20"/>
      <c r="Z3372" s="19"/>
      <c r="AA3372" s="18" t="str">
        <f aca="false">IF(OR(V3372="Aprobada"),R3372,IF(AND(OR(V3372="Aprobada con ajuste",V3372="Rechazada"),W3372&lt;&gt;""),W3372,""))</f>
        <v/>
      </c>
    </row>
    <row r="3373" customFormat="false" ht="43.25" hidden="false" customHeight="false" outlineLevel="0" collapsed="false">
      <c r="A3373" s="18" t="s">
        <v>13968</v>
      </c>
      <c r="B3373" s="18" t="s">
        <v>82</v>
      </c>
      <c r="C3373" s="18" t="s">
        <v>83</v>
      </c>
      <c r="D3373" s="18" t="s">
        <v>13952</v>
      </c>
      <c r="E3373" s="18" t="n">
        <v>0</v>
      </c>
      <c r="F3373" s="18" t="s">
        <v>12283</v>
      </c>
      <c r="G3373" s="18" t="s">
        <v>503</v>
      </c>
      <c r="H3373" s="18" t="s">
        <v>129</v>
      </c>
      <c r="I3373" s="18" t="s">
        <v>298</v>
      </c>
      <c r="J3373" s="18"/>
      <c r="K3373" s="18"/>
      <c r="L3373" s="18" t="s">
        <v>129</v>
      </c>
      <c r="M3373" s="18" t="s">
        <v>129</v>
      </c>
      <c r="N3373" s="18"/>
      <c r="O3373" s="18"/>
      <c r="P3373" s="18" t="s">
        <v>13969</v>
      </c>
      <c r="Q3373" s="18" t="s">
        <v>138</v>
      </c>
      <c r="R3373" s="18" t="s">
        <v>13703</v>
      </c>
      <c r="S3373" s="18" t="s">
        <v>140</v>
      </c>
      <c r="T3373" s="18" t="s">
        <v>141</v>
      </c>
      <c r="U3373" s="18"/>
      <c r="V3373" s="19" t="s">
        <v>29</v>
      </c>
      <c r="W3373" s="19"/>
      <c r="X3373" s="19"/>
      <c r="Y3373" s="20"/>
      <c r="Z3373" s="19"/>
      <c r="AA3373" s="18" t="str">
        <f aca="false">IF(OR(V3373="Aprobada"),R3373,IF(AND(OR(V3373="Aprobada con ajuste",V3373="Rechazada"),W3373&lt;&gt;""),W3373,""))</f>
        <v/>
      </c>
    </row>
    <row r="3374" customFormat="false" ht="32.8" hidden="false" customHeight="false" outlineLevel="0" collapsed="false">
      <c r="A3374" s="18" t="s">
        <v>13970</v>
      </c>
      <c r="B3374" s="18" t="s">
        <v>82</v>
      </c>
      <c r="C3374" s="18" t="s">
        <v>83</v>
      </c>
      <c r="D3374" s="18" t="s">
        <v>13952</v>
      </c>
      <c r="E3374" s="18" t="n">
        <v>0</v>
      </c>
      <c r="F3374" s="18" t="s">
        <v>13971</v>
      </c>
      <c r="G3374" s="18" t="s">
        <v>13669</v>
      </c>
      <c r="H3374" s="18" t="s">
        <v>129</v>
      </c>
      <c r="I3374" s="18"/>
      <c r="J3374" s="18"/>
      <c r="K3374" s="18"/>
      <c r="L3374" s="18" t="s">
        <v>129</v>
      </c>
      <c r="M3374" s="18" t="s">
        <v>129</v>
      </c>
      <c r="N3374" s="18"/>
      <c r="O3374" s="18"/>
      <c r="P3374" s="18" t="s">
        <v>13972</v>
      </c>
      <c r="Q3374" s="18" t="s">
        <v>149</v>
      </c>
      <c r="R3374" s="18" t="s">
        <v>13973</v>
      </c>
      <c r="S3374" s="18" t="s">
        <v>140</v>
      </c>
      <c r="T3374" s="18" t="s">
        <v>13974</v>
      </c>
      <c r="U3374" s="18" t="s">
        <v>13975</v>
      </c>
      <c r="V3374" s="19" t="s">
        <v>29</v>
      </c>
      <c r="W3374" s="19"/>
      <c r="X3374" s="19"/>
      <c r="Y3374" s="20"/>
      <c r="Z3374" s="19"/>
      <c r="AA3374" s="18" t="str">
        <f aca="false">IF(OR(V3374="Aprobada"),R3374,IF(AND(OR(V3374="Aprobada con ajuste",V3374="Rechazada"),W3374&lt;&gt;""),W3374,""))</f>
        <v/>
      </c>
    </row>
    <row r="3375" customFormat="false" ht="32.8" hidden="false" customHeight="false" outlineLevel="0" collapsed="false">
      <c r="A3375" s="18" t="s">
        <v>13976</v>
      </c>
      <c r="B3375" s="18" t="s">
        <v>82</v>
      </c>
      <c r="C3375" s="18" t="s">
        <v>83</v>
      </c>
      <c r="D3375" s="18" t="s">
        <v>13952</v>
      </c>
      <c r="E3375" s="18" t="n">
        <v>0</v>
      </c>
      <c r="F3375" s="18" t="s">
        <v>6639</v>
      </c>
      <c r="G3375" s="18" t="s">
        <v>584</v>
      </c>
      <c r="H3375" s="18" t="s">
        <v>129</v>
      </c>
      <c r="I3375" s="18" t="s">
        <v>298</v>
      </c>
      <c r="J3375" s="18"/>
      <c r="K3375" s="18"/>
      <c r="L3375" s="18" t="s">
        <v>129</v>
      </c>
      <c r="M3375" s="18" t="s">
        <v>129</v>
      </c>
      <c r="N3375" s="18"/>
      <c r="O3375" s="18" t="s">
        <v>13977</v>
      </c>
      <c r="P3375" s="18" t="s">
        <v>13978</v>
      </c>
      <c r="Q3375" s="18" t="s">
        <v>138</v>
      </c>
      <c r="R3375" s="18" t="s">
        <v>6640</v>
      </c>
      <c r="S3375" s="18" t="s">
        <v>140</v>
      </c>
      <c r="T3375" s="18" t="s">
        <v>141</v>
      </c>
      <c r="U3375" s="18"/>
      <c r="V3375" s="19" t="s">
        <v>29</v>
      </c>
      <c r="W3375" s="19"/>
      <c r="X3375" s="19"/>
      <c r="Y3375" s="20"/>
      <c r="Z3375" s="19"/>
      <c r="AA3375" s="18" t="str">
        <f aca="false">IF(OR(V3375="Aprobada"),R3375,IF(AND(OR(V3375="Aprobada con ajuste",V3375="Rechazada"),W3375&lt;&gt;""),W3375,""))</f>
        <v/>
      </c>
    </row>
    <row r="3376" customFormat="false" ht="43.25" hidden="false" customHeight="false" outlineLevel="0" collapsed="false">
      <c r="A3376" s="18" t="s">
        <v>13979</v>
      </c>
      <c r="B3376" s="18" t="s">
        <v>82</v>
      </c>
      <c r="C3376" s="18" t="s">
        <v>83</v>
      </c>
      <c r="D3376" s="18" t="s">
        <v>13952</v>
      </c>
      <c r="E3376" s="18" t="n">
        <v>0</v>
      </c>
      <c r="F3376" s="18" t="s">
        <v>13980</v>
      </c>
      <c r="G3376" s="18" t="s">
        <v>312</v>
      </c>
      <c r="H3376" s="18" t="s">
        <v>162</v>
      </c>
      <c r="I3376" s="18" t="s">
        <v>298</v>
      </c>
      <c r="J3376" s="18"/>
      <c r="K3376" s="18"/>
      <c r="L3376" s="18" t="s">
        <v>129</v>
      </c>
      <c r="M3376" s="18" t="s">
        <v>129</v>
      </c>
      <c r="N3376" s="18"/>
      <c r="O3376" s="18"/>
      <c r="P3376" s="18" t="s">
        <v>13981</v>
      </c>
      <c r="Q3376" s="18" t="s">
        <v>149</v>
      </c>
      <c r="R3376" s="18" t="s">
        <v>13982</v>
      </c>
      <c r="S3376" s="18" t="s">
        <v>140</v>
      </c>
      <c r="T3376" s="18" t="s">
        <v>13983</v>
      </c>
      <c r="U3376" s="18" t="s">
        <v>13874</v>
      </c>
      <c r="V3376" s="19" t="s">
        <v>29</v>
      </c>
      <c r="W3376" s="19"/>
      <c r="X3376" s="19"/>
      <c r="Y3376" s="20"/>
      <c r="Z3376" s="19"/>
      <c r="AA3376" s="18" t="str">
        <f aca="false">IF(OR(V3376="Aprobada"),R3376,IF(AND(OR(V3376="Aprobada con ajuste",V3376="Rechazada"),W3376&lt;&gt;""),W3376,""))</f>
        <v/>
      </c>
    </row>
    <row r="3377" customFormat="false" ht="43.25" hidden="false" customHeight="false" outlineLevel="0" collapsed="false">
      <c r="A3377" s="18" t="s">
        <v>13984</v>
      </c>
      <c r="B3377" s="18" t="s">
        <v>82</v>
      </c>
      <c r="C3377" s="18" t="s">
        <v>83</v>
      </c>
      <c r="D3377" s="18" t="s">
        <v>13952</v>
      </c>
      <c r="E3377" s="18" t="n">
        <v>0</v>
      </c>
      <c r="F3377" s="18" t="s">
        <v>13985</v>
      </c>
      <c r="G3377" s="18" t="s">
        <v>584</v>
      </c>
      <c r="H3377" s="18" t="s">
        <v>162</v>
      </c>
      <c r="I3377" s="18"/>
      <c r="J3377" s="18"/>
      <c r="K3377" s="18"/>
      <c r="L3377" s="18" t="s">
        <v>129</v>
      </c>
      <c r="M3377" s="18" t="s">
        <v>129</v>
      </c>
      <c r="N3377" s="18"/>
      <c r="O3377" s="18"/>
      <c r="P3377" s="18" t="s">
        <v>13986</v>
      </c>
      <c r="Q3377" s="18" t="s">
        <v>149</v>
      </c>
      <c r="R3377" s="18" t="s">
        <v>13987</v>
      </c>
      <c r="S3377" s="18" t="s">
        <v>133</v>
      </c>
      <c r="T3377" s="18" t="s">
        <v>13988</v>
      </c>
      <c r="U3377" s="18"/>
      <c r="V3377" s="19" t="s">
        <v>29</v>
      </c>
      <c r="W3377" s="19"/>
      <c r="X3377" s="19"/>
      <c r="Y3377" s="20"/>
      <c r="Z3377" s="19"/>
      <c r="AA3377" s="18" t="str">
        <f aca="false">IF(OR(V3377="Aprobada"),R3377,IF(AND(OR(V3377="Aprobada con ajuste",V3377="Rechazada"),W3377&lt;&gt;""),W3377,""))</f>
        <v/>
      </c>
    </row>
    <row r="3378" customFormat="false" ht="43.25" hidden="false" customHeight="false" outlineLevel="0" collapsed="false">
      <c r="A3378" s="18" t="s">
        <v>13989</v>
      </c>
      <c r="B3378" s="18" t="s">
        <v>82</v>
      </c>
      <c r="C3378" s="18" t="s">
        <v>83</v>
      </c>
      <c r="D3378" s="18" t="s">
        <v>13952</v>
      </c>
      <c r="E3378" s="18" t="n">
        <v>0</v>
      </c>
      <c r="F3378" s="18" t="s">
        <v>13990</v>
      </c>
      <c r="G3378" s="18" t="s">
        <v>584</v>
      </c>
      <c r="H3378" s="18" t="s">
        <v>162</v>
      </c>
      <c r="I3378" s="18"/>
      <c r="J3378" s="18"/>
      <c r="K3378" s="18"/>
      <c r="L3378" s="18" t="s">
        <v>129</v>
      </c>
      <c r="M3378" s="18" t="s">
        <v>129</v>
      </c>
      <c r="N3378" s="18"/>
      <c r="O3378" s="18"/>
      <c r="P3378" s="18" t="s">
        <v>13991</v>
      </c>
      <c r="Q3378" s="18" t="s">
        <v>149</v>
      </c>
      <c r="R3378" s="18" t="s">
        <v>13992</v>
      </c>
      <c r="S3378" s="18" t="s">
        <v>133</v>
      </c>
      <c r="T3378" s="18" t="s">
        <v>13993</v>
      </c>
      <c r="U3378" s="18"/>
      <c r="V3378" s="19" t="s">
        <v>29</v>
      </c>
      <c r="W3378" s="19"/>
      <c r="X3378" s="19"/>
      <c r="Y3378" s="20"/>
      <c r="Z3378" s="19"/>
      <c r="AA3378" s="18" t="str">
        <f aca="false">IF(OR(V3378="Aprobada"),R3378,IF(AND(OR(V3378="Aprobada con ajuste",V3378="Rechazada"),W3378&lt;&gt;""),W3378,""))</f>
        <v/>
      </c>
    </row>
    <row r="3379" customFormat="false" ht="53.7" hidden="false" customHeight="false" outlineLevel="0" collapsed="false">
      <c r="A3379" s="18" t="s">
        <v>13994</v>
      </c>
      <c r="B3379" s="18" t="s">
        <v>82</v>
      </c>
      <c r="C3379" s="18" t="s">
        <v>83</v>
      </c>
      <c r="D3379" s="18" t="s">
        <v>13952</v>
      </c>
      <c r="E3379" s="18" t="n">
        <v>0</v>
      </c>
      <c r="F3379" s="18" t="s">
        <v>13995</v>
      </c>
      <c r="G3379" s="18" t="s">
        <v>584</v>
      </c>
      <c r="H3379" s="18" t="s">
        <v>162</v>
      </c>
      <c r="I3379" s="18" t="s">
        <v>298</v>
      </c>
      <c r="J3379" s="18"/>
      <c r="K3379" s="18"/>
      <c r="L3379" s="18" t="s">
        <v>129</v>
      </c>
      <c r="M3379" s="18" t="s">
        <v>129</v>
      </c>
      <c r="N3379" s="18"/>
      <c r="O3379" s="18"/>
      <c r="P3379" s="18" t="s">
        <v>13996</v>
      </c>
      <c r="Q3379" s="18" t="s">
        <v>131</v>
      </c>
      <c r="R3379" s="18" t="s">
        <v>13997</v>
      </c>
      <c r="S3379" s="18" t="s">
        <v>140</v>
      </c>
      <c r="T3379" s="18" t="s">
        <v>13998</v>
      </c>
      <c r="U3379" s="18"/>
      <c r="V3379" s="19" t="s">
        <v>29</v>
      </c>
      <c r="W3379" s="19"/>
      <c r="X3379" s="19"/>
      <c r="Y3379" s="20"/>
      <c r="Z3379" s="19"/>
      <c r="AA3379" s="18" t="str">
        <f aca="false">IF(OR(V3379="Aprobada"),R3379,IF(AND(OR(V3379="Aprobada con ajuste",V3379="Rechazada"),W3379&lt;&gt;""),W3379,""))</f>
        <v/>
      </c>
    </row>
    <row r="3380" customFormat="false" ht="32.8" hidden="false" customHeight="false" outlineLevel="0" collapsed="false">
      <c r="A3380" s="18" t="s">
        <v>13999</v>
      </c>
      <c r="B3380" s="18" t="s">
        <v>82</v>
      </c>
      <c r="C3380" s="18" t="s">
        <v>83</v>
      </c>
      <c r="D3380" s="18" t="s">
        <v>13952</v>
      </c>
      <c r="E3380" s="18" t="n">
        <v>0</v>
      </c>
      <c r="F3380" s="18" t="s">
        <v>14000</v>
      </c>
      <c r="G3380" s="18" t="s">
        <v>312</v>
      </c>
      <c r="H3380" s="18" t="s">
        <v>162</v>
      </c>
      <c r="I3380" s="18"/>
      <c r="J3380" s="18"/>
      <c r="K3380" s="18"/>
      <c r="L3380" s="18" t="s">
        <v>129</v>
      </c>
      <c r="M3380" s="18" t="s">
        <v>129</v>
      </c>
      <c r="N3380" s="18"/>
      <c r="O3380" s="18"/>
      <c r="P3380" s="18" t="s">
        <v>14001</v>
      </c>
      <c r="Q3380" s="18" t="s">
        <v>131</v>
      </c>
      <c r="R3380" s="18" t="s">
        <v>14002</v>
      </c>
      <c r="S3380" s="18" t="s">
        <v>133</v>
      </c>
      <c r="T3380" s="18" t="s">
        <v>14003</v>
      </c>
      <c r="U3380" s="18"/>
      <c r="V3380" s="19" t="s">
        <v>29</v>
      </c>
      <c r="W3380" s="19"/>
      <c r="X3380" s="19"/>
      <c r="Y3380" s="20"/>
      <c r="Z3380" s="19"/>
      <c r="AA3380" s="18" t="str">
        <f aca="false">IF(OR(V3380="Aprobada"),R3380,IF(AND(OR(V3380="Aprobada con ajuste",V3380="Rechazada"),W3380&lt;&gt;""),W3380,""))</f>
        <v/>
      </c>
    </row>
    <row r="3381" customFormat="false" ht="32.8" hidden="false" customHeight="false" outlineLevel="0" collapsed="false">
      <c r="A3381" s="18" t="s">
        <v>14004</v>
      </c>
      <c r="B3381" s="18" t="s">
        <v>82</v>
      </c>
      <c r="C3381" s="18" t="s">
        <v>83</v>
      </c>
      <c r="D3381" s="18" t="s">
        <v>13952</v>
      </c>
      <c r="E3381" s="18" t="n">
        <v>0</v>
      </c>
      <c r="F3381" s="18" t="s">
        <v>14005</v>
      </c>
      <c r="G3381" s="18" t="s">
        <v>312</v>
      </c>
      <c r="H3381" s="18" t="s">
        <v>162</v>
      </c>
      <c r="I3381" s="18" t="s">
        <v>298</v>
      </c>
      <c r="J3381" s="18"/>
      <c r="K3381" s="18"/>
      <c r="L3381" s="18" t="s">
        <v>129</v>
      </c>
      <c r="M3381" s="18" t="s">
        <v>129</v>
      </c>
      <c r="N3381" s="18"/>
      <c r="O3381" s="18"/>
      <c r="P3381" s="18" t="s">
        <v>14006</v>
      </c>
      <c r="Q3381" s="18" t="s">
        <v>131</v>
      </c>
      <c r="R3381" s="18" t="s">
        <v>14007</v>
      </c>
      <c r="S3381" s="18" t="s">
        <v>133</v>
      </c>
      <c r="T3381" s="18" t="s">
        <v>14008</v>
      </c>
      <c r="U3381" s="18"/>
      <c r="V3381" s="19" t="s">
        <v>29</v>
      </c>
      <c r="W3381" s="19"/>
      <c r="X3381" s="19"/>
      <c r="Y3381" s="20"/>
      <c r="Z3381" s="19"/>
      <c r="AA3381" s="18" t="str">
        <f aca="false">IF(OR(V3381="Aprobada"),R3381,IF(AND(OR(V3381="Aprobada con ajuste",V3381="Rechazada"),W3381&lt;&gt;""),W3381,""))</f>
        <v/>
      </c>
    </row>
    <row r="3382" customFormat="false" ht="32.8" hidden="false" customHeight="false" outlineLevel="0" collapsed="false">
      <c r="A3382" s="18" t="s">
        <v>14009</v>
      </c>
      <c r="B3382" s="18" t="s">
        <v>82</v>
      </c>
      <c r="C3382" s="18" t="s">
        <v>83</v>
      </c>
      <c r="D3382" s="18" t="s">
        <v>13952</v>
      </c>
      <c r="E3382" s="18" t="n">
        <v>0</v>
      </c>
      <c r="F3382" s="18" t="s">
        <v>14010</v>
      </c>
      <c r="G3382" s="18" t="s">
        <v>128</v>
      </c>
      <c r="H3382" s="18" t="s">
        <v>162</v>
      </c>
      <c r="I3382" s="18" t="s">
        <v>298</v>
      </c>
      <c r="J3382" s="18"/>
      <c r="K3382" s="18"/>
      <c r="L3382" s="18" t="s">
        <v>129</v>
      </c>
      <c r="M3382" s="18" t="s">
        <v>129</v>
      </c>
      <c r="N3382" s="18"/>
      <c r="O3382" s="18"/>
      <c r="P3382" s="18" t="s">
        <v>14011</v>
      </c>
      <c r="Q3382" s="18" t="s">
        <v>131</v>
      </c>
      <c r="R3382" s="18" t="s">
        <v>14012</v>
      </c>
      <c r="S3382" s="18" t="s">
        <v>133</v>
      </c>
      <c r="T3382" s="18" t="s">
        <v>14013</v>
      </c>
      <c r="U3382" s="18"/>
      <c r="V3382" s="19" t="s">
        <v>29</v>
      </c>
      <c r="W3382" s="19"/>
      <c r="X3382" s="19"/>
      <c r="Y3382" s="20"/>
      <c r="Z3382" s="19"/>
      <c r="AA3382" s="18" t="str">
        <f aca="false">IF(OR(V3382="Aprobada"),R3382,IF(AND(OR(V3382="Aprobada con ajuste",V3382="Rechazada"),W3382&lt;&gt;""),W3382,""))</f>
        <v/>
      </c>
    </row>
    <row r="3383" customFormat="false" ht="32.8" hidden="false" customHeight="false" outlineLevel="0" collapsed="false">
      <c r="A3383" s="18" t="s">
        <v>14014</v>
      </c>
      <c r="B3383" s="18" t="s">
        <v>82</v>
      </c>
      <c r="C3383" s="18" t="s">
        <v>83</v>
      </c>
      <c r="D3383" s="18" t="s">
        <v>13952</v>
      </c>
      <c r="E3383" s="18" t="n">
        <v>0</v>
      </c>
      <c r="F3383" s="18" t="s">
        <v>14015</v>
      </c>
      <c r="G3383" s="18" t="s">
        <v>503</v>
      </c>
      <c r="H3383" s="18" t="s">
        <v>129</v>
      </c>
      <c r="I3383" s="18" t="s">
        <v>298</v>
      </c>
      <c r="J3383" s="18"/>
      <c r="K3383" s="18"/>
      <c r="L3383" s="18" t="s">
        <v>129</v>
      </c>
      <c r="M3383" s="18" t="s">
        <v>129</v>
      </c>
      <c r="N3383" s="18"/>
      <c r="O3383" s="18"/>
      <c r="P3383" s="18" t="s">
        <v>14016</v>
      </c>
      <c r="Q3383" s="18" t="s">
        <v>131</v>
      </c>
      <c r="R3383" s="18" t="s">
        <v>14017</v>
      </c>
      <c r="S3383" s="18" t="s">
        <v>133</v>
      </c>
      <c r="T3383" s="18" t="s">
        <v>14018</v>
      </c>
      <c r="U3383" s="18"/>
      <c r="V3383" s="19" t="s">
        <v>29</v>
      </c>
      <c r="W3383" s="19"/>
      <c r="X3383" s="19"/>
      <c r="Y3383" s="20"/>
      <c r="Z3383" s="19"/>
      <c r="AA3383" s="18" t="str">
        <f aca="false">IF(OR(V3383="Aprobada"),R3383,IF(AND(OR(V3383="Aprobada con ajuste",V3383="Rechazada"),W3383&lt;&gt;""),W3383,""))</f>
        <v/>
      </c>
    </row>
    <row r="3384" customFormat="false" ht="32.8" hidden="false" customHeight="false" outlineLevel="0" collapsed="false">
      <c r="A3384" s="18" t="s">
        <v>14019</v>
      </c>
      <c r="B3384" s="18" t="s">
        <v>82</v>
      </c>
      <c r="C3384" s="18" t="s">
        <v>83</v>
      </c>
      <c r="D3384" s="18" t="s">
        <v>13952</v>
      </c>
      <c r="E3384" s="18" t="n">
        <v>0</v>
      </c>
      <c r="F3384" s="18" t="s">
        <v>14020</v>
      </c>
      <c r="G3384" s="18" t="s">
        <v>584</v>
      </c>
      <c r="H3384" s="18" t="s">
        <v>162</v>
      </c>
      <c r="I3384" s="18"/>
      <c r="J3384" s="18"/>
      <c r="K3384" s="18"/>
      <c r="L3384" s="18" t="s">
        <v>129</v>
      </c>
      <c r="M3384" s="18" t="s">
        <v>129</v>
      </c>
      <c r="N3384" s="18"/>
      <c r="O3384" s="18"/>
      <c r="P3384" s="18" t="s">
        <v>14021</v>
      </c>
      <c r="Q3384" s="18" t="s">
        <v>131</v>
      </c>
      <c r="R3384" s="18" t="s">
        <v>14022</v>
      </c>
      <c r="S3384" s="18" t="s">
        <v>133</v>
      </c>
      <c r="T3384" s="18" t="s">
        <v>14023</v>
      </c>
      <c r="U3384" s="18"/>
      <c r="V3384" s="19" t="s">
        <v>29</v>
      </c>
      <c r="W3384" s="19"/>
      <c r="X3384" s="19"/>
      <c r="Y3384" s="20"/>
      <c r="Z3384" s="19"/>
      <c r="AA3384" s="18" t="str">
        <f aca="false">IF(OR(V3384="Aprobada"),R3384,IF(AND(OR(V3384="Aprobada con ajuste",V3384="Rechazada"),W3384&lt;&gt;""),W3384,""))</f>
        <v/>
      </c>
    </row>
    <row r="3385" customFormat="false" ht="32.8" hidden="false" customHeight="false" outlineLevel="0" collapsed="false">
      <c r="A3385" s="18" t="s">
        <v>14024</v>
      </c>
      <c r="B3385" s="18" t="s">
        <v>82</v>
      </c>
      <c r="C3385" s="18" t="s">
        <v>83</v>
      </c>
      <c r="D3385" s="18" t="s">
        <v>13952</v>
      </c>
      <c r="E3385" s="18" t="n">
        <v>0</v>
      </c>
      <c r="F3385" s="18" t="s">
        <v>14025</v>
      </c>
      <c r="G3385" s="18" t="s">
        <v>312</v>
      </c>
      <c r="H3385" s="18" t="s">
        <v>162</v>
      </c>
      <c r="I3385" s="18"/>
      <c r="J3385" s="18"/>
      <c r="K3385" s="18"/>
      <c r="L3385" s="18" t="s">
        <v>129</v>
      </c>
      <c r="M3385" s="18" t="s">
        <v>129</v>
      </c>
      <c r="N3385" s="18"/>
      <c r="O3385" s="18"/>
      <c r="P3385" s="18" t="s">
        <v>14026</v>
      </c>
      <c r="Q3385" s="18" t="s">
        <v>131</v>
      </c>
      <c r="R3385" s="18" t="s">
        <v>14027</v>
      </c>
      <c r="S3385" s="18" t="s">
        <v>133</v>
      </c>
      <c r="T3385" s="18" t="s">
        <v>14028</v>
      </c>
      <c r="U3385" s="18"/>
      <c r="V3385" s="19" t="s">
        <v>29</v>
      </c>
      <c r="W3385" s="19"/>
      <c r="X3385" s="19"/>
      <c r="Y3385" s="20"/>
      <c r="Z3385" s="19"/>
      <c r="AA3385" s="18" t="str">
        <f aca="false">IF(OR(V3385="Aprobada"),R3385,IF(AND(OR(V3385="Aprobada con ajuste",V3385="Rechazada"),W3385&lt;&gt;""),W3385,""))</f>
        <v/>
      </c>
    </row>
    <row r="3386" customFormat="false" ht="32.8" hidden="false" customHeight="false" outlineLevel="0" collapsed="false">
      <c r="A3386" s="18" t="s">
        <v>14029</v>
      </c>
      <c r="B3386" s="18" t="s">
        <v>82</v>
      </c>
      <c r="C3386" s="18" t="s">
        <v>83</v>
      </c>
      <c r="D3386" s="18" t="s">
        <v>13952</v>
      </c>
      <c r="E3386" s="18" t="n">
        <v>0</v>
      </c>
      <c r="F3386" s="18" t="s">
        <v>14030</v>
      </c>
      <c r="G3386" s="18" t="s">
        <v>486</v>
      </c>
      <c r="H3386" s="18" t="s">
        <v>162</v>
      </c>
      <c r="I3386" s="18" t="s">
        <v>298</v>
      </c>
      <c r="J3386" s="18"/>
      <c r="K3386" s="18"/>
      <c r="L3386" s="18" t="s">
        <v>129</v>
      </c>
      <c r="M3386" s="18" t="s">
        <v>129</v>
      </c>
      <c r="N3386" s="18"/>
      <c r="O3386" s="18"/>
      <c r="P3386" s="18" t="s">
        <v>14031</v>
      </c>
      <c r="Q3386" s="18" t="s">
        <v>131</v>
      </c>
      <c r="R3386" s="18" t="s">
        <v>14032</v>
      </c>
      <c r="S3386" s="18" t="s">
        <v>133</v>
      </c>
      <c r="T3386" s="18" t="s">
        <v>14033</v>
      </c>
      <c r="U3386" s="18"/>
      <c r="V3386" s="19" t="s">
        <v>29</v>
      </c>
      <c r="W3386" s="19"/>
      <c r="X3386" s="19"/>
      <c r="Y3386" s="20"/>
      <c r="Z3386" s="19"/>
      <c r="AA3386" s="18" t="str">
        <f aca="false">IF(OR(V3386="Aprobada"),R3386,IF(AND(OR(V3386="Aprobada con ajuste",V3386="Rechazada"),W3386&lt;&gt;""),W3386,""))</f>
        <v/>
      </c>
    </row>
    <row r="3387" customFormat="false" ht="32.8" hidden="false" customHeight="false" outlineLevel="0" collapsed="false">
      <c r="A3387" s="18" t="s">
        <v>14034</v>
      </c>
      <c r="B3387" s="18" t="s">
        <v>82</v>
      </c>
      <c r="C3387" s="18" t="s">
        <v>83</v>
      </c>
      <c r="D3387" s="18" t="s">
        <v>13952</v>
      </c>
      <c r="E3387" s="18" t="n">
        <v>0</v>
      </c>
      <c r="F3387" s="18" t="s">
        <v>14035</v>
      </c>
      <c r="G3387" s="18" t="s">
        <v>137</v>
      </c>
      <c r="H3387" s="18" t="s">
        <v>162</v>
      </c>
      <c r="I3387" s="18" t="s">
        <v>298</v>
      </c>
      <c r="J3387" s="18"/>
      <c r="K3387" s="18"/>
      <c r="L3387" s="18" t="s">
        <v>129</v>
      </c>
      <c r="M3387" s="18" t="s">
        <v>129</v>
      </c>
      <c r="N3387" s="18"/>
      <c r="O3387" s="18"/>
      <c r="P3387" s="18" t="s">
        <v>14036</v>
      </c>
      <c r="Q3387" s="18" t="s">
        <v>131</v>
      </c>
      <c r="R3387" s="18" t="s">
        <v>14037</v>
      </c>
      <c r="S3387" s="18" t="s">
        <v>133</v>
      </c>
      <c r="T3387" s="18" t="s">
        <v>14038</v>
      </c>
      <c r="U3387" s="18"/>
      <c r="V3387" s="19" t="s">
        <v>29</v>
      </c>
      <c r="W3387" s="19"/>
      <c r="X3387" s="19"/>
      <c r="Y3387" s="20"/>
      <c r="Z3387" s="19"/>
      <c r="AA3387" s="18" t="str">
        <f aca="false">IF(OR(V3387="Aprobada"),R3387,IF(AND(OR(V3387="Aprobada con ajuste",V3387="Rechazada"),W3387&lt;&gt;""),W3387,""))</f>
        <v/>
      </c>
    </row>
    <row r="3388" customFormat="false" ht="32.8" hidden="false" customHeight="false" outlineLevel="0" collapsed="false">
      <c r="A3388" s="18" t="s">
        <v>14039</v>
      </c>
      <c r="B3388" s="18" t="s">
        <v>82</v>
      </c>
      <c r="C3388" s="18" t="s">
        <v>83</v>
      </c>
      <c r="D3388" s="18" t="s">
        <v>13952</v>
      </c>
      <c r="E3388" s="18" t="n">
        <v>0</v>
      </c>
      <c r="F3388" s="18" t="s">
        <v>14040</v>
      </c>
      <c r="G3388" s="18" t="s">
        <v>312</v>
      </c>
      <c r="H3388" s="18" t="s">
        <v>162</v>
      </c>
      <c r="I3388" s="18"/>
      <c r="J3388" s="18"/>
      <c r="K3388" s="18"/>
      <c r="L3388" s="18" t="s">
        <v>129</v>
      </c>
      <c r="M3388" s="18" t="s">
        <v>129</v>
      </c>
      <c r="N3388" s="18"/>
      <c r="O3388" s="18"/>
      <c r="P3388" s="18" t="s">
        <v>14041</v>
      </c>
      <c r="Q3388" s="18" t="s">
        <v>131</v>
      </c>
      <c r="R3388" s="18" t="s">
        <v>14042</v>
      </c>
      <c r="S3388" s="18" t="s">
        <v>133</v>
      </c>
      <c r="T3388" s="18" t="s">
        <v>14043</v>
      </c>
      <c r="U3388" s="18"/>
      <c r="V3388" s="19" t="s">
        <v>29</v>
      </c>
      <c r="W3388" s="19"/>
      <c r="X3388" s="19"/>
      <c r="Y3388" s="20"/>
      <c r="Z3388" s="19"/>
      <c r="AA3388" s="18" t="str">
        <f aca="false">IF(OR(V3388="Aprobada"),R3388,IF(AND(OR(V3388="Aprobada con ajuste",V3388="Rechazada"),W3388&lt;&gt;""),W3388,""))</f>
        <v/>
      </c>
    </row>
    <row r="3389" customFormat="false" ht="64.15" hidden="false" customHeight="false" outlineLevel="0" collapsed="false">
      <c r="A3389" s="18" t="s">
        <v>14044</v>
      </c>
      <c r="B3389" s="18" t="s">
        <v>82</v>
      </c>
      <c r="C3389" s="18" t="s">
        <v>83</v>
      </c>
      <c r="D3389" s="18" t="s">
        <v>13952</v>
      </c>
      <c r="E3389" s="18" t="n">
        <v>0</v>
      </c>
      <c r="F3389" s="18" t="s">
        <v>5947</v>
      </c>
      <c r="G3389" s="18" t="s">
        <v>656</v>
      </c>
      <c r="H3389" s="18" t="s">
        <v>162</v>
      </c>
      <c r="I3389" s="18"/>
      <c r="J3389" s="18"/>
      <c r="K3389" s="18"/>
      <c r="L3389" s="18" t="s">
        <v>129</v>
      </c>
      <c r="M3389" s="18" t="s">
        <v>129</v>
      </c>
      <c r="N3389" s="18"/>
      <c r="O3389" s="18"/>
      <c r="P3389" s="18" t="s">
        <v>14045</v>
      </c>
      <c r="Q3389" s="18" t="s">
        <v>131</v>
      </c>
      <c r="R3389" s="18" t="s">
        <v>14046</v>
      </c>
      <c r="S3389" s="18" t="s">
        <v>140</v>
      </c>
      <c r="T3389" s="18" t="s">
        <v>14047</v>
      </c>
      <c r="U3389" s="18" t="s">
        <v>14048</v>
      </c>
      <c r="V3389" s="19" t="s">
        <v>29</v>
      </c>
      <c r="W3389" s="19"/>
      <c r="X3389" s="19"/>
      <c r="Y3389" s="20"/>
      <c r="Z3389" s="19"/>
      <c r="AA3389" s="18" t="str">
        <f aca="false">IF(OR(V3389="Aprobada"),R3389,IF(AND(OR(V3389="Aprobada con ajuste",V3389="Rechazada"),W3389&lt;&gt;""),W3389,""))</f>
        <v/>
      </c>
    </row>
    <row r="3390" customFormat="false" ht="32.8" hidden="false" customHeight="false" outlineLevel="0" collapsed="false">
      <c r="A3390" s="18" t="s">
        <v>14049</v>
      </c>
      <c r="B3390" s="18" t="s">
        <v>82</v>
      </c>
      <c r="C3390" s="18" t="s">
        <v>83</v>
      </c>
      <c r="D3390" s="18" t="s">
        <v>13952</v>
      </c>
      <c r="E3390" s="18" t="n">
        <v>0</v>
      </c>
      <c r="F3390" s="18" t="s">
        <v>14050</v>
      </c>
      <c r="G3390" s="18" t="s">
        <v>656</v>
      </c>
      <c r="H3390" s="18" t="s">
        <v>162</v>
      </c>
      <c r="I3390" s="18" t="s">
        <v>298</v>
      </c>
      <c r="J3390" s="18"/>
      <c r="K3390" s="18"/>
      <c r="L3390" s="18" t="s">
        <v>129</v>
      </c>
      <c r="M3390" s="18" t="s">
        <v>129</v>
      </c>
      <c r="N3390" s="18"/>
      <c r="O3390" s="18"/>
      <c r="P3390" s="18" t="s">
        <v>14051</v>
      </c>
      <c r="Q3390" s="18" t="s">
        <v>131</v>
      </c>
      <c r="R3390" s="18" t="s">
        <v>14052</v>
      </c>
      <c r="S3390" s="18" t="s">
        <v>140</v>
      </c>
      <c r="T3390" s="18" t="s">
        <v>14053</v>
      </c>
      <c r="U3390" s="18" t="s">
        <v>14054</v>
      </c>
      <c r="V3390" s="19" t="s">
        <v>29</v>
      </c>
      <c r="W3390" s="19"/>
      <c r="X3390" s="19"/>
      <c r="Y3390" s="20"/>
      <c r="Z3390" s="19"/>
      <c r="AA3390" s="18" t="str">
        <f aca="false">IF(OR(V3390="Aprobada"),R3390,IF(AND(OR(V3390="Aprobada con ajuste",V3390="Rechazada"),W3390&lt;&gt;""),W3390,""))</f>
        <v/>
      </c>
    </row>
    <row r="3391" customFormat="false" ht="32.8" hidden="false" customHeight="false" outlineLevel="0" collapsed="false">
      <c r="A3391" s="18" t="s">
        <v>14055</v>
      </c>
      <c r="B3391" s="18" t="s">
        <v>82</v>
      </c>
      <c r="C3391" s="18" t="s">
        <v>83</v>
      </c>
      <c r="D3391" s="18" t="s">
        <v>13952</v>
      </c>
      <c r="E3391" s="18" t="n">
        <v>0</v>
      </c>
      <c r="F3391" s="18" t="s">
        <v>14056</v>
      </c>
      <c r="G3391" s="18" t="s">
        <v>13203</v>
      </c>
      <c r="H3391" s="18" t="s">
        <v>162</v>
      </c>
      <c r="I3391" s="18" t="s">
        <v>298</v>
      </c>
      <c r="J3391" s="18"/>
      <c r="K3391" s="18"/>
      <c r="L3391" s="18" t="s">
        <v>129</v>
      </c>
      <c r="M3391" s="18" t="s">
        <v>129</v>
      </c>
      <c r="N3391" s="18"/>
      <c r="O3391" s="18"/>
      <c r="P3391" s="18" t="s">
        <v>14057</v>
      </c>
      <c r="Q3391" s="18" t="s">
        <v>131</v>
      </c>
      <c r="R3391" s="18" t="s">
        <v>14058</v>
      </c>
      <c r="S3391" s="18" t="s">
        <v>140</v>
      </c>
      <c r="T3391" s="18" t="s">
        <v>14059</v>
      </c>
      <c r="U3391" s="18" t="s">
        <v>14060</v>
      </c>
      <c r="V3391" s="19" t="s">
        <v>29</v>
      </c>
      <c r="W3391" s="19"/>
      <c r="X3391" s="19"/>
      <c r="Y3391" s="20"/>
      <c r="Z3391" s="19"/>
      <c r="AA3391" s="18" t="str">
        <f aca="false">IF(OR(V3391="Aprobada"),R3391,IF(AND(OR(V3391="Aprobada con ajuste",V3391="Rechazada"),W3391&lt;&gt;""),W3391,""))</f>
        <v/>
      </c>
    </row>
    <row r="3392" customFormat="false" ht="32.8" hidden="false" customHeight="false" outlineLevel="0" collapsed="false">
      <c r="A3392" s="18" t="s">
        <v>14061</v>
      </c>
      <c r="B3392" s="18" t="s">
        <v>82</v>
      </c>
      <c r="C3392" s="18" t="s">
        <v>83</v>
      </c>
      <c r="D3392" s="18" t="s">
        <v>13952</v>
      </c>
      <c r="E3392" s="18" t="n">
        <v>0</v>
      </c>
      <c r="F3392" s="18" t="s">
        <v>7325</v>
      </c>
      <c r="G3392" s="18" t="s">
        <v>128</v>
      </c>
      <c r="H3392" s="18" t="s">
        <v>162</v>
      </c>
      <c r="I3392" s="18"/>
      <c r="J3392" s="18"/>
      <c r="K3392" s="18"/>
      <c r="L3392" s="18" t="s">
        <v>129</v>
      </c>
      <c r="M3392" s="18" t="s">
        <v>129</v>
      </c>
      <c r="N3392" s="18"/>
      <c r="O3392" s="18"/>
      <c r="P3392" s="18" t="s">
        <v>14062</v>
      </c>
      <c r="Q3392" s="18" t="s">
        <v>131</v>
      </c>
      <c r="R3392" s="18" t="s">
        <v>14063</v>
      </c>
      <c r="S3392" s="18" t="s">
        <v>133</v>
      </c>
      <c r="T3392" s="18" t="s">
        <v>14064</v>
      </c>
      <c r="U3392" s="18"/>
      <c r="V3392" s="19" t="s">
        <v>29</v>
      </c>
      <c r="W3392" s="19"/>
      <c r="X3392" s="19"/>
      <c r="Y3392" s="20"/>
      <c r="Z3392" s="19"/>
      <c r="AA3392" s="18" t="str">
        <f aca="false">IF(OR(V3392="Aprobada"),R3392,IF(AND(OR(V3392="Aprobada con ajuste",V3392="Rechazada"),W3392&lt;&gt;""),W3392,""))</f>
        <v/>
      </c>
    </row>
    <row r="3393" customFormat="false" ht="32.8" hidden="false" customHeight="false" outlineLevel="0" collapsed="false">
      <c r="A3393" s="18" t="s">
        <v>14065</v>
      </c>
      <c r="B3393" s="18" t="s">
        <v>82</v>
      </c>
      <c r="C3393" s="18" t="s">
        <v>83</v>
      </c>
      <c r="D3393" s="18" t="s">
        <v>13952</v>
      </c>
      <c r="E3393" s="18" t="n">
        <v>0</v>
      </c>
      <c r="F3393" s="18" t="s">
        <v>14066</v>
      </c>
      <c r="G3393" s="18" t="s">
        <v>312</v>
      </c>
      <c r="H3393" s="18" t="s">
        <v>162</v>
      </c>
      <c r="I3393" s="18" t="s">
        <v>298</v>
      </c>
      <c r="J3393" s="18"/>
      <c r="K3393" s="18"/>
      <c r="L3393" s="18" t="s">
        <v>129</v>
      </c>
      <c r="M3393" s="18" t="s">
        <v>129</v>
      </c>
      <c r="N3393" s="18"/>
      <c r="O3393" s="18"/>
      <c r="P3393" s="18" t="s">
        <v>14067</v>
      </c>
      <c r="Q3393" s="18" t="s">
        <v>131</v>
      </c>
      <c r="R3393" s="18" t="s">
        <v>14068</v>
      </c>
      <c r="S3393" s="18" t="s">
        <v>133</v>
      </c>
      <c r="T3393" s="18" t="s">
        <v>14069</v>
      </c>
      <c r="U3393" s="18"/>
      <c r="V3393" s="19" t="s">
        <v>29</v>
      </c>
      <c r="W3393" s="19"/>
      <c r="X3393" s="19"/>
      <c r="Y3393" s="20"/>
      <c r="Z3393" s="19"/>
      <c r="AA3393" s="18" t="str">
        <f aca="false">IF(OR(V3393="Aprobada"),R3393,IF(AND(OR(V3393="Aprobada con ajuste",V3393="Rechazada"),W3393&lt;&gt;""),W3393,""))</f>
        <v/>
      </c>
    </row>
    <row r="3394" customFormat="false" ht="32.8" hidden="false" customHeight="false" outlineLevel="0" collapsed="false">
      <c r="A3394" s="18" t="s">
        <v>14070</v>
      </c>
      <c r="B3394" s="18" t="s">
        <v>82</v>
      </c>
      <c r="C3394" s="18" t="s">
        <v>83</v>
      </c>
      <c r="D3394" s="18" t="s">
        <v>13952</v>
      </c>
      <c r="E3394" s="18" t="n">
        <v>0</v>
      </c>
      <c r="F3394" s="18" t="s">
        <v>14071</v>
      </c>
      <c r="G3394" s="18" t="s">
        <v>454</v>
      </c>
      <c r="H3394" s="18" t="s">
        <v>162</v>
      </c>
      <c r="I3394" s="18" t="s">
        <v>298</v>
      </c>
      <c r="J3394" s="18"/>
      <c r="K3394" s="18"/>
      <c r="L3394" s="18" t="s">
        <v>129</v>
      </c>
      <c r="M3394" s="18" t="s">
        <v>129</v>
      </c>
      <c r="N3394" s="18"/>
      <c r="O3394" s="18"/>
      <c r="P3394" s="18" t="s">
        <v>14072</v>
      </c>
      <c r="Q3394" s="18" t="s">
        <v>131</v>
      </c>
      <c r="R3394" s="18" t="s">
        <v>14073</v>
      </c>
      <c r="S3394" s="18" t="s">
        <v>140</v>
      </c>
      <c r="T3394" s="18" t="s">
        <v>14074</v>
      </c>
      <c r="U3394" s="18" t="s">
        <v>14075</v>
      </c>
      <c r="V3394" s="19" t="s">
        <v>29</v>
      </c>
      <c r="W3394" s="19"/>
      <c r="X3394" s="19"/>
      <c r="Y3394" s="20"/>
      <c r="Z3394" s="19"/>
      <c r="AA3394" s="18" t="str">
        <f aca="false">IF(OR(V3394="Aprobada"),R3394,IF(AND(OR(V3394="Aprobada con ajuste",V3394="Rechazada"),W3394&lt;&gt;""),W3394,""))</f>
        <v/>
      </c>
    </row>
    <row r="3395" customFormat="false" ht="32.8" hidden="false" customHeight="false" outlineLevel="0" collapsed="false">
      <c r="A3395" s="18" t="s">
        <v>14076</v>
      </c>
      <c r="B3395" s="18" t="s">
        <v>82</v>
      </c>
      <c r="C3395" s="18" t="s">
        <v>83</v>
      </c>
      <c r="D3395" s="18" t="s">
        <v>13952</v>
      </c>
      <c r="E3395" s="18" t="n">
        <v>0</v>
      </c>
      <c r="F3395" s="18" t="s">
        <v>14077</v>
      </c>
      <c r="G3395" s="18" t="s">
        <v>584</v>
      </c>
      <c r="H3395" s="18" t="s">
        <v>162</v>
      </c>
      <c r="I3395" s="18" t="s">
        <v>298</v>
      </c>
      <c r="J3395" s="18"/>
      <c r="K3395" s="18"/>
      <c r="L3395" s="18" t="s">
        <v>129</v>
      </c>
      <c r="M3395" s="18" t="s">
        <v>129</v>
      </c>
      <c r="N3395" s="18"/>
      <c r="O3395" s="18"/>
      <c r="P3395" s="18" t="s">
        <v>14078</v>
      </c>
      <c r="Q3395" s="18" t="s">
        <v>131</v>
      </c>
      <c r="R3395" s="18" t="s">
        <v>14079</v>
      </c>
      <c r="S3395" s="18" t="s">
        <v>140</v>
      </c>
      <c r="T3395" s="18" t="s">
        <v>14080</v>
      </c>
      <c r="U3395" s="18" t="s">
        <v>14081</v>
      </c>
      <c r="V3395" s="19" t="s">
        <v>29</v>
      </c>
      <c r="W3395" s="19"/>
      <c r="X3395" s="19"/>
      <c r="Y3395" s="20"/>
      <c r="Z3395" s="19"/>
      <c r="AA3395" s="18" t="str">
        <f aca="false">IF(OR(V3395="Aprobada"),R3395,IF(AND(OR(V3395="Aprobada con ajuste",V3395="Rechazada"),W3395&lt;&gt;""),W3395,""))</f>
        <v/>
      </c>
    </row>
    <row r="3396" customFormat="false" ht="32.8" hidden="false" customHeight="false" outlineLevel="0" collapsed="false">
      <c r="A3396" s="18" t="s">
        <v>14082</v>
      </c>
      <c r="B3396" s="18" t="s">
        <v>82</v>
      </c>
      <c r="C3396" s="18" t="s">
        <v>83</v>
      </c>
      <c r="D3396" s="18" t="s">
        <v>13952</v>
      </c>
      <c r="E3396" s="18" t="n">
        <v>0</v>
      </c>
      <c r="F3396" s="18" t="s">
        <v>14083</v>
      </c>
      <c r="G3396" s="18" t="s">
        <v>312</v>
      </c>
      <c r="H3396" s="18" t="s">
        <v>162</v>
      </c>
      <c r="I3396" s="18" t="s">
        <v>298</v>
      </c>
      <c r="J3396" s="18"/>
      <c r="K3396" s="18"/>
      <c r="L3396" s="18" t="s">
        <v>129</v>
      </c>
      <c r="M3396" s="18" t="s">
        <v>129</v>
      </c>
      <c r="N3396" s="18"/>
      <c r="O3396" s="18"/>
      <c r="P3396" s="18" t="s">
        <v>14084</v>
      </c>
      <c r="Q3396" s="18" t="s">
        <v>131</v>
      </c>
      <c r="R3396" s="18" t="s">
        <v>14085</v>
      </c>
      <c r="S3396" s="18" t="s">
        <v>133</v>
      </c>
      <c r="T3396" s="18" t="s">
        <v>14086</v>
      </c>
      <c r="U3396" s="18"/>
      <c r="V3396" s="19" t="s">
        <v>29</v>
      </c>
      <c r="W3396" s="19"/>
      <c r="X3396" s="19"/>
      <c r="Y3396" s="20"/>
      <c r="Z3396" s="19"/>
      <c r="AA3396" s="18" t="str">
        <f aca="false">IF(OR(V3396="Aprobada"),R3396,IF(AND(OR(V3396="Aprobada con ajuste",V3396="Rechazada"),W3396&lt;&gt;""),W3396,""))</f>
        <v/>
      </c>
    </row>
    <row r="3397" customFormat="false" ht="43.25" hidden="false" customHeight="false" outlineLevel="0" collapsed="false">
      <c r="A3397" s="18" t="s">
        <v>14087</v>
      </c>
      <c r="B3397" s="18" t="s">
        <v>82</v>
      </c>
      <c r="C3397" s="18" t="s">
        <v>83</v>
      </c>
      <c r="D3397" s="18" t="s">
        <v>14088</v>
      </c>
      <c r="E3397" s="18" t="n">
        <v>5</v>
      </c>
      <c r="F3397" s="18" t="s">
        <v>7294</v>
      </c>
      <c r="G3397" s="18" t="s">
        <v>145</v>
      </c>
      <c r="H3397" s="18" t="s">
        <v>129</v>
      </c>
      <c r="I3397" s="18" t="s">
        <v>146</v>
      </c>
      <c r="J3397" s="18"/>
      <c r="K3397" s="18"/>
      <c r="L3397" s="18" t="s">
        <v>129</v>
      </c>
      <c r="M3397" s="18" t="s">
        <v>129</v>
      </c>
      <c r="N3397" s="18"/>
      <c r="O3397" s="18" t="s">
        <v>14089</v>
      </c>
      <c r="P3397" s="18" t="s">
        <v>14090</v>
      </c>
      <c r="Q3397" s="18" t="s">
        <v>149</v>
      </c>
      <c r="R3397" s="18" t="s">
        <v>14091</v>
      </c>
      <c r="S3397" s="18" t="s">
        <v>133</v>
      </c>
      <c r="T3397" s="18" t="s">
        <v>14092</v>
      </c>
      <c r="U3397" s="18"/>
      <c r="V3397" s="19" t="s">
        <v>29</v>
      </c>
      <c r="W3397" s="19"/>
      <c r="X3397" s="19"/>
      <c r="Y3397" s="20"/>
      <c r="Z3397" s="19"/>
      <c r="AA3397" s="18" t="str">
        <f aca="false">IF(OR(V3397="Aprobada"),R3397,IF(AND(OR(V3397="Aprobada con ajuste",V3397="Rechazada"),W3397&lt;&gt;""),W3397,""))</f>
        <v/>
      </c>
    </row>
    <row r="3398" customFormat="false" ht="32.8" hidden="false" customHeight="false" outlineLevel="0" collapsed="false">
      <c r="A3398" s="18" t="s">
        <v>14093</v>
      </c>
      <c r="B3398" s="18" t="s">
        <v>82</v>
      </c>
      <c r="C3398" s="18" t="s">
        <v>83</v>
      </c>
      <c r="D3398" s="18" t="s">
        <v>14088</v>
      </c>
      <c r="E3398" s="18" t="n">
        <v>5</v>
      </c>
      <c r="F3398" s="18" t="s">
        <v>1922</v>
      </c>
      <c r="G3398" s="18" t="s">
        <v>180</v>
      </c>
      <c r="H3398" s="18" t="s">
        <v>129</v>
      </c>
      <c r="I3398" s="18"/>
      <c r="J3398" s="18"/>
      <c r="K3398" s="18"/>
      <c r="L3398" s="18" t="s">
        <v>129</v>
      </c>
      <c r="M3398" s="18" t="s">
        <v>129</v>
      </c>
      <c r="N3398" s="18"/>
      <c r="O3398" s="18"/>
      <c r="P3398" s="18" t="s">
        <v>14094</v>
      </c>
      <c r="Q3398" s="18" t="s">
        <v>149</v>
      </c>
      <c r="R3398" s="18" t="s">
        <v>14095</v>
      </c>
      <c r="S3398" s="18" t="s">
        <v>140</v>
      </c>
      <c r="T3398" s="18" t="s">
        <v>14096</v>
      </c>
      <c r="U3398" s="18" t="s">
        <v>14097</v>
      </c>
      <c r="V3398" s="19" t="s">
        <v>29</v>
      </c>
      <c r="W3398" s="19"/>
      <c r="X3398" s="19"/>
      <c r="Y3398" s="20"/>
      <c r="Z3398" s="19"/>
      <c r="AA3398" s="18" t="str">
        <f aca="false">IF(OR(V3398="Aprobada"),R3398,IF(AND(OR(V3398="Aprobada con ajuste",V3398="Rechazada"),W3398&lt;&gt;""),W3398,""))</f>
        <v/>
      </c>
    </row>
    <row r="3399" customFormat="false" ht="32.8" hidden="false" customHeight="false" outlineLevel="0" collapsed="false">
      <c r="A3399" s="18" t="s">
        <v>14098</v>
      </c>
      <c r="B3399" s="18" t="s">
        <v>82</v>
      </c>
      <c r="C3399" s="18" t="s">
        <v>83</v>
      </c>
      <c r="D3399" s="18" t="s">
        <v>14088</v>
      </c>
      <c r="E3399" s="18" t="n">
        <v>5</v>
      </c>
      <c r="F3399" s="18" t="s">
        <v>127</v>
      </c>
      <c r="G3399" s="18" t="s">
        <v>205</v>
      </c>
      <c r="H3399" s="18" t="s">
        <v>129</v>
      </c>
      <c r="I3399" s="18"/>
      <c r="J3399" s="18"/>
      <c r="K3399" s="18"/>
      <c r="L3399" s="18" t="s">
        <v>129</v>
      </c>
      <c r="M3399" s="18" t="s">
        <v>129</v>
      </c>
      <c r="N3399" s="18"/>
      <c r="O3399" s="18"/>
      <c r="P3399" s="18" t="s">
        <v>14099</v>
      </c>
      <c r="Q3399" s="18" t="s">
        <v>138</v>
      </c>
      <c r="R3399" s="18" t="s">
        <v>14100</v>
      </c>
      <c r="S3399" s="18" t="s">
        <v>140</v>
      </c>
      <c r="T3399" s="18" t="s">
        <v>141</v>
      </c>
      <c r="U3399" s="18"/>
      <c r="V3399" s="19" t="s">
        <v>29</v>
      </c>
      <c r="W3399" s="19"/>
      <c r="X3399" s="19"/>
      <c r="Y3399" s="20"/>
      <c r="Z3399" s="19"/>
      <c r="AA3399" s="18" t="str">
        <f aca="false">IF(OR(V3399="Aprobada"),R3399,IF(AND(OR(V3399="Aprobada con ajuste",V3399="Rechazada"),W3399&lt;&gt;""),W3399,""))</f>
        <v/>
      </c>
    </row>
    <row r="3400" customFormat="false" ht="43.25" hidden="false" customHeight="false" outlineLevel="0" collapsed="false">
      <c r="A3400" s="18" t="s">
        <v>14101</v>
      </c>
      <c r="B3400" s="18" t="s">
        <v>82</v>
      </c>
      <c r="C3400" s="18" t="s">
        <v>83</v>
      </c>
      <c r="D3400" s="18" t="s">
        <v>14088</v>
      </c>
      <c r="E3400" s="18" t="n">
        <v>5</v>
      </c>
      <c r="F3400" s="18" t="s">
        <v>160</v>
      </c>
      <c r="G3400" s="18" t="s">
        <v>180</v>
      </c>
      <c r="H3400" s="18" t="s">
        <v>162</v>
      </c>
      <c r="I3400" s="18"/>
      <c r="J3400" s="18"/>
      <c r="K3400" s="18"/>
      <c r="L3400" s="18" t="s">
        <v>129</v>
      </c>
      <c r="M3400" s="18" t="s">
        <v>129</v>
      </c>
      <c r="N3400" s="18"/>
      <c r="O3400" s="18"/>
      <c r="P3400" s="18" t="s">
        <v>14102</v>
      </c>
      <c r="Q3400" s="18" t="s">
        <v>138</v>
      </c>
      <c r="R3400" s="18" t="s">
        <v>14103</v>
      </c>
      <c r="S3400" s="18" t="s">
        <v>140</v>
      </c>
      <c r="T3400" s="18" t="s">
        <v>141</v>
      </c>
      <c r="U3400" s="18"/>
      <c r="V3400" s="19" t="s">
        <v>29</v>
      </c>
      <c r="W3400" s="19"/>
      <c r="X3400" s="19"/>
      <c r="Y3400" s="20"/>
      <c r="Z3400" s="19"/>
      <c r="AA3400" s="18" t="str">
        <f aca="false">IF(OR(V3400="Aprobada"),R3400,IF(AND(OR(V3400="Aprobada con ajuste",V3400="Rechazada"),W3400&lt;&gt;""),W3400,""))</f>
        <v/>
      </c>
    </row>
    <row r="3401" customFormat="false" ht="22.35" hidden="false" customHeight="false" outlineLevel="0" collapsed="false">
      <c r="A3401" s="18" t="s">
        <v>14104</v>
      </c>
      <c r="B3401" s="18" t="s">
        <v>82</v>
      </c>
      <c r="C3401" s="18" t="s">
        <v>83</v>
      </c>
      <c r="D3401" s="18" t="s">
        <v>14105</v>
      </c>
      <c r="E3401" s="18" t="n">
        <v>1</v>
      </c>
      <c r="F3401" s="18" t="s">
        <v>1922</v>
      </c>
      <c r="G3401" s="18" t="s">
        <v>180</v>
      </c>
      <c r="H3401" s="18" t="s">
        <v>129</v>
      </c>
      <c r="I3401" s="18"/>
      <c r="J3401" s="18"/>
      <c r="K3401" s="18"/>
      <c r="L3401" s="18" t="s">
        <v>162</v>
      </c>
      <c r="M3401" s="18" t="s">
        <v>129</v>
      </c>
      <c r="N3401" s="18"/>
      <c r="O3401" s="18"/>
      <c r="P3401" s="18"/>
      <c r="Q3401" s="18" t="s">
        <v>149</v>
      </c>
      <c r="R3401" s="18" t="s">
        <v>14106</v>
      </c>
      <c r="S3401" s="18" t="s">
        <v>140</v>
      </c>
      <c r="T3401" s="18" t="s">
        <v>14107</v>
      </c>
      <c r="U3401" s="18" t="s">
        <v>14097</v>
      </c>
      <c r="V3401" s="19" t="s">
        <v>29</v>
      </c>
      <c r="W3401" s="19"/>
      <c r="X3401" s="19"/>
      <c r="Y3401" s="20"/>
      <c r="Z3401" s="19"/>
      <c r="AA3401" s="18" t="str">
        <f aca="false">IF(OR(V3401="Aprobada"),R3401,IF(AND(OR(V3401="Aprobada con ajuste",V3401="Rechazada"),W3401&lt;&gt;""),W3401,""))</f>
        <v/>
      </c>
    </row>
    <row r="3402" customFormat="false" ht="22.35" hidden="false" customHeight="false" outlineLevel="0" collapsed="false">
      <c r="A3402" s="18" t="s">
        <v>14108</v>
      </c>
      <c r="B3402" s="18" t="s">
        <v>82</v>
      </c>
      <c r="C3402" s="18" t="s">
        <v>83</v>
      </c>
      <c r="D3402" s="18" t="s">
        <v>14105</v>
      </c>
      <c r="E3402" s="18" t="n">
        <v>1</v>
      </c>
      <c r="F3402" s="18" t="s">
        <v>127</v>
      </c>
      <c r="G3402" s="18" t="s">
        <v>145</v>
      </c>
      <c r="H3402" s="18" t="s">
        <v>129</v>
      </c>
      <c r="I3402" s="18"/>
      <c r="J3402" s="18"/>
      <c r="K3402" s="18"/>
      <c r="L3402" s="18" t="s">
        <v>162</v>
      </c>
      <c r="M3402" s="18" t="s">
        <v>129</v>
      </c>
      <c r="N3402" s="18"/>
      <c r="O3402" s="18"/>
      <c r="P3402" s="18"/>
      <c r="Q3402" s="18" t="s">
        <v>138</v>
      </c>
      <c r="R3402" s="18" t="s">
        <v>14109</v>
      </c>
      <c r="S3402" s="18" t="s">
        <v>140</v>
      </c>
      <c r="T3402" s="18" t="s">
        <v>141</v>
      </c>
      <c r="U3402" s="18"/>
      <c r="V3402" s="19" t="s">
        <v>29</v>
      </c>
      <c r="W3402" s="19"/>
      <c r="X3402" s="19"/>
      <c r="Y3402" s="20"/>
      <c r="Z3402" s="19"/>
      <c r="AA3402" s="18" t="str">
        <f aca="false">IF(OR(V3402="Aprobada"),R3402,IF(AND(OR(V3402="Aprobada con ajuste",V3402="Rechazada"),W3402&lt;&gt;""),W3402,""))</f>
        <v/>
      </c>
    </row>
    <row r="3403" customFormat="false" ht="22.35" hidden="false" customHeight="false" outlineLevel="0" collapsed="false">
      <c r="A3403" s="18" t="s">
        <v>14110</v>
      </c>
      <c r="B3403" s="18" t="s">
        <v>82</v>
      </c>
      <c r="C3403" s="18" t="s">
        <v>83</v>
      </c>
      <c r="D3403" s="18" t="s">
        <v>14105</v>
      </c>
      <c r="E3403" s="18" t="n">
        <v>1</v>
      </c>
      <c r="F3403" s="18" t="s">
        <v>160</v>
      </c>
      <c r="G3403" s="18" t="s">
        <v>128</v>
      </c>
      <c r="H3403" s="18" t="s">
        <v>162</v>
      </c>
      <c r="I3403" s="18"/>
      <c r="J3403" s="18"/>
      <c r="K3403" s="18"/>
      <c r="L3403" s="18" t="s">
        <v>162</v>
      </c>
      <c r="M3403" s="18" t="s">
        <v>129</v>
      </c>
      <c r="N3403" s="18"/>
      <c r="O3403" s="18"/>
      <c r="P3403" s="18"/>
      <c r="Q3403" s="18" t="s">
        <v>138</v>
      </c>
      <c r="R3403" s="18" t="s">
        <v>14111</v>
      </c>
      <c r="S3403" s="18" t="s">
        <v>140</v>
      </c>
      <c r="T3403" s="18" t="s">
        <v>141</v>
      </c>
      <c r="U3403" s="18"/>
      <c r="V3403" s="19" t="s">
        <v>29</v>
      </c>
      <c r="W3403" s="19"/>
      <c r="X3403" s="19"/>
      <c r="Y3403" s="20"/>
      <c r="Z3403" s="19"/>
      <c r="AA3403" s="18" t="str">
        <f aca="false">IF(OR(V3403="Aprobada"),R3403,IF(AND(OR(V3403="Aprobada con ajuste",V3403="Rechazada"),W3403&lt;&gt;""),W3403,""))</f>
        <v/>
      </c>
    </row>
    <row r="3404" customFormat="false" ht="22.35" hidden="false" customHeight="false" outlineLevel="0" collapsed="false">
      <c r="A3404" s="18" t="s">
        <v>14112</v>
      </c>
      <c r="B3404" s="18" t="s">
        <v>82</v>
      </c>
      <c r="C3404" s="18" t="s">
        <v>83</v>
      </c>
      <c r="D3404" s="18" t="s">
        <v>14105</v>
      </c>
      <c r="E3404" s="18" t="n">
        <v>1</v>
      </c>
      <c r="F3404" s="18" t="s">
        <v>8621</v>
      </c>
      <c r="G3404" s="18" t="s">
        <v>173</v>
      </c>
      <c r="H3404" s="18" t="s">
        <v>162</v>
      </c>
      <c r="I3404" s="18"/>
      <c r="J3404" s="18"/>
      <c r="K3404" s="18"/>
      <c r="L3404" s="18" t="s">
        <v>162</v>
      </c>
      <c r="M3404" s="18" t="s">
        <v>129</v>
      </c>
      <c r="N3404" s="18"/>
      <c r="O3404" s="18"/>
      <c r="P3404" s="18"/>
      <c r="Q3404" s="18" t="s">
        <v>138</v>
      </c>
      <c r="R3404" s="18" t="s">
        <v>8622</v>
      </c>
      <c r="S3404" s="18" t="s">
        <v>140</v>
      </c>
      <c r="T3404" s="18" t="s">
        <v>141</v>
      </c>
      <c r="U3404" s="18"/>
      <c r="V3404" s="19" t="s">
        <v>29</v>
      </c>
      <c r="W3404" s="19"/>
      <c r="X3404" s="19"/>
      <c r="Y3404" s="20"/>
      <c r="Z3404" s="19"/>
      <c r="AA3404" s="18" t="str">
        <f aca="false">IF(OR(V3404="Aprobada"),R3404,IF(AND(OR(V3404="Aprobada con ajuste",V3404="Rechazada"),W3404&lt;&gt;""),W3404,""))</f>
        <v/>
      </c>
    </row>
    <row r="3405" customFormat="false" ht="22.35" hidden="false" customHeight="false" outlineLevel="0" collapsed="false">
      <c r="A3405" s="18" t="s">
        <v>14113</v>
      </c>
      <c r="B3405" s="18" t="s">
        <v>82</v>
      </c>
      <c r="C3405" s="18" t="s">
        <v>83</v>
      </c>
      <c r="D3405" s="18" t="s">
        <v>14114</v>
      </c>
      <c r="E3405" s="18" t="n">
        <v>0</v>
      </c>
      <c r="F3405" s="18" t="s">
        <v>1734</v>
      </c>
      <c r="G3405" s="18" t="s">
        <v>312</v>
      </c>
      <c r="H3405" s="18" t="s">
        <v>129</v>
      </c>
      <c r="I3405" s="18"/>
      <c r="J3405" s="18"/>
      <c r="K3405" s="18"/>
      <c r="L3405" s="18" t="s">
        <v>129</v>
      </c>
      <c r="M3405" s="18" t="s">
        <v>129</v>
      </c>
      <c r="N3405" s="18"/>
      <c r="O3405" s="18"/>
      <c r="P3405" s="18"/>
      <c r="Q3405" s="18" t="s">
        <v>149</v>
      </c>
      <c r="R3405" s="18" t="s">
        <v>14115</v>
      </c>
      <c r="S3405" s="18" t="s">
        <v>140</v>
      </c>
      <c r="T3405" s="18" t="s">
        <v>14116</v>
      </c>
      <c r="U3405" s="18" t="s">
        <v>13874</v>
      </c>
      <c r="V3405" s="19" t="s">
        <v>29</v>
      </c>
      <c r="W3405" s="19"/>
      <c r="X3405" s="19"/>
      <c r="Y3405" s="20"/>
      <c r="Z3405" s="19"/>
      <c r="AA3405" s="18" t="str">
        <f aca="false">IF(OR(V3405="Aprobada"),R3405,IF(AND(OR(V3405="Aprobada con ajuste",V3405="Rechazada"),W3405&lt;&gt;""),W3405,""))</f>
        <v/>
      </c>
    </row>
    <row r="3406" customFormat="false" ht="43.25" hidden="false" customHeight="false" outlineLevel="0" collapsed="false">
      <c r="A3406" s="18" t="s">
        <v>14117</v>
      </c>
      <c r="B3406" s="18" t="s">
        <v>82</v>
      </c>
      <c r="C3406" s="18" t="s">
        <v>83</v>
      </c>
      <c r="D3406" s="18" t="s">
        <v>14114</v>
      </c>
      <c r="E3406" s="18" t="n">
        <v>0</v>
      </c>
      <c r="F3406" s="18" t="s">
        <v>1744</v>
      </c>
      <c r="G3406" s="18" t="s">
        <v>186</v>
      </c>
      <c r="H3406" s="18" t="s">
        <v>129</v>
      </c>
      <c r="I3406" s="18" t="s">
        <v>298</v>
      </c>
      <c r="J3406" s="18" t="s">
        <v>14118</v>
      </c>
      <c r="K3406" s="18"/>
      <c r="L3406" s="18" t="s">
        <v>162</v>
      </c>
      <c r="M3406" s="18" t="s">
        <v>129</v>
      </c>
      <c r="N3406" s="18"/>
      <c r="O3406" s="18"/>
      <c r="P3406" s="18"/>
      <c r="Q3406" s="18" t="s">
        <v>149</v>
      </c>
      <c r="R3406" s="18" t="s">
        <v>14119</v>
      </c>
      <c r="S3406" s="18" t="s">
        <v>133</v>
      </c>
      <c r="T3406" s="18" t="s">
        <v>13606</v>
      </c>
      <c r="U3406" s="18"/>
      <c r="V3406" s="19" t="s">
        <v>29</v>
      </c>
      <c r="W3406" s="19"/>
      <c r="X3406" s="19"/>
      <c r="Y3406" s="20"/>
      <c r="Z3406" s="19"/>
      <c r="AA3406" s="18" t="str">
        <f aca="false">IF(OR(V3406="Aprobada"),R3406,IF(AND(OR(V3406="Aprobada con ajuste",V3406="Rechazada"),W3406&lt;&gt;""),W3406,""))</f>
        <v/>
      </c>
    </row>
    <row r="3407" customFormat="false" ht="22.35" hidden="false" customHeight="false" outlineLevel="0" collapsed="false">
      <c r="A3407" s="18" t="s">
        <v>14120</v>
      </c>
      <c r="B3407" s="18" t="s">
        <v>82</v>
      </c>
      <c r="C3407" s="18" t="s">
        <v>83</v>
      </c>
      <c r="D3407" s="18" t="s">
        <v>14114</v>
      </c>
      <c r="E3407" s="18" t="n">
        <v>0</v>
      </c>
      <c r="F3407" s="18" t="s">
        <v>4666</v>
      </c>
      <c r="G3407" s="18" t="s">
        <v>192</v>
      </c>
      <c r="H3407" s="18" t="s">
        <v>129</v>
      </c>
      <c r="I3407" s="18"/>
      <c r="J3407" s="18"/>
      <c r="K3407" s="18"/>
      <c r="L3407" s="18" t="s">
        <v>129</v>
      </c>
      <c r="M3407" s="18" t="s">
        <v>129</v>
      </c>
      <c r="N3407" s="18"/>
      <c r="O3407" s="18"/>
      <c r="P3407" s="18"/>
      <c r="Q3407" s="18" t="s">
        <v>149</v>
      </c>
      <c r="R3407" s="18" t="s">
        <v>14121</v>
      </c>
      <c r="S3407" s="18" t="s">
        <v>242</v>
      </c>
      <c r="T3407" s="18" t="s">
        <v>14122</v>
      </c>
      <c r="U3407" s="18" t="s">
        <v>13910</v>
      </c>
      <c r="V3407" s="19" t="s">
        <v>29</v>
      </c>
      <c r="W3407" s="19"/>
      <c r="X3407" s="19"/>
      <c r="Y3407" s="20"/>
      <c r="Z3407" s="19"/>
      <c r="AA3407" s="18" t="str">
        <f aca="false">IF(OR(V3407="Aprobada"),R3407,IF(AND(OR(V3407="Aprobada con ajuste",V3407="Rechazada"),W3407&lt;&gt;""),W3407,""))</f>
        <v/>
      </c>
    </row>
    <row r="3408" customFormat="false" ht="22.35" hidden="false" customHeight="false" outlineLevel="0" collapsed="false">
      <c r="A3408" s="18" t="s">
        <v>14123</v>
      </c>
      <c r="B3408" s="18" t="s">
        <v>82</v>
      </c>
      <c r="C3408" s="18" t="s">
        <v>83</v>
      </c>
      <c r="D3408" s="18" t="s">
        <v>14124</v>
      </c>
      <c r="E3408" s="18" t="n">
        <v>0</v>
      </c>
      <c r="F3408" s="18" t="s">
        <v>14125</v>
      </c>
      <c r="G3408" s="18" t="s">
        <v>312</v>
      </c>
      <c r="H3408" s="18" t="s">
        <v>129</v>
      </c>
      <c r="I3408" s="18"/>
      <c r="J3408" s="18"/>
      <c r="K3408" s="18"/>
      <c r="L3408" s="18" t="s">
        <v>129</v>
      </c>
      <c r="M3408" s="18" t="s">
        <v>129</v>
      </c>
      <c r="N3408" s="18"/>
      <c r="O3408" s="18"/>
      <c r="P3408" s="18"/>
      <c r="Q3408" s="18" t="s">
        <v>149</v>
      </c>
      <c r="R3408" s="18" t="s">
        <v>14126</v>
      </c>
      <c r="S3408" s="18" t="s">
        <v>140</v>
      </c>
      <c r="T3408" s="18" t="s">
        <v>13716</v>
      </c>
      <c r="U3408" s="18" t="s">
        <v>13874</v>
      </c>
      <c r="V3408" s="19" t="s">
        <v>29</v>
      </c>
      <c r="W3408" s="19"/>
      <c r="X3408" s="19"/>
      <c r="Y3408" s="20"/>
      <c r="Z3408" s="19"/>
      <c r="AA3408" s="18" t="str">
        <f aca="false">IF(OR(V3408="Aprobada"),R3408,IF(AND(OR(V3408="Aprobada con ajuste",V3408="Rechazada"),W3408&lt;&gt;""),W3408,""))</f>
        <v/>
      </c>
    </row>
    <row r="3409" customFormat="false" ht="22.35" hidden="false" customHeight="false" outlineLevel="0" collapsed="false">
      <c r="A3409" s="18" t="s">
        <v>14127</v>
      </c>
      <c r="B3409" s="18" t="s">
        <v>82</v>
      </c>
      <c r="C3409" s="18" t="s">
        <v>83</v>
      </c>
      <c r="D3409" s="18" t="s">
        <v>14124</v>
      </c>
      <c r="E3409" s="18" t="n">
        <v>0</v>
      </c>
      <c r="F3409" s="18" t="s">
        <v>3176</v>
      </c>
      <c r="G3409" s="18" t="s">
        <v>192</v>
      </c>
      <c r="H3409" s="18" t="s">
        <v>129</v>
      </c>
      <c r="I3409" s="18"/>
      <c r="J3409" s="18"/>
      <c r="K3409" s="18"/>
      <c r="L3409" s="18" t="s">
        <v>129</v>
      </c>
      <c r="M3409" s="18" t="s">
        <v>129</v>
      </c>
      <c r="N3409" s="18"/>
      <c r="O3409" s="18"/>
      <c r="P3409" s="18"/>
      <c r="Q3409" s="18" t="s">
        <v>149</v>
      </c>
      <c r="R3409" s="18" t="s">
        <v>14128</v>
      </c>
      <c r="S3409" s="18" t="s">
        <v>140</v>
      </c>
      <c r="T3409" s="18" t="s">
        <v>14129</v>
      </c>
      <c r="U3409" s="18" t="s">
        <v>14130</v>
      </c>
      <c r="V3409" s="19" t="s">
        <v>29</v>
      </c>
      <c r="W3409" s="19"/>
      <c r="X3409" s="19"/>
      <c r="Y3409" s="20"/>
      <c r="Z3409" s="19"/>
      <c r="AA3409" s="18" t="str">
        <f aca="false">IF(OR(V3409="Aprobada"),R3409,IF(AND(OR(V3409="Aprobada con ajuste",V3409="Rechazada"),W3409&lt;&gt;""),W3409,""))</f>
        <v/>
      </c>
    </row>
    <row r="3410" customFormat="false" ht="22.35" hidden="false" customHeight="false" outlineLevel="0" collapsed="false">
      <c r="A3410" s="18" t="s">
        <v>14131</v>
      </c>
      <c r="B3410" s="18" t="s">
        <v>82</v>
      </c>
      <c r="C3410" s="18" t="s">
        <v>83</v>
      </c>
      <c r="D3410" s="18" t="s">
        <v>14124</v>
      </c>
      <c r="E3410" s="18" t="n">
        <v>0</v>
      </c>
      <c r="F3410" s="18" t="s">
        <v>14132</v>
      </c>
      <c r="G3410" s="18" t="s">
        <v>3172</v>
      </c>
      <c r="H3410" s="18" t="s">
        <v>129</v>
      </c>
      <c r="I3410" s="18"/>
      <c r="J3410" s="18"/>
      <c r="K3410" s="18"/>
      <c r="L3410" s="18" t="s">
        <v>129</v>
      </c>
      <c r="M3410" s="18" t="s">
        <v>129</v>
      </c>
      <c r="N3410" s="18"/>
      <c r="O3410" s="18"/>
      <c r="P3410" s="18"/>
      <c r="Q3410" s="18" t="s">
        <v>149</v>
      </c>
      <c r="R3410" s="18" t="s">
        <v>14133</v>
      </c>
      <c r="S3410" s="18" t="s">
        <v>133</v>
      </c>
      <c r="T3410" s="18" t="s">
        <v>14134</v>
      </c>
      <c r="U3410" s="18"/>
      <c r="V3410" s="19" t="s">
        <v>29</v>
      </c>
      <c r="W3410" s="19"/>
      <c r="X3410" s="19"/>
      <c r="Y3410" s="20"/>
      <c r="Z3410" s="19"/>
      <c r="AA3410" s="18" t="str">
        <f aca="false">IF(OR(V3410="Aprobada"),R3410,IF(AND(OR(V3410="Aprobada con ajuste",V3410="Rechazada"),W3410&lt;&gt;""),W3410,""))</f>
        <v/>
      </c>
    </row>
    <row r="3411" customFormat="false" ht="22.35" hidden="false" customHeight="false" outlineLevel="0" collapsed="false">
      <c r="A3411" s="18" t="s">
        <v>14135</v>
      </c>
      <c r="B3411" s="18" t="s">
        <v>82</v>
      </c>
      <c r="C3411" s="18" t="s">
        <v>83</v>
      </c>
      <c r="D3411" s="18" t="s">
        <v>14124</v>
      </c>
      <c r="E3411" s="18" t="n">
        <v>0</v>
      </c>
      <c r="F3411" s="18" t="s">
        <v>5585</v>
      </c>
      <c r="G3411" s="18" t="s">
        <v>192</v>
      </c>
      <c r="H3411" s="18" t="s">
        <v>162</v>
      </c>
      <c r="I3411" s="18" t="s">
        <v>298</v>
      </c>
      <c r="J3411" s="18"/>
      <c r="K3411" s="18"/>
      <c r="L3411" s="18" t="s">
        <v>129</v>
      </c>
      <c r="M3411" s="18" t="s">
        <v>129</v>
      </c>
      <c r="N3411" s="18"/>
      <c r="O3411" s="18"/>
      <c r="P3411" s="18"/>
      <c r="Q3411" s="18" t="s">
        <v>149</v>
      </c>
      <c r="R3411" s="18" t="s">
        <v>14136</v>
      </c>
      <c r="S3411" s="18" t="s">
        <v>140</v>
      </c>
      <c r="T3411" s="18" t="s">
        <v>14137</v>
      </c>
      <c r="U3411" s="18" t="s">
        <v>14138</v>
      </c>
      <c r="V3411" s="19" t="s">
        <v>29</v>
      </c>
      <c r="W3411" s="19"/>
      <c r="X3411" s="19"/>
      <c r="Y3411" s="20"/>
      <c r="Z3411" s="19"/>
      <c r="AA3411" s="18" t="str">
        <f aca="false">IF(OR(V3411="Aprobada"),R3411,IF(AND(OR(V3411="Aprobada con ajuste",V3411="Rechazada"),W3411&lt;&gt;""),W3411,""))</f>
        <v/>
      </c>
    </row>
    <row r="3412" customFormat="false" ht="22.35" hidden="false" customHeight="false" outlineLevel="0" collapsed="false">
      <c r="A3412" s="18" t="s">
        <v>14139</v>
      </c>
      <c r="B3412" s="18" t="s">
        <v>82</v>
      </c>
      <c r="C3412" s="18" t="s">
        <v>83</v>
      </c>
      <c r="D3412" s="18" t="s">
        <v>14124</v>
      </c>
      <c r="E3412" s="18" t="n">
        <v>0</v>
      </c>
      <c r="F3412" s="18" t="s">
        <v>10989</v>
      </c>
      <c r="G3412" s="18" t="s">
        <v>584</v>
      </c>
      <c r="H3412" s="18" t="s">
        <v>162</v>
      </c>
      <c r="I3412" s="18" t="s">
        <v>298</v>
      </c>
      <c r="J3412" s="18"/>
      <c r="K3412" s="18"/>
      <c r="L3412" s="18" t="s">
        <v>129</v>
      </c>
      <c r="M3412" s="18" t="s">
        <v>129</v>
      </c>
      <c r="N3412" s="18"/>
      <c r="O3412" s="18"/>
      <c r="P3412" s="18"/>
      <c r="Q3412" s="18" t="s">
        <v>138</v>
      </c>
      <c r="R3412" s="18" t="s">
        <v>10990</v>
      </c>
      <c r="S3412" s="18" t="s">
        <v>140</v>
      </c>
      <c r="T3412" s="18" t="s">
        <v>141</v>
      </c>
      <c r="U3412" s="18"/>
      <c r="V3412" s="19" t="s">
        <v>29</v>
      </c>
      <c r="W3412" s="19"/>
      <c r="X3412" s="19"/>
      <c r="Y3412" s="20"/>
      <c r="Z3412" s="19"/>
      <c r="AA3412" s="18" t="str">
        <f aca="false">IF(OR(V3412="Aprobada"),R3412,IF(AND(OR(V3412="Aprobada con ajuste",V3412="Rechazada"),W3412&lt;&gt;""),W3412,""))</f>
        <v/>
      </c>
    </row>
    <row r="3413" customFormat="false" ht="22.35" hidden="false" customHeight="false" outlineLevel="0" collapsed="false">
      <c r="A3413" s="18" t="s">
        <v>14140</v>
      </c>
      <c r="B3413" s="18" t="s">
        <v>82</v>
      </c>
      <c r="C3413" s="18" t="s">
        <v>83</v>
      </c>
      <c r="D3413" s="18" t="s">
        <v>14124</v>
      </c>
      <c r="E3413" s="18" t="n">
        <v>0</v>
      </c>
      <c r="F3413" s="18" t="s">
        <v>14141</v>
      </c>
      <c r="G3413" s="18" t="s">
        <v>3172</v>
      </c>
      <c r="H3413" s="18" t="s">
        <v>162</v>
      </c>
      <c r="I3413" s="18" t="s">
        <v>298</v>
      </c>
      <c r="J3413" s="18"/>
      <c r="K3413" s="18"/>
      <c r="L3413" s="18" t="s">
        <v>129</v>
      </c>
      <c r="M3413" s="18" t="s">
        <v>129</v>
      </c>
      <c r="N3413" s="18"/>
      <c r="O3413" s="18"/>
      <c r="P3413" s="18"/>
      <c r="Q3413" s="18" t="s">
        <v>149</v>
      </c>
      <c r="R3413" s="18" t="s">
        <v>14142</v>
      </c>
      <c r="S3413" s="18" t="s">
        <v>133</v>
      </c>
      <c r="T3413" s="18" t="s">
        <v>14143</v>
      </c>
      <c r="U3413" s="18"/>
      <c r="V3413" s="19" t="s">
        <v>29</v>
      </c>
      <c r="W3413" s="19"/>
      <c r="X3413" s="19"/>
      <c r="Y3413" s="20"/>
      <c r="Z3413" s="19"/>
      <c r="AA3413" s="18" t="str">
        <f aca="false">IF(OR(V3413="Aprobada"),R3413,IF(AND(OR(V3413="Aprobada con ajuste",V3413="Rechazada"),W3413&lt;&gt;""),W3413,""))</f>
        <v/>
      </c>
    </row>
    <row r="3414" customFormat="false" ht="22.35" hidden="false" customHeight="false" outlineLevel="0" collapsed="false">
      <c r="A3414" s="18" t="s">
        <v>14144</v>
      </c>
      <c r="B3414" s="18" t="s">
        <v>82</v>
      </c>
      <c r="C3414" s="18" t="s">
        <v>83</v>
      </c>
      <c r="D3414" s="18" t="s">
        <v>14145</v>
      </c>
      <c r="E3414" s="18" t="n">
        <v>0</v>
      </c>
      <c r="F3414" s="18" t="s">
        <v>185</v>
      </c>
      <c r="G3414" s="18" t="s">
        <v>205</v>
      </c>
      <c r="H3414" s="18" t="s">
        <v>129</v>
      </c>
      <c r="I3414" s="18" t="s">
        <v>298</v>
      </c>
      <c r="J3414" s="18" t="s">
        <v>14146</v>
      </c>
      <c r="K3414" s="18"/>
      <c r="L3414" s="18" t="s">
        <v>162</v>
      </c>
      <c r="M3414" s="18" t="s">
        <v>129</v>
      </c>
      <c r="N3414" s="18"/>
      <c r="O3414" s="18" t="s">
        <v>14147</v>
      </c>
      <c r="P3414" s="18" t="s">
        <v>14148</v>
      </c>
      <c r="Q3414" s="18" t="s">
        <v>138</v>
      </c>
      <c r="R3414" s="18" t="s">
        <v>14149</v>
      </c>
      <c r="S3414" s="18" t="s">
        <v>140</v>
      </c>
      <c r="T3414" s="18" t="s">
        <v>141</v>
      </c>
      <c r="U3414" s="18"/>
      <c r="V3414" s="19" t="s">
        <v>29</v>
      </c>
      <c r="W3414" s="19"/>
      <c r="X3414" s="19"/>
      <c r="Y3414" s="20"/>
      <c r="Z3414" s="19"/>
      <c r="AA3414" s="18" t="str">
        <f aca="false">IF(OR(V3414="Aprobada"),R3414,IF(AND(OR(V3414="Aprobada con ajuste",V3414="Rechazada"),W3414&lt;&gt;""),W3414,""))</f>
        <v/>
      </c>
    </row>
    <row r="3415" customFormat="false" ht="53.7" hidden="false" customHeight="false" outlineLevel="0" collapsed="false">
      <c r="A3415" s="18" t="s">
        <v>14150</v>
      </c>
      <c r="B3415" s="18" t="s">
        <v>82</v>
      </c>
      <c r="C3415" s="18" t="s">
        <v>83</v>
      </c>
      <c r="D3415" s="18" t="s">
        <v>14145</v>
      </c>
      <c r="E3415" s="18" t="n">
        <v>0</v>
      </c>
      <c r="F3415" s="18" t="s">
        <v>5947</v>
      </c>
      <c r="G3415" s="18" t="s">
        <v>656</v>
      </c>
      <c r="H3415" s="18" t="s">
        <v>129</v>
      </c>
      <c r="I3415" s="18"/>
      <c r="J3415" s="18"/>
      <c r="K3415" s="18"/>
      <c r="L3415" s="18" t="s">
        <v>129</v>
      </c>
      <c r="M3415" s="18" t="s">
        <v>129</v>
      </c>
      <c r="N3415" s="18"/>
      <c r="O3415" s="18"/>
      <c r="P3415" s="18" t="s">
        <v>14151</v>
      </c>
      <c r="Q3415" s="18" t="s">
        <v>149</v>
      </c>
      <c r="R3415" s="18" t="s">
        <v>14152</v>
      </c>
      <c r="S3415" s="18" t="s">
        <v>140</v>
      </c>
      <c r="T3415" s="18" t="s">
        <v>14153</v>
      </c>
      <c r="U3415" s="18" t="s">
        <v>14154</v>
      </c>
      <c r="V3415" s="19" t="s">
        <v>29</v>
      </c>
      <c r="W3415" s="19"/>
      <c r="X3415" s="19"/>
      <c r="Y3415" s="20"/>
      <c r="Z3415" s="19"/>
      <c r="AA3415" s="18" t="str">
        <f aca="false">IF(OR(V3415="Aprobada"),R3415,IF(AND(OR(V3415="Aprobada con ajuste",V3415="Rechazada"),W3415&lt;&gt;""),W3415,""))</f>
        <v/>
      </c>
    </row>
    <row r="3416" customFormat="false" ht="32.8" hidden="false" customHeight="false" outlineLevel="0" collapsed="false">
      <c r="A3416" s="18" t="s">
        <v>14155</v>
      </c>
      <c r="B3416" s="18" t="s">
        <v>82</v>
      </c>
      <c r="C3416" s="18" t="s">
        <v>83</v>
      </c>
      <c r="D3416" s="18" t="s">
        <v>14145</v>
      </c>
      <c r="E3416" s="18" t="n">
        <v>0</v>
      </c>
      <c r="F3416" s="18" t="s">
        <v>14156</v>
      </c>
      <c r="G3416" s="18" t="s">
        <v>13203</v>
      </c>
      <c r="H3416" s="18" t="s">
        <v>162</v>
      </c>
      <c r="I3416" s="18"/>
      <c r="J3416" s="18"/>
      <c r="K3416" s="18"/>
      <c r="L3416" s="18" t="s">
        <v>129</v>
      </c>
      <c r="M3416" s="18" t="s">
        <v>129</v>
      </c>
      <c r="N3416" s="18"/>
      <c r="O3416" s="18"/>
      <c r="P3416" s="18" t="s">
        <v>14157</v>
      </c>
      <c r="Q3416" s="18" t="s">
        <v>149</v>
      </c>
      <c r="R3416" s="18" t="s">
        <v>14158</v>
      </c>
      <c r="S3416" s="18" t="s">
        <v>140</v>
      </c>
      <c r="T3416" s="18" t="s">
        <v>14159</v>
      </c>
      <c r="U3416" s="18" t="s">
        <v>14160</v>
      </c>
      <c r="V3416" s="19" t="s">
        <v>29</v>
      </c>
      <c r="W3416" s="19"/>
      <c r="X3416" s="19"/>
      <c r="Y3416" s="20"/>
      <c r="Z3416" s="19"/>
      <c r="AA3416" s="18" t="str">
        <f aca="false">IF(OR(V3416="Aprobada"),R3416,IF(AND(OR(V3416="Aprobada con ajuste",V3416="Rechazada"),W3416&lt;&gt;""),W3416,""))</f>
        <v/>
      </c>
    </row>
    <row r="3417" customFormat="false" ht="22.35" hidden="false" customHeight="false" outlineLevel="0" collapsed="false">
      <c r="A3417" s="18" t="s">
        <v>14161</v>
      </c>
      <c r="B3417" s="18" t="s">
        <v>82</v>
      </c>
      <c r="C3417" s="18" t="s">
        <v>83</v>
      </c>
      <c r="D3417" s="18" t="s">
        <v>14145</v>
      </c>
      <c r="E3417" s="18" t="n">
        <v>0</v>
      </c>
      <c r="F3417" s="18" t="s">
        <v>14162</v>
      </c>
      <c r="G3417" s="18" t="s">
        <v>13203</v>
      </c>
      <c r="H3417" s="18" t="s">
        <v>162</v>
      </c>
      <c r="I3417" s="18"/>
      <c r="J3417" s="18"/>
      <c r="K3417" s="18"/>
      <c r="L3417" s="18" t="s">
        <v>129</v>
      </c>
      <c r="M3417" s="18" t="s">
        <v>129</v>
      </c>
      <c r="N3417" s="18"/>
      <c r="O3417" s="18"/>
      <c r="P3417" s="18" t="s">
        <v>14163</v>
      </c>
      <c r="Q3417" s="18" t="s">
        <v>149</v>
      </c>
      <c r="R3417" s="18" t="s">
        <v>14164</v>
      </c>
      <c r="S3417" s="18" t="s">
        <v>140</v>
      </c>
      <c r="T3417" s="18" t="s">
        <v>14165</v>
      </c>
      <c r="U3417" s="18" t="s">
        <v>14160</v>
      </c>
      <c r="V3417" s="19" t="s">
        <v>29</v>
      </c>
      <c r="W3417" s="19"/>
      <c r="X3417" s="19"/>
      <c r="Y3417" s="20"/>
      <c r="Z3417" s="19"/>
      <c r="AA3417" s="18" t="str">
        <f aca="false">IF(OR(V3417="Aprobada"),R3417,IF(AND(OR(V3417="Aprobada con ajuste",V3417="Rechazada"),W3417&lt;&gt;""),W3417,""))</f>
        <v/>
      </c>
    </row>
    <row r="3418" customFormat="false" ht="53.7" hidden="false" customHeight="false" outlineLevel="0" collapsed="false">
      <c r="A3418" s="18" t="s">
        <v>14166</v>
      </c>
      <c r="B3418" s="18" t="s">
        <v>82</v>
      </c>
      <c r="C3418" s="18" t="s">
        <v>83</v>
      </c>
      <c r="D3418" s="18" t="s">
        <v>14145</v>
      </c>
      <c r="E3418" s="18" t="n">
        <v>0</v>
      </c>
      <c r="F3418" s="18" t="s">
        <v>14167</v>
      </c>
      <c r="G3418" s="18" t="s">
        <v>656</v>
      </c>
      <c r="H3418" s="18" t="s">
        <v>162</v>
      </c>
      <c r="I3418" s="18" t="s">
        <v>298</v>
      </c>
      <c r="J3418" s="18"/>
      <c r="K3418" s="18"/>
      <c r="L3418" s="18" t="s">
        <v>129</v>
      </c>
      <c r="M3418" s="18" t="s">
        <v>129</v>
      </c>
      <c r="N3418" s="18"/>
      <c r="O3418" s="18"/>
      <c r="P3418" s="18" t="s">
        <v>14168</v>
      </c>
      <c r="Q3418" s="18" t="s">
        <v>149</v>
      </c>
      <c r="R3418" s="18" t="s">
        <v>14169</v>
      </c>
      <c r="S3418" s="18" t="s">
        <v>140</v>
      </c>
      <c r="T3418" s="18" t="s">
        <v>14170</v>
      </c>
      <c r="U3418" s="18" t="s">
        <v>14171</v>
      </c>
      <c r="V3418" s="19" t="s">
        <v>29</v>
      </c>
      <c r="W3418" s="19"/>
      <c r="X3418" s="19"/>
      <c r="Y3418" s="20"/>
      <c r="Z3418" s="19"/>
      <c r="AA3418" s="18" t="str">
        <f aca="false">IF(OR(V3418="Aprobada"),R3418,IF(AND(OR(V3418="Aprobada con ajuste",V3418="Rechazada"),W3418&lt;&gt;""),W3418,""))</f>
        <v/>
      </c>
    </row>
    <row r="3419" customFormat="false" ht="53.7" hidden="false" customHeight="false" outlineLevel="0" collapsed="false">
      <c r="A3419" s="18" t="s">
        <v>14172</v>
      </c>
      <c r="B3419" s="18" t="s">
        <v>82</v>
      </c>
      <c r="C3419" s="18" t="s">
        <v>83</v>
      </c>
      <c r="D3419" s="18" t="s">
        <v>14145</v>
      </c>
      <c r="E3419" s="18" t="n">
        <v>0</v>
      </c>
      <c r="F3419" s="18" t="s">
        <v>14173</v>
      </c>
      <c r="G3419" s="18" t="s">
        <v>137</v>
      </c>
      <c r="H3419" s="18" t="s">
        <v>162</v>
      </c>
      <c r="I3419" s="18"/>
      <c r="J3419" s="18"/>
      <c r="K3419" s="18"/>
      <c r="L3419" s="18" t="s">
        <v>129</v>
      </c>
      <c r="M3419" s="18" t="s">
        <v>129</v>
      </c>
      <c r="N3419" s="18"/>
      <c r="O3419" s="18"/>
      <c r="P3419" s="18" t="s">
        <v>14174</v>
      </c>
      <c r="Q3419" s="18" t="s">
        <v>138</v>
      </c>
      <c r="R3419" s="18" t="s">
        <v>14175</v>
      </c>
      <c r="S3419" s="18" t="s">
        <v>140</v>
      </c>
      <c r="T3419" s="18" t="s">
        <v>141</v>
      </c>
      <c r="U3419" s="18"/>
      <c r="V3419" s="19" t="s">
        <v>29</v>
      </c>
      <c r="W3419" s="19"/>
      <c r="X3419" s="19"/>
      <c r="Y3419" s="20"/>
      <c r="Z3419" s="19"/>
      <c r="AA3419" s="18" t="str">
        <f aca="false">IF(OR(V3419="Aprobada"),R3419,IF(AND(OR(V3419="Aprobada con ajuste",V3419="Rechazada"),W3419&lt;&gt;""),W3419,""))</f>
        <v/>
      </c>
    </row>
    <row r="3420" customFormat="false" ht="53.7" hidden="false" customHeight="false" outlineLevel="0" collapsed="false">
      <c r="A3420" s="18" t="s">
        <v>14176</v>
      </c>
      <c r="B3420" s="18" t="s">
        <v>82</v>
      </c>
      <c r="C3420" s="18" t="s">
        <v>83</v>
      </c>
      <c r="D3420" s="18" t="s">
        <v>14145</v>
      </c>
      <c r="E3420" s="18" t="n">
        <v>0</v>
      </c>
      <c r="F3420" s="18" t="s">
        <v>886</v>
      </c>
      <c r="G3420" s="18" t="s">
        <v>128</v>
      </c>
      <c r="H3420" s="18" t="s">
        <v>162</v>
      </c>
      <c r="I3420" s="18"/>
      <c r="J3420" s="18"/>
      <c r="K3420" s="18"/>
      <c r="L3420" s="18" t="s">
        <v>129</v>
      </c>
      <c r="M3420" s="18" t="s">
        <v>129</v>
      </c>
      <c r="N3420" s="18"/>
      <c r="O3420" s="18"/>
      <c r="P3420" s="18" t="s">
        <v>14177</v>
      </c>
      <c r="Q3420" s="18" t="s">
        <v>138</v>
      </c>
      <c r="R3420" s="18" t="s">
        <v>1693</v>
      </c>
      <c r="S3420" s="18" t="s">
        <v>140</v>
      </c>
      <c r="T3420" s="18" t="s">
        <v>141</v>
      </c>
      <c r="U3420" s="18"/>
      <c r="V3420" s="19" t="s">
        <v>29</v>
      </c>
      <c r="W3420" s="19"/>
      <c r="X3420" s="19"/>
      <c r="Y3420" s="20"/>
      <c r="Z3420" s="19"/>
      <c r="AA3420" s="18" t="str">
        <f aca="false">IF(OR(V3420="Aprobada"),R3420,IF(AND(OR(V3420="Aprobada con ajuste",V3420="Rechazada"),W3420&lt;&gt;""),W3420,""))</f>
        <v/>
      </c>
    </row>
    <row r="3421" customFormat="false" ht="22.35" hidden="false" customHeight="false" outlineLevel="0" collapsed="false">
      <c r="A3421" s="18" t="s">
        <v>14178</v>
      </c>
      <c r="B3421" s="18" t="s">
        <v>82</v>
      </c>
      <c r="C3421" s="18" t="s">
        <v>83</v>
      </c>
      <c r="D3421" s="18" t="s">
        <v>14145</v>
      </c>
      <c r="E3421" s="18" t="n">
        <v>0</v>
      </c>
      <c r="F3421" s="18" t="s">
        <v>13311</v>
      </c>
      <c r="G3421" s="18" t="s">
        <v>312</v>
      </c>
      <c r="H3421" s="18" t="s">
        <v>162</v>
      </c>
      <c r="I3421" s="18"/>
      <c r="J3421" s="18"/>
      <c r="K3421" s="18"/>
      <c r="L3421" s="18" t="s">
        <v>129</v>
      </c>
      <c r="M3421" s="18" t="s">
        <v>129</v>
      </c>
      <c r="N3421" s="18"/>
      <c r="O3421" s="18"/>
      <c r="P3421" s="18" t="s">
        <v>14179</v>
      </c>
      <c r="Q3421" s="18" t="s">
        <v>149</v>
      </c>
      <c r="R3421" s="18" t="s">
        <v>14180</v>
      </c>
      <c r="S3421" s="18" t="s">
        <v>140</v>
      </c>
      <c r="T3421" s="18" t="s">
        <v>14181</v>
      </c>
      <c r="U3421" s="18" t="s">
        <v>13874</v>
      </c>
      <c r="V3421" s="19" t="s">
        <v>29</v>
      </c>
      <c r="W3421" s="19"/>
      <c r="X3421" s="19"/>
      <c r="Y3421" s="20"/>
      <c r="Z3421" s="19"/>
      <c r="AA3421" s="18" t="str">
        <f aca="false">IF(OR(V3421="Aprobada"),R3421,IF(AND(OR(V3421="Aprobada con ajuste",V3421="Rechazada"),W3421&lt;&gt;""),W3421,""))</f>
        <v/>
      </c>
    </row>
    <row r="3422" customFormat="false" ht="32.8" hidden="false" customHeight="false" outlineLevel="0" collapsed="false">
      <c r="A3422" s="18" t="s">
        <v>14182</v>
      </c>
      <c r="B3422" s="18" t="s">
        <v>82</v>
      </c>
      <c r="C3422" s="18" t="s">
        <v>83</v>
      </c>
      <c r="D3422" s="18" t="s">
        <v>14183</v>
      </c>
      <c r="E3422" s="18" t="n">
        <v>4</v>
      </c>
      <c r="F3422" s="18" t="s">
        <v>14184</v>
      </c>
      <c r="G3422" s="18" t="s">
        <v>486</v>
      </c>
      <c r="H3422" s="18" t="s">
        <v>129</v>
      </c>
      <c r="I3422" s="18"/>
      <c r="J3422" s="18"/>
      <c r="K3422" s="18"/>
      <c r="L3422" s="18" t="s">
        <v>162</v>
      </c>
      <c r="M3422" s="18" t="s">
        <v>129</v>
      </c>
      <c r="N3422" s="18"/>
      <c r="O3422" s="18" t="s">
        <v>14185</v>
      </c>
      <c r="P3422" s="18" t="s">
        <v>14186</v>
      </c>
      <c r="Q3422" s="18" t="s">
        <v>149</v>
      </c>
      <c r="R3422" s="18" t="s">
        <v>14187</v>
      </c>
      <c r="S3422" s="18" t="s">
        <v>133</v>
      </c>
      <c r="T3422" s="18" t="s">
        <v>14188</v>
      </c>
      <c r="U3422" s="18"/>
      <c r="V3422" s="19" t="s">
        <v>29</v>
      </c>
      <c r="W3422" s="19"/>
      <c r="X3422" s="19"/>
      <c r="Y3422" s="20"/>
      <c r="Z3422" s="19"/>
      <c r="AA3422" s="18" t="str">
        <f aca="false">IF(OR(V3422="Aprobada"),R3422,IF(AND(OR(V3422="Aprobada con ajuste",V3422="Rechazada"),W3422&lt;&gt;""),W3422,""))</f>
        <v/>
      </c>
    </row>
    <row r="3423" customFormat="false" ht="32.8" hidden="false" customHeight="false" outlineLevel="0" collapsed="false">
      <c r="A3423" s="18" t="s">
        <v>14189</v>
      </c>
      <c r="B3423" s="18" t="s">
        <v>82</v>
      </c>
      <c r="C3423" s="18" t="s">
        <v>83</v>
      </c>
      <c r="D3423" s="18" t="s">
        <v>14183</v>
      </c>
      <c r="E3423" s="18" t="n">
        <v>4</v>
      </c>
      <c r="F3423" s="18" t="s">
        <v>14190</v>
      </c>
      <c r="G3423" s="18" t="s">
        <v>486</v>
      </c>
      <c r="H3423" s="18" t="s">
        <v>129</v>
      </c>
      <c r="I3423" s="18"/>
      <c r="J3423" s="18"/>
      <c r="K3423" s="18"/>
      <c r="L3423" s="18" t="s">
        <v>162</v>
      </c>
      <c r="M3423" s="18" t="s">
        <v>129</v>
      </c>
      <c r="N3423" s="18"/>
      <c r="O3423" s="18" t="s">
        <v>14185</v>
      </c>
      <c r="P3423" s="18" t="s">
        <v>14191</v>
      </c>
      <c r="Q3423" s="18" t="s">
        <v>149</v>
      </c>
      <c r="R3423" s="18" t="s">
        <v>14192</v>
      </c>
      <c r="S3423" s="18" t="s">
        <v>133</v>
      </c>
      <c r="T3423" s="18" t="s">
        <v>14193</v>
      </c>
      <c r="U3423" s="18"/>
      <c r="V3423" s="19" t="s">
        <v>29</v>
      </c>
      <c r="W3423" s="19"/>
      <c r="X3423" s="19"/>
      <c r="Y3423" s="20"/>
      <c r="Z3423" s="19"/>
      <c r="AA3423" s="18" t="str">
        <f aca="false">IF(OR(V3423="Aprobada"),R3423,IF(AND(OR(V3423="Aprobada con ajuste",V3423="Rechazada"),W3423&lt;&gt;""),W3423,""))</f>
        <v/>
      </c>
    </row>
    <row r="3424" customFormat="false" ht="43.25" hidden="false" customHeight="false" outlineLevel="0" collapsed="false">
      <c r="A3424" s="18" t="s">
        <v>14194</v>
      </c>
      <c r="B3424" s="18" t="s">
        <v>82</v>
      </c>
      <c r="C3424" s="18" t="s">
        <v>83</v>
      </c>
      <c r="D3424" s="18" t="s">
        <v>14183</v>
      </c>
      <c r="E3424" s="18" t="n">
        <v>4</v>
      </c>
      <c r="F3424" s="18" t="s">
        <v>14195</v>
      </c>
      <c r="G3424" s="18" t="s">
        <v>180</v>
      </c>
      <c r="H3424" s="18" t="s">
        <v>162</v>
      </c>
      <c r="I3424" s="18"/>
      <c r="J3424" s="18"/>
      <c r="K3424" s="18"/>
      <c r="L3424" s="18" t="s">
        <v>162</v>
      </c>
      <c r="M3424" s="18" t="s">
        <v>129</v>
      </c>
      <c r="N3424" s="18"/>
      <c r="O3424" s="18"/>
      <c r="P3424" s="18" t="s">
        <v>14196</v>
      </c>
      <c r="Q3424" s="18" t="s">
        <v>149</v>
      </c>
      <c r="R3424" s="18" t="s">
        <v>14197</v>
      </c>
      <c r="S3424" s="18" t="s">
        <v>140</v>
      </c>
      <c r="T3424" s="18" t="s">
        <v>275</v>
      </c>
      <c r="U3424" s="18" t="s">
        <v>14198</v>
      </c>
      <c r="V3424" s="19" t="s">
        <v>29</v>
      </c>
      <c r="W3424" s="19"/>
      <c r="X3424" s="19"/>
      <c r="Y3424" s="20"/>
      <c r="Z3424" s="19"/>
      <c r="AA3424" s="18" t="str">
        <f aca="false">IF(OR(V3424="Aprobada"),R3424,IF(AND(OR(V3424="Aprobada con ajuste",V3424="Rechazada"),W3424&lt;&gt;""),W3424,""))</f>
        <v/>
      </c>
    </row>
    <row r="3425" customFormat="false" ht="32.8" hidden="false" customHeight="false" outlineLevel="0" collapsed="false">
      <c r="A3425" s="18" t="s">
        <v>14199</v>
      </c>
      <c r="B3425" s="18" t="s">
        <v>82</v>
      </c>
      <c r="C3425" s="18" t="s">
        <v>83</v>
      </c>
      <c r="D3425" s="18" t="s">
        <v>14183</v>
      </c>
      <c r="E3425" s="18" t="n">
        <v>4</v>
      </c>
      <c r="F3425" s="18" t="s">
        <v>172</v>
      </c>
      <c r="G3425" s="18" t="s">
        <v>173</v>
      </c>
      <c r="H3425" s="18" t="s">
        <v>129</v>
      </c>
      <c r="I3425" s="18"/>
      <c r="J3425" s="18"/>
      <c r="K3425" s="18"/>
      <c r="L3425" s="18" t="s">
        <v>162</v>
      </c>
      <c r="M3425" s="18" t="s">
        <v>129</v>
      </c>
      <c r="N3425" s="18"/>
      <c r="O3425" s="18" t="s">
        <v>14200</v>
      </c>
      <c r="P3425" s="18" t="s">
        <v>14201</v>
      </c>
      <c r="Q3425" s="18" t="s">
        <v>138</v>
      </c>
      <c r="R3425" s="18" t="s">
        <v>176</v>
      </c>
      <c r="S3425" s="18" t="s">
        <v>140</v>
      </c>
      <c r="T3425" s="18" t="s">
        <v>141</v>
      </c>
      <c r="U3425" s="18"/>
      <c r="V3425" s="19" t="s">
        <v>29</v>
      </c>
      <c r="W3425" s="19"/>
      <c r="X3425" s="19"/>
      <c r="Y3425" s="20"/>
      <c r="Z3425" s="19"/>
      <c r="AA3425" s="18" t="str">
        <f aca="false">IF(OR(V3425="Aprobada"),R3425,IF(AND(OR(V3425="Aprobada con ajuste",V3425="Rechazada"),W3425&lt;&gt;""),W3425,""))</f>
        <v/>
      </c>
    </row>
    <row r="3426" customFormat="false" ht="32.8" hidden="false" customHeight="false" outlineLevel="0" collapsed="false">
      <c r="A3426" s="18" t="s">
        <v>14202</v>
      </c>
      <c r="B3426" s="18" t="s">
        <v>82</v>
      </c>
      <c r="C3426" s="18" t="s">
        <v>83</v>
      </c>
      <c r="D3426" s="18" t="s">
        <v>14203</v>
      </c>
      <c r="E3426" s="18" t="n">
        <v>0</v>
      </c>
      <c r="F3426" s="18" t="s">
        <v>14204</v>
      </c>
      <c r="G3426" s="18" t="s">
        <v>486</v>
      </c>
      <c r="H3426" s="18" t="s">
        <v>129</v>
      </c>
      <c r="I3426" s="18" t="s">
        <v>146</v>
      </c>
      <c r="J3426" s="18"/>
      <c r="K3426" s="18"/>
      <c r="L3426" s="18" t="s">
        <v>129</v>
      </c>
      <c r="M3426" s="18" t="s">
        <v>129</v>
      </c>
      <c r="N3426" s="18"/>
      <c r="O3426" s="18" t="s">
        <v>14205</v>
      </c>
      <c r="P3426" s="18" t="s">
        <v>14206</v>
      </c>
      <c r="Q3426" s="18" t="s">
        <v>149</v>
      </c>
      <c r="R3426" s="18" t="s">
        <v>14207</v>
      </c>
      <c r="S3426" s="18" t="s">
        <v>140</v>
      </c>
      <c r="T3426" s="18" t="s">
        <v>14208</v>
      </c>
      <c r="U3426" s="18" t="s">
        <v>14209</v>
      </c>
      <c r="V3426" s="19" t="s">
        <v>29</v>
      </c>
      <c r="W3426" s="19"/>
      <c r="X3426" s="19"/>
      <c r="Y3426" s="20"/>
      <c r="Z3426" s="19"/>
      <c r="AA3426" s="18" t="str">
        <f aca="false">IF(OR(V3426="Aprobada"),R3426,IF(AND(OR(V3426="Aprobada con ajuste",V3426="Rechazada"),W3426&lt;&gt;""),W3426,""))</f>
        <v/>
      </c>
    </row>
    <row r="3427" customFormat="false" ht="32.8" hidden="false" customHeight="false" outlineLevel="0" collapsed="false">
      <c r="A3427" s="18" t="s">
        <v>14210</v>
      </c>
      <c r="B3427" s="18" t="s">
        <v>82</v>
      </c>
      <c r="C3427" s="18" t="s">
        <v>83</v>
      </c>
      <c r="D3427" s="18" t="s">
        <v>14203</v>
      </c>
      <c r="E3427" s="18" t="n">
        <v>0</v>
      </c>
      <c r="F3427" s="18" t="s">
        <v>14211</v>
      </c>
      <c r="G3427" s="18" t="s">
        <v>337</v>
      </c>
      <c r="H3427" s="18" t="s">
        <v>129</v>
      </c>
      <c r="I3427" s="18"/>
      <c r="J3427" s="18"/>
      <c r="K3427" s="18"/>
      <c r="L3427" s="18" t="s">
        <v>129</v>
      </c>
      <c r="M3427" s="18" t="s">
        <v>129</v>
      </c>
      <c r="N3427" s="18"/>
      <c r="O3427" s="18"/>
      <c r="P3427" s="18" t="s">
        <v>14212</v>
      </c>
      <c r="Q3427" s="18" t="s">
        <v>149</v>
      </c>
      <c r="R3427" s="18" t="s">
        <v>14213</v>
      </c>
      <c r="S3427" s="18" t="s">
        <v>133</v>
      </c>
      <c r="T3427" s="18" t="s">
        <v>275</v>
      </c>
      <c r="U3427" s="18"/>
      <c r="V3427" s="19" t="s">
        <v>29</v>
      </c>
      <c r="W3427" s="19"/>
      <c r="X3427" s="19"/>
      <c r="Y3427" s="20"/>
      <c r="Z3427" s="19"/>
      <c r="AA3427" s="18" t="str">
        <f aca="false">IF(OR(V3427="Aprobada"),R3427,IF(AND(OR(V3427="Aprobada con ajuste",V3427="Rechazada"),W3427&lt;&gt;""),W3427,""))</f>
        <v/>
      </c>
    </row>
    <row r="3428" customFormat="false" ht="32.8" hidden="false" customHeight="false" outlineLevel="0" collapsed="false">
      <c r="A3428" s="18" t="s">
        <v>14214</v>
      </c>
      <c r="B3428" s="18" t="s">
        <v>82</v>
      </c>
      <c r="C3428" s="18" t="s">
        <v>83</v>
      </c>
      <c r="D3428" s="18" t="s">
        <v>14203</v>
      </c>
      <c r="E3428" s="18" t="n">
        <v>0</v>
      </c>
      <c r="F3428" s="18" t="s">
        <v>14215</v>
      </c>
      <c r="G3428" s="18" t="s">
        <v>3994</v>
      </c>
      <c r="H3428" s="18" t="s">
        <v>129</v>
      </c>
      <c r="I3428" s="18" t="s">
        <v>298</v>
      </c>
      <c r="J3428" s="18"/>
      <c r="K3428" s="18"/>
      <c r="L3428" s="18" t="s">
        <v>129</v>
      </c>
      <c r="M3428" s="18" t="s">
        <v>129</v>
      </c>
      <c r="N3428" s="18"/>
      <c r="O3428" s="18"/>
      <c r="P3428" s="18" t="s">
        <v>14216</v>
      </c>
      <c r="Q3428" s="18" t="s">
        <v>149</v>
      </c>
      <c r="R3428" s="18" t="s">
        <v>14217</v>
      </c>
      <c r="S3428" s="18" t="s">
        <v>140</v>
      </c>
      <c r="T3428" s="18" t="s">
        <v>14218</v>
      </c>
      <c r="U3428" s="18" t="s">
        <v>14219</v>
      </c>
      <c r="V3428" s="19" t="s">
        <v>29</v>
      </c>
      <c r="W3428" s="19"/>
      <c r="X3428" s="19"/>
      <c r="Y3428" s="20"/>
      <c r="Z3428" s="19"/>
      <c r="AA3428" s="18" t="str">
        <f aca="false">IF(OR(V3428="Aprobada"),R3428,IF(AND(OR(V3428="Aprobada con ajuste",V3428="Rechazada"),W3428&lt;&gt;""),W3428,""))</f>
        <v/>
      </c>
    </row>
    <row r="3429" customFormat="false" ht="22.35" hidden="false" customHeight="false" outlineLevel="0" collapsed="false">
      <c r="A3429" s="18" t="s">
        <v>14220</v>
      </c>
      <c r="B3429" s="18" t="s">
        <v>82</v>
      </c>
      <c r="C3429" s="18" t="s">
        <v>83</v>
      </c>
      <c r="D3429" s="18" t="s">
        <v>14203</v>
      </c>
      <c r="E3429" s="18" t="n">
        <v>0</v>
      </c>
      <c r="F3429" s="18" t="s">
        <v>14221</v>
      </c>
      <c r="G3429" s="18" t="s">
        <v>3994</v>
      </c>
      <c r="H3429" s="18" t="s">
        <v>129</v>
      </c>
      <c r="I3429" s="18" t="s">
        <v>298</v>
      </c>
      <c r="J3429" s="18"/>
      <c r="K3429" s="18"/>
      <c r="L3429" s="18" t="s">
        <v>129</v>
      </c>
      <c r="M3429" s="18" t="s">
        <v>129</v>
      </c>
      <c r="N3429" s="18"/>
      <c r="O3429" s="18"/>
      <c r="P3429" s="18" t="s">
        <v>14222</v>
      </c>
      <c r="Q3429" s="18" t="s">
        <v>149</v>
      </c>
      <c r="R3429" s="18" t="s">
        <v>14223</v>
      </c>
      <c r="S3429" s="18" t="s">
        <v>140</v>
      </c>
      <c r="T3429" s="18" t="s">
        <v>14224</v>
      </c>
      <c r="U3429" s="18" t="s">
        <v>14225</v>
      </c>
      <c r="V3429" s="19" t="s">
        <v>29</v>
      </c>
      <c r="W3429" s="19"/>
      <c r="X3429" s="19"/>
      <c r="Y3429" s="20"/>
      <c r="Z3429" s="19"/>
      <c r="AA3429" s="18" t="str">
        <f aca="false">IF(OR(V3429="Aprobada"),R3429,IF(AND(OR(V3429="Aprobada con ajuste",V3429="Rechazada"),W3429&lt;&gt;""),W3429,""))</f>
        <v/>
      </c>
    </row>
    <row r="3430" customFormat="false" ht="22.35" hidden="false" customHeight="false" outlineLevel="0" collapsed="false">
      <c r="A3430" s="18" t="s">
        <v>14226</v>
      </c>
      <c r="B3430" s="18" t="s">
        <v>82</v>
      </c>
      <c r="C3430" s="18" t="s">
        <v>83</v>
      </c>
      <c r="D3430" s="18" t="s">
        <v>14203</v>
      </c>
      <c r="E3430" s="18" t="n">
        <v>0</v>
      </c>
      <c r="F3430" s="18" t="s">
        <v>14227</v>
      </c>
      <c r="G3430" s="18" t="s">
        <v>3994</v>
      </c>
      <c r="H3430" s="18" t="s">
        <v>129</v>
      </c>
      <c r="I3430" s="18"/>
      <c r="J3430" s="18"/>
      <c r="K3430" s="18"/>
      <c r="L3430" s="18" t="s">
        <v>129</v>
      </c>
      <c r="M3430" s="18" t="s">
        <v>129</v>
      </c>
      <c r="N3430" s="18"/>
      <c r="O3430" s="18"/>
      <c r="P3430" s="18" t="s">
        <v>14228</v>
      </c>
      <c r="Q3430" s="18" t="s">
        <v>149</v>
      </c>
      <c r="R3430" s="18" t="s">
        <v>14229</v>
      </c>
      <c r="S3430" s="18" t="s">
        <v>140</v>
      </c>
      <c r="T3430" s="18" t="s">
        <v>14230</v>
      </c>
      <c r="U3430" s="18" t="s">
        <v>14231</v>
      </c>
      <c r="V3430" s="19" t="s">
        <v>29</v>
      </c>
      <c r="W3430" s="19"/>
      <c r="X3430" s="19"/>
      <c r="Y3430" s="20"/>
      <c r="Z3430" s="19"/>
      <c r="AA3430" s="18" t="str">
        <f aca="false">IF(OR(V3430="Aprobada"),R3430,IF(AND(OR(V3430="Aprobada con ajuste",V3430="Rechazada"),W3430&lt;&gt;""),W3430,""))</f>
        <v/>
      </c>
    </row>
    <row r="3431" customFormat="false" ht="43.25" hidden="false" customHeight="false" outlineLevel="0" collapsed="false">
      <c r="A3431" s="18" t="s">
        <v>14232</v>
      </c>
      <c r="B3431" s="18" t="s">
        <v>82</v>
      </c>
      <c r="C3431" s="18" t="s">
        <v>83</v>
      </c>
      <c r="D3431" s="18" t="s">
        <v>14203</v>
      </c>
      <c r="E3431" s="18" t="n">
        <v>0</v>
      </c>
      <c r="F3431" s="18" t="s">
        <v>14233</v>
      </c>
      <c r="G3431" s="18" t="s">
        <v>5738</v>
      </c>
      <c r="H3431" s="18" t="s">
        <v>129</v>
      </c>
      <c r="I3431" s="18" t="s">
        <v>298</v>
      </c>
      <c r="J3431" s="18"/>
      <c r="K3431" s="18"/>
      <c r="L3431" s="18" t="s">
        <v>129</v>
      </c>
      <c r="M3431" s="18" t="s">
        <v>129</v>
      </c>
      <c r="N3431" s="18"/>
      <c r="O3431" s="18"/>
      <c r="P3431" s="18" t="s">
        <v>14234</v>
      </c>
      <c r="Q3431" s="18" t="s">
        <v>149</v>
      </c>
      <c r="R3431" s="18" t="s">
        <v>14235</v>
      </c>
      <c r="S3431" s="18" t="s">
        <v>242</v>
      </c>
      <c r="T3431" s="18" t="s">
        <v>14236</v>
      </c>
      <c r="U3431" s="18" t="s">
        <v>14237</v>
      </c>
      <c r="V3431" s="19" t="s">
        <v>29</v>
      </c>
      <c r="W3431" s="19"/>
      <c r="X3431" s="19"/>
      <c r="Y3431" s="20"/>
      <c r="Z3431" s="19"/>
      <c r="AA3431" s="18" t="str">
        <f aca="false">IF(OR(V3431="Aprobada"),R3431,IF(AND(OR(V3431="Aprobada con ajuste",V3431="Rechazada"),W3431&lt;&gt;""),W3431,""))</f>
        <v/>
      </c>
    </row>
    <row r="3432" customFormat="false" ht="32.8" hidden="false" customHeight="false" outlineLevel="0" collapsed="false">
      <c r="A3432" s="18" t="s">
        <v>14238</v>
      </c>
      <c r="B3432" s="18" t="s">
        <v>82</v>
      </c>
      <c r="C3432" s="18" t="s">
        <v>83</v>
      </c>
      <c r="D3432" s="18" t="s">
        <v>14203</v>
      </c>
      <c r="E3432" s="18" t="n">
        <v>0</v>
      </c>
      <c r="F3432" s="18" t="s">
        <v>172</v>
      </c>
      <c r="G3432" s="18" t="s">
        <v>173</v>
      </c>
      <c r="H3432" s="18" t="s">
        <v>129</v>
      </c>
      <c r="I3432" s="18"/>
      <c r="J3432" s="18"/>
      <c r="K3432" s="18"/>
      <c r="L3432" s="18" t="s">
        <v>129</v>
      </c>
      <c r="M3432" s="18" t="s">
        <v>129</v>
      </c>
      <c r="N3432" s="18"/>
      <c r="O3432" s="18" t="s">
        <v>14239</v>
      </c>
      <c r="P3432" s="18" t="s">
        <v>14240</v>
      </c>
      <c r="Q3432" s="18" t="s">
        <v>138</v>
      </c>
      <c r="R3432" s="18" t="s">
        <v>176</v>
      </c>
      <c r="S3432" s="18" t="s">
        <v>140</v>
      </c>
      <c r="T3432" s="18" t="s">
        <v>141</v>
      </c>
      <c r="U3432" s="18"/>
      <c r="V3432" s="19" t="s">
        <v>29</v>
      </c>
      <c r="W3432" s="19"/>
      <c r="X3432" s="19"/>
      <c r="Y3432" s="20"/>
      <c r="Z3432" s="19"/>
      <c r="AA3432" s="18" t="str">
        <f aca="false">IF(OR(V3432="Aprobada"),R3432,IF(AND(OR(V3432="Aprobada con ajuste",V3432="Rechazada"),W3432&lt;&gt;""),W3432,""))</f>
        <v/>
      </c>
    </row>
    <row r="3433" customFormat="false" ht="43.25" hidden="false" customHeight="false" outlineLevel="0" collapsed="false">
      <c r="A3433" s="18" t="s">
        <v>14241</v>
      </c>
      <c r="B3433" s="18" t="s">
        <v>82</v>
      </c>
      <c r="C3433" s="18" t="s">
        <v>83</v>
      </c>
      <c r="D3433" s="18" t="s">
        <v>14242</v>
      </c>
      <c r="E3433" s="18" t="n">
        <v>3</v>
      </c>
      <c r="F3433" s="18" t="s">
        <v>14243</v>
      </c>
      <c r="G3433" s="18" t="s">
        <v>145</v>
      </c>
      <c r="H3433" s="18" t="s">
        <v>129</v>
      </c>
      <c r="I3433" s="18" t="s">
        <v>146</v>
      </c>
      <c r="J3433" s="18"/>
      <c r="K3433" s="18"/>
      <c r="L3433" s="18" t="s">
        <v>129</v>
      </c>
      <c r="M3433" s="18" t="s">
        <v>129</v>
      </c>
      <c r="N3433" s="18"/>
      <c r="O3433" s="18" t="s">
        <v>14244</v>
      </c>
      <c r="P3433" s="18" t="s">
        <v>14245</v>
      </c>
      <c r="Q3433" s="18" t="s">
        <v>149</v>
      </c>
      <c r="R3433" s="18" t="s">
        <v>14246</v>
      </c>
      <c r="S3433" s="18" t="s">
        <v>133</v>
      </c>
      <c r="T3433" s="18" t="s">
        <v>13580</v>
      </c>
      <c r="U3433" s="18"/>
      <c r="V3433" s="19" t="s">
        <v>29</v>
      </c>
      <c r="W3433" s="19"/>
      <c r="X3433" s="19"/>
      <c r="Y3433" s="20"/>
      <c r="Z3433" s="19"/>
      <c r="AA3433" s="18" t="str">
        <f aca="false">IF(OR(V3433="Aprobada"),R3433,IF(AND(OR(V3433="Aprobada con ajuste",V3433="Rechazada"),W3433&lt;&gt;""),W3433,""))</f>
        <v/>
      </c>
    </row>
    <row r="3434" customFormat="false" ht="32.8" hidden="false" customHeight="false" outlineLevel="0" collapsed="false">
      <c r="A3434" s="18" t="s">
        <v>14247</v>
      </c>
      <c r="B3434" s="18" t="s">
        <v>82</v>
      </c>
      <c r="C3434" s="18" t="s">
        <v>83</v>
      </c>
      <c r="D3434" s="18" t="s">
        <v>14242</v>
      </c>
      <c r="E3434" s="18" t="n">
        <v>3</v>
      </c>
      <c r="F3434" s="18" t="s">
        <v>14190</v>
      </c>
      <c r="G3434" s="18" t="s">
        <v>128</v>
      </c>
      <c r="H3434" s="18" t="s">
        <v>129</v>
      </c>
      <c r="I3434" s="18"/>
      <c r="J3434" s="18"/>
      <c r="K3434" s="18"/>
      <c r="L3434" s="18" t="s">
        <v>129</v>
      </c>
      <c r="M3434" s="18" t="s">
        <v>129</v>
      </c>
      <c r="N3434" s="18"/>
      <c r="O3434" s="18"/>
      <c r="P3434" s="18" t="s">
        <v>14248</v>
      </c>
      <c r="Q3434" s="18" t="s">
        <v>149</v>
      </c>
      <c r="R3434" s="18" t="s">
        <v>14249</v>
      </c>
      <c r="S3434" s="18" t="s">
        <v>133</v>
      </c>
      <c r="T3434" s="18" t="s">
        <v>275</v>
      </c>
      <c r="U3434" s="18"/>
      <c r="V3434" s="19" t="s">
        <v>29</v>
      </c>
      <c r="W3434" s="19"/>
      <c r="X3434" s="19"/>
      <c r="Y3434" s="20"/>
      <c r="Z3434" s="19"/>
      <c r="AA3434" s="18" t="str">
        <f aca="false">IF(OR(V3434="Aprobada"),R3434,IF(AND(OR(V3434="Aprobada con ajuste",V3434="Rechazada"),W3434&lt;&gt;""),W3434,""))</f>
        <v/>
      </c>
    </row>
    <row r="3435" customFormat="false" ht="43.25" hidden="false" customHeight="false" outlineLevel="0" collapsed="false">
      <c r="A3435" s="18" t="s">
        <v>14250</v>
      </c>
      <c r="B3435" s="18" t="s">
        <v>82</v>
      </c>
      <c r="C3435" s="18" t="s">
        <v>83</v>
      </c>
      <c r="D3435" s="18" t="s">
        <v>14242</v>
      </c>
      <c r="E3435" s="18" t="n">
        <v>3</v>
      </c>
      <c r="F3435" s="18" t="s">
        <v>14251</v>
      </c>
      <c r="G3435" s="18" t="s">
        <v>128</v>
      </c>
      <c r="H3435" s="18" t="s">
        <v>129</v>
      </c>
      <c r="I3435" s="18"/>
      <c r="J3435" s="18"/>
      <c r="K3435" s="18"/>
      <c r="L3435" s="18" t="s">
        <v>129</v>
      </c>
      <c r="M3435" s="18" t="s">
        <v>129</v>
      </c>
      <c r="N3435" s="18"/>
      <c r="O3435" s="18"/>
      <c r="P3435" s="18" t="s">
        <v>14252</v>
      </c>
      <c r="Q3435" s="18" t="s">
        <v>149</v>
      </c>
      <c r="R3435" s="18" t="s">
        <v>14253</v>
      </c>
      <c r="S3435" s="18" t="s">
        <v>133</v>
      </c>
      <c r="T3435" s="18" t="s">
        <v>275</v>
      </c>
      <c r="U3435" s="18"/>
      <c r="V3435" s="19" t="s">
        <v>29</v>
      </c>
      <c r="W3435" s="19"/>
      <c r="X3435" s="19"/>
      <c r="Y3435" s="20"/>
      <c r="Z3435" s="19"/>
      <c r="AA3435" s="18" t="str">
        <f aca="false">IF(OR(V3435="Aprobada"),R3435,IF(AND(OR(V3435="Aprobada con ajuste",V3435="Rechazada"),W3435&lt;&gt;""),W3435,""))</f>
        <v/>
      </c>
    </row>
    <row r="3436" customFormat="false" ht="32.8" hidden="false" customHeight="false" outlineLevel="0" collapsed="false">
      <c r="A3436" s="18" t="s">
        <v>14254</v>
      </c>
      <c r="B3436" s="18" t="s">
        <v>82</v>
      </c>
      <c r="C3436" s="18" t="s">
        <v>83</v>
      </c>
      <c r="D3436" s="18" t="s">
        <v>14242</v>
      </c>
      <c r="E3436" s="18" t="n">
        <v>3</v>
      </c>
      <c r="F3436" s="18" t="s">
        <v>2414</v>
      </c>
      <c r="G3436" s="18" t="s">
        <v>317</v>
      </c>
      <c r="H3436" s="18" t="s">
        <v>129</v>
      </c>
      <c r="I3436" s="18"/>
      <c r="J3436" s="18"/>
      <c r="K3436" s="18"/>
      <c r="L3436" s="18" t="s">
        <v>129</v>
      </c>
      <c r="M3436" s="18" t="s">
        <v>129</v>
      </c>
      <c r="N3436" s="18"/>
      <c r="O3436" s="18" t="s">
        <v>14255</v>
      </c>
      <c r="P3436" s="18" t="s">
        <v>14256</v>
      </c>
      <c r="Q3436" s="18" t="s">
        <v>138</v>
      </c>
      <c r="R3436" s="18" t="s">
        <v>2416</v>
      </c>
      <c r="S3436" s="18" t="s">
        <v>140</v>
      </c>
      <c r="T3436" s="18" t="s">
        <v>141</v>
      </c>
      <c r="U3436" s="18"/>
      <c r="V3436" s="19" t="s">
        <v>29</v>
      </c>
      <c r="W3436" s="19"/>
      <c r="X3436" s="19"/>
      <c r="Y3436" s="20"/>
      <c r="Z3436" s="19"/>
      <c r="AA3436" s="18" t="str">
        <f aca="false">IF(OR(V3436="Aprobada"),R3436,IF(AND(OR(V3436="Aprobada con ajuste",V3436="Rechazada"),W3436&lt;&gt;""),W3436,""))</f>
        <v/>
      </c>
    </row>
    <row r="3437" customFormat="false" ht="32.8" hidden="false" customHeight="false" outlineLevel="0" collapsed="false">
      <c r="A3437" s="18" t="s">
        <v>14257</v>
      </c>
      <c r="B3437" s="18" t="s">
        <v>82</v>
      </c>
      <c r="C3437" s="18" t="s">
        <v>83</v>
      </c>
      <c r="D3437" s="18" t="s">
        <v>14242</v>
      </c>
      <c r="E3437" s="18" t="n">
        <v>3</v>
      </c>
      <c r="F3437" s="18" t="s">
        <v>2418</v>
      </c>
      <c r="G3437" s="18" t="s">
        <v>317</v>
      </c>
      <c r="H3437" s="18" t="s">
        <v>129</v>
      </c>
      <c r="I3437" s="18"/>
      <c r="J3437" s="18"/>
      <c r="K3437" s="18"/>
      <c r="L3437" s="18" t="s">
        <v>129</v>
      </c>
      <c r="M3437" s="18" t="s">
        <v>129</v>
      </c>
      <c r="N3437" s="18"/>
      <c r="O3437" s="18" t="s">
        <v>14255</v>
      </c>
      <c r="P3437" s="18" t="s">
        <v>14258</v>
      </c>
      <c r="Q3437" s="18" t="s">
        <v>138</v>
      </c>
      <c r="R3437" s="18" t="s">
        <v>2420</v>
      </c>
      <c r="S3437" s="18" t="s">
        <v>140</v>
      </c>
      <c r="T3437" s="18" t="s">
        <v>141</v>
      </c>
      <c r="U3437" s="18"/>
      <c r="V3437" s="19" t="s">
        <v>29</v>
      </c>
      <c r="W3437" s="19"/>
      <c r="X3437" s="19"/>
      <c r="Y3437" s="20"/>
      <c r="Z3437" s="19"/>
      <c r="AA3437" s="18" t="str">
        <f aca="false">IF(OR(V3437="Aprobada"),R3437,IF(AND(OR(V3437="Aprobada con ajuste",V3437="Rechazada"),W3437&lt;&gt;""),W3437,""))</f>
        <v/>
      </c>
    </row>
    <row r="3438" customFormat="false" ht="32.8" hidden="false" customHeight="false" outlineLevel="0" collapsed="false">
      <c r="A3438" s="18" t="s">
        <v>14259</v>
      </c>
      <c r="B3438" s="18" t="s">
        <v>82</v>
      </c>
      <c r="C3438" s="18" t="s">
        <v>83</v>
      </c>
      <c r="D3438" s="18" t="s">
        <v>14242</v>
      </c>
      <c r="E3438" s="18" t="n">
        <v>3</v>
      </c>
      <c r="F3438" s="18" t="s">
        <v>14260</v>
      </c>
      <c r="G3438" s="18" t="s">
        <v>128</v>
      </c>
      <c r="H3438" s="18" t="s">
        <v>129</v>
      </c>
      <c r="I3438" s="18"/>
      <c r="J3438" s="18"/>
      <c r="K3438" s="18"/>
      <c r="L3438" s="18" t="s">
        <v>129</v>
      </c>
      <c r="M3438" s="18" t="s">
        <v>129</v>
      </c>
      <c r="N3438" s="18"/>
      <c r="O3438" s="18"/>
      <c r="P3438" s="18" t="s">
        <v>14261</v>
      </c>
      <c r="Q3438" s="18" t="s">
        <v>149</v>
      </c>
      <c r="R3438" s="18" t="s">
        <v>14262</v>
      </c>
      <c r="S3438" s="18" t="s">
        <v>133</v>
      </c>
      <c r="T3438" s="18" t="s">
        <v>275</v>
      </c>
      <c r="U3438" s="18"/>
      <c r="V3438" s="19" t="s">
        <v>29</v>
      </c>
      <c r="W3438" s="19"/>
      <c r="X3438" s="19"/>
      <c r="Y3438" s="20"/>
      <c r="Z3438" s="19"/>
      <c r="AA3438" s="18" t="str">
        <f aca="false">IF(OR(V3438="Aprobada"),R3438,IF(AND(OR(V3438="Aprobada con ajuste",V3438="Rechazada"),W3438&lt;&gt;""),W3438,""))</f>
        <v/>
      </c>
    </row>
    <row r="3439" customFormat="false" ht="32.8" hidden="false" customHeight="false" outlineLevel="0" collapsed="false">
      <c r="A3439" s="18" t="s">
        <v>14263</v>
      </c>
      <c r="B3439" s="18" t="s">
        <v>82</v>
      </c>
      <c r="C3439" s="18" t="s">
        <v>83</v>
      </c>
      <c r="D3439" s="18" t="s">
        <v>14242</v>
      </c>
      <c r="E3439" s="18" t="n">
        <v>3</v>
      </c>
      <c r="F3439" s="18" t="s">
        <v>4777</v>
      </c>
      <c r="G3439" s="18" t="s">
        <v>828</v>
      </c>
      <c r="H3439" s="18" t="s">
        <v>129</v>
      </c>
      <c r="I3439" s="18" t="s">
        <v>298</v>
      </c>
      <c r="J3439" s="18" t="s">
        <v>6425</v>
      </c>
      <c r="K3439" s="18"/>
      <c r="L3439" s="18" t="s">
        <v>162</v>
      </c>
      <c r="M3439" s="18" t="s">
        <v>129</v>
      </c>
      <c r="N3439" s="18"/>
      <c r="O3439" s="18"/>
      <c r="P3439" s="18" t="s">
        <v>14264</v>
      </c>
      <c r="Q3439" s="18" t="s">
        <v>149</v>
      </c>
      <c r="R3439" s="18" t="s">
        <v>14265</v>
      </c>
      <c r="S3439" s="18" t="s">
        <v>133</v>
      </c>
      <c r="T3439" s="18" t="s">
        <v>13606</v>
      </c>
      <c r="U3439" s="18"/>
      <c r="V3439" s="19" t="s">
        <v>29</v>
      </c>
      <c r="W3439" s="19"/>
      <c r="X3439" s="19"/>
      <c r="Y3439" s="20"/>
      <c r="Z3439" s="19"/>
      <c r="AA3439" s="18" t="str">
        <f aca="false">IF(OR(V3439="Aprobada"),R3439,IF(AND(OR(V3439="Aprobada con ajuste",V3439="Rechazada"),W3439&lt;&gt;""),W3439,""))</f>
        <v/>
      </c>
    </row>
    <row r="3440" customFormat="false" ht="64.15" hidden="false" customHeight="false" outlineLevel="0" collapsed="false">
      <c r="A3440" s="18" t="s">
        <v>14266</v>
      </c>
      <c r="B3440" s="18" t="s">
        <v>82</v>
      </c>
      <c r="C3440" s="18" t="s">
        <v>83</v>
      </c>
      <c r="D3440" s="18" t="s">
        <v>14242</v>
      </c>
      <c r="E3440" s="18" t="n">
        <v>3</v>
      </c>
      <c r="F3440" s="18" t="s">
        <v>14267</v>
      </c>
      <c r="G3440" s="18" t="s">
        <v>128</v>
      </c>
      <c r="H3440" s="18" t="s">
        <v>129</v>
      </c>
      <c r="I3440" s="18"/>
      <c r="J3440" s="18"/>
      <c r="K3440" s="18"/>
      <c r="L3440" s="18" t="s">
        <v>129</v>
      </c>
      <c r="M3440" s="18" t="s">
        <v>129</v>
      </c>
      <c r="N3440" s="18"/>
      <c r="O3440" s="18"/>
      <c r="P3440" s="18" t="s">
        <v>14268</v>
      </c>
      <c r="Q3440" s="18" t="s">
        <v>149</v>
      </c>
      <c r="R3440" s="18" t="s">
        <v>14269</v>
      </c>
      <c r="S3440" s="18" t="s">
        <v>133</v>
      </c>
      <c r="T3440" s="18" t="s">
        <v>275</v>
      </c>
      <c r="U3440" s="18"/>
      <c r="V3440" s="19" t="s">
        <v>29</v>
      </c>
      <c r="W3440" s="19"/>
      <c r="X3440" s="19"/>
      <c r="Y3440" s="20"/>
      <c r="Z3440" s="19"/>
      <c r="AA3440" s="18" t="str">
        <f aca="false">IF(OR(V3440="Aprobada"),R3440,IF(AND(OR(V3440="Aprobada con ajuste",V3440="Rechazada"),W3440&lt;&gt;""),W3440,""))</f>
        <v/>
      </c>
    </row>
    <row r="3441" customFormat="false" ht="32.8" hidden="false" customHeight="false" outlineLevel="0" collapsed="false">
      <c r="A3441" s="18" t="s">
        <v>14270</v>
      </c>
      <c r="B3441" s="18" t="s">
        <v>82</v>
      </c>
      <c r="C3441" s="18" t="s">
        <v>83</v>
      </c>
      <c r="D3441" s="18" t="s">
        <v>14242</v>
      </c>
      <c r="E3441" s="18" t="n">
        <v>3</v>
      </c>
      <c r="F3441" s="18" t="s">
        <v>14271</v>
      </c>
      <c r="G3441" s="18" t="s">
        <v>173</v>
      </c>
      <c r="H3441" s="18" t="s">
        <v>129</v>
      </c>
      <c r="I3441" s="18"/>
      <c r="J3441" s="18"/>
      <c r="K3441" s="18"/>
      <c r="L3441" s="18" t="s">
        <v>129</v>
      </c>
      <c r="M3441" s="18" t="s">
        <v>129</v>
      </c>
      <c r="N3441" s="18"/>
      <c r="O3441" s="18"/>
      <c r="P3441" s="18" t="s">
        <v>14272</v>
      </c>
      <c r="Q3441" s="18" t="s">
        <v>138</v>
      </c>
      <c r="R3441" s="18" t="s">
        <v>14273</v>
      </c>
      <c r="S3441" s="18" t="s">
        <v>140</v>
      </c>
      <c r="T3441" s="18" t="s">
        <v>141</v>
      </c>
      <c r="U3441" s="18"/>
      <c r="V3441" s="19" t="s">
        <v>29</v>
      </c>
      <c r="W3441" s="19"/>
      <c r="X3441" s="19"/>
      <c r="Y3441" s="20"/>
      <c r="Z3441" s="19"/>
      <c r="AA3441" s="18" t="str">
        <f aca="false">IF(OR(V3441="Aprobada"),R3441,IF(AND(OR(V3441="Aprobada con ajuste",V3441="Rechazada"),W3441&lt;&gt;""),W3441,""))</f>
        <v/>
      </c>
    </row>
    <row r="3442" customFormat="false" ht="43.25" hidden="false" customHeight="false" outlineLevel="0" collapsed="false">
      <c r="A3442" s="18" t="s">
        <v>14274</v>
      </c>
      <c r="B3442" s="18" t="s">
        <v>82</v>
      </c>
      <c r="C3442" s="18" t="s">
        <v>83</v>
      </c>
      <c r="D3442" s="18" t="s">
        <v>14242</v>
      </c>
      <c r="E3442" s="18" t="n">
        <v>3</v>
      </c>
      <c r="F3442" s="18" t="s">
        <v>14275</v>
      </c>
      <c r="G3442" s="18" t="s">
        <v>145</v>
      </c>
      <c r="H3442" s="18" t="s">
        <v>129</v>
      </c>
      <c r="I3442" s="18"/>
      <c r="J3442" s="18"/>
      <c r="K3442" s="18"/>
      <c r="L3442" s="18" t="s">
        <v>129</v>
      </c>
      <c r="M3442" s="18" t="s">
        <v>129</v>
      </c>
      <c r="N3442" s="18"/>
      <c r="O3442" s="18" t="s">
        <v>14276</v>
      </c>
      <c r="P3442" s="18" t="s">
        <v>14277</v>
      </c>
      <c r="Q3442" s="18" t="s">
        <v>149</v>
      </c>
      <c r="R3442" s="18" t="s">
        <v>14278</v>
      </c>
      <c r="S3442" s="18" t="s">
        <v>140</v>
      </c>
      <c r="T3442" s="18" t="s">
        <v>14279</v>
      </c>
      <c r="U3442" s="18" t="s">
        <v>14280</v>
      </c>
      <c r="V3442" s="19" t="s">
        <v>29</v>
      </c>
      <c r="W3442" s="19"/>
      <c r="X3442" s="19"/>
      <c r="Y3442" s="20"/>
      <c r="Z3442" s="19"/>
      <c r="AA3442" s="18" t="str">
        <f aca="false">IF(OR(V3442="Aprobada"),R3442,IF(AND(OR(V3442="Aprobada con ajuste",V3442="Rechazada"),W3442&lt;&gt;""),W3442,""))</f>
        <v/>
      </c>
    </row>
    <row r="3443" customFormat="false" ht="32.8" hidden="false" customHeight="false" outlineLevel="0" collapsed="false">
      <c r="A3443" s="18" t="s">
        <v>14281</v>
      </c>
      <c r="B3443" s="18" t="s">
        <v>82</v>
      </c>
      <c r="C3443" s="18" t="s">
        <v>83</v>
      </c>
      <c r="D3443" s="18" t="s">
        <v>14242</v>
      </c>
      <c r="E3443" s="18" t="n">
        <v>3</v>
      </c>
      <c r="F3443" s="18" t="s">
        <v>14282</v>
      </c>
      <c r="G3443" s="18" t="s">
        <v>173</v>
      </c>
      <c r="H3443" s="18" t="s">
        <v>129</v>
      </c>
      <c r="I3443" s="18"/>
      <c r="J3443" s="18"/>
      <c r="K3443" s="18"/>
      <c r="L3443" s="18" t="s">
        <v>129</v>
      </c>
      <c r="M3443" s="18" t="s">
        <v>129</v>
      </c>
      <c r="N3443" s="18"/>
      <c r="O3443" s="18"/>
      <c r="P3443" s="18" t="s">
        <v>14283</v>
      </c>
      <c r="Q3443" s="18" t="s">
        <v>138</v>
      </c>
      <c r="R3443" s="18" t="s">
        <v>14284</v>
      </c>
      <c r="S3443" s="18" t="s">
        <v>140</v>
      </c>
      <c r="T3443" s="18" t="s">
        <v>141</v>
      </c>
      <c r="U3443" s="18"/>
      <c r="V3443" s="19" t="s">
        <v>29</v>
      </c>
      <c r="W3443" s="19"/>
      <c r="X3443" s="19"/>
      <c r="Y3443" s="20"/>
      <c r="Z3443" s="19"/>
      <c r="AA3443" s="18" t="str">
        <f aca="false">IF(OR(V3443="Aprobada"),R3443,IF(AND(OR(V3443="Aprobada con ajuste",V3443="Rechazada"),W3443&lt;&gt;""),W3443,""))</f>
        <v/>
      </c>
    </row>
    <row r="3444" customFormat="false" ht="32.8" hidden="false" customHeight="false" outlineLevel="0" collapsed="false">
      <c r="A3444" s="18" t="s">
        <v>14285</v>
      </c>
      <c r="B3444" s="18" t="s">
        <v>82</v>
      </c>
      <c r="C3444" s="18" t="s">
        <v>83</v>
      </c>
      <c r="D3444" s="18" t="s">
        <v>14242</v>
      </c>
      <c r="E3444" s="18" t="n">
        <v>3</v>
      </c>
      <c r="F3444" s="18" t="s">
        <v>14286</v>
      </c>
      <c r="G3444" s="18" t="s">
        <v>312</v>
      </c>
      <c r="H3444" s="18" t="s">
        <v>129</v>
      </c>
      <c r="I3444" s="18"/>
      <c r="J3444" s="18"/>
      <c r="K3444" s="18"/>
      <c r="L3444" s="18" t="s">
        <v>129</v>
      </c>
      <c r="M3444" s="18" t="s">
        <v>129</v>
      </c>
      <c r="N3444" s="18"/>
      <c r="O3444" s="18"/>
      <c r="P3444" s="18" t="s">
        <v>14287</v>
      </c>
      <c r="Q3444" s="18" t="s">
        <v>149</v>
      </c>
      <c r="R3444" s="18" t="s">
        <v>14288</v>
      </c>
      <c r="S3444" s="18" t="s">
        <v>140</v>
      </c>
      <c r="T3444" s="18" t="s">
        <v>14116</v>
      </c>
      <c r="U3444" s="18" t="s">
        <v>13874</v>
      </c>
      <c r="V3444" s="19" t="s">
        <v>29</v>
      </c>
      <c r="W3444" s="19"/>
      <c r="X3444" s="19"/>
      <c r="Y3444" s="20"/>
      <c r="Z3444" s="19"/>
      <c r="AA3444" s="18" t="str">
        <f aca="false">IF(OR(V3444="Aprobada"),R3444,IF(AND(OR(V3444="Aprobada con ajuste",V3444="Rechazada"),W3444&lt;&gt;""),W3444,""))</f>
        <v/>
      </c>
    </row>
    <row r="3445" customFormat="false" ht="32.8" hidden="false" customHeight="false" outlineLevel="0" collapsed="false">
      <c r="A3445" s="18" t="s">
        <v>14289</v>
      </c>
      <c r="B3445" s="18" t="s">
        <v>82</v>
      </c>
      <c r="C3445" s="18" t="s">
        <v>83</v>
      </c>
      <c r="D3445" s="18" t="s">
        <v>14242</v>
      </c>
      <c r="E3445" s="18" t="n">
        <v>3</v>
      </c>
      <c r="F3445" s="18" t="s">
        <v>14290</v>
      </c>
      <c r="G3445" s="18" t="s">
        <v>3994</v>
      </c>
      <c r="H3445" s="18" t="s">
        <v>129</v>
      </c>
      <c r="I3445" s="18"/>
      <c r="J3445" s="18"/>
      <c r="K3445" s="18"/>
      <c r="L3445" s="18" t="s">
        <v>129</v>
      </c>
      <c r="M3445" s="18" t="s">
        <v>129</v>
      </c>
      <c r="N3445" s="18"/>
      <c r="O3445" s="18"/>
      <c r="P3445" s="18" t="s">
        <v>14291</v>
      </c>
      <c r="Q3445" s="18" t="s">
        <v>149</v>
      </c>
      <c r="R3445" s="18" t="s">
        <v>14292</v>
      </c>
      <c r="S3445" s="18" t="s">
        <v>140</v>
      </c>
      <c r="T3445" s="18" t="s">
        <v>14293</v>
      </c>
      <c r="U3445" s="18" t="s">
        <v>14294</v>
      </c>
      <c r="V3445" s="19" t="s">
        <v>29</v>
      </c>
      <c r="W3445" s="19"/>
      <c r="X3445" s="19"/>
      <c r="Y3445" s="20"/>
      <c r="Z3445" s="19"/>
      <c r="AA3445" s="18" t="str">
        <f aca="false">IF(OR(V3445="Aprobada"),R3445,IF(AND(OR(V3445="Aprobada con ajuste",V3445="Rechazada"),W3445&lt;&gt;""),W3445,""))</f>
        <v/>
      </c>
    </row>
    <row r="3446" customFormat="false" ht="32.8" hidden="false" customHeight="false" outlineLevel="0" collapsed="false">
      <c r="A3446" s="18" t="s">
        <v>14295</v>
      </c>
      <c r="B3446" s="18" t="s">
        <v>82</v>
      </c>
      <c r="C3446" s="18" t="s">
        <v>83</v>
      </c>
      <c r="D3446" s="18" t="s">
        <v>14242</v>
      </c>
      <c r="E3446" s="18" t="n">
        <v>3</v>
      </c>
      <c r="F3446" s="18" t="s">
        <v>14296</v>
      </c>
      <c r="G3446" s="18" t="s">
        <v>3994</v>
      </c>
      <c r="H3446" s="18" t="s">
        <v>129</v>
      </c>
      <c r="I3446" s="18"/>
      <c r="J3446" s="18"/>
      <c r="K3446" s="18"/>
      <c r="L3446" s="18" t="s">
        <v>129</v>
      </c>
      <c r="M3446" s="18" t="s">
        <v>129</v>
      </c>
      <c r="N3446" s="18"/>
      <c r="O3446" s="18"/>
      <c r="P3446" s="18" t="s">
        <v>14297</v>
      </c>
      <c r="Q3446" s="18" t="s">
        <v>149</v>
      </c>
      <c r="R3446" s="18" t="s">
        <v>14298</v>
      </c>
      <c r="S3446" s="18" t="s">
        <v>140</v>
      </c>
      <c r="T3446" s="18" t="s">
        <v>14299</v>
      </c>
      <c r="U3446" s="18" t="s">
        <v>14300</v>
      </c>
      <c r="V3446" s="19" t="s">
        <v>29</v>
      </c>
      <c r="W3446" s="19"/>
      <c r="X3446" s="19"/>
      <c r="Y3446" s="20"/>
      <c r="Z3446" s="19"/>
      <c r="AA3446" s="18" t="str">
        <f aca="false">IF(OR(V3446="Aprobada"),R3446,IF(AND(OR(V3446="Aprobada con ajuste",V3446="Rechazada"),W3446&lt;&gt;""),W3446,""))</f>
        <v/>
      </c>
    </row>
    <row r="3447" customFormat="false" ht="22.35" hidden="false" customHeight="false" outlineLevel="0" collapsed="false">
      <c r="A3447" s="18" t="s">
        <v>14301</v>
      </c>
      <c r="B3447" s="18" t="s">
        <v>82</v>
      </c>
      <c r="C3447" s="18" t="s">
        <v>83</v>
      </c>
      <c r="D3447" s="18" t="s">
        <v>14242</v>
      </c>
      <c r="E3447" s="18" t="n">
        <v>3</v>
      </c>
      <c r="F3447" s="18" t="s">
        <v>13368</v>
      </c>
      <c r="G3447" s="18" t="s">
        <v>173</v>
      </c>
      <c r="H3447" s="18" t="s">
        <v>129</v>
      </c>
      <c r="I3447" s="18"/>
      <c r="J3447" s="18"/>
      <c r="K3447" s="18"/>
      <c r="L3447" s="18" t="s">
        <v>129</v>
      </c>
      <c r="M3447" s="18" t="s">
        <v>129</v>
      </c>
      <c r="N3447" s="18"/>
      <c r="O3447" s="18"/>
      <c r="P3447" s="18" t="s">
        <v>14302</v>
      </c>
      <c r="Q3447" s="18" t="s">
        <v>138</v>
      </c>
      <c r="R3447" s="18" t="s">
        <v>14303</v>
      </c>
      <c r="S3447" s="18" t="s">
        <v>140</v>
      </c>
      <c r="T3447" s="18" t="s">
        <v>141</v>
      </c>
      <c r="U3447" s="18"/>
      <c r="V3447" s="19" t="s">
        <v>29</v>
      </c>
      <c r="W3447" s="19"/>
      <c r="X3447" s="19"/>
      <c r="Y3447" s="20"/>
      <c r="Z3447" s="19"/>
      <c r="AA3447" s="18" t="str">
        <f aca="false">IF(OR(V3447="Aprobada"),R3447,IF(AND(OR(V3447="Aprobada con ajuste",V3447="Rechazada"),W3447&lt;&gt;""),W3447,""))</f>
        <v/>
      </c>
    </row>
    <row r="3448" customFormat="false" ht="53.7" hidden="false" customHeight="false" outlineLevel="0" collapsed="false">
      <c r="A3448" s="18" t="s">
        <v>14304</v>
      </c>
      <c r="B3448" s="18" t="s">
        <v>82</v>
      </c>
      <c r="C3448" s="18" t="s">
        <v>83</v>
      </c>
      <c r="D3448" s="18" t="s">
        <v>14242</v>
      </c>
      <c r="E3448" s="18" t="n">
        <v>3</v>
      </c>
      <c r="F3448" s="18" t="s">
        <v>14305</v>
      </c>
      <c r="G3448" s="18" t="s">
        <v>145</v>
      </c>
      <c r="H3448" s="18" t="s">
        <v>162</v>
      </c>
      <c r="I3448" s="18"/>
      <c r="J3448" s="18"/>
      <c r="K3448" s="18"/>
      <c r="L3448" s="18" t="s">
        <v>129</v>
      </c>
      <c r="M3448" s="18" t="s">
        <v>129</v>
      </c>
      <c r="N3448" s="18"/>
      <c r="O3448" s="18"/>
      <c r="P3448" s="18" t="s">
        <v>14306</v>
      </c>
      <c r="Q3448" s="18" t="s">
        <v>149</v>
      </c>
      <c r="R3448" s="18" t="s">
        <v>14307</v>
      </c>
      <c r="S3448" s="18" t="s">
        <v>242</v>
      </c>
      <c r="T3448" s="18" t="s">
        <v>14308</v>
      </c>
      <c r="U3448" s="18" t="s">
        <v>14309</v>
      </c>
      <c r="V3448" s="19" t="s">
        <v>29</v>
      </c>
      <c r="W3448" s="19"/>
      <c r="X3448" s="19"/>
      <c r="Y3448" s="20"/>
      <c r="Z3448" s="19"/>
      <c r="AA3448" s="18" t="str">
        <f aca="false">IF(OR(V3448="Aprobada"),R3448,IF(AND(OR(V3448="Aprobada con ajuste",V3448="Rechazada"),W3448&lt;&gt;""),W3448,""))</f>
        <v/>
      </c>
    </row>
    <row r="3449" customFormat="false" ht="32.8" hidden="false" customHeight="false" outlineLevel="0" collapsed="false">
      <c r="A3449" s="18" t="s">
        <v>14310</v>
      </c>
      <c r="B3449" s="18" t="s">
        <v>82</v>
      </c>
      <c r="C3449" s="18" t="s">
        <v>83</v>
      </c>
      <c r="D3449" s="18" t="s">
        <v>14242</v>
      </c>
      <c r="E3449" s="18" t="n">
        <v>3</v>
      </c>
      <c r="F3449" s="18" t="s">
        <v>14311</v>
      </c>
      <c r="G3449" s="18" t="s">
        <v>173</v>
      </c>
      <c r="H3449" s="18" t="s">
        <v>129</v>
      </c>
      <c r="I3449" s="18"/>
      <c r="J3449" s="18"/>
      <c r="K3449" s="18"/>
      <c r="L3449" s="18" t="s">
        <v>129</v>
      </c>
      <c r="M3449" s="18" t="s">
        <v>129</v>
      </c>
      <c r="N3449" s="18"/>
      <c r="O3449" s="18"/>
      <c r="P3449" s="18" t="s">
        <v>14312</v>
      </c>
      <c r="Q3449" s="18" t="s">
        <v>138</v>
      </c>
      <c r="R3449" s="18" t="s">
        <v>14313</v>
      </c>
      <c r="S3449" s="18" t="s">
        <v>140</v>
      </c>
      <c r="T3449" s="18" t="s">
        <v>141</v>
      </c>
      <c r="U3449" s="18"/>
      <c r="V3449" s="19" t="s">
        <v>29</v>
      </c>
      <c r="W3449" s="19"/>
      <c r="X3449" s="19"/>
      <c r="Y3449" s="20"/>
      <c r="Z3449" s="19"/>
      <c r="AA3449" s="18" t="str">
        <f aca="false">IF(OR(V3449="Aprobada"),R3449,IF(AND(OR(V3449="Aprobada con ajuste",V3449="Rechazada"),W3449&lt;&gt;""),W3449,""))</f>
        <v/>
      </c>
    </row>
    <row r="3450" customFormat="false" ht="32.8" hidden="false" customHeight="false" outlineLevel="0" collapsed="false">
      <c r="A3450" s="18" t="s">
        <v>14314</v>
      </c>
      <c r="B3450" s="18" t="s">
        <v>82</v>
      </c>
      <c r="C3450" s="18" t="s">
        <v>83</v>
      </c>
      <c r="D3450" s="18" t="s">
        <v>14242</v>
      </c>
      <c r="E3450" s="18" t="n">
        <v>3</v>
      </c>
      <c r="F3450" s="18" t="s">
        <v>14315</v>
      </c>
      <c r="G3450" s="18" t="s">
        <v>294</v>
      </c>
      <c r="H3450" s="18" t="s">
        <v>162</v>
      </c>
      <c r="I3450" s="18"/>
      <c r="J3450" s="18"/>
      <c r="K3450" s="18"/>
      <c r="L3450" s="18" t="s">
        <v>129</v>
      </c>
      <c r="M3450" s="18" t="s">
        <v>129</v>
      </c>
      <c r="N3450" s="18"/>
      <c r="O3450" s="18" t="s">
        <v>14316</v>
      </c>
      <c r="P3450" s="18" t="s">
        <v>14317</v>
      </c>
      <c r="Q3450" s="18" t="s">
        <v>149</v>
      </c>
      <c r="R3450" s="18" t="s">
        <v>14318</v>
      </c>
      <c r="S3450" s="18" t="s">
        <v>140</v>
      </c>
      <c r="T3450" s="18" t="s">
        <v>14319</v>
      </c>
      <c r="U3450" s="18" t="s">
        <v>14320</v>
      </c>
      <c r="V3450" s="19" t="s">
        <v>29</v>
      </c>
      <c r="W3450" s="19"/>
      <c r="X3450" s="19"/>
      <c r="Y3450" s="20"/>
      <c r="Z3450" s="19"/>
      <c r="AA3450" s="18" t="str">
        <f aca="false">IF(OR(V3450="Aprobada"),R3450,IF(AND(OR(V3450="Aprobada con ajuste",V3450="Rechazada"),W3450&lt;&gt;""),W3450,""))</f>
        <v/>
      </c>
    </row>
    <row r="3451" customFormat="false" ht="43.25" hidden="false" customHeight="false" outlineLevel="0" collapsed="false">
      <c r="A3451" s="18" t="s">
        <v>14321</v>
      </c>
      <c r="B3451" s="18" t="s">
        <v>82</v>
      </c>
      <c r="C3451" s="18" t="s">
        <v>83</v>
      </c>
      <c r="D3451" s="18" t="s">
        <v>14242</v>
      </c>
      <c r="E3451" s="18" t="n">
        <v>3</v>
      </c>
      <c r="F3451" s="18" t="s">
        <v>14322</v>
      </c>
      <c r="G3451" s="18" t="s">
        <v>173</v>
      </c>
      <c r="H3451" s="18" t="s">
        <v>129</v>
      </c>
      <c r="I3451" s="18"/>
      <c r="J3451" s="18"/>
      <c r="K3451" s="18"/>
      <c r="L3451" s="18" t="s">
        <v>129</v>
      </c>
      <c r="M3451" s="18" t="s">
        <v>129</v>
      </c>
      <c r="N3451" s="18"/>
      <c r="O3451" s="18" t="s">
        <v>14323</v>
      </c>
      <c r="P3451" s="18" t="s">
        <v>14324</v>
      </c>
      <c r="Q3451" s="18" t="s">
        <v>131</v>
      </c>
      <c r="R3451" s="18" t="s">
        <v>14325</v>
      </c>
      <c r="S3451" s="18" t="s">
        <v>140</v>
      </c>
      <c r="T3451" s="18" t="s">
        <v>14326</v>
      </c>
      <c r="U3451" s="18" t="s">
        <v>14327</v>
      </c>
      <c r="V3451" s="19" t="s">
        <v>29</v>
      </c>
      <c r="W3451" s="19"/>
      <c r="X3451" s="19"/>
      <c r="Y3451" s="20"/>
      <c r="Z3451" s="19"/>
      <c r="AA3451" s="18" t="str">
        <f aca="false">IF(OR(V3451="Aprobada"),R3451,IF(AND(OR(V3451="Aprobada con ajuste",V3451="Rechazada"),W3451&lt;&gt;""),W3451,""))</f>
        <v/>
      </c>
    </row>
    <row r="3452" customFormat="false" ht="32.8" hidden="false" customHeight="false" outlineLevel="0" collapsed="false">
      <c r="A3452" s="18" t="s">
        <v>14328</v>
      </c>
      <c r="B3452" s="18" t="s">
        <v>82</v>
      </c>
      <c r="C3452" s="18" t="s">
        <v>83</v>
      </c>
      <c r="D3452" s="18" t="s">
        <v>14242</v>
      </c>
      <c r="E3452" s="18" t="n">
        <v>3</v>
      </c>
      <c r="F3452" s="18" t="s">
        <v>14329</v>
      </c>
      <c r="G3452" s="18" t="s">
        <v>584</v>
      </c>
      <c r="H3452" s="18" t="s">
        <v>162</v>
      </c>
      <c r="I3452" s="18"/>
      <c r="J3452" s="18"/>
      <c r="K3452" s="18"/>
      <c r="L3452" s="18" t="s">
        <v>129</v>
      </c>
      <c r="M3452" s="18" t="s">
        <v>129</v>
      </c>
      <c r="N3452" s="18"/>
      <c r="O3452" s="18"/>
      <c r="P3452" s="18" t="s">
        <v>14330</v>
      </c>
      <c r="Q3452" s="18" t="s">
        <v>138</v>
      </c>
      <c r="R3452" s="18" t="s">
        <v>14331</v>
      </c>
      <c r="S3452" s="18" t="s">
        <v>140</v>
      </c>
      <c r="T3452" s="18" t="s">
        <v>141</v>
      </c>
      <c r="U3452" s="18"/>
      <c r="V3452" s="19" t="s">
        <v>29</v>
      </c>
      <c r="W3452" s="19"/>
      <c r="X3452" s="19"/>
      <c r="Y3452" s="20"/>
      <c r="Z3452" s="19"/>
      <c r="AA3452" s="18" t="str">
        <f aca="false">IF(OR(V3452="Aprobada"),R3452,IF(AND(OR(V3452="Aprobada con ajuste",V3452="Rechazada"),W3452&lt;&gt;""),W3452,""))</f>
        <v/>
      </c>
    </row>
    <row r="3453" customFormat="false" ht="32.8" hidden="false" customHeight="false" outlineLevel="0" collapsed="false">
      <c r="A3453" s="18" t="s">
        <v>14332</v>
      </c>
      <c r="B3453" s="18" t="s">
        <v>82</v>
      </c>
      <c r="C3453" s="18" t="s">
        <v>83</v>
      </c>
      <c r="D3453" s="18" t="s">
        <v>14242</v>
      </c>
      <c r="E3453" s="18" t="n">
        <v>3</v>
      </c>
      <c r="F3453" s="18" t="s">
        <v>14333</v>
      </c>
      <c r="G3453" s="18" t="s">
        <v>128</v>
      </c>
      <c r="H3453" s="18" t="s">
        <v>162</v>
      </c>
      <c r="I3453" s="18"/>
      <c r="J3453" s="18"/>
      <c r="K3453" s="18"/>
      <c r="L3453" s="18" t="s">
        <v>129</v>
      </c>
      <c r="M3453" s="18" t="s">
        <v>129</v>
      </c>
      <c r="N3453" s="18"/>
      <c r="O3453" s="18"/>
      <c r="P3453" s="18" t="s">
        <v>14334</v>
      </c>
      <c r="Q3453" s="18" t="s">
        <v>149</v>
      </c>
      <c r="R3453" s="18" t="s">
        <v>14335</v>
      </c>
      <c r="S3453" s="18" t="s">
        <v>133</v>
      </c>
      <c r="T3453" s="18" t="s">
        <v>14336</v>
      </c>
      <c r="U3453" s="18"/>
      <c r="V3453" s="19" t="s">
        <v>29</v>
      </c>
      <c r="W3453" s="19"/>
      <c r="X3453" s="19"/>
      <c r="Y3453" s="20"/>
      <c r="Z3453" s="19"/>
      <c r="AA3453" s="18" t="str">
        <f aca="false">IF(OR(V3453="Aprobada"),R3453,IF(AND(OR(V3453="Aprobada con ajuste",V3453="Rechazada"),W3453&lt;&gt;""),W3453,""))</f>
        <v/>
      </c>
    </row>
    <row r="3454" customFormat="false" ht="64.15" hidden="false" customHeight="false" outlineLevel="0" collapsed="false">
      <c r="A3454" s="18" t="s">
        <v>14337</v>
      </c>
      <c r="B3454" s="18" t="s">
        <v>82</v>
      </c>
      <c r="C3454" s="18" t="s">
        <v>83</v>
      </c>
      <c r="D3454" s="18" t="s">
        <v>14242</v>
      </c>
      <c r="E3454" s="18" t="n">
        <v>3</v>
      </c>
      <c r="F3454" s="18" t="s">
        <v>14338</v>
      </c>
      <c r="G3454" s="18" t="s">
        <v>145</v>
      </c>
      <c r="H3454" s="18" t="s">
        <v>162</v>
      </c>
      <c r="I3454" s="18"/>
      <c r="J3454" s="18"/>
      <c r="K3454" s="18"/>
      <c r="L3454" s="18" t="s">
        <v>129</v>
      </c>
      <c r="M3454" s="18" t="s">
        <v>129</v>
      </c>
      <c r="N3454" s="18"/>
      <c r="O3454" s="18" t="s">
        <v>14339</v>
      </c>
      <c r="P3454" s="18" t="s">
        <v>14340</v>
      </c>
      <c r="Q3454" s="18" t="s">
        <v>149</v>
      </c>
      <c r="R3454" s="18" t="s">
        <v>14341</v>
      </c>
      <c r="S3454" s="18" t="s">
        <v>133</v>
      </c>
      <c r="T3454" s="18" t="s">
        <v>14342</v>
      </c>
      <c r="U3454" s="18"/>
      <c r="V3454" s="19" t="s">
        <v>29</v>
      </c>
      <c r="W3454" s="19"/>
      <c r="X3454" s="19"/>
      <c r="Y3454" s="20"/>
      <c r="Z3454" s="19"/>
      <c r="AA3454" s="18" t="str">
        <f aca="false">IF(OR(V3454="Aprobada"),R3454,IF(AND(OR(V3454="Aprobada con ajuste",V3454="Rechazada"),W3454&lt;&gt;""),W3454,""))</f>
        <v/>
      </c>
    </row>
    <row r="3455" customFormat="false" ht="64.15" hidden="false" customHeight="false" outlineLevel="0" collapsed="false">
      <c r="A3455" s="18" t="s">
        <v>14343</v>
      </c>
      <c r="B3455" s="18" t="s">
        <v>82</v>
      </c>
      <c r="C3455" s="18" t="s">
        <v>83</v>
      </c>
      <c r="D3455" s="18" t="s">
        <v>14242</v>
      </c>
      <c r="E3455" s="18" t="n">
        <v>3</v>
      </c>
      <c r="F3455" s="18" t="s">
        <v>14344</v>
      </c>
      <c r="G3455" s="18" t="s">
        <v>137</v>
      </c>
      <c r="H3455" s="18" t="s">
        <v>162</v>
      </c>
      <c r="I3455" s="18"/>
      <c r="J3455" s="18"/>
      <c r="K3455" s="18"/>
      <c r="L3455" s="18" t="s">
        <v>129</v>
      </c>
      <c r="M3455" s="18" t="s">
        <v>129</v>
      </c>
      <c r="N3455" s="18"/>
      <c r="O3455" s="18"/>
      <c r="P3455" s="18" t="s">
        <v>14345</v>
      </c>
      <c r="Q3455" s="18" t="s">
        <v>138</v>
      </c>
      <c r="R3455" s="18" t="s">
        <v>14346</v>
      </c>
      <c r="S3455" s="18" t="s">
        <v>140</v>
      </c>
      <c r="T3455" s="18" t="s">
        <v>141</v>
      </c>
      <c r="U3455" s="18"/>
      <c r="V3455" s="19" t="s">
        <v>29</v>
      </c>
      <c r="W3455" s="19"/>
      <c r="X3455" s="19"/>
      <c r="Y3455" s="20"/>
      <c r="Z3455" s="19"/>
      <c r="AA3455" s="18" t="str">
        <f aca="false">IF(OR(V3455="Aprobada"),R3455,IF(AND(OR(V3455="Aprobada con ajuste",V3455="Rechazada"),W3455&lt;&gt;""),W3455,""))</f>
        <v/>
      </c>
    </row>
    <row r="3456" customFormat="false" ht="85.05" hidden="false" customHeight="false" outlineLevel="0" collapsed="false">
      <c r="A3456" s="18" t="s">
        <v>14347</v>
      </c>
      <c r="B3456" s="18" t="s">
        <v>82</v>
      </c>
      <c r="C3456" s="18" t="s">
        <v>83</v>
      </c>
      <c r="D3456" s="18" t="s">
        <v>14242</v>
      </c>
      <c r="E3456" s="18" t="n">
        <v>3</v>
      </c>
      <c r="F3456" s="18" t="s">
        <v>14348</v>
      </c>
      <c r="G3456" s="18" t="s">
        <v>656</v>
      </c>
      <c r="H3456" s="18" t="s">
        <v>162</v>
      </c>
      <c r="I3456" s="18"/>
      <c r="J3456" s="18"/>
      <c r="K3456" s="18"/>
      <c r="L3456" s="18" t="s">
        <v>129</v>
      </c>
      <c r="M3456" s="18" t="s">
        <v>129</v>
      </c>
      <c r="N3456" s="18"/>
      <c r="O3456" s="18"/>
      <c r="P3456" s="18" t="s">
        <v>14349</v>
      </c>
      <c r="Q3456" s="18" t="s">
        <v>149</v>
      </c>
      <c r="R3456" s="18" t="s">
        <v>14350</v>
      </c>
      <c r="S3456" s="18" t="s">
        <v>140</v>
      </c>
      <c r="T3456" s="18" t="s">
        <v>14351</v>
      </c>
      <c r="U3456" s="18" t="s">
        <v>14352</v>
      </c>
      <c r="V3456" s="19" t="s">
        <v>29</v>
      </c>
      <c r="W3456" s="19"/>
      <c r="X3456" s="19"/>
      <c r="Y3456" s="20"/>
      <c r="Z3456" s="19"/>
      <c r="AA3456" s="18" t="str">
        <f aca="false">IF(OR(V3456="Aprobada"),R3456,IF(AND(OR(V3456="Aprobada con ajuste",V3456="Rechazada"),W3456&lt;&gt;""),W3456,""))</f>
        <v/>
      </c>
    </row>
    <row r="3457" customFormat="false" ht="22.35" hidden="false" customHeight="false" outlineLevel="0" collapsed="false">
      <c r="A3457" s="18" t="s">
        <v>14353</v>
      </c>
      <c r="B3457" s="18" t="s">
        <v>82</v>
      </c>
      <c r="C3457" s="18" t="s">
        <v>83</v>
      </c>
      <c r="D3457" s="18" t="s">
        <v>14242</v>
      </c>
      <c r="E3457" s="18" t="n">
        <v>3</v>
      </c>
      <c r="F3457" s="18" t="s">
        <v>14354</v>
      </c>
      <c r="G3457" s="18" t="s">
        <v>486</v>
      </c>
      <c r="H3457" s="18" t="s">
        <v>162</v>
      </c>
      <c r="I3457" s="18"/>
      <c r="J3457" s="18"/>
      <c r="K3457" s="18"/>
      <c r="L3457" s="18" t="s">
        <v>129</v>
      </c>
      <c r="M3457" s="18" t="s">
        <v>129</v>
      </c>
      <c r="N3457" s="18"/>
      <c r="O3457" s="18"/>
      <c r="P3457" s="18" t="s">
        <v>14355</v>
      </c>
      <c r="Q3457" s="18" t="s">
        <v>149</v>
      </c>
      <c r="R3457" s="18" t="s">
        <v>14356</v>
      </c>
      <c r="S3457" s="18" t="s">
        <v>133</v>
      </c>
      <c r="T3457" s="18" t="s">
        <v>14357</v>
      </c>
      <c r="U3457" s="18"/>
      <c r="V3457" s="19" t="s">
        <v>29</v>
      </c>
      <c r="W3457" s="19"/>
      <c r="X3457" s="19"/>
      <c r="Y3457" s="20"/>
      <c r="Z3457" s="19"/>
      <c r="AA3457" s="18" t="str">
        <f aca="false">IF(OR(V3457="Aprobada"),R3457,IF(AND(OR(V3457="Aprobada con ajuste",V3457="Rechazada"),W3457&lt;&gt;""),W3457,""))</f>
        <v/>
      </c>
    </row>
    <row r="3458" customFormat="false" ht="32.8" hidden="false" customHeight="false" outlineLevel="0" collapsed="false">
      <c r="A3458" s="18" t="s">
        <v>14358</v>
      </c>
      <c r="B3458" s="18" t="s">
        <v>82</v>
      </c>
      <c r="C3458" s="18" t="s">
        <v>83</v>
      </c>
      <c r="D3458" s="18" t="s">
        <v>14242</v>
      </c>
      <c r="E3458" s="18" t="n">
        <v>3</v>
      </c>
      <c r="F3458" s="18" t="s">
        <v>14359</v>
      </c>
      <c r="G3458" s="18" t="s">
        <v>180</v>
      </c>
      <c r="H3458" s="18" t="s">
        <v>162</v>
      </c>
      <c r="I3458" s="18"/>
      <c r="J3458" s="18"/>
      <c r="K3458" s="18"/>
      <c r="L3458" s="18" t="s">
        <v>129</v>
      </c>
      <c r="M3458" s="18" t="s">
        <v>129</v>
      </c>
      <c r="N3458" s="18"/>
      <c r="O3458" s="18"/>
      <c r="P3458" s="18" t="s">
        <v>14360</v>
      </c>
      <c r="Q3458" s="18" t="s">
        <v>149</v>
      </c>
      <c r="R3458" s="18" t="s">
        <v>14361</v>
      </c>
      <c r="S3458" s="18" t="s">
        <v>133</v>
      </c>
      <c r="T3458" s="18" t="s">
        <v>14362</v>
      </c>
      <c r="U3458" s="18"/>
      <c r="V3458" s="19" t="s">
        <v>29</v>
      </c>
      <c r="W3458" s="19"/>
      <c r="X3458" s="19"/>
      <c r="Y3458" s="20"/>
      <c r="Z3458" s="19"/>
      <c r="AA3458" s="18" t="str">
        <f aca="false">IF(OR(V3458="Aprobada"),R3458,IF(AND(OR(V3458="Aprobada con ajuste",V3458="Rechazada"),W3458&lt;&gt;""),W3458,""))</f>
        <v/>
      </c>
    </row>
    <row r="3459" customFormat="false" ht="32.8" hidden="false" customHeight="false" outlineLevel="0" collapsed="false">
      <c r="A3459" s="18" t="s">
        <v>14363</v>
      </c>
      <c r="B3459" s="18" t="s">
        <v>82</v>
      </c>
      <c r="C3459" s="18" t="s">
        <v>83</v>
      </c>
      <c r="D3459" s="18" t="s">
        <v>14242</v>
      </c>
      <c r="E3459" s="18" t="n">
        <v>3</v>
      </c>
      <c r="F3459" s="18" t="s">
        <v>14364</v>
      </c>
      <c r="G3459" s="18" t="s">
        <v>584</v>
      </c>
      <c r="H3459" s="18" t="s">
        <v>162</v>
      </c>
      <c r="I3459" s="18"/>
      <c r="J3459" s="18"/>
      <c r="K3459" s="18"/>
      <c r="L3459" s="18" t="s">
        <v>129</v>
      </c>
      <c r="M3459" s="18" t="s">
        <v>129</v>
      </c>
      <c r="N3459" s="18"/>
      <c r="O3459" s="18"/>
      <c r="P3459" s="18" t="s">
        <v>14365</v>
      </c>
      <c r="Q3459" s="18" t="s">
        <v>138</v>
      </c>
      <c r="R3459" s="18" t="s">
        <v>14366</v>
      </c>
      <c r="S3459" s="18" t="s">
        <v>140</v>
      </c>
      <c r="T3459" s="18" t="s">
        <v>141</v>
      </c>
      <c r="U3459" s="18"/>
      <c r="V3459" s="19" t="s">
        <v>29</v>
      </c>
      <c r="W3459" s="19"/>
      <c r="X3459" s="19"/>
      <c r="Y3459" s="20"/>
      <c r="Z3459" s="19"/>
      <c r="AA3459" s="18" t="str">
        <f aca="false">IF(OR(V3459="Aprobada"),R3459,IF(AND(OR(V3459="Aprobada con ajuste",V3459="Rechazada"),W3459&lt;&gt;""),W3459,""))</f>
        <v/>
      </c>
    </row>
    <row r="3460" customFormat="false" ht="22.35" hidden="false" customHeight="false" outlineLevel="0" collapsed="false">
      <c r="A3460" s="18" t="s">
        <v>14367</v>
      </c>
      <c r="B3460" s="18" t="s">
        <v>82</v>
      </c>
      <c r="C3460" s="18" t="s">
        <v>83</v>
      </c>
      <c r="D3460" s="18" t="s">
        <v>14242</v>
      </c>
      <c r="E3460" s="18" t="n">
        <v>3</v>
      </c>
      <c r="F3460" s="18" t="s">
        <v>14368</v>
      </c>
      <c r="G3460" s="18" t="s">
        <v>128</v>
      </c>
      <c r="H3460" s="18" t="s">
        <v>162</v>
      </c>
      <c r="I3460" s="18"/>
      <c r="J3460" s="18"/>
      <c r="K3460" s="18"/>
      <c r="L3460" s="18" t="s">
        <v>129</v>
      </c>
      <c r="M3460" s="18" t="s">
        <v>129</v>
      </c>
      <c r="N3460" s="18"/>
      <c r="O3460" s="18"/>
      <c r="P3460" s="18" t="s">
        <v>14369</v>
      </c>
      <c r="Q3460" s="18" t="s">
        <v>149</v>
      </c>
      <c r="R3460" s="18" t="s">
        <v>14370</v>
      </c>
      <c r="S3460" s="18" t="s">
        <v>133</v>
      </c>
      <c r="T3460" s="18" t="s">
        <v>14357</v>
      </c>
      <c r="U3460" s="18"/>
      <c r="V3460" s="19" t="s">
        <v>29</v>
      </c>
      <c r="W3460" s="19"/>
      <c r="X3460" s="19"/>
      <c r="Y3460" s="20"/>
      <c r="Z3460" s="19"/>
      <c r="AA3460" s="18" t="str">
        <f aca="false">IF(OR(V3460="Aprobada"),R3460,IF(AND(OR(V3460="Aprobada con ajuste",V3460="Rechazada"),W3460&lt;&gt;""),W3460,""))</f>
        <v/>
      </c>
    </row>
    <row r="3461" customFormat="false" ht="105.95" hidden="false" customHeight="false" outlineLevel="0" collapsed="false">
      <c r="A3461" s="18" t="s">
        <v>14371</v>
      </c>
      <c r="B3461" s="18" t="s">
        <v>82</v>
      </c>
      <c r="C3461" s="18" t="s">
        <v>83</v>
      </c>
      <c r="D3461" s="18" t="s">
        <v>14242</v>
      </c>
      <c r="E3461" s="18" t="n">
        <v>3</v>
      </c>
      <c r="F3461" s="18" t="s">
        <v>13953</v>
      </c>
      <c r="G3461" s="18" t="s">
        <v>145</v>
      </c>
      <c r="H3461" s="18" t="s">
        <v>129</v>
      </c>
      <c r="I3461" s="18"/>
      <c r="J3461" s="18"/>
      <c r="K3461" s="18"/>
      <c r="L3461" s="18" t="s">
        <v>129</v>
      </c>
      <c r="M3461" s="18" t="s">
        <v>129</v>
      </c>
      <c r="N3461" s="18"/>
      <c r="O3461" s="18" t="s">
        <v>14372</v>
      </c>
      <c r="P3461" s="18" t="s">
        <v>14373</v>
      </c>
      <c r="Q3461" s="18" t="s">
        <v>131</v>
      </c>
      <c r="R3461" s="18" t="s">
        <v>14374</v>
      </c>
      <c r="S3461" s="18" t="s">
        <v>133</v>
      </c>
      <c r="T3461" s="18" t="s">
        <v>14375</v>
      </c>
      <c r="U3461" s="18"/>
      <c r="V3461" s="19" t="s">
        <v>29</v>
      </c>
      <c r="W3461" s="19"/>
      <c r="X3461" s="19"/>
      <c r="Y3461" s="20"/>
      <c r="Z3461" s="19"/>
      <c r="AA3461" s="18" t="str">
        <f aca="false">IF(OR(V3461="Aprobada"),R3461,IF(AND(OR(V3461="Aprobada con ajuste",V3461="Rechazada"),W3461&lt;&gt;""),W3461,""))</f>
        <v/>
      </c>
    </row>
    <row r="3462" customFormat="false" ht="32.8" hidden="false" customHeight="false" outlineLevel="0" collapsed="false">
      <c r="A3462" s="18" t="s">
        <v>14376</v>
      </c>
      <c r="B3462" s="18" t="s">
        <v>82</v>
      </c>
      <c r="C3462" s="18" t="s">
        <v>83</v>
      </c>
      <c r="D3462" s="18" t="s">
        <v>14242</v>
      </c>
      <c r="E3462" s="18" t="n">
        <v>3</v>
      </c>
      <c r="F3462" s="18" t="s">
        <v>14377</v>
      </c>
      <c r="G3462" s="18" t="s">
        <v>503</v>
      </c>
      <c r="H3462" s="18" t="s">
        <v>129</v>
      </c>
      <c r="I3462" s="18"/>
      <c r="J3462" s="18"/>
      <c r="K3462" s="18"/>
      <c r="L3462" s="18" t="s">
        <v>129</v>
      </c>
      <c r="M3462" s="18" t="s">
        <v>129</v>
      </c>
      <c r="N3462" s="18"/>
      <c r="O3462" s="18" t="s">
        <v>14378</v>
      </c>
      <c r="P3462" s="18" t="s">
        <v>14379</v>
      </c>
      <c r="Q3462" s="18" t="s">
        <v>149</v>
      </c>
      <c r="R3462" s="18" t="s">
        <v>14380</v>
      </c>
      <c r="S3462" s="18" t="s">
        <v>140</v>
      </c>
      <c r="T3462" s="18" t="s">
        <v>14381</v>
      </c>
      <c r="U3462" s="18" t="s">
        <v>14382</v>
      </c>
      <c r="V3462" s="19" t="s">
        <v>29</v>
      </c>
      <c r="W3462" s="19"/>
      <c r="X3462" s="19"/>
      <c r="Y3462" s="20"/>
      <c r="Z3462" s="19"/>
      <c r="AA3462" s="18" t="str">
        <f aca="false">IF(OR(V3462="Aprobada"),R3462,IF(AND(OR(V3462="Aprobada con ajuste",V3462="Rechazada"),W3462&lt;&gt;""),W3462,""))</f>
        <v/>
      </c>
    </row>
    <row r="3463" customFormat="false" ht="32.8" hidden="false" customHeight="false" outlineLevel="0" collapsed="false">
      <c r="A3463" s="18" t="s">
        <v>14383</v>
      </c>
      <c r="B3463" s="18" t="s">
        <v>82</v>
      </c>
      <c r="C3463" s="18" t="s">
        <v>83</v>
      </c>
      <c r="D3463" s="18" t="s">
        <v>14242</v>
      </c>
      <c r="E3463" s="18" t="n">
        <v>3</v>
      </c>
      <c r="F3463" s="18" t="s">
        <v>14384</v>
      </c>
      <c r="G3463" s="18" t="s">
        <v>317</v>
      </c>
      <c r="H3463" s="18" t="s">
        <v>162</v>
      </c>
      <c r="I3463" s="18"/>
      <c r="J3463" s="18"/>
      <c r="K3463" s="18"/>
      <c r="L3463" s="18" t="s">
        <v>129</v>
      </c>
      <c r="M3463" s="18" t="s">
        <v>129</v>
      </c>
      <c r="N3463" s="18"/>
      <c r="O3463" s="18"/>
      <c r="P3463" s="18" t="s">
        <v>14385</v>
      </c>
      <c r="Q3463" s="18" t="s">
        <v>138</v>
      </c>
      <c r="R3463" s="18" t="s">
        <v>14386</v>
      </c>
      <c r="S3463" s="18" t="s">
        <v>140</v>
      </c>
      <c r="T3463" s="18" t="s">
        <v>141</v>
      </c>
      <c r="U3463" s="18"/>
      <c r="V3463" s="19" t="s">
        <v>29</v>
      </c>
      <c r="W3463" s="19"/>
      <c r="X3463" s="19"/>
      <c r="Y3463" s="20"/>
      <c r="Z3463" s="19"/>
      <c r="AA3463" s="18" t="str">
        <f aca="false">IF(OR(V3463="Aprobada"),R3463,IF(AND(OR(V3463="Aprobada con ajuste",V3463="Rechazada"),W3463&lt;&gt;""),W3463,""))</f>
        <v/>
      </c>
    </row>
    <row r="3464" customFormat="false" ht="74.6" hidden="false" customHeight="false" outlineLevel="0" collapsed="false">
      <c r="A3464" s="18" t="s">
        <v>14387</v>
      </c>
      <c r="B3464" s="18" t="s">
        <v>82</v>
      </c>
      <c r="C3464" s="18" t="s">
        <v>83</v>
      </c>
      <c r="D3464" s="18" t="s">
        <v>14242</v>
      </c>
      <c r="E3464" s="18" t="n">
        <v>3</v>
      </c>
      <c r="F3464" s="18" t="s">
        <v>14388</v>
      </c>
      <c r="G3464" s="18" t="s">
        <v>486</v>
      </c>
      <c r="H3464" s="18" t="s">
        <v>162</v>
      </c>
      <c r="I3464" s="18"/>
      <c r="J3464" s="18"/>
      <c r="K3464" s="18"/>
      <c r="L3464" s="18" t="s">
        <v>129</v>
      </c>
      <c r="M3464" s="18" t="s">
        <v>129</v>
      </c>
      <c r="N3464" s="18"/>
      <c r="O3464" s="18" t="s">
        <v>14389</v>
      </c>
      <c r="P3464" s="18" t="s">
        <v>14390</v>
      </c>
      <c r="Q3464" s="18" t="s">
        <v>131</v>
      </c>
      <c r="R3464" s="18" t="s">
        <v>14391</v>
      </c>
      <c r="S3464" s="18" t="s">
        <v>133</v>
      </c>
      <c r="T3464" s="18" t="s">
        <v>14392</v>
      </c>
      <c r="U3464" s="18"/>
      <c r="V3464" s="19" t="s">
        <v>29</v>
      </c>
      <c r="W3464" s="19"/>
      <c r="X3464" s="19"/>
      <c r="Y3464" s="20"/>
      <c r="Z3464" s="19"/>
      <c r="AA3464" s="18" t="str">
        <f aca="false">IF(OR(V3464="Aprobada"),R3464,IF(AND(OR(V3464="Aprobada con ajuste",V3464="Rechazada"),W3464&lt;&gt;""),W3464,""))</f>
        <v/>
      </c>
    </row>
    <row r="3465" customFormat="false" ht="43.25" hidden="false" customHeight="false" outlineLevel="0" collapsed="false">
      <c r="A3465" s="18" t="s">
        <v>14393</v>
      </c>
      <c r="B3465" s="18" t="s">
        <v>82</v>
      </c>
      <c r="C3465" s="18" t="s">
        <v>83</v>
      </c>
      <c r="D3465" s="18" t="s">
        <v>14242</v>
      </c>
      <c r="E3465" s="18" t="n">
        <v>3</v>
      </c>
      <c r="F3465" s="18" t="s">
        <v>14394</v>
      </c>
      <c r="G3465" s="18" t="s">
        <v>137</v>
      </c>
      <c r="H3465" s="18" t="s">
        <v>162</v>
      </c>
      <c r="I3465" s="18"/>
      <c r="J3465" s="18"/>
      <c r="K3465" s="18"/>
      <c r="L3465" s="18" t="s">
        <v>129</v>
      </c>
      <c r="M3465" s="18" t="s">
        <v>129</v>
      </c>
      <c r="N3465" s="18"/>
      <c r="O3465" s="18"/>
      <c r="P3465" s="18" t="s">
        <v>14395</v>
      </c>
      <c r="Q3465" s="18" t="s">
        <v>138</v>
      </c>
      <c r="R3465" s="18" t="s">
        <v>14396</v>
      </c>
      <c r="S3465" s="18" t="s">
        <v>140</v>
      </c>
      <c r="T3465" s="18" t="s">
        <v>141</v>
      </c>
      <c r="U3465" s="18"/>
      <c r="V3465" s="19" t="s">
        <v>29</v>
      </c>
      <c r="W3465" s="19"/>
      <c r="X3465" s="19"/>
      <c r="Y3465" s="20"/>
      <c r="Z3465" s="19"/>
      <c r="AA3465" s="18" t="str">
        <f aca="false">IF(OR(V3465="Aprobada"),R3465,IF(AND(OR(V3465="Aprobada con ajuste",V3465="Rechazada"),W3465&lt;&gt;""),W3465,""))</f>
        <v/>
      </c>
    </row>
    <row r="3466" customFormat="false" ht="53.7" hidden="false" customHeight="false" outlineLevel="0" collapsed="false">
      <c r="A3466" s="18" t="s">
        <v>14397</v>
      </c>
      <c r="B3466" s="18" t="s">
        <v>82</v>
      </c>
      <c r="C3466" s="18" t="s">
        <v>83</v>
      </c>
      <c r="D3466" s="18" t="s">
        <v>14242</v>
      </c>
      <c r="E3466" s="18" t="n">
        <v>3</v>
      </c>
      <c r="F3466" s="18" t="s">
        <v>14398</v>
      </c>
      <c r="G3466" s="18" t="s">
        <v>3994</v>
      </c>
      <c r="H3466" s="18" t="s">
        <v>162</v>
      </c>
      <c r="I3466" s="18"/>
      <c r="J3466" s="18"/>
      <c r="K3466" s="18"/>
      <c r="L3466" s="18" t="s">
        <v>129</v>
      </c>
      <c r="M3466" s="18" t="s">
        <v>129</v>
      </c>
      <c r="N3466" s="18"/>
      <c r="O3466" s="18"/>
      <c r="P3466" s="18" t="s">
        <v>14399</v>
      </c>
      <c r="Q3466" s="18" t="s">
        <v>149</v>
      </c>
      <c r="R3466" s="18" t="s">
        <v>14400</v>
      </c>
      <c r="S3466" s="18" t="s">
        <v>140</v>
      </c>
      <c r="T3466" s="18" t="s">
        <v>14401</v>
      </c>
      <c r="U3466" s="18" t="s">
        <v>14352</v>
      </c>
      <c r="V3466" s="19" t="s">
        <v>29</v>
      </c>
      <c r="W3466" s="19"/>
      <c r="X3466" s="19"/>
      <c r="Y3466" s="20"/>
      <c r="Z3466" s="19"/>
      <c r="AA3466" s="18" t="str">
        <f aca="false">IF(OR(V3466="Aprobada"),R3466,IF(AND(OR(V3466="Aprobada con ajuste",V3466="Rechazada"),W3466&lt;&gt;""),W3466,""))</f>
        <v/>
      </c>
    </row>
    <row r="3467" customFormat="false" ht="43.25" hidden="false" customHeight="false" outlineLevel="0" collapsed="false">
      <c r="A3467" s="18" t="s">
        <v>14402</v>
      </c>
      <c r="B3467" s="18" t="s">
        <v>82</v>
      </c>
      <c r="C3467" s="18" t="s">
        <v>83</v>
      </c>
      <c r="D3467" s="18" t="s">
        <v>14242</v>
      </c>
      <c r="E3467" s="18" t="n">
        <v>3</v>
      </c>
      <c r="F3467" s="18" t="s">
        <v>14403</v>
      </c>
      <c r="G3467" s="18" t="s">
        <v>128</v>
      </c>
      <c r="H3467" s="18" t="s">
        <v>162</v>
      </c>
      <c r="I3467" s="18"/>
      <c r="J3467" s="18"/>
      <c r="K3467" s="18"/>
      <c r="L3467" s="18" t="s">
        <v>129</v>
      </c>
      <c r="M3467" s="18" t="s">
        <v>129</v>
      </c>
      <c r="N3467" s="18"/>
      <c r="O3467" s="18"/>
      <c r="P3467" s="18" t="s">
        <v>14404</v>
      </c>
      <c r="Q3467" s="18" t="s">
        <v>149</v>
      </c>
      <c r="R3467" s="18" t="s">
        <v>14405</v>
      </c>
      <c r="S3467" s="18" t="s">
        <v>133</v>
      </c>
      <c r="T3467" s="18" t="s">
        <v>14401</v>
      </c>
      <c r="U3467" s="18"/>
      <c r="V3467" s="19" t="s">
        <v>29</v>
      </c>
      <c r="W3467" s="19"/>
      <c r="X3467" s="19"/>
      <c r="Y3467" s="20"/>
      <c r="Z3467" s="19"/>
      <c r="AA3467" s="18" t="str">
        <f aca="false">IF(OR(V3467="Aprobada"),R3467,IF(AND(OR(V3467="Aprobada con ajuste",V3467="Rechazada"),W3467&lt;&gt;""),W3467,""))</f>
        <v/>
      </c>
    </row>
    <row r="3468" customFormat="false" ht="43.25" hidden="false" customHeight="false" outlineLevel="0" collapsed="false">
      <c r="A3468" s="18" t="s">
        <v>14406</v>
      </c>
      <c r="B3468" s="18" t="s">
        <v>82</v>
      </c>
      <c r="C3468" s="18" t="s">
        <v>83</v>
      </c>
      <c r="D3468" s="18" t="s">
        <v>14242</v>
      </c>
      <c r="E3468" s="18" t="n">
        <v>3</v>
      </c>
      <c r="F3468" s="18" t="s">
        <v>14407</v>
      </c>
      <c r="G3468" s="18" t="s">
        <v>180</v>
      </c>
      <c r="H3468" s="18" t="s">
        <v>162</v>
      </c>
      <c r="I3468" s="18"/>
      <c r="J3468" s="18"/>
      <c r="K3468" s="18"/>
      <c r="L3468" s="18" t="s">
        <v>129</v>
      </c>
      <c r="M3468" s="18" t="s">
        <v>129</v>
      </c>
      <c r="N3468" s="18"/>
      <c r="O3468" s="18"/>
      <c r="P3468" s="18" t="s">
        <v>14408</v>
      </c>
      <c r="Q3468" s="18" t="s">
        <v>149</v>
      </c>
      <c r="R3468" s="18" t="s">
        <v>14409</v>
      </c>
      <c r="S3468" s="18" t="s">
        <v>133</v>
      </c>
      <c r="T3468" s="18" t="s">
        <v>14362</v>
      </c>
      <c r="U3468" s="18"/>
      <c r="V3468" s="19" t="s">
        <v>29</v>
      </c>
      <c r="W3468" s="19"/>
      <c r="X3468" s="19"/>
      <c r="Y3468" s="20"/>
      <c r="Z3468" s="19"/>
      <c r="AA3468" s="18" t="str">
        <f aca="false">IF(OR(V3468="Aprobada"),R3468,IF(AND(OR(V3468="Aprobada con ajuste",V3468="Rechazada"),W3468&lt;&gt;""),W3468,""))</f>
        <v/>
      </c>
    </row>
    <row r="3469" customFormat="false" ht="32.8" hidden="false" customHeight="false" outlineLevel="0" collapsed="false">
      <c r="A3469" s="18" t="s">
        <v>14410</v>
      </c>
      <c r="B3469" s="18" t="s">
        <v>82</v>
      </c>
      <c r="C3469" s="18" t="s">
        <v>83</v>
      </c>
      <c r="D3469" s="18" t="s">
        <v>14242</v>
      </c>
      <c r="E3469" s="18" t="n">
        <v>3</v>
      </c>
      <c r="F3469" s="18" t="s">
        <v>14411</v>
      </c>
      <c r="G3469" s="18" t="s">
        <v>584</v>
      </c>
      <c r="H3469" s="18" t="s">
        <v>162</v>
      </c>
      <c r="I3469" s="18"/>
      <c r="J3469" s="18"/>
      <c r="K3469" s="18"/>
      <c r="L3469" s="18" t="s">
        <v>129</v>
      </c>
      <c r="M3469" s="18" t="s">
        <v>129</v>
      </c>
      <c r="N3469" s="18"/>
      <c r="O3469" s="18"/>
      <c r="P3469" s="18" t="s">
        <v>14412</v>
      </c>
      <c r="Q3469" s="18" t="s">
        <v>138</v>
      </c>
      <c r="R3469" s="18" t="s">
        <v>14413</v>
      </c>
      <c r="S3469" s="18" t="s">
        <v>140</v>
      </c>
      <c r="T3469" s="18" t="s">
        <v>141</v>
      </c>
      <c r="U3469" s="18"/>
      <c r="V3469" s="19" t="s">
        <v>29</v>
      </c>
      <c r="W3469" s="19"/>
      <c r="X3469" s="19"/>
      <c r="Y3469" s="20"/>
      <c r="Z3469" s="19"/>
      <c r="AA3469" s="18" t="str">
        <f aca="false">IF(OR(V3469="Aprobada"),R3469,IF(AND(OR(V3469="Aprobada con ajuste",V3469="Rechazada"),W3469&lt;&gt;""),W3469,""))</f>
        <v/>
      </c>
    </row>
    <row r="3470" customFormat="false" ht="43.25" hidden="false" customHeight="false" outlineLevel="0" collapsed="false">
      <c r="A3470" s="18" t="s">
        <v>14414</v>
      </c>
      <c r="B3470" s="18" t="s">
        <v>82</v>
      </c>
      <c r="C3470" s="18" t="s">
        <v>83</v>
      </c>
      <c r="D3470" s="18" t="s">
        <v>14242</v>
      </c>
      <c r="E3470" s="18" t="n">
        <v>3</v>
      </c>
      <c r="F3470" s="18" t="s">
        <v>14415</v>
      </c>
      <c r="G3470" s="18" t="s">
        <v>173</v>
      </c>
      <c r="H3470" s="18" t="s">
        <v>129</v>
      </c>
      <c r="I3470" s="18"/>
      <c r="J3470" s="18"/>
      <c r="K3470" s="18"/>
      <c r="L3470" s="18" t="s">
        <v>129</v>
      </c>
      <c r="M3470" s="18" t="s">
        <v>129</v>
      </c>
      <c r="N3470" s="18"/>
      <c r="O3470" s="18"/>
      <c r="P3470" s="18" t="s">
        <v>14416</v>
      </c>
      <c r="Q3470" s="18" t="s">
        <v>131</v>
      </c>
      <c r="R3470" s="18" t="s">
        <v>14417</v>
      </c>
      <c r="S3470" s="18" t="s">
        <v>140</v>
      </c>
      <c r="T3470" s="18" t="s">
        <v>14418</v>
      </c>
      <c r="U3470" s="18" t="s">
        <v>14419</v>
      </c>
      <c r="V3470" s="19" t="s">
        <v>29</v>
      </c>
      <c r="W3470" s="19"/>
      <c r="X3470" s="19"/>
      <c r="Y3470" s="20"/>
      <c r="Z3470" s="19"/>
      <c r="AA3470" s="18" t="str">
        <f aca="false">IF(OR(V3470="Aprobada"),R3470,IF(AND(OR(V3470="Aprobada con ajuste",V3470="Rechazada"),W3470&lt;&gt;""),W3470,""))</f>
        <v/>
      </c>
    </row>
    <row r="3471" customFormat="false" ht="64.15" hidden="false" customHeight="false" outlineLevel="0" collapsed="false">
      <c r="A3471" s="18" t="s">
        <v>14420</v>
      </c>
      <c r="B3471" s="18" t="s">
        <v>82</v>
      </c>
      <c r="C3471" s="18" t="s">
        <v>83</v>
      </c>
      <c r="D3471" s="18" t="s">
        <v>14242</v>
      </c>
      <c r="E3471" s="18" t="n">
        <v>3</v>
      </c>
      <c r="F3471" s="18" t="s">
        <v>5632</v>
      </c>
      <c r="G3471" s="18" t="s">
        <v>137</v>
      </c>
      <c r="H3471" s="18" t="s">
        <v>162</v>
      </c>
      <c r="I3471" s="18"/>
      <c r="J3471" s="18"/>
      <c r="K3471" s="18"/>
      <c r="L3471" s="18" t="s">
        <v>129</v>
      </c>
      <c r="M3471" s="18" t="s">
        <v>129</v>
      </c>
      <c r="N3471" s="18"/>
      <c r="O3471" s="18" t="s">
        <v>14421</v>
      </c>
      <c r="P3471" s="18" t="s">
        <v>14422</v>
      </c>
      <c r="Q3471" s="18" t="s">
        <v>131</v>
      </c>
      <c r="R3471" s="18" t="s">
        <v>14423</v>
      </c>
      <c r="S3471" s="18" t="s">
        <v>140</v>
      </c>
      <c r="T3471" s="18" t="s">
        <v>14424</v>
      </c>
      <c r="U3471" s="18"/>
      <c r="V3471" s="19" t="s">
        <v>29</v>
      </c>
      <c r="W3471" s="19"/>
      <c r="X3471" s="19"/>
      <c r="Y3471" s="20"/>
      <c r="Z3471" s="19"/>
      <c r="AA3471" s="18" t="str">
        <f aca="false">IF(OR(V3471="Aprobada"),R3471,IF(AND(OR(V3471="Aprobada con ajuste",V3471="Rechazada"),W3471&lt;&gt;""),W3471,""))</f>
        <v/>
      </c>
    </row>
    <row r="3472" customFormat="false" ht="53.7" hidden="false" customHeight="false" outlineLevel="0" collapsed="false">
      <c r="A3472" s="18" t="s">
        <v>14425</v>
      </c>
      <c r="B3472" s="18" t="s">
        <v>82</v>
      </c>
      <c r="C3472" s="18" t="s">
        <v>83</v>
      </c>
      <c r="D3472" s="18" t="s">
        <v>14242</v>
      </c>
      <c r="E3472" s="18" t="n">
        <v>3</v>
      </c>
      <c r="F3472" s="18" t="s">
        <v>5947</v>
      </c>
      <c r="G3472" s="18" t="s">
        <v>3994</v>
      </c>
      <c r="H3472" s="18" t="s">
        <v>162</v>
      </c>
      <c r="I3472" s="18"/>
      <c r="J3472" s="18"/>
      <c r="K3472" s="18"/>
      <c r="L3472" s="18" t="s">
        <v>129</v>
      </c>
      <c r="M3472" s="18" t="s">
        <v>129</v>
      </c>
      <c r="N3472" s="18"/>
      <c r="O3472" s="18"/>
      <c r="P3472" s="18" t="s">
        <v>14426</v>
      </c>
      <c r="Q3472" s="18" t="s">
        <v>149</v>
      </c>
      <c r="R3472" s="18" t="s">
        <v>14427</v>
      </c>
      <c r="S3472" s="18" t="s">
        <v>140</v>
      </c>
      <c r="T3472" s="18" t="s">
        <v>14428</v>
      </c>
      <c r="U3472" s="18" t="s">
        <v>14352</v>
      </c>
      <c r="V3472" s="19" t="s">
        <v>29</v>
      </c>
      <c r="W3472" s="19"/>
      <c r="X3472" s="19"/>
      <c r="Y3472" s="20"/>
      <c r="Z3472" s="19"/>
      <c r="AA3472" s="18" t="str">
        <f aca="false">IF(OR(V3472="Aprobada"),R3472,IF(AND(OR(V3472="Aprobada con ajuste",V3472="Rechazada"),W3472&lt;&gt;""),W3472,""))</f>
        <v/>
      </c>
    </row>
    <row r="3473" customFormat="false" ht="64.15" hidden="false" customHeight="false" outlineLevel="0" collapsed="false">
      <c r="A3473" s="18" t="s">
        <v>14429</v>
      </c>
      <c r="B3473" s="18" t="s">
        <v>82</v>
      </c>
      <c r="C3473" s="18" t="s">
        <v>83</v>
      </c>
      <c r="D3473" s="18" t="s">
        <v>14242</v>
      </c>
      <c r="E3473" s="18" t="n">
        <v>3</v>
      </c>
      <c r="F3473" s="18" t="s">
        <v>14430</v>
      </c>
      <c r="G3473" s="18" t="s">
        <v>180</v>
      </c>
      <c r="H3473" s="18" t="s">
        <v>162</v>
      </c>
      <c r="I3473" s="18"/>
      <c r="J3473" s="18"/>
      <c r="K3473" s="18"/>
      <c r="L3473" s="18" t="s">
        <v>129</v>
      </c>
      <c r="M3473" s="18" t="s">
        <v>129</v>
      </c>
      <c r="N3473" s="18"/>
      <c r="O3473" s="18"/>
      <c r="P3473" s="18" t="s">
        <v>14431</v>
      </c>
      <c r="Q3473" s="18" t="s">
        <v>149</v>
      </c>
      <c r="R3473" s="18" t="s">
        <v>14432</v>
      </c>
      <c r="S3473" s="18" t="s">
        <v>133</v>
      </c>
      <c r="T3473" s="18" t="s">
        <v>14362</v>
      </c>
      <c r="U3473" s="18"/>
      <c r="V3473" s="19" t="s">
        <v>29</v>
      </c>
      <c r="W3473" s="19"/>
      <c r="X3473" s="19"/>
      <c r="Y3473" s="20"/>
      <c r="Z3473" s="19"/>
      <c r="AA3473" s="18" t="str">
        <f aca="false">IF(OR(V3473="Aprobada"),R3473,IF(AND(OR(V3473="Aprobada con ajuste",V3473="Rechazada"),W3473&lt;&gt;""),W3473,""))</f>
        <v/>
      </c>
    </row>
    <row r="3474" customFormat="false" ht="64.15" hidden="false" customHeight="false" outlineLevel="0" collapsed="false">
      <c r="A3474" s="18" t="s">
        <v>14433</v>
      </c>
      <c r="B3474" s="18" t="s">
        <v>82</v>
      </c>
      <c r="C3474" s="18" t="s">
        <v>83</v>
      </c>
      <c r="D3474" s="18" t="s">
        <v>14242</v>
      </c>
      <c r="E3474" s="18" t="n">
        <v>3</v>
      </c>
      <c r="F3474" s="18" t="s">
        <v>14434</v>
      </c>
      <c r="G3474" s="18" t="s">
        <v>486</v>
      </c>
      <c r="H3474" s="18" t="s">
        <v>162</v>
      </c>
      <c r="I3474" s="18"/>
      <c r="J3474" s="18"/>
      <c r="K3474" s="18"/>
      <c r="L3474" s="18" t="s">
        <v>129</v>
      </c>
      <c r="M3474" s="18" t="s">
        <v>129</v>
      </c>
      <c r="N3474" s="18"/>
      <c r="O3474" s="18" t="s">
        <v>14435</v>
      </c>
      <c r="P3474" s="18" t="s">
        <v>14436</v>
      </c>
      <c r="Q3474" s="18" t="s">
        <v>149</v>
      </c>
      <c r="R3474" s="18" t="s">
        <v>14437</v>
      </c>
      <c r="S3474" s="18" t="s">
        <v>133</v>
      </c>
      <c r="T3474" s="18" t="s">
        <v>14438</v>
      </c>
      <c r="U3474" s="18"/>
      <c r="V3474" s="19" t="s">
        <v>29</v>
      </c>
      <c r="W3474" s="19"/>
      <c r="X3474" s="19"/>
      <c r="Y3474" s="20"/>
      <c r="Z3474" s="19"/>
      <c r="AA3474" s="18" t="str">
        <f aca="false">IF(OR(V3474="Aprobada"),R3474,IF(AND(OR(V3474="Aprobada con ajuste",V3474="Rechazada"),W3474&lt;&gt;""),W3474,""))</f>
        <v/>
      </c>
    </row>
    <row r="3475" customFormat="false" ht="53.7" hidden="false" customHeight="false" outlineLevel="0" collapsed="false">
      <c r="A3475" s="18" t="s">
        <v>14439</v>
      </c>
      <c r="B3475" s="18" t="s">
        <v>82</v>
      </c>
      <c r="C3475" s="18" t="s">
        <v>83</v>
      </c>
      <c r="D3475" s="18" t="s">
        <v>14242</v>
      </c>
      <c r="E3475" s="18" t="n">
        <v>3</v>
      </c>
      <c r="F3475" s="18" t="s">
        <v>14440</v>
      </c>
      <c r="G3475" s="18" t="s">
        <v>128</v>
      </c>
      <c r="H3475" s="18" t="s">
        <v>162</v>
      </c>
      <c r="I3475" s="18"/>
      <c r="J3475" s="18"/>
      <c r="K3475" s="18"/>
      <c r="L3475" s="18" t="s">
        <v>129</v>
      </c>
      <c r="M3475" s="18" t="s">
        <v>129</v>
      </c>
      <c r="N3475" s="18"/>
      <c r="O3475" s="18"/>
      <c r="P3475" s="18" t="s">
        <v>14441</v>
      </c>
      <c r="Q3475" s="18" t="s">
        <v>149</v>
      </c>
      <c r="R3475" s="18" t="s">
        <v>14442</v>
      </c>
      <c r="S3475" s="18" t="s">
        <v>133</v>
      </c>
      <c r="T3475" s="18" t="s">
        <v>14443</v>
      </c>
      <c r="U3475" s="18"/>
      <c r="V3475" s="19" t="s">
        <v>29</v>
      </c>
      <c r="W3475" s="19"/>
      <c r="X3475" s="19"/>
      <c r="Y3475" s="20"/>
      <c r="Z3475" s="19"/>
      <c r="AA3475" s="18" t="str">
        <f aca="false">IF(OR(V3475="Aprobada"),R3475,IF(AND(OR(V3475="Aprobada con ajuste",V3475="Rechazada"),W3475&lt;&gt;""),W3475,""))</f>
        <v/>
      </c>
    </row>
    <row r="3476" customFormat="false" ht="32.8" hidden="false" customHeight="false" outlineLevel="0" collapsed="false">
      <c r="A3476" s="18" t="s">
        <v>14444</v>
      </c>
      <c r="B3476" s="18" t="s">
        <v>82</v>
      </c>
      <c r="C3476" s="18" t="s">
        <v>83</v>
      </c>
      <c r="D3476" s="18" t="s">
        <v>14242</v>
      </c>
      <c r="E3476" s="18" t="n">
        <v>3</v>
      </c>
      <c r="F3476" s="18" t="s">
        <v>14445</v>
      </c>
      <c r="G3476" s="18" t="s">
        <v>584</v>
      </c>
      <c r="H3476" s="18" t="s">
        <v>162</v>
      </c>
      <c r="I3476" s="18"/>
      <c r="J3476" s="18"/>
      <c r="K3476" s="18"/>
      <c r="L3476" s="18" t="s">
        <v>129</v>
      </c>
      <c r="M3476" s="18" t="s">
        <v>129</v>
      </c>
      <c r="N3476" s="18"/>
      <c r="O3476" s="18"/>
      <c r="P3476" s="18" t="s">
        <v>14446</v>
      </c>
      <c r="Q3476" s="18" t="s">
        <v>138</v>
      </c>
      <c r="R3476" s="18" t="s">
        <v>14447</v>
      </c>
      <c r="S3476" s="18" t="s">
        <v>140</v>
      </c>
      <c r="T3476" s="18" t="s">
        <v>141</v>
      </c>
      <c r="U3476" s="18"/>
      <c r="V3476" s="19" t="s">
        <v>29</v>
      </c>
      <c r="W3476" s="19"/>
      <c r="X3476" s="19"/>
      <c r="Y3476" s="20"/>
      <c r="Z3476" s="19"/>
      <c r="AA3476" s="18" t="str">
        <f aca="false">IF(OR(V3476="Aprobada"),R3476,IF(AND(OR(V3476="Aprobada con ajuste",V3476="Rechazada"),W3476&lt;&gt;""),W3476,""))</f>
        <v/>
      </c>
    </row>
    <row r="3477" customFormat="false" ht="43.25" hidden="false" customHeight="false" outlineLevel="0" collapsed="false">
      <c r="A3477" s="18" t="s">
        <v>14448</v>
      </c>
      <c r="B3477" s="18" t="s">
        <v>82</v>
      </c>
      <c r="C3477" s="18" t="s">
        <v>83</v>
      </c>
      <c r="D3477" s="18" t="s">
        <v>14242</v>
      </c>
      <c r="E3477" s="18" t="n">
        <v>3</v>
      </c>
      <c r="F3477" s="18" t="s">
        <v>14449</v>
      </c>
      <c r="G3477" s="18" t="s">
        <v>5738</v>
      </c>
      <c r="H3477" s="18" t="s">
        <v>162</v>
      </c>
      <c r="I3477" s="18"/>
      <c r="J3477" s="18"/>
      <c r="K3477" s="18"/>
      <c r="L3477" s="18" t="s">
        <v>129</v>
      </c>
      <c r="M3477" s="18" t="s">
        <v>129</v>
      </c>
      <c r="N3477" s="18"/>
      <c r="O3477" s="18"/>
      <c r="P3477" s="18" t="s">
        <v>14450</v>
      </c>
      <c r="Q3477" s="18" t="s">
        <v>131</v>
      </c>
      <c r="R3477" s="18" t="s">
        <v>14451</v>
      </c>
      <c r="S3477" s="18" t="s">
        <v>140</v>
      </c>
      <c r="T3477" s="18" t="s">
        <v>14452</v>
      </c>
      <c r="U3477" s="18" t="s">
        <v>14453</v>
      </c>
      <c r="V3477" s="19" t="s">
        <v>29</v>
      </c>
      <c r="W3477" s="19"/>
      <c r="X3477" s="19"/>
      <c r="Y3477" s="20"/>
      <c r="Z3477" s="19"/>
      <c r="AA3477" s="18" t="str">
        <f aca="false">IF(OR(V3477="Aprobada"),R3477,IF(AND(OR(V3477="Aprobada con ajuste",V3477="Rechazada"),W3477&lt;&gt;""),W3477,""))</f>
        <v/>
      </c>
    </row>
    <row r="3478" customFormat="false" ht="43.25" hidden="false" customHeight="false" outlineLevel="0" collapsed="false">
      <c r="A3478" s="18" t="s">
        <v>14454</v>
      </c>
      <c r="B3478" s="18" t="s">
        <v>82</v>
      </c>
      <c r="C3478" s="18" t="s">
        <v>83</v>
      </c>
      <c r="D3478" s="18" t="s">
        <v>14242</v>
      </c>
      <c r="E3478" s="18" t="n">
        <v>3</v>
      </c>
      <c r="F3478" s="18" t="s">
        <v>14455</v>
      </c>
      <c r="G3478" s="18" t="s">
        <v>656</v>
      </c>
      <c r="H3478" s="18" t="s">
        <v>162</v>
      </c>
      <c r="I3478" s="18"/>
      <c r="J3478" s="18"/>
      <c r="K3478" s="18"/>
      <c r="L3478" s="18" t="s">
        <v>129</v>
      </c>
      <c r="M3478" s="18" t="s">
        <v>129</v>
      </c>
      <c r="N3478" s="18"/>
      <c r="O3478" s="18"/>
      <c r="P3478" s="18" t="s">
        <v>14456</v>
      </c>
      <c r="Q3478" s="18" t="s">
        <v>149</v>
      </c>
      <c r="R3478" s="18" t="s">
        <v>14457</v>
      </c>
      <c r="S3478" s="18" t="s">
        <v>140</v>
      </c>
      <c r="T3478" s="18" t="s">
        <v>14458</v>
      </c>
      <c r="U3478" s="18" t="s">
        <v>14352</v>
      </c>
      <c r="V3478" s="19" t="s">
        <v>29</v>
      </c>
      <c r="W3478" s="19"/>
      <c r="X3478" s="19"/>
      <c r="Y3478" s="20"/>
      <c r="Z3478" s="19"/>
      <c r="AA3478" s="18" t="str">
        <f aca="false">IF(OR(V3478="Aprobada"),R3478,IF(AND(OR(V3478="Aprobada con ajuste",V3478="Rechazada"),W3478&lt;&gt;""),W3478,""))</f>
        <v/>
      </c>
    </row>
    <row r="3479" customFormat="false" ht="32.8" hidden="false" customHeight="false" outlineLevel="0" collapsed="false">
      <c r="A3479" s="18" t="s">
        <v>14459</v>
      </c>
      <c r="B3479" s="18" t="s">
        <v>82</v>
      </c>
      <c r="C3479" s="18" t="s">
        <v>83</v>
      </c>
      <c r="D3479" s="18" t="s">
        <v>14242</v>
      </c>
      <c r="E3479" s="18" t="n">
        <v>3</v>
      </c>
      <c r="F3479" s="18" t="s">
        <v>14460</v>
      </c>
      <c r="G3479" s="18" t="s">
        <v>656</v>
      </c>
      <c r="H3479" s="18" t="s">
        <v>162</v>
      </c>
      <c r="I3479" s="18"/>
      <c r="J3479" s="18"/>
      <c r="K3479" s="18"/>
      <c r="L3479" s="18" t="s">
        <v>129</v>
      </c>
      <c r="M3479" s="18" t="s">
        <v>129</v>
      </c>
      <c r="N3479" s="18"/>
      <c r="O3479" s="18"/>
      <c r="P3479" s="18" t="s">
        <v>14461</v>
      </c>
      <c r="Q3479" s="18" t="s">
        <v>149</v>
      </c>
      <c r="R3479" s="18" t="s">
        <v>14462</v>
      </c>
      <c r="S3479" s="18" t="s">
        <v>140</v>
      </c>
      <c r="T3479" s="18" t="s">
        <v>14463</v>
      </c>
      <c r="U3479" s="18" t="s">
        <v>14464</v>
      </c>
      <c r="V3479" s="19" t="s">
        <v>29</v>
      </c>
      <c r="W3479" s="19"/>
      <c r="X3479" s="19"/>
      <c r="Y3479" s="20"/>
      <c r="Z3479" s="19"/>
      <c r="AA3479" s="18" t="str">
        <f aca="false">IF(OR(V3479="Aprobada"),R3479,IF(AND(OR(V3479="Aprobada con ajuste",V3479="Rechazada"),W3479&lt;&gt;""),W3479,""))</f>
        <v/>
      </c>
    </row>
    <row r="3480" customFormat="false" ht="43.25" hidden="false" customHeight="false" outlineLevel="0" collapsed="false">
      <c r="A3480" s="18" t="s">
        <v>14465</v>
      </c>
      <c r="B3480" s="18" t="s">
        <v>82</v>
      </c>
      <c r="C3480" s="18" t="s">
        <v>83</v>
      </c>
      <c r="D3480" s="18" t="s">
        <v>14242</v>
      </c>
      <c r="E3480" s="18" t="n">
        <v>3</v>
      </c>
      <c r="F3480" s="18" t="s">
        <v>14466</v>
      </c>
      <c r="G3480" s="18" t="s">
        <v>5738</v>
      </c>
      <c r="H3480" s="18" t="s">
        <v>162</v>
      </c>
      <c r="I3480" s="18"/>
      <c r="J3480" s="18"/>
      <c r="K3480" s="18"/>
      <c r="L3480" s="18" t="s">
        <v>129</v>
      </c>
      <c r="M3480" s="18" t="s">
        <v>129</v>
      </c>
      <c r="N3480" s="18"/>
      <c r="O3480" s="18"/>
      <c r="P3480" s="18" t="s">
        <v>14467</v>
      </c>
      <c r="Q3480" s="18" t="s">
        <v>149</v>
      </c>
      <c r="R3480" s="18" t="s">
        <v>14468</v>
      </c>
      <c r="S3480" s="18" t="s">
        <v>133</v>
      </c>
      <c r="T3480" s="18" t="s">
        <v>14469</v>
      </c>
      <c r="U3480" s="18"/>
      <c r="V3480" s="19" t="s">
        <v>29</v>
      </c>
      <c r="W3480" s="19"/>
      <c r="X3480" s="19"/>
      <c r="Y3480" s="20"/>
      <c r="Z3480" s="19"/>
      <c r="AA3480" s="18" t="str">
        <f aca="false">IF(OR(V3480="Aprobada"),R3480,IF(AND(OR(V3480="Aprobada con ajuste",V3480="Rechazada"),W3480&lt;&gt;""),W3480,""))</f>
        <v/>
      </c>
    </row>
    <row r="3481" customFormat="false" ht="43.25" hidden="false" customHeight="false" outlineLevel="0" collapsed="false">
      <c r="A3481" s="18" t="s">
        <v>14470</v>
      </c>
      <c r="B3481" s="18" t="s">
        <v>82</v>
      </c>
      <c r="C3481" s="18" t="s">
        <v>83</v>
      </c>
      <c r="D3481" s="18" t="s">
        <v>14242</v>
      </c>
      <c r="E3481" s="18" t="n">
        <v>3</v>
      </c>
      <c r="F3481" s="18" t="s">
        <v>14471</v>
      </c>
      <c r="G3481" s="18" t="s">
        <v>656</v>
      </c>
      <c r="H3481" s="18" t="s">
        <v>162</v>
      </c>
      <c r="I3481" s="18"/>
      <c r="J3481" s="18"/>
      <c r="K3481" s="18"/>
      <c r="L3481" s="18" t="s">
        <v>129</v>
      </c>
      <c r="M3481" s="18" t="s">
        <v>129</v>
      </c>
      <c r="N3481" s="18"/>
      <c r="O3481" s="18"/>
      <c r="P3481" s="18" t="s">
        <v>14472</v>
      </c>
      <c r="Q3481" s="18" t="s">
        <v>149</v>
      </c>
      <c r="R3481" s="18" t="s">
        <v>14473</v>
      </c>
      <c r="S3481" s="18" t="s">
        <v>140</v>
      </c>
      <c r="T3481" s="18" t="s">
        <v>14474</v>
      </c>
      <c r="U3481" s="18" t="s">
        <v>14475</v>
      </c>
      <c r="V3481" s="19" t="s">
        <v>29</v>
      </c>
      <c r="W3481" s="19"/>
      <c r="X3481" s="19"/>
      <c r="Y3481" s="20"/>
      <c r="Z3481" s="19"/>
      <c r="AA3481" s="18" t="str">
        <f aca="false">IF(OR(V3481="Aprobada"),R3481,IF(AND(OR(V3481="Aprobada con ajuste",V3481="Rechazada"),W3481&lt;&gt;""),W3481,""))</f>
        <v/>
      </c>
    </row>
    <row r="3482" customFormat="false" ht="43.25" hidden="false" customHeight="false" outlineLevel="0" collapsed="false">
      <c r="A3482" s="18" t="s">
        <v>14476</v>
      </c>
      <c r="B3482" s="18" t="s">
        <v>82</v>
      </c>
      <c r="C3482" s="18" t="s">
        <v>83</v>
      </c>
      <c r="D3482" s="18" t="s">
        <v>14242</v>
      </c>
      <c r="E3482" s="18" t="n">
        <v>3</v>
      </c>
      <c r="F3482" s="18" t="s">
        <v>14477</v>
      </c>
      <c r="G3482" s="18" t="s">
        <v>656</v>
      </c>
      <c r="H3482" s="18" t="s">
        <v>162</v>
      </c>
      <c r="I3482" s="18"/>
      <c r="J3482" s="18"/>
      <c r="K3482" s="18"/>
      <c r="L3482" s="18" t="s">
        <v>129</v>
      </c>
      <c r="M3482" s="18" t="s">
        <v>129</v>
      </c>
      <c r="N3482" s="18"/>
      <c r="O3482" s="18"/>
      <c r="P3482" s="18" t="s">
        <v>14478</v>
      </c>
      <c r="Q3482" s="18" t="s">
        <v>149</v>
      </c>
      <c r="R3482" s="18" t="s">
        <v>14479</v>
      </c>
      <c r="S3482" s="18" t="s">
        <v>140</v>
      </c>
      <c r="T3482" s="18" t="s">
        <v>14480</v>
      </c>
      <c r="U3482" s="18" t="s">
        <v>14464</v>
      </c>
      <c r="V3482" s="19" t="s">
        <v>29</v>
      </c>
      <c r="W3482" s="19"/>
      <c r="X3482" s="19"/>
      <c r="Y3482" s="20"/>
      <c r="Z3482" s="19"/>
      <c r="AA3482" s="18" t="str">
        <f aca="false">IF(OR(V3482="Aprobada"),R3482,IF(AND(OR(V3482="Aprobada con ajuste",V3482="Rechazada"),W3482&lt;&gt;""),W3482,""))</f>
        <v/>
      </c>
    </row>
    <row r="3483" customFormat="false" ht="43.25" hidden="false" customHeight="false" outlineLevel="0" collapsed="false">
      <c r="A3483" s="18" t="s">
        <v>14481</v>
      </c>
      <c r="B3483" s="18" t="s">
        <v>82</v>
      </c>
      <c r="C3483" s="18" t="s">
        <v>83</v>
      </c>
      <c r="D3483" s="18" t="s">
        <v>14242</v>
      </c>
      <c r="E3483" s="18" t="n">
        <v>3</v>
      </c>
      <c r="F3483" s="18" t="s">
        <v>14482</v>
      </c>
      <c r="G3483" s="18" t="s">
        <v>14483</v>
      </c>
      <c r="H3483" s="18" t="s">
        <v>162</v>
      </c>
      <c r="I3483" s="18"/>
      <c r="J3483" s="18"/>
      <c r="K3483" s="18"/>
      <c r="L3483" s="18" t="s">
        <v>129</v>
      </c>
      <c r="M3483" s="18" t="s">
        <v>129</v>
      </c>
      <c r="N3483" s="18"/>
      <c r="O3483" s="18"/>
      <c r="P3483" s="18" t="s">
        <v>14484</v>
      </c>
      <c r="Q3483" s="18" t="s">
        <v>149</v>
      </c>
      <c r="R3483" s="18" t="s">
        <v>14485</v>
      </c>
      <c r="S3483" s="18" t="s">
        <v>242</v>
      </c>
      <c r="T3483" s="18" t="s">
        <v>14486</v>
      </c>
      <c r="U3483" s="18" t="s">
        <v>14487</v>
      </c>
      <c r="V3483" s="19" t="s">
        <v>29</v>
      </c>
      <c r="W3483" s="19"/>
      <c r="X3483" s="19"/>
      <c r="Y3483" s="20"/>
      <c r="Z3483" s="19"/>
      <c r="AA3483" s="18" t="str">
        <f aca="false">IF(OR(V3483="Aprobada"),R3483,IF(AND(OR(V3483="Aprobada con ajuste",V3483="Rechazada"),W3483&lt;&gt;""),W3483,""))</f>
        <v/>
      </c>
    </row>
    <row r="3484" customFormat="false" ht="32.8" hidden="false" customHeight="false" outlineLevel="0" collapsed="false">
      <c r="A3484" s="18" t="s">
        <v>14488</v>
      </c>
      <c r="B3484" s="18" t="s">
        <v>82</v>
      </c>
      <c r="C3484" s="18" t="s">
        <v>83</v>
      </c>
      <c r="D3484" s="18" t="s">
        <v>14242</v>
      </c>
      <c r="E3484" s="18" t="n">
        <v>3</v>
      </c>
      <c r="F3484" s="18" t="s">
        <v>14489</v>
      </c>
      <c r="G3484" s="18" t="s">
        <v>14483</v>
      </c>
      <c r="H3484" s="18" t="s">
        <v>162</v>
      </c>
      <c r="I3484" s="18"/>
      <c r="J3484" s="18"/>
      <c r="K3484" s="18"/>
      <c r="L3484" s="18" t="s">
        <v>129</v>
      </c>
      <c r="M3484" s="18" t="s">
        <v>129</v>
      </c>
      <c r="N3484" s="18"/>
      <c r="O3484" s="18"/>
      <c r="P3484" s="18" t="s">
        <v>14490</v>
      </c>
      <c r="Q3484" s="18" t="s">
        <v>149</v>
      </c>
      <c r="R3484" s="18" t="s">
        <v>14491</v>
      </c>
      <c r="S3484" s="18" t="s">
        <v>242</v>
      </c>
      <c r="T3484" s="18" t="s">
        <v>14486</v>
      </c>
      <c r="U3484" s="18" t="s">
        <v>14487</v>
      </c>
      <c r="V3484" s="19" t="s">
        <v>29</v>
      </c>
      <c r="W3484" s="19"/>
      <c r="X3484" s="19"/>
      <c r="Y3484" s="20"/>
      <c r="Z3484" s="19"/>
      <c r="AA3484" s="18" t="str">
        <f aca="false">IF(OR(V3484="Aprobada"),R3484,IF(AND(OR(V3484="Aprobada con ajuste",V3484="Rechazada"),W3484&lt;&gt;""),W3484,""))</f>
        <v/>
      </c>
    </row>
    <row r="3485" customFormat="false" ht="32.8" hidden="false" customHeight="false" outlineLevel="0" collapsed="false">
      <c r="A3485" s="18" t="s">
        <v>14492</v>
      </c>
      <c r="B3485" s="18" t="s">
        <v>82</v>
      </c>
      <c r="C3485" s="18" t="s">
        <v>83</v>
      </c>
      <c r="D3485" s="18" t="s">
        <v>14242</v>
      </c>
      <c r="E3485" s="18" t="n">
        <v>3</v>
      </c>
      <c r="F3485" s="18" t="s">
        <v>14493</v>
      </c>
      <c r="G3485" s="18" t="s">
        <v>656</v>
      </c>
      <c r="H3485" s="18" t="s">
        <v>162</v>
      </c>
      <c r="I3485" s="18"/>
      <c r="J3485" s="18"/>
      <c r="K3485" s="18"/>
      <c r="L3485" s="18" t="s">
        <v>129</v>
      </c>
      <c r="M3485" s="18" t="s">
        <v>129</v>
      </c>
      <c r="N3485" s="18"/>
      <c r="O3485" s="18"/>
      <c r="P3485" s="18" t="s">
        <v>14494</v>
      </c>
      <c r="Q3485" s="18" t="s">
        <v>149</v>
      </c>
      <c r="R3485" s="18" t="s">
        <v>14495</v>
      </c>
      <c r="S3485" s="18" t="s">
        <v>140</v>
      </c>
      <c r="T3485" s="18" t="s">
        <v>14496</v>
      </c>
      <c r="U3485" s="18" t="s">
        <v>14497</v>
      </c>
      <c r="V3485" s="19" t="s">
        <v>29</v>
      </c>
      <c r="W3485" s="19"/>
      <c r="X3485" s="19"/>
      <c r="Y3485" s="20"/>
      <c r="Z3485" s="19"/>
      <c r="AA3485" s="18" t="str">
        <f aca="false">IF(OR(V3485="Aprobada"),R3485,IF(AND(OR(V3485="Aprobada con ajuste",V3485="Rechazada"),W3485&lt;&gt;""),W3485,""))</f>
        <v/>
      </c>
    </row>
    <row r="3486" customFormat="false" ht="43.25" hidden="false" customHeight="false" outlineLevel="0" collapsed="false">
      <c r="A3486" s="18" t="s">
        <v>14498</v>
      </c>
      <c r="B3486" s="18" t="s">
        <v>82</v>
      </c>
      <c r="C3486" s="18" t="s">
        <v>83</v>
      </c>
      <c r="D3486" s="18" t="s">
        <v>14242</v>
      </c>
      <c r="E3486" s="18" t="n">
        <v>3</v>
      </c>
      <c r="F3486" s="18" t="s">
        <v>14499</v>
      </c>
      <c r="G3486" s="18" t="s">
        <v>656</v>
      </c>
      <c r="H3486" s="18" t="s">
        <v>162</v>
      </c>
      <c r="I3486" s="18"/>
      <c r="J3486" s="18"/>
      <c r="K3486" s="18"/>
      <c r="L3486" s="18" t="s">
        <v>129</v>
      </c>
      <c r="M3486" s="18" t="s">
        <v>129</v>
      </c>
      <c r="N3486" s="18"/>
      <c r="O3486" s="18"/>
      <c r="P3486" s="18" t="s">
        <v>14500</v>
      </c>
      <c r="Q3486" s="18" t="s">
        <v>149</v>
      </c>
      <c r="R3486" s="18" t="s">
        <v>14501</v>
      </c>
      <c r="S3486" s="18" t="s">
        <v>140</v>
      </c>
      <c r="T3486" s="18" t="s">
        <v>14502</v>
      </c>
      <c r="U3486" s="18" t="s">
        <v>14503</v>
      </c>
      <c r="V3486" s="19" t="s">
        <v>29</v>
      </c>
      <c r="W3486" s="19"/>
      <c r="X3486" s="19"/>
      <c r="Y3486" s="20"/>
      <c r="Z3486" s="19"/>
      <c r="AA3486" s="18" t="str">
        <f aca="false">IF(OR(V3486="Aprobada"),R3486,IF(AND(OR(V3486="Aprobada con ajuste",V3486="Rechazada"),W3486&lt;&gt;""),W3486,""))</f>
        <v/>
      </c>
    </row>
    <row r="3487" customFormat="false" ht="43.25" hidden="false" customHeight="false" outlineLevel="0" collapsed="false">
      <c r="A3487" s="18" t="s">
        <v>14504</v>
      </c>
      <c r="B3487" s="18" t="s">
        <v>82</v>
      </c>
      <c r="C3487" s="18" t="s">
        <v>83</v>
      </c>
      <c r="D3487" s="18" t="s">
        <v>14242</v>
      </c>
      <c r="E3487" s="18" t="n">
        <v>3</v>
      </c>
      <c r="F3487" s="18" t="s">
        <v>14505</v>
      </c>
      <c r="G3487" s="18" t="s">
        <v>656</v>
      </c>
      <c r="H3487" s="18" t="s">
        <v>162</v>
      </c>
      <c r="I3487" s="18"/>
      <c r="J3487" s="18"/>
      <c r="K3487" s="18"/>
      <c r="L3487" s="18" t="s">
        <v>129</v>
      </c>
      <c r="M3487" s="18" t="s">
        <v>129</v>
      </c>
      <c r="N3487" s="18"/>
      <c r="O3487" s="18"/>
      <c r="P3487" s="18" t="s">
        <v>14506</v>
      </c>
      <c r="Q3487" s="18" t="s">
        <v>149</v>
      </c>
      <c r="R3487" s="18" t="s">
        <v>14507</v>
      </c>
      <c r="S3487" s="18" t="s">
        <v>140</v>
      </c>
      <c r="T3487" s="18" t="s">
        <v>14508</v>
      </c>
      <c r="U3487" s="18" t="s">
        <v>14509</v>
      </c>
      <c r="V3487" s="19" t="s">
        <v>29</v>
      </c>
      <c r="W3487" s="19"/>
      <c r="X3487" s="19"/>
      <c r="Y3487" s="20"/>
      <c r="Z3487" s="19"/>
      <c r="AA3487" s="18" t="str">
        <f aca="false">IF(OR(V3487="Aprobada"),R3487,IF(AND(OR(V3487="Aprobada con ajuste",V3487="Rechazada"),W3487&lt;&gt;""),W3487,""))</f>
        <v/>
      </c>
    </row>
    <row r="3488" customFormat="false" ht="32.8" hidden="false" customHeight="false" outlineLevel="0" collapsed="false">
      <c r="A3488" s="18" t="s">
        <v>14510</v>
      </c>
      <c r="B3488" s="18" t="s">
        <v>82</v>
      </c>
      <c r="C3488" s="18" t="s">
        <v>83</v>
      </c>
      <c r="D3488" s="18" t="s">
        <v>14242</v>
      </c>
      <c r="E3488" s="18" t="n">
        <v>3</v>
      </c>
      <c r="F3488" s="18" t="s">
        <v>14511</v>
      </c>
      <c r="G3488" s="18" t="s">
        <v>486</v>
      </c>
      <c r="H3488" s="18" t="s">
        <v>162</v>
      </c>
      <c r="I3488" s="18"/>
      <c r="J3488" s="18"/>
      <c r="K3488" s="18"/>
      <c r="L3488" s="18" t="s">
        <v>129</v>
      </c>
      <c r="M3488" s="18" t="s">
        <v>129</v>
      </c>
      <c r="N3488" s="18"/>
      <c r="O3488" s="18"/>
      <c r="P3488" s="18" t="s">
        <v>14512</v>
      </c>
      <c r="Q3488" s="18" t="s">
        <v>149</v>
      </c>
      <c r="R3488" s="18" t="s">
        <v>14513</v>
      </c>
      <c r="S3488" s="18" t="s">
        <v>133</v>
      </c>
      <c r="T3488" s="18" t="s">
        <v>14514</v>
      </c>
      <c r="U3488" s="18"/>
      <c r="V3488" s="19" t="s">
        <v>29</v>
      </c>
      <c r="W3488" s="19"/>
      <c r="X3488" s="19"/>
      <c r="Y3488" s="20"/>
      <c r="Z3488" s="19"/>
      <c r="AA3488" s="18" t="str">
        <f aca="false">IF(OR(V3488="Aprobada"),R3488,IF(AND(OR(V3488="Aprobada con ajuste",V3488="Rechazada"),W3488&lt;&gt;""),W3488,""))</f>
        <v/>
      </c>
    </row>
    <row r="3489" customFormat="false" ht="32.8" hidden="false" customHeight="false" outlineLevel="0" collapsed="false">
      <c r="A3489" s="18" t="s">
        <v>14515</v>
      </c>
      <c r="B3489" s="18" t="s">
        <v>82</v>
      </c>
      <c r="C3489" s="18" t="s">
        <v>83</v>
      </c>
      <c r="D3489" s="18" t="s">
        <v>14242</v>
      </c>
      <c r="E3489" s="18" t="n">
        <v>3</v>
      </c>
      <c r="F3489" s="18" t="s">
        <v>14516</v>
      </c>
      <c r="G3489" s="18" t="s">
        <v>128</v>
      </c>
      <c r="H3489" s="18" t="s">
        <v>162</v>
      </c>
      <c r="I3489" s="18"/>
      <c r="J3489" s="18"/>
      <c r="K3489" s="18"/>
      <c r="L3489" s="18" t="s">
        <v>129</v>
      </c>
      <c r="M3489" s="18" t="s">
        <v>129</v>
      </c>
      <c r="N3489" s="18"/>
      <c r="O3489" s="18"/>
      <c r="P3489" s="18" t="s">
        <v>14517</v>
      </c>
      <c r="Q3489" s="18" t="s">
        <v>149</v>
      </c>
      <c r="R3489" s="18" t="s">
        <v>14518</v>
      </c>
      <c r="S3489" s="18" t="s">
        <v>133</v>
      </c>
      <c r="T3489" s="18" t="s">
        <v>14519</v>
      </c>
      <c r="U3489" s="18"/>
      <c r="V3489" s="19" t="s">
        <v>29</v>
      </c>
      <c r="W3489" s="19"/>
      <c r="X3489" s="19"/>
      <c r="Y3489" s="20"/>
      <c r="Z3489" s="19"/>
      <c r="AA3489" s="18" t="str">
        <f aca="false">IF(OR(V3489="Aprobada"),R3489,IF(AND(OR(V3489="Aprobada con ajuste",V3489="Rechazada"),W3489&lt;&gt;""),W3489,""))</f>
        <v/>
      </c>
    </row>
    <row r="3490" customFormat="false" ht="32.8" hidden="false" customHeight="false" outlineLevel="0" collapsed="false">
      <c r="A3490" s="18" t="s">
        <v>14520</v>
      </c>
      <c r="B3490" s="18" t="s">
        <v>82</v>
      </c>
      <c r="C3490" s="18" t="s">
        <v>83</v>
      </c>
      <c r="D3490" s="18" t="s">
        <v>14242</v>
      </c>
      <c r="E3490" s="18" t="n">
        <v>3</v>
      </c>
      <c r="F3490" s="18" t="s">
        <v>14521</v>
      </c>
      <c r="G3490" s="18" t="s">
        <v>128</v>
      </c>
      <c r="H3490" s="18" t="s">
        <v>162</v>
      </c>
      <c r="I3490" s="18"/>
      <c r="J3490" s="18"/>
      <c r="K3490" s="18"/>
      <c r="L3490" s="18" t="s">
        <v>129</v>
      </c>
      <c r="M3490" s="18" t="s">
        <v>129</v>
      </c>
      <c r="N3490" s="18"/>
      <c r="O3490" s="18"/>
      <c r="P3490" s="18" t="s">
        <v>14522</v>
      </c>
      <c r="Q3490" s="18" t="s">
        <v>149</v>
      </c>
      <c r="R3490" s="18" t="s">
        <v>14523</v>
      </c>
      <c r="S3490" s="18" t="s">
        <v>140</v>
      </c>
      <c r="T3490" s="18" t="s">
        <v>2122</v>
      </c>
      <c r="U3490" s="18" t="s">
        <v>14524</v>
      </c>
      <c r="V3490" s="19" t="s">
        <v>29</v>
      </c>
      <c r="W3490" s="19"/>
      <c r="X3490" s="19"/>
      <c r="Y3490" s="20"/>
      <c r="Z3490" s="19"/>
      <c r="AA3490" s="18" t="str">
        <f aca="false">IF(OR(V3490="Aprobada"),R3490,IF(AND(OR(V3490="Aprobada con ajuste",V3490="Rechazada"),W3490&lt;&gt;""),W3490,""))</f>
        <v/>
      </c>
    </row>
    <row r="3491" customFormat="false" ht="64.15" hidden="false" customHeight="false" outlineLevel="0" collapsed="false">
      <c r="A3491" s="18" t="s">
        <v>14525</v>
      </c>
      <c r="B3491" s="18" t="s">
        <v>82</v>
      </c>
      <c r="C3491" s="18" t="s">
        <v>83</v>
      </c>
      <c r="D3491" s="18" t="s">
        <v>14526</v>
      </c>
      <c r="E3491" s="18" t="n">
        <v>0</v>
      </c>
      <c r="F3491" s="18" t="s">
        <v>5530</v>
      </c>
      <c r="G3491" s="18" t="s">
        <v>145</v>
      </c>
      <c r="H3491" s="18" t="s">
        <v>162</v>
      </c>
      <c r="I3491" s="18"/>
      <c r="J3491" s="18"/>
      <c r="K3491" s="18"/>
      <c r="L3491" s="18" t="s">
        <v>162</v>
      </c>
      <c r="M3491" s="18" t="s">
        <v>129</v>
      </c>
      <c r="N3491" s="18"/>
      <c r="O3491" s="18"/>
      <c r="P3491" s="18" t="s">
        <v>14527</v>
      </c>
      <c r="Q3491" s="18" t="s">
        <v>131</v>
      </c>
      <c r="R3491" s="18" t="s">
        <v>14528</v>
      </c>
      <c r="S3491" s="18" t="s">
        <v>133</v>
      </c>
      <c r="T3491" s="18" t="s">
        <v>14529</v>
      </c>
      <c r="U3491" s="18"/>
      <c r="V3491" s="19" t="s">
        <v>29</v>
      </c>
      <c r="W3491" s="19"/>
      <c r="X3491" s="19"/>
      <c r="Y3491" s="20"/>
      <c r="Z3491" s="19"/>
      <c r="AA3491" s="18" t="str">
        <f aca="false">IF(OR(V3491="Aprobada"),R3491,IF(AND(OR(V3491="Aprobada con ajuste",V3491="Rechazada"),W3491&lt;&gt;""),W3491,""))</f>
        <v/>
      </c>
    </row>
    <row r="3492" customFormat="false" ht="64.15" hidden="false" customHeight="false" outlineLevel="0" collapsed="false">
      <c r="A3492" s="18" t="s">
        <v>14530</v>
      </c>
      <c r="B3492" s="18" t="s">
        <v>82</v>
      </c>
      <c r="C3492" s="18" t="s">
        <v>83</v>
      </c>
      <c r="D3492" s="18" t="s">
        <v>14526</v>
      </c>
      <c r="E3492" s="18" t="n">
        <v>0</v>
      </c>
      <c r="F3492" s="18" t="s">
        <v>1734</v>
      </c>
      <c r="G3492" s="18" t="s">
        <v>312</v>
      </c>
      <c r="H3492" s="18" t="s">
        <v>129</v>
      </c>
      <c r="I3492" s="18"/>
      <c r="J3492" s="18"/>
      <c r="K3492" s="18"/>
      <c r="L3492" s="18" t="s">
        <v>162</v>
      </c>
      <c r="M3492" s="18" t="s">
        <v>129</v>
      </c>
      <c r="N3492" s="18"/>
      <c r="O3492" s="18"/>
      <c r="P3492" s="18" t="s">
        <v>14531</v>
      </c>
      <c r="Q3492" s="18" t="s">
        <v>131</v>
      </c>
      <c r="R3492" s="18" t="s">
        <v>14532</v>
      </c>
      <c r="S3492" s="18" t="s">
        <v>133</v>
      </c>
      <c r="T3492" s="18" t="s">
        <v>14533</v>
      </c>
      <c r="U3492" s="18" t="s">
        <v>14534</v>
      </c>
      <c r="V3492" s="19" t="s">
        <v>29</v>
      </c>
      <c r="W3492" s="19"/>
      <c r="X3492" s="19"/>
      <c r="Y3492" s="20"/>
      <c r="Z3492" s="19"/>
      <c r="AA3492" s="18" t="str">
        <f aca="false">IF(OR(V3492="Aprobada"),R3492,IF(AND(OR(V3492="Aprobada con ajuste",V3492="Rechazada"),W3492&lt;&gt;""),W3492,""))</f>
        <v/>
      </c>
    </row>
    <row r="3493" customFormat="false" ht="64.15" hidden="false" customHeight="false" outlineLevel="0" collapsed="false">
      <c r="A3493" s="18" t="s">
        <v>14535</v>
      </c>
      <c r="B3493" s="18" t="s">
        <v>82</v>
      </c>
      <c r="C3493" s="18" t="s">
        <v>83</v>
      </c>
      <c r="D3493" s="18" t="s">
        <v>14526</v>
      </c>
      <c r="E3493" s="18" t="n">
        <v>0</v>
      </c>
      <c r="F3493" s="18" t="s">
        <v>305</v>
      </c>
      <c r="G3493" s="18" t="s">
        <v>180</v>
      </c>
      <c r="H3493" s="18" t="s">
        <v>162</v>
      </c>
      <c r="I3493" s="18"/>
      <c r="J3493" s="18"/>
      <c r="K3493" s="18"/>
      <c r="L3493" s="18" t="s">
        <v>162</v>
      </c>
      <c r="M3493" s="18" t="s">
        <v>129</v>
      </c>
      <c r="N3493" s="18"/>
      <c r="O3493" s="18"/>
      <c r="P3493" s="18" t="s">
        <v>14536</v>
      </c>
      <c r="Q3493" s="18" t="s">
        <v>131</v>
      </c>
      <c r="R3493" s="18" t="s">
        <v>14537</v>
      </c>
      <c r="S3493" s="18" t="s">
        <v>133</v>
      </c>
      <c r="T3493" s="18" t="s">
        <v>14538</v>
      </c>
      <c r="U3493" s="18"/>
      <c r="V3493" s="19" t="s">
        <v>29</v>
      </c>
      <c r="W3493" s="19"/>
      <c r="X3493" s="19"/>
      <c r="Y3493" s="20"/>
      <c r="Z3493" s="19"/>
      <c r="AA3493" s="18" t="str">
        <f aca="false">IF(OR(V3493="Aprobada"),R3493,IF(AND(OR(V3493="Aprobada con ajuste",V3493="Rechazada"),W3493&lt;&gt;""),W3493,""))</f>
        <v/>
      </c>
    </row>
    <row r="3494" customFormat="false" ht="53.7" hidden="false" customHeight="false" outlineLevel="0" collapsed="false">
      <c r="A3494" s="18" t="s">
        <v>14539</v>
      </c>
      <c r="B3494" s="18" t="s">
        <v>82</v>
      </c>
      <c r="C3494" s="18" t="s">
        <v>83</v>
      </c>
      <c r="D3494" s="18" t="s">
        <v>14540</v>
      </c>
      <c r="E3494" s="18" t="n">
        <v>3</v>
      </c>
      <c r="F3494" s="18" t="s">
        <v>14541</v>
      </c>
      <c r="G3494" s="18" t="s">
        <v>145</v>
      </c>
      <c r="H3494" s="18" t="s">
        <v>129</v>
      </c>
      <c r="I3494" s="18" t="s">
        <v>146</v>
      </c>
      <c r="J3494" s="18"/>
      <c r="K3494" s="18"/>
      <c r="L3494" s="18" t="s">
        <v>162</v>
      </c>
      <c r="M3494" s="18" t="s">
        <v>129</v>
      </c>
      <c r="N3494" s="18"/>
      <c r="O3494" s="18" t="s">
        <v>14542</v>
      </c>
      <c r="P3494" s="18" t="s">
        <v>14543</v>
      </c>
      <c r="Q3494" s="18" t="s">
        <v>149</v>
      </c>
      <c r="R3494" s="18" t="s">
        <v>14544</v>
      </c>
      <c r="S3494" s="18" t="s">
        <v>140</v>
      </c>
      <c r="T3494" s="18" t="s">
        <v>13580</v>
      </c>
      <c r="U3494" s="18" t="s">
        <v>14545</v>
      </c>
      <c r="V3494" s="19" t="s">
        <v>29</v>
      </c>
      <c r="W3494" s="19"/>
      <c r="X3494" s="19"/>
      <c r="Y3494" s="20"/>
      <c r="Z3494" s="19"/>
      <c r="AA3494" s="18" t="str">
        <f aca="false">IF(OR(V3494="Aprobada"),R3494,IF(AND(OR(V3494="Aprobada con ajuste",V3494="Rechazada"),W3494&lt;&gt;""),W3494,""))</f>
        <v/>
      </c>
    </row>
    <row r="3495" customFormat="false" ht="32.8" hidden="false" customHeight="false" outlineLevel="0" collapsed="false">
      <c r="A3495" s="18" t="s">
        <v>14546</v>
      </c>
      <c r="B3495" s="18" t="s">
        <v>82</v>
      </c>
      <c r="C3495" s="18" t="s">
        <v>83</v>
      </c>
      <c r="D3495" s="18" t="s">
        <v>14540</v>
      </c>
      <c r="E3495" s="18" t="n">
        <v>3</v>
      </c>
      <c r="F3495" s="18" t="s">
        <v>13819</v>
      </c>
      <c r="G3495" s="18" t="s">
        <v>3994</v>
      </c>
      <c r="H3495" s="18" t="s">
        <v>129</v>
      </c>
      <c r="I3495" s="18"/>
      <c r="J3495" s="18"/>
      <c r="K3495" s="18"/>
      <c r="L3495" s="18" t="s">
        <v>162</v>
      </c>
      <c r="M3495" s="18" t="s">
        <v>129</v>
      </c>
      <c r="N3495" s="18"/>
      <c r="O3495" s="18"/>
      <c r="P3495" s="18" t="s">
        <v>14547</v>
      </c>
      <c r="Q3495" s="18" t="s">
        <v>149</v>
      </c>
      <c r="R3495" s="18" t="s">
        <v>14548</v>
      </c>
      <c r="S3495" s="18" t="s">
        <v>140</v>
      </c>
      <c r="T3495" s="18" t="s">
        <v>14549</v>
      </c>
      <c r="U3495" s="18" t="s">
        <v>14352</v>
      </c>
      <c r="V3495" s="19" t="s">
        <v>29</v>
      </c>
      <c r="W3495" s="19"/>
      <c r="X3495" s="19"/>
      <c r="Y3495" s="20"/>
      <c r="Z3495" s="19"/>
      <c r="AA3495" s="18" t="str">
        <f aca="false">IF(OR(V3495="Aprobada"),R3495,IF(AND(OR(V3495="Aprobada con ajuste",V3495="Rechazada"),W3495&lt;&gt;""),W3495,""))</f>
        <v/>
      </c>
    </row>
    <row r="3496" customFormat="false" ht="32.8" hidden="false" customHeight="false" outlineLevel="0" collapsed="false">
      <c r="A3496" s="18" t="s">
        <v>14550</v>
      </c>
      <c r="B3496" s="18" t="s">
        <v>82</v>
      </c>
      <c r="C3496" s="18" t="s">
        <v>83</v>
      </c>
      <c r="D3496" s="18" t="s">
        <v>14540</v>
      </c>
      <c r="E3496" s="18" t="n">
        <v>3</v>
      </c>
      <c r="F3496" s="18" t="s">
        <v>172</v>
      </c>
      <c r="G3496" s="18" t="s">
        <v>173</v>
      </c>
      <c r="H3496" s="18" t="s">
        <v>129</v>
      </c>
      <c r="I3496" s="18"/>
      <c r="J3496" s="18"/>
      <c r="K3496" s="18"/>
      <c r="L3496" s="18" t="s">
        <v>162</v>
      </c>
      <c r="M3496" s="18" t="s">
        <v>129</v>
      </c>
      <c r="N3496" s="18"/>
      <c r="O3496" s="18" t="s">
        <v>14551</v>
      </c>
      <c r="P3496" s="18" t="s">
        <v>14552</v>
      </c>
      <c r="Q3496" s="18" t="s">
        <v>138</v>
      </c>
      <c r="R3496" s="18" t="s">
        <v>176</v>
      </c>
      <c r="S3496" s="18" t="s">
        <v>140</v>
      </c>
      <c r="T3496" s="18" t="s">
        <v>141</v>
      </c>
      <c r="U3496" s="18"/>
      <c r="V3496" s="19" t="s">
        <v>29</v>
      </c>
      <c r="W3496" s="19"/>
      <c r="X3496" s="19"/>
      <c r="Y3496" s="20"/>
      <c r="Z3496" s="19"/>
      <c r="AA3496" s="18" t="str">
        <f aca="false">IF(OR(V3496="Aprobada"),R3496,IF(AND(OR(V3496="Aprobada con ajuste",V3496="Rechazada"),W3496&lt;&gt;""),W3496,""))</f>
        <v/>
      </c>
    </row>
    <row r="3497" customFormat="false" ht="43.25" hidden="false" customHeight="false" outlineLevel="0" collapsed="false">
      <c r="A3497" s="18" t="s">
        <v>14553</v>
      </c>
      <c r="B3497" s="18" t="s">
        <v>82</v>
      </c>
      <c r="C3497" s="18" t="s">
        <v>83</v>
      </c>
      <c r="D3497" s="18" t="s">
        <v>14554</v>
      </c>
      <c r="E3497" s="18" t="n">
        <v>42</v>
      </c>
      <c r="F3497" s="18" t="s">
        <v>14184</v>
      </c>
      <c r="G3497" s="18" t="s">
        <v>486</v>
      </c>
      <c r="H3497" s="18" t="s">
        <v>129</v>
      </c>
      <c r="I3497" s="18"/>
      <c r="J3497" s="18"/>
      <c r="K3497" s="18"/>
      <c r="L3497" s="18" t="s">
        <v>129</v>
      </c>
      <c r="M3497" s="18" t="s">
        <v>129</v>
      </c>
      <c r="N3497" s="18"/>
      <c r="O3497" s="18" t="s">
        <v>14555</v>
      </c>
      <c r="P3497" s="18" t="s">
        <v>14556</v>
      </c>
      <c r="Q3497" s="18" t="s">
        <v>149</v>
      </c>
      <c r="R3497" s="18" t="s">
        <v>14557</v>
      </c>
      <c r="S3497" s="18" t="s">
        <v>133</v>
      </c>
      <c r="T3497" s="18" t="s">
        <v>14558</v>
      </c>
      <c r="U3497" s="18"/>
      <c r="V3497" s="19" t="s">
        <v>29</v>
      </c>
      <c r="W3497" s="19"/>
      <c r="X3497" s="19"/>
      <c r="Y3497" s="20"/>
      <c r="Z3497" s="19"/>
      <c r="AA3497" s="18" t="str">
        <f aca="false">IF(OR(V3497="Aprobada"),R3497,IF(AND(OR(V3497="Aprobada con ajuste",V3497="Rechazada"),W3497&lt;&gt;""),W3497,""))</f>
        <v/>
      </c>
    </row>
    <row r="3498" customFormat="false" ht="43.25" hidden="false" customHeight="false" outlineLevel="0" collapsed="false">
      <c r="A3498" s="18" t="s">
        <v>14559</v>
      </c>
      <c r="B3498" s="18" t="s">
        <v>82</v>
      </c>
      <c r="C3498" s="18" t="s">
        <v>83</v>
      </c>
      <c r="D3498" s="18" t="s">
        <v>14554</v>
      </c>
      <c r="E3498" s="18" t="n">
        <v>42</v>
      </c>
      <c r="F3498" s="18" t="s">
        <v>14190</v>
      </c>
      <c r="G3498" s="18" t="s">
        <v>486</v>
      </c>
      <c r="H3498" s="18" t="s">
        <v>129</v>
      </c>
      <c r="I3498" s="18"/>
      <c r="J3498" s="18"/>
      <c r="K3498" s="18"/>
      <c r="L3498" s="18" t="s">
        <v>129</v>
      </c>
      <c r="M3498" s="18" t="s">
        <v>129</v>
      </c>
      <c r="N3498" s="18"/>
      <c r="O3498" s="18" t="s">
        <v>14555</v>
      </c>
      <c r="P3498" s="18" t="s">
        <v>14560</v>
      </c>
      <c r="Q3498" s="18" t="s">
        <v>149</v>
      </c>
      <c r="R3498" s="18" t="s">
        <v>14561</v>
      </c>
      <c r="S3498" s="18" t="s">
        <v>133</v>
      </c>
      <c r="T3498" s="18" t="s">
        <v>14562</v>
      </c>
      <c r="U3498" s="18"/>
      <c r="V3498" s="19" t="s">
        <v>29</v>
      </c>
      <c r="W3498" s="19"/>
      <c r="X3498" s="19"/>
      <c r="Y3498" s="20"/>
      <c r="Z3498" s="19"/>
      <c r="AA3498" s="18" t="str">
        <f aca="false">IF(OR(V3498="Aprobada"),R3498,IF(AND(OR(V3498="Aprobada con ajuste",V3498="Rechazada"),W3498&lt;&gt;""),W3498,""))</f>
        <v/>
      </c>
    </row>
    <row r="3499" customFormat="false" ht="43.25" hidden="false" customHeight="false" outlineLevel="0" collapsed="false">
      <c r="A3499" s="18" t="s">
        <v>14563</v>
      </c>
      <c r="B3499" s="18" t="s">
        <v>82</v>
      </c>
      <c r="C3499" s="18" t="s">
        <v>83</v>
      </c>
      <c r="D3499" s="18" t="s">
        <v>14554</v>
      </c>
      <c r="E3499" s="18" t="n">
        <v>42</v>
      </c>
      <c r="F3499" s="18" t="s">
        <v>14564</v>
      </c>
      <c r="G3499" s="18" t="s">
        <v>828</v>
      </c>
      <c r="H3499" s="18" t="s">
        <v>129</v>
      </c>
      <c r="I3499" s="18"/>
      <c r="J3499" s="18"/>
      <c r="K3499" s="18"/>
      <c r="L3499" s="18" t="s">
        <v>129</v>
      </c>
      <c r="M3499" s="18" t="s">
        <v>129</v>
      </c>
      <c r="N3499" s="18"/>
      <c r="O3499" s="18" t="s">
        <v>14565</v>
      </c>
      <c r="P3499" s="18" t="s">
        <v>14566</v>
      </c>
      <c r="Q3499" s="18" t="s">
        <v>149</v>
      </c>
      <c r="R3499" s="18" t="s">
        <v>14567</v>
      </c>
      <c r="S3499" s="18" t="s">
        <v>133</v>
      </c>
      <c r="T3499" s="18" t="s">
        <v>14568</v>
      </c>
      <c r="U3499" s="18"/>
      <c r="V3499" s="19" t="s">
        <v>29</v>
      </c>
      <c r="W3499" s="19"/>
      <c r="X3499" s="19"/>
      <c r="Y3499" s="20"/>
      <c r="Z3499" s="19"/>
      <c r="AA3499" s="18" t="str">
        <f aca="false">IF(OR(V3499="Aprobada"),R3499,IF(AND(OR(V3499="Aprobada con ajuste",V3499="Rechazada"),W3499&lt;&gt;""),W3499,""))</f>
        <v/>
      </c>
    </row>
    <row r="3500" customFormat="false" ht="43.25" hidden="false" customHeight="false" outlineLevel="0" collapsed="false">
      <c r="A3500" s="18" t="s">
        <v>14569</v>
      </c>
      <c r="B3500" s="18" t="s">
        <v>82</v>
      </c>
      <c r="C3500" s="18" t="s">
        <v>83</v>
      </c>
      <c r="D3500" s="18" t="s">
        <v>14554</v>
      </c>
      <c r="E3500" s="18" t="n">
        <v>42</v>
      </c>
      <c r="F3500" s="18" t="s">
        <v>14570</v>
      </c>
      <c r="G3500" s="18" t="s">
        <v>828</v>
      </c>
      <c r="H3500" s="18" t="s">
        <v>129</v>
      </c>
      <c r="I3500" s="18"/>
      <c r="J3500" s="18"/>
      <c r="K3500" s="18"/>
      <c r="L3500" s="18" t="s">
        <v>129</v>
      </c>
      <c r="M3500" s="18" t="s">
        <v>129</v>
      </c>
      <c r="N3500" s="18"/>
      <c r="O3500" s="18" t="s">
        <v>14565</v>
      </c>
      <c r="P3500" s="18" t="s">
        <v>14571</v>
      </c>
      <c r="Q3500" s="18" t="s">
        <v>149</v>
      </c>
      <c r="R3500" s="18" t="s">
        <v>14572</v>
      </c>
      <c r="S3500" s="18" t="s">
        <v>133</v>
      </c>
      <c r="T3500" s="18" t="s">
        <v>14568</v>
      </c>
      <c r="U3500" s="18"/>
      <c r="V3500" s="19" t="s">
        <v>29</v>
      </c>
      <c r="W3500" s="19"/>
      <c r="X3500" s="19"/>
      <c r="Y3500" s="20"/>
      <c r="Z3500" s="19"/>
      <c r="AA3500" s="18" t="str">
        <f aca="false">IF(OR(V3500="Aprobada"),R3500,IF(AND(OR(V3500="Aprobada con ajuste",V3500="Rechazada"),W3500&lt;&gt;""),W3500,""))</f>
        <v/>
      </c>
    </row>
    <row r="3501" customFormat="false" ht="43.25" hidden="false" customHeight="false" outlineLevel="0" collapsed="false">
      <c r="A3501" s="18" t="s">
        <v>14573</v>
      </c>
      <c r="B3501" s="18" t="s">
        <v>82</v>
      </c>
      <c r="C3501" s="18" t="s">
        <v>83</v>
      </c>
      <c r="D3501" s="18" t="s">
        <v>14554</v>
      </c>
      <c r="E3501" s="18" t="n">
        <v>42</v>
      </c>
      <c r="F3501" s="18" t="s">
        <v>14574</v>
      </c>
      <c r="G3501" s="18" t="s">
        <v>656</v>
      </c>
      <c r="H3501" s="18" t="s">
        <v>129</v>
      </c>
      <c r="I3501" s="18"/>
      <c r="J3501" s="18"/>
      <c r="K3501" s="18"/>
      <c r="L3501" s="18" t="s">
        <v>129</v>
      </c>
      <c r="M3501" s="18" t="s">
        <v>129</v>
      </c>
      <c r="N3501" s="18"/>
      <c r="O3501" s="18"/>
      <c r="P3501" s="18" t="s">
        <v>14575</v>
      </c>
      <c r="Q3501" s="18" t="s">
        <v>149</v>
      </c>
      <c r="R3501" s="18" t="s">
        <v>14576</v>
      </c>
      <c r="S3501" s="18" t="s">
        <v>140</v>
      </c>
      <c r="T3501" s="18" t="s">
        <v>14577</v>
      </c>
      <c r="U3501" s="18" t="s">
        <v>14578</v>
      </c>
      <c r="V3501" s="19" t="s">
        <v>29</v>
      </c>
      <c r="W3501" s="19"/>
      <c r="X3501" s="19"/>
      <c r="Y3501" s="20"/>
      <c r="Z3501" s="19"/>
      <c r="AA3501" s="18" t="str">
        <f aca="false">IF(OR(V3501="Aprobada"),R3501,IF(AND(OR(V3501="Aprobada con ajuste",V3501="Rechazada"),W3501&lt;&gt;""),W3501,""))</f>
        <v/>
      </c>
    </row>
    <row r="3502" customFormat="false" ht="43.25" hidden="false" customHeight="false" outlineLevel="0" collapsed="false">
      <c r="A3502" s="18" t="s">
        <v>14579</v>
      </c>
      <c r="B3502" s="18" t="s">
        <v>82</v>
      </c>
      <c r="C3502" s="18" t="s">
        <v>83</v>
      </c>
      <c r="D3502" s="18" t="s">
        <v>14554</v>
      </c>
      <c r="E3502" s="18" t="n">
        <v>42</v>
      </c>
      <c r="F3502" s="18" t="s">
        <v>14580</v>
      </c>
      <c r="G3502" s="18" t="s">
        <v>656</v>
      </c>
      <c r="H3502" s="18" t="s">
        <v>162</v>
      </c>
      <c r="I3502" s="18"/>
      <c r="J3502" s="18"/>
      <c r="K3502" s="18"/>
      <c r="L3502" s="18" t="s">
        <v>129</v>
      </c>
      <c r="M3502" s="18" t="s">
        <v>129</v>
      </c>
      <c r="N3502" s="18"/>
      <c r="O3502" s="18"/>
      <c r="P3502" s="18" t="s">
        <v>14581</v>
      </c>
      <c r="Q3502" s="18" t="s">
        <v>149</v>
      </c>
      <c r="R3502" s="18" t="s">
        <v>14582</v>
      </c>
      <c r="S3502" s="18" t="s">
        <v>140</v>
      </c>
      <c r="T3502" s="18" t="s">
        <v>14583</v>
      </c>
      <c r="U3502" s="18" t="s">
        <v>14578</v>
      </c>
      <c r="V3502" s="19" t="s">
        <v>29</v>
      </c>
      <c r="W3502" s="19"/>
      <c r="X3502" s="19"/>
      <c r="Y3502" s="20"/>
      <c r="Z3502" s="19"/>
      <c r="AA3502" s="18" t="str">
        <f aca="false">IF(OR(V3502="Aprobada"),R3502,IF(AND(OR(V3502="Aprobada con ajuste",V3502="Rechazada"),W3502&lt;&gt;""),W3502,""))</f>
        <v/>
      </c>
    </row>
    <row r="3503" customFormat="false" ht="43.25" hidden="false" customHeight="false" outlineLevel="0" collapsed="false">
      <c r="A3503" s="18" t="s">
        <v>14584</v>
      </c>
      <c r="B3503" s="18" t="s">
        <v>82</v>
      </c>
      <c r="C3503" s="18" t="s">
        <v>83</v>
      </c>
      <c r="D3503" s="18" t="s">
        <v>14554</v>
      </c>
      <c r="E3503" s="18" t="n">
        <v>42</v>
      </c>
      <c r="F3503" s="18" t="s">
        <v>14585</v>
      </c>
      <c r="G3503" s="18" t="s">
        <v>656</v>
      </c>
      <c r="H3503" s="18" t="s">
        <v>162</v>
      </c>
      <c r="I3503" s="18"/>
      <c r="J3503" s="18"/>
      <c r="K3503" s="18"/>
      <c r="L3503" s="18" t="s">
        <v>129</v>
      </c>
      <c r="M3503" s="18" t="s">
        <v>129</v>
      </c>
      <c r="N3503" s="18"/>
      <c r="O3503" s="18"/>
      <c r="P3503" s="18" t="s">
        <v>14586</v>
      </c>
      <c r="Q3503" s="18" t="s">
        <v>149</v>
      </c>
      <c r="R3503" s="18" t="s">
        <v>14587</v>
      </c>
      <c r="S3503" s="18" t="s">
        <v>140</v>
      </c>
      <c r="T3503" s="18" t="s">
        <v>14583</v>
      </c>
      <c r="U3503" s="18" t="s">
        <v>14578</v>
      </c>
      <c r="V3503" s="19" t="s">
        <v>29</v>
      </c>
      <c r="W3503" s="19"/>
      <c r="X3503" s="19"/>
      <c r="Y3503" s="20"/>
      <c r="Z3503" s="19"/>
      <c r="AA3503" s="18" t="str">
        <f aca="false">IF(OR(V3503="Aprobada"),R3503,IF(AND(OR(V3503="Aprobada con ajuste",V3503="Rechazada"),W3503&lt;&gt;""),W3503,""))</f>
        <v/>
      </c>
    </row>
    <row r="3504" customFormat="false" ht="43.25" hidden="false" customHeight="false" outlineLevel="0" collapsed="false">
      <c r="A3504" s="18" t="s">
        <v>14588</v>
      </c>
      <c r="B3504" s="18" t="s">
        <v>82</v>
      </c>
      <c r="C3504" s="18" t="s">
        <v>83</v>
      </c>
      <c r="D3504" s="18" t="s">
        <v>14554</v>
      </c>
      <c r="E3504" s="18" t="n">
        <v>42</v>
      </c>
      <c r="F3504" s="18" t="s">
        <v>14589</v>
      </c>
      <c r="G3504" s="18" t="s">
        <v>145</v>
      </c>
      <c r="H3504" s="18" t="s">
        <v>129</v>
      </c>
      <c r="I3504" s="18"/>
      <c r="J3504" s="18"/>
      <c r="K3504" s="18"/>
      <c r="L3504" s="18" t="s">
        <v>129</v>
      </c>
      <c r="M3504" s="18" t="s">
        <v>129</v>
      </c>
      <c r="N3504" s="18"/>
      <c r="O3504" s="18"/>
      <c r="P3504" s="18" t="s">
        <v>14590</v>
      </c>
      <c r="Q3504" s="18" t="s">
        <v>149</v>
      </c>
      <c r="R3504" s="18" t="s">
        <v>14591</v>
      </c>
      <c r="S3504" s="18" t="s">
        <v>140</v>
      </c>
      <c r="T3504" s="18" t="s">
        <v>14592</v>
      </c>
      <c r="U3504" s="18" t="s">
        <v>14593</v>
      </c>
      <c r="V3504" s="19" t="s">
        <v>29</v>
      </c>
      <c r="W3504" s="19"/>
      <c r="X3504" s="19"/>
      <c r="Y3504" s="20"/>
      <c r="Z3504" s="19"/>
      <c r="AA3504" s="18" t="str">
        <f aca="false">IF(OR(V3504="Aprobada"),R3504,IF(AND(OR(V3504="Aprobada con ajuste",V3504="Rechazada"),W3504&lt;&gt;""),W3504,""))</f>
        <v/>
      </c>
    </row>
    <row r="3505" customFormat="false" ht="43.25" hidden="false" customHeight="false" outlineLevel="0" collapsed="false">
      <c r="A3505" s="18" t="s">
        <v>14594</v>
      </c>
      <c r="B3505" s="18" t="s">
        <v>82</v>
      </c>
      <c r="C3505" s="18" t="s">
        <v>83</v>
      </c>
      <c r="D3505" s="18" t="s">
        <v>14554</v>
      </c>
      <c r="E3505" s="18" t="n">
        <v>42</v>
      </c>
      <c r="F3505" s="18" t="s">
        <v>9488</v>
      </c>
      <c r="G3505" s="18" t="s">
        <v>180</v>
      </c>
      <c r="H3505" s="18" t="s">
        <v>162</v>
      </c>
      <c r="I3505" s="18"/>
      <c r="J3505" s="18"/>
      <c r="K3505" s="18"/>
      <c r="L3505" s="18" t="s">
        <v>129</v>
      </c>
      <c r="M3505" s="18" t="s">
        <v>129</v>
      </c>
      <c r="N3505" s="18"/>
      <c r="O3505" s="18"/>
      <c r="P3505" s="18" t="s">
        <v>14595</v>
      </c>
      <c r="Q3505" s="18" t="s">
        <v>149</v>
      </c>
      <c r="R3505" s="18" t="s">
        <v>14596</v>
      </c>
      <c r="S3505" s="18" t="s">
        <v>133</v>
      </c>
      <c r="T3505" s="18" t="s">
        <v>275</v>
      </c>
      <c r="U3505" s="18"/>
      <c r="V3505" s="19" t="s">
        <v>29</v>
      </c>
      <c r="W3505" s="19"/>
      <c r="X3505" s="19"/>
      <c r="Y3505" s="20"/>
      <c r="Z3505" s="19"/>
      <c r="AA3505" s="18" t="str">
        <f aca="false">IF(OR(V3505="Aprobada"),R3505,IF(AND(OR(V3505="Aprobada con ajuste",V3505="Rechazada"),W3505&lt;&gt;""),W3505,""))</f>
        <v/>
      </c>
    </row>
    <row r="3506" customFormat="false" ht="32.8" hidden="false" customHeight="false" outlineLevel="0" collapsed="false">
      <c r="A3506" s="18" t="s">
        <v>14597</v>
      </c>
      <c r="B3506" s="18" t="s">
        <v>82</v>
      </c>
      <c r="C3506" s="18" t="s">
        <v>83</v>
      </c>
      <c r="D3506" s="18" t="s">
        <v>14554</v>
      </c>
      <c r="E3506" s="18" t="n">
        <v>42</v>
      </c>
      <c r="F3506" s="18" t="s">
        <v>670</v>
      </c>
      <c r="G3506" s="18" t="s">
        <v>317</v>
      </c>
      <c r="H3506" s="18" t="s">
        <v>129</v>
      </c>
      <c r="I3506" s="18"/>
      <c r="J3506" s="18"/>
      <c r="K3506" s="18"/>
      <c r="L3506" s="18" t="s">
        <v>129</v>
      </c>
      <c r="M3506" s="18" t="s">
        <v>129</v>
      </c>
      <c r="N3506" s="18"/>
      <c r="O3506" s="18"/>
      <c r="P3506" s="18" t="s">
        <v>14598</v>
      </c>
      <c r="Q3506" s="18" t="s">
        <v>149</v>
      </c>
      <c r="R3506" s="18" t="s">
        <v>14599</v>
      </c>
      <c r="S3506" s="18" t="s">
        <v>140</v>
      </c>
      <c r="T3506" s="18" t="s">
        <v>14600</v>
      </c>
      <c r="U3506" s="18" t="s">
        <v>673</v>
      </c>
      <c r="V3506" s="19" t="s">
        <v>29</v>
      </c>
      <c r="W3506" s="19"/>
      <c r="X3506" s="19"/>
      <c r="Y3506" s="20"/>
      <c r="Z3506" s="19"/>
      <c r="AA3506" s="18" t="str">
        <f aca="false">IF(OR(V3506="Aprobada"),R3506,IF(AND(OR(V3506="Aprobada con ajuste",V3506="Rechazada"),W3506&lt;&gt;""),W3506,""))</f>
        <v/>
      </c>
    </row>
    <row r="3507" customFormat="false" ht="43.25" hidden="false" customHeight="false" outlineLevel="0" collapsed="false">
      <c r="A3507" s="18" t="s">
        <v>14601</v>
      </c>
      <c r="B3507" s="18" t="s">
        <v>82</v>
      </c>
      <c r="C3507" s="18" t="s">
        <v>83</v>
      </c>
      <c r="D3507" s="18" t="s">
        <v>14554</v>
      </c>
      <c r="E3507" s="18" t="n">
        <v>42</v>
      </c>
      <c r="F3507" s="18" t="s">
        <v>172</v>
      </c>
      <c r="G3507" s="18" t="s">
        <v>173</v>
      </c>
      <c r="H3507" s="18" t="s">
        <v>129</v>
      </c>
      <c r="I3507" s="18"/>
      <c r="J3507" s="18"/>
      <c r="K3507" s="18"/>
      <c r="L3507" s="18" t="s">
        <v>129</v>
      </c>
      <c r="M3507" s="18" t="s">
        <v>129</v>
      </c>
      <c r="N3507" s="18"/>
      <c r="O3507" s="18" t="s">
        <v>14602</v>
      </c>
      <c r="P3507" s="18" t="s">
        <v>14603</v>
      </c>
      <c r="Q3507" s="18" t="s">
        <v>138</v>
      </c>
      <c r="R3507" s="18" t="s">
        <v>176</v>
      </c>
      <c r="S3507" s="18" t="s">
        <v>140</v>
      </c>
      <c r="T3507" s="18" t="s">
        <v>141</v>
      </c>
      <c r="U3507" s="18"/>
      <c r="V3507" s="19" t="s">
        <v>29</v>
      </c>
      <c r="W3507" s="19"/>
      <c r="X3507" s="19"/>
      <c r="Y3507" s="20"/>
      <c r="Z3507" s="19"/>
      <c r="AA3507" s="18" t="str">
        <f aca="false">IF(OR(V3507="Aprobada"),R3507,IF(AND(OR(V3507="Aprobada con ajuste",V3507="Rechazada"),W3507&lt;&gt;""),W3507,""))</f>
        <v/>
      </c>
    </row>
    <row r="3508" customFormat="false" ht="53.7" hidden="false" customHeight="false" outlineLevel="0" collapsed="false">
      <c r="A3508" s="18" t="s">
        <v>14604</v>
      </c>
      <c r="B3508" s="18" t="s">
        <v>82</v>
      </c>
      <c r="C3508" s="18" t="s">
        <v>83</v>
      </c>
      <c r="D3508" s="18" t="s">
        <v>14605</v>
      </c>
      <c r="E3508" s="18" t="n">
        <v>8</v>
      </c>
      <c r="F3508" s="18" t="s">
        <v>7274</v>
      </c>
      <c r="G3508" s="18" t="s">
        <v>486</v>
      </c>
      <c r="H3508" s="18" t="s">
        <v>129</v>
      </c>
      <c r="I3508" s="18" t="s">
        <v>146</v>
      </c>
      <c r="J3508" s="18"/>
      <c r="K3508" s="18"/>
      <c r="L3508" s="18" t="s">
        <v>129</v>
      </c>
      <c r="M3508" s="18" t="s">
        <v>129</v>
      </c>
      <c r="N3508" s="18"/>
      <c r="O3508" s="18" t="s">
        <v>14606</v>
      </c>
      <c r="P3508" s="18" t="s">
        <v>14607</v>
      </c>
      <c r="Q3508" s="18" t="s">
        <v>149</v>
      </c>
      <c r="R3508" s="18" t="s">
        <v>14608</v>
      </c>
      <c r="S3508" s="18" t="s">
        <v>133</v>
      </c>
      <c r="T3508" s="18" t="s">
        <v>13580</v>
      </c>
      <c r="U3508" s="18"/>
      <c r="V3508" s="19" t="s">
        <v>29</v>
      </c>
      <c r="W3508" s="19"/>
      <c r="X3508" s="19"/>
      <c r="Y3508" s="20"/>
      <c r="Z3508" s="19"/>
      <c r="AA3508" s="18" t="str">
        <f aca="false">IF(OR(V3508="Aprobada"),R3508,IF(AND(OR(V3508="Aprobada con ajuste",V3508="Rechazada"),W3508&lt;&gt;""),W3508,""))</f>
        <v/>
      </c>
    </row>
    <row r="3509" customFormat="false" ht="43.25" hidden="false" customHeight="false" outlineLevel="0" collapsed="false">
      <c r="A3509" s="18" t="s">
        <v>14609</v>
      </c>
      <c r="B3509" s="18" t="s">
        <v>82</v>
      </c>
      <c r="C3509" s="18" t="s">
        <v>83</v>
      </c>
      <c r="D3509" s="18" t="s">
        <v>14605</v>
      </c>
      <c r="E3509" s="18" t="n">
        <v>8</v>
      </c>
      <c r="F3509" s="18" t="s">
        <v>14610</v>
      </c>
      <c r="G3509" s="18" t="s">
        <v>173</v>
      </c>
      <c r="H3509" s="18" t="s">
        <v>129</v>
      </c>
      <c r="I3509" s="18"/>
      <c r="J3509" s="18"/>
      <c r="K3509" s="18"/>
      <c r="L3509" s="18" t="s">
        <v>129</v>
      </c>
      <c r="M3509" s="18" t="s">
        <v>129</v>
      </c>
      <c r="N3509" s="18"/>
      <c r="O3509" s="18"/>
      <c r="P3509" s="18" t="s">
        <v>14611</v>
      </c>
      <c r="Q3509" s="18" t="s">
        <v>138</v>
      </c>
      <c r="R3509" s="18" t="s">
        <v>14612</v>
      </c>
      <c r="S3509" s="18" t="s">
        <v>140</v>
      </c>
      <c r="T3509" s="18" t="s">
        <v>141</v>
      </c>
      <c r="U3509" s="18"/>
      <c r="V3509" s="19" t="s">
        <v>29</v>
      </c>
      <c r="W3509" s="19"/>
      <c r="X3509" s="19"/>
      <c r="Y3509" s="20"/>
      <c r="Z3509" s="19"/>
      <c r="AA3509" s="18" t="str">
        <f aca="false">IF(OR(V3509="Aprobada"),R3509,IF(AND(OR(V3509="Aprobada con ajuste",V3509="Rechazada"),W3509&lt;&gt;""),W3509,""))</f>
        <v/>
      </c>
    </row>
    <row r="3510" customFormat="false" ht="43.25" hidden="false" customHeight="false" outlineLevel="0" collapsed="false">
      <c r="A3510" s="18" t="s">
        <v>14613</v>
      </c>
      <c r="B3510" s="18" t="s">
        <v>82</v>
      </c>
      <c r="C3510" s="18" t="s">
        <v>83</v>
      </c>
      <c r="D3510" s="18" t="s">
        <v>14605</v>
      </c>
      <c r="E3510" s="18" t="n">
        <v>8</v>
      </c>
      <c r="F3510" s="18" t="s">
        <v>13819</v>
      </c>
      <c r="G3510" s="18" t="s">
        <v>3994</v>
      </c>
      <c r="H3510" s="18" t="s">
        <v>129</v>
      </c>
      <c r="I3510" s="18"/>
      <c r="J3510" s="18"/>
      <c r="K3510" s="18"/>
      <c r="L3510" s="18" t="s">
        <v>129</v>
      </c>
      <c r="M3510" s="18" t="s">
        <v>129</v>
      </c>
      <c r="N3510" s="18"/>
      <c r="O3510" s="18"/>
      <c r="P3510" s="18" t="s">
        <v>14614</v>
      </c>
      <c r="Q3510" s="18" t="s">
        <v>149</v>
      </c>
      <c r="R3510" s="18" t="s">
        <v>14615</v>
      </c>
      <c r="S3510" s="18" t="s">
        <v>140</v>
      </c>
      <c r="T3510" s="18" t="s">
        <v>14549</v>
      </c>
      <c r="U3510" s="18" t="s">
        <v>14616</v>
      </c>
      <c r="V3510" s="19" t="s">
        <v>29</v>
      </c>
      <c r="W3510" s="19"/>
      <c r="X3510" s="19"/>
      <c r="Y3510" s="20"/>
      <c r="Z3510" s="19"/>
      <c r="AA3510" s="18" t="str">
        <f aca="false">IF(OR(V3510="Aprobada"),R3510,IF(AND(OR(V3510="Aprobada con ajuste",V3510="Rechazada"),W3510&lt;&gt;""),W3510,""))</f>
        <v/>
      </c>
    </row>
    <row r="3511" customFormat="false" ht="43.25" hidden="false" customHeight="false" outlineLevel="0" collapsed="false">
      <c r="A3511" s="18" t="s">
        <v>14617</v>
      </c>
      <c r="B3511" s="18" t="s">
        <v>82</v>
      </c>
      <c r="C3511" s="18" t="s">
        <v>83</v>
      </c>
      <c r="D3511" s="18" t="s">
        <v>14605</v>
      </c>
      <c r="E3511" s="18" t="n">
        <v>8</v>
      </c>
      <c r="F3511" s="18" t="s">
        <v>14618</v>
      </c>
      <c r="G3511" s="18" t="s">
        <v>486</v>
      </c>
      <c r="H3511" s="18" t="s">
        <v>162</v>
      </c>
      <c r="I3511" s="18"/>
      <c r="J3511" s="18"/>
      <c r="K3511" s="18"/>
      <c r="L3511" s="18" t="s">
        <v>129</v>
      </c>
      <c r="M3511" s="18" t="s">
        <v>129</v>
      </c>
      <c r="N3511" s="18"/>
      <c r="O3511" s="18"/>
      <c r="P3511" s="18" t="s">
        <v>14619</v>
      </c>
      <c r="Q3511" s="18" t="s">
        <v>149</v>
      </c>
      <c r="R3511" s="18" t="s">
        <v>14620</v>
      </c>
      <c r="S3511" s="18" t="s">
        <v>133</v>
      </c>
      <c r="T3511" s="18" t="s">
        <v>275</v>
      </c>
      <c r="U3511" s="18"/>
      <c r="V3511" s="19" t="s">
        <v>29</v>
      </c>
      <c r="W3511" s="19"/>
      <c r="X3511" s="19"/>
      <c r="Y3511" s="20"/>
      <c r="Z3511" s="19"/>
      <c r="AA3511" s="18" t="str">
        <f aca="false">IF(OR(V3511="Aprobada"),R3511,IF(AND(OR(V3511="Aprobada con ajuste",V3511="Rechazada"),W3511&lt;&gt;""),W3511,""))</f>
        <v/>
      </c>
    </row>
    <row r="3512" customFormat="false" ht="43.25" hidden="false" customHeight="false" outlineLevel="0" collapsed="false">
      <c r="A3512" s="18" t="s">
        <v>14621</v>
      </c>
      <c r="B3512" s="18" t="s">
        <v>82</v>
      </c>
      <c r="C3512" s="18" t="s">
        <v>83</v>
      </c>
      <c r="D3512" s="18" t="s">
        <v>14605</v>
      </c>
      <c r="E3512" s="18" t="n">
        <v>8</v>
      </c>
      <c r="F3512" s="18" t="s">
        <v>172</v>
      </c>
      <c r="G3512" s="18" t="s">
        <v>173</v>
      </c>
      <c r="H3512" s="18" t="s">
        <v>129</v>
      </c>
      <c r="I3512" s="18"/>
      <c r="J3512" s="18"/>
      <c r="K3512" s="18"/>
      <c r="L3512" s="18" t="s">
        <v>129</v>
      </c>
      <c r="M3512" s="18" t="s">
        <v>129</v>
      </c>
      <c r="N3512" s="18"/>
      <c r="O3512" s="18"/>
      <c r="P3512" s="18" t="s">
        <v>14622</v>
      </c>
      <c r="Q3512" s="18" t="s">
        <v>138</v>
      </c>
      <c r="R3512" s="18" t="s">
        <v>176</v>
      </c>
      <c r="S3512" s="18" t="s">
        <v>140</v>
      </c>
      <c r="T3512" s="18" t="s">
        <v>141</v>
      </c>
      <c r="U3512" s="18"/>
      <c r="V3512" s="19" t="s">
        <v>29</v>
      </c>
      <c r="W3512" s="19"/>
      <c r="X3512" s="19"/>
      <c r="Y3512" s="20"/>
      <c r="Z3512" s="19"/>
      <c r="AA3512" s="18" t="str">
        <f aca="false">IF(OR(V3512="Aprobada"),R3512,IF(AND(OR(V3512="Aprobada con ajuste",V3512="Rechazada"),W3512&lt;&gt;""),W3512,""))</f>
        <v/>
      </c>
    </row>
    <row r="3513" customFormat="false" ht="43.25" hidden="false" customHeight="false" outlineLevel="0" collapsed="false">
      <c r="A3513" s="18" t="s">
        <v>14623</v>
      </c>
      <c r="B3513" s="18" t="s">
        <v>82</v>
      </c>
      <c r="C3513" s="18" t="s">
        <v>83</v>
      </c>
      <c r="D3513" s="18" t="s">
        <v>14624</v>
      </c>
      <c r="E3513" s="18" t="n">
        <v>11</v>
      </c>
      <c r="F3513" s="18" t="s">
        <v>7274</v>
      </c>
      <c r="G3513" s="18" t="s">
        <v>486</v>
      </c>
      <c r="H3513" s="18" t="s">
        <v>129</v>
      </c>
      <c r="I3513" s="18"/>
      <c r="J3513" s="18"/>
      <c r="K3513" s="18"/>
      <c r="L3513" s="18" t="s">
        <v>129</v>
      </c>
      <c r="M3513" s="18" t="s">
        <v>129</v>
      </c>
      <c r="N3513" s="18"/>
      <c r="O3513" s="18" t="s">
        <v>14625</v>
      </c>
      <c r="P3513" s="18" t="s">
        <v>14626</v>
      </c>
      <c r="Q3513" s="18" t="s">
        <v>149</v>
      </c>
      <c r="R3513" s="18" t="s">
        <v>14627</v>
      </c>
      <c r="S3513" s="18" t="s">
        <v>133</v>
      </c>
      <c r="T3513" s="18" t="s">
        <v>14628</v>
      </c>
      <c r="U3513" s="18"/>
      <c r="V3513" s="19" t="s">
        <v>29</v>
      </c>
      <c r="W3513" s="19"/>
      <c r="X3513" s="19"/>
      <c r="Y3513" s="20"/>
      <c r="Z3513" s="19"/>
      <c r="AA3513" s="18" t="str">
        <f aca="false">IF(OR(V3513="Aprobada"),R3513,IF(AND(OR(V3513="Aprobada con ajuste",V3513="Rechazada"),W3513&lt;&gt;""),W3513,""))</f>
        <v/>
      </c>
    </row>
    <row r="3514" customFormat="false" ht="43.25" hidden="false" customHeight="false" outlineLevel="0" collapsed="false">
      <c r="A3514" s="18" t="s">
        <v>14629</v>
      </c>
      <c r="B3514" s="18" t="s">
        <v>82</v>
      </c>
      <c r="C3514" s="18" t="s">
        <v>83</v>
      </c>
      <c r="D3514" s="18" t="s">
        <v>14624</v>
      </c>
      <c r="E3514" s="18" t="n">
        <v>11</v>
      </c>
      <c r="F3514" s="18" t="s">
        <v>14630</v>
      </c>
      <c r="G3514" s="18" t="s">
        <v>503</v>
      </c>
      <c r="H3514" s="18" t="s">
        <v>162</v>
      </c>
      <c r="I3514" s="18"/>
      <c r="J3514" s="18"/>
      <c r="K3514" s="18"/>
      <c r="L3514" s="18" t="s">
        <v>129</v>
      </c>
      <c r="M3514" s="18" t="s">
        <v>129</v>
      </c>
      <c r="N3514" s="18"/>
      <c r="O3514" s="18" t="s">
        <v>14631</v>
      </c>
      <c r="P3514" s="18" t="s">
        <v>14632</v>
      </c>
      <c r="Q3514" s="18" t="s">
        <v>149</v>
      </c>
      <c r="R3514" s="18" t="s">
        <v>14633</v>
      </c>
      <c r="S3514" s="18" t="s">
        <v>140</v>
      </c>
      <c r="T3514" s="18" t="s">
        <v>13805</v>
      </c>
      <c r="U3514" s="18" t="s">
        <v>14634</v>
      </c>
      <c r="V3514" s="19" t="s">
        <v>29</v>
      </c>
      <c r="W3514" s="19"/>
      <c r="X3514" s="19"/>
      <c r="Y3514" s="20"/>
      <c r="Z3514" s="19"/>
      <c r="AA3514" s="18" t="str">
        <f aca="false">IF(OR(V3514="Aprobada"),R3514,IF(AND(OR(V3514="Aprobada con ajuste",V3514="Rechazada"),W3514&lt;&gt;""),W3514,""))</f>
        <v/>
      </c>
    </row>
    <row r="3515" customFormat="false" ht="43.25" hidden="false" customHeight="false" outlineLevel="0" collapsed="false">
      <c r="A3515" s="18" t="s">
        <v>14635</v>
      </c>
      <c r="B3515" s="18" t="s">
        <v>82</v>
      </c>
      <c r="C3515" s="18" t="s">
        <v>83</v>
      </c>
      <c r="D3515" s="18" t="s">
        <v>14624</v>
      </c>
      <c r="E3515" s="18" t="n">
        <v>11</v>
      </c>
      <c r="F3515" s="18" t="s">
        <v>7269</v>
      </c>
      <c r="G3515" s="18" t="s">
        <v>486</v>
      </c>
      <c r="H3515" s="18" t="s">
        <v>162</v>
      </c>
      <c r="I3515" s="18"/>
      <c r="J3515" s="18"/>
      <c r="K3515" s="18"/>
      <c r="L3515" s="18" t="s">
        <v>129</v>
      </c>
      <c r="M3515" s="18" t="s">
        <v>129</v>
      </c>
      <c r="N3515" s="18"/>
      <c r="O3515" s="18"/>
      <c r="P3515" s="18" t="s">
        <v>14636</v>
      </c>
      <c r="Q3515" s="18" t="s">
        <v>149</v>
      </c>
      <c r="R3515" s="18" t="s">
        <v>14637</v>
      </c>
      <c r="S3515" s="18" t="s">
        <v>133</v>
      </c>
      <c r="T3515" s="18" t="s">
        <v>275</v>
      </c>
      <c r="U3515" s="18"/>
      <c r="V3515" s="19" t="s">
        <v>29</v>
      </c>
      <c r="W3515" s="19"/>
      <c r="X3515" s="19"/>
      <c r="Y3515" s="20"/>
      <c r="Z3515" s="19"/>
      <c r="AA3515" s="18" t="str">
        <f aca="false">IF(OR(V3515="Aprobada"),R3515,IF(AND(OR(V3515="Aprobada con ajuste",V3515="Rechazada"),W3515&lt;&gt;""),W3515,""))</f>
        <v/>
      </c>
    </row>
    <row r="3516" customFormat="false" ht="43.25" hidden="false" customHeight="false" outlineLevel="0" collapsed="false">
      <c r="A3516" s="18" t="s">
        <v>14638</v>
      </c>
      <c r="B3516" s="18" t="s">
        <v>82</v>
      </c>
      <c r="C3516" s="18" t="s">
        <v>83</v>
      </c>
      <c r="D3516" s="18" t="s">
        <v>14624</v>
      </c>
      <c r="E3516" s="18" t="n">
        <v>11</v>
      </c>
      <c r="F3516" s="18" t="s">
        <v>14639</v>
      </c>
      <c r="G3516" s="18" t="s">
        <v>337</v>
      </c>
      <c r="H3516" s="18" t="s">
        <v>129</v>
      </c>
      <c r="I3516" s="18"/>
      <c r="J3516" s="18"/>
      <c r="K3516" s="18"/>
      <c r="L3516" s="18" t="s">
        <v>129</v>
      </c>
      <c r="M3516" s="18" t="s">
        <v>129</v>
      </c>
      <c r="N3516" s="18"/>
      <c r="O3516" s="18"/>
      <c r="P3516" s="18" t="s">
        <v>14640</v>
      </c>
      <c r="Q3516" s="18" t="s">
        <v>149</v>
      </c>
      <c r="R3516" s="18" t="s">
        <v>14641</v>
      </c>
      <c r="S3516" s="18" t="s">
        <v>140</v>
      </c>
      <c r="T3516" s="18" t="s">
        <v>13599</v>
      </c>
      <c r="U3516" s="18" t="s">
        <v>14642</v>
      </c>
      <c r="V3516" s="19" t="s">
        <v>29</v>
      </c>
      <c r="W3516" s="19"/>
      <c r="X3516" s="19"/>
      <c r="Y3516" s="20"/>
      <c r="Z3516" s="19"/>
      <c r="AA3516" s="18" t="str">
        <f aca="false">IF(OR(V3516="Aprobada"),R3516,IF(AND(OR(V3516="Aprobada con ajuste",V3516="Rechazada"),W3516&lt;&gt;""),W3516,""))</f>
        <v/>
      </c>
    </row>
    <row r="3517" customFormat="false" ht="43.25" hidden="false" customHeight="false" outlineLevel="0" collapsed="false">
      <c r="A3517" s="18" t="s">
        <v>14643</v>
      </c>
      <c r="B3517" s="18" t="s">
        <v>82</v>
      </c>
      <c r="C3517" s="18" t="s">
        <v>83</v>
      </c>
      <c r="D3517" s="18" t="s">
        <v>14624</v>
      </c>
      <c r="E3517" s="18" t="n">
        <v>11</v>
      </c>
      <c r="F3517" s="18" t="s">
        <v>14644</v>
      </c>
      <c r="G3517" s="18" t="s">
        <v>3994</v>
      </c>
      <c r="H3517" s="18" t="s">
        <v>129</v>
      </c>
      <c r="I3517" s="18"/>
      <c r="J3517" s="18"/>
      <c r="K3517" s="18"/>
      <c r="L3517" s="18" t="s">
        <v>129</v>
      </c>
      <c r="M3517" s="18" t="s">
        <v>129</v>
      </c>
      <c r="N3517" s="18"/>
      <c r="O3517" s="18"/>
      <c r="P3517" s="18" t="s">
        <v>14645</v>
      </c>
      <c r="Q3517" s="18" t="s">
        <v>149</v>
      </c>
      <c r="R3517" s="18" t="s">
        <v>14646</v>
      </c>
      <c r="S3517" s="18" t="s">
        <v>140</v>
      </c>
      <c r="T3517" s="18" t="s">
        <v>14647</v>
      </c>
      <c r="U3517" s="18" t="s">
        <v>14648</v>
      </c>
      <c r="V3517" s="19" t="s">
        <v>29</v>
      </c>
      <c r="W3517" s="19"/>
      <c r="X3517" s="19"/>
      <c r="Y3517" s="20"/>
      <c r="Z3517" s="19"/>
      <c r="AA3517" s="18" t="str">
        <f aca="false">IF(OR(V3517="Aprobada"),R3517,IF(AND(OR(V3517="Aprobada con ajuste",V3517="Rechazada"),W3517&lt;&gt;""),W3517,""))</f>
        <v/>
      </c>
    </row>
    <row r="3518" customFormat="false" ht="43.25" hidden="false" customHeight="false" outlineLevel="0" collapsed="false">
      <c r="A3518" s="18" t="s">
        <v>14649</v>
      </c>
      <c r="B3518" s="18" t="s">
        <v>82</v>
      </c>
      <c r="C3518" s="18" t="s">
        <v>83</v>
      </c>
      <c r="D3518" s="18" t="s">
        <v>14624</v>
      </c>
      <c r="E3518" s="18" t="n">
        <v>11</v>
      </c>
      <c r="F3518" s="18" t="s">
        <v>172</v>
      </c>
      <c r="G3518" s="18" t="s">
        <v>173</v>
      </c>
      <c r="H3518" s="18" t="s">
        <v>129</v>
      </c>
      <c r="I3518" s="18"/>
      <c r="J3518" s="18"/>
      <c r="K3518" s="18"/>
      <c r="L3518" s="18" t="s">
        <v>129</v>
      </c>
      <c r="M3518" s="18" t="s">
        <v>129</v>
      </c>
      <c r="N3518" s="18"/>
      <c r="O3518" s="18"/>
      <c r="P3518" s="18" t="s">
        <v>14650</v>
      </c>
      <c r="Q3518" s="18" t="s">
        <v>138</v>
      </c>
      <c r="R3518" s="18" t="s">
        <v>176</v>
      </c>
      <c r="S3518" s="18" t="s">
        <v>140</v>
      </c>
      <c r="T3518" s="18" t="s">
        <v>141</v>
      </c>
      <c r="U3518" s="18"/>
      <c r="V3518" s="19" t="s">
        <v>29</v>
      </c>
      <c r="W3518" s="19"/>
      <c r="X3518" s="19"/>
      <c r="Y3518" s="20"/>
      <c r="Z3518" s="19"/>
      <c r="AA3518" s="18" t="str">
        <f aca="false">IF(OR(V3518="Aprobada"),R3518,IF(AND(OR(V3518="Aprobada con ajuste",V3518="Rechazada"),W3518&lt;&gt;""),W3518,""))</f>
        <v/>
      </c>
    </row>
    <row r="3519" customFormat="false" ht="43.25" hidden="false" customHeight="false" outlineLevel="0" collapsed="false">
      <c r="A3519" s="18" t="s">
        <v>14651</v>
      </c>
      <c r="B3519" s="18" t="s">
        <v>82</v>
      </c>
      <c r="C3519" s="18" t="s">
        <v>83</v>
      </c>
      <c r="D3519" s="18" t="s">
        <v>14652</v>
      </c>
      <c r="E3519" s="18" t="n">
        <v>15</v>
      </c>
      <c r="F3519" s="18" t="s">
        <v>611</v>
      </c>
      <c r="G3519" s="18" t="s">
        <v>145</v>
      </c>
      <c r="H3519" s="18" t="s">
        <v>129</v>
      </c>
      <c r="I3519" s="18" t="s">
        <v>146</v>
      </c>
      <c r="J3519" s="18"/>
      <c r="K3519" s="18"/>
      <c r="L3519" s="18" t="s">
        <v>162</v>
      </c>
      <c r="M3519" s="18" t="s">
        <v>129</v>
      </c>
      <c r="N3519" s="18"/>
      <c r="O3519" s="18" t="s">
        <v>14653</v>
      </c>
      <c r="P3519" s="18" t="s">
        <v>14654</v>
      </c>
      <c r="Q3519" s="18" t="s">
        <v>138</v>
      </c>
      <c r="R3519" s="18" t="s">
        <v>14655</v>
      </c>
      <c r="S3519" s="18" t="s">
        <v>140</v>
      </c>
      <c r="T3519" s="18" t="s">
        <v>141</v>
      </c>
      <c r="U3519" s="18"/>
      <c r="V3519" s="19" t="s">
        <v>29</v>
      </c>
      <c r="W3519" s="19"/>
      <c r="X3519" s="19"/>
      <c r="Y3519" s="20"/>
      <c r="Z3519" s="19"/>
      <c r="AA3519" s="18" t="str">
        <f aca="false">IF(OR(V3519="Aprobada"),R3519,IF(AND(OR(V3519="Aprobada con ajuste",V3519="Rechazada"),W3519&lt;&gt;""),W3519,""))</f>
        <v/>
      </c>
    </row>
    <row r="3520" customFormat="false" ht="43.25" hidden="false" customHeight="false" outlineLevel="0" collapsed="false">
      <c r="A3520" s="18" t="s">
        <v>14656</v>
      </c>
      <c r="B3520" s="18" t="s">
        <v>82</v>
      </c>
      <c r="C3520" s="18" t="s">
        <v>83</v>
      </c>
      <c r="D3520" s="18" t="s">
        <v>14652</v>
      </c>
      <c r="E3520" s="18" t="n">
        <v>15</v>
      </c>
      <c r="F3520" s="18" t="s">
        <v>275</v>
      </c>
      <c r="G3520" s="18" t="s">
        <v>486</v>
      </c>
      <c r="H3520" s="18" t="s">
        <v>129</v>
      </c>
      <c r="I3520" s="18"/>
      <c r="J3520" s="18"/>
      <c r="K3520" s="18"/>
      <c r="L3520" s="18" t="s">
        <v>162</v>
      </c>
      <c r="M3520" s="18" t="s">
        <v>129</v>
      </c>
      <c r="N3520" s="18"/>
      <c r="O3520" s="18"/>
      <c r="P3520" s="18" t="s">
        <v>14657</v>
      </c>
      <c r="Q3520" s="18" t="s">
        <v>138</v>
      </c>
      <c r="R3520" s="18" t="s">
        <v>14658</v>
      </c>
      <c r="S3520" s="18" t="s">
        <v>140</v>
      </c>
      <c r="T3520" s="18" t="s">
        <v>141</v>
      </c>
      <c r="U3520" s="18"/>
      <c r="V3520" s="19" t="s">
        <v>29</v>
      </c>
      <c r="W3520" s="19"/>
      <c r="X3520" s="19"/>
      <c r="Y3520" s="20"/>
      <c r="Z3520" s="19"/>
      <c r="AA3520" s="18" t="str">
        <f aca="false">IF(OR(V3520="Aprobada"),R3520,IF(AND(OR(V3520="Aprobada con ajuste",V3520="Rechazada"),W3520&lt;&gt;""),W3520,""))</f>
        <v/>
      </c>
    </row>
    <row r="3521" customFormat="false" ht="43.25" hidden="false" customHeight="false" outlineLevel="0" collapsed="false">
      <c r="A3521" s="18" t="s">
        <v>14659</v>
      </c>
      <c r="B3521" s="18" t="s">
        <v>82</v>
      </c>
      <c r="C3521" s="18" t="s">
        <v>83</v>
      </c>
      <c r="D3521" s="18" t="s">
        <v>14652</v>
      </c>
      <c r="E3521" s="18" t="n">
        <v>15</v>
      </c>
      <c r="F3521" s="18" t="s">
        <v>160</v>
      </c>
      <c r="G3521" s="18" t="s">
        <v>180</v>
      </c>
      <c r="H3521" s="18" t="s">
        <v>162</v>
      </c>
      <c r="I3521" s="18"/>
      <c r="J3521" s="18"/>
      <c r="K3521" s="18"/>
      <c r="L3521" s="18" t="s">
        <v>162</v>
      </c>
      <c r="M3521" s="18" t="s">
        <v>129</v>
      </c>
      <c r="N3521" s="18"/>
      <c r="O3521" s="18"/>
      <c r="P3521" s="18" t="s">
        <v>14660</v>
      </c>
      <c r="Q3521" s="18" t="s">
        <v>138</v>
      </c>
      <c r="R3521" s="18" t="s">
        <v>14661</v>
      </c>
      <c r="S3521" s="18" t="s">
        <v>140</v>
      </c>
      <c r="T3521" s="18" t="s">
        <v>141</v>
      </c>
      <c r="U3521" s="18"/>
      <c r="V3521" s="19" t="s">
        <v>29</v>
      </c>
      <c r="W3521" s="19"/>
      <c r="X3521" s="19"/>
      <c r="Y3521" s="20"/>
      <c r="Z3521" s="19"/>
      <c r="AA3521" s="18" t="str">
        <f aca="false">IF(OR(V3521="Aprobada"),R3521,IF(AND(OR(V3521="Aprobada con ajuste",V3521="Rechazada"),W3521&lt;&gt;""),W3521,""))</f>
        <v/>
      </c>
    </row>
    <row r="3522" customFormat="false" ht="43.25" hidden="false" customHeight="false" outlineLevel="0" collapsed="false">
      <c r="A3522" s="18" t="s">
        <v>14662</v>
      </c>
      <c r="B3522" s="18" t="s">
        <v>82</v>
      </c>
      <c r="C3522" s="18" t="s">
        <v>83</v>
      </c>
      <c r="D3522" s="18" t="s">
        <v>14652</v>
      </c>
      <c r="E3522" s="18" t="n">
        <v>15</v>
      </c>
      <c r="F3522" s="18" t="s">
        <v>172</v>
      </c>
      <c r="G3522" s="18" t="s">
        <v>173</v>
      </c>
      <c r="H3522" s="18" t="s">
        <v>129</v>
      </c>
      <c r="I3522" s="18"/>
      <c r="J3522" s="18"/>
      <c r="K3522" s="18"/>
      <c r="L3522" s="18" t="s">
        <v>162</v>
      </c>
      <c r="M3522" s="18" t="s">
        <v>129</v>
      </c>
      <c r="N3522" s="18"/>
      <c r="O3522" s="18"/>
      <c r="P3522" s="18" t="s">
        <v>14663</v>
      </c>
      <c r="Q3522" s="18" t="s">
        <v>138</v>
      </c>
      <c r="R3522" s="18" t="s">
        <v>176</v>
      </c>
      <c r="S3522" s="18" t="s">
        <v>140</v>
      </c>
      <c r="T3522" s="18" t="s">
        <v>141</v>
      </c>
      <c r="U3522" s="18"/>
      <c r="V3522" s="19" t="s">
        <v>29</v>
      </c>
      <c r="W3522" s="19"/>
      <c r="X3522" s="19"/>
      <c r="Y3522" s="20"/>
      <c r="Z3522" s="19"/>
      <c r="AA3522" s="18" t="str">
        <f aca="false">IF(OR(V3522="Aprobada"),R3522,IF(AND(OR(V3522="Aprobada con ajuste",V3522="Rechazada"),W3522&lt;&gt;""),W3522,""))</f>
        <v/>
      </c>
    </row>
    <row r="3523" customFormat="false" ht="43.25" hidden="false" customHeight="false" outlineLevel="0" collapsed="false">
      <c r="A3523" s="18" t="s">
        <v>14664</v>
      </c>
      <c r="B3523" s="18" t="s">
        <v>82</v>
      </c>
      <c r="C3523" s="18" t="s">
        <v>83</v>
      </c>
      <c r="D3523" s="18" t="s">
        <v>14652</v>
      </c>
      <c r="E3523" s="18" t="n">
        <v>15</v>
      </c>
      <c r="F3523" s="18" t="s">
        <v>14665</v>
      </c>
      <c r="G3523" s="18" t="s">
        <v>128</v>
      </c>
      <c r="H3523" s="18" t="s">
        <v>162</v>
      </c>
      <c r="I3523" s="18"/>
      <c r="J3523" s="18"/>
      <c r="K3523" s="18"/>
      <c r="L3523" s="18" t="s">
        <v>162</v>
      </c>
      <c r="M3523" s="18" t="s">
        <v>129</v>
      </c>
      <c r="N3523" s="18"/>
      <c r="O3523" s="18"/>
      <c r="P3523" s="18" t="s">
        <v>14666</v>
      </c>
      <c r="Q3523" s="18" t="s">
        <v>149</v>
      </c>
      <c r="R3523" s="18" t="s">
        <v>14667</v>
      </c>
      <c r="S3523" s="18" t="s">
        <v>140</v>
      </c>
      <c r="T3523" s="18" t="s">
        <v>14668</v>
      </c>
      <c r="U3523" s="18" t="s">
        <v>14669</v>
      </c>
      <c r="V3523" s="19" t="s">
        <v>29</v>
      </c>
      <c r="W3523" s="19"/>
      <c r="X3523" s="19"/>
      <c r="Y3523" s="20"/>
      <c r="Z3523" s="19"/>
      <c r="AA3523" s="18" t="str">
        <f aca="false">IF(OR(V3523="Aprobada"),R3523,IF(AND(OR(V3523="Aprobada con ajuste",V3523="Rechazada"),W3523&lt;&gt;""),W3523,""))</f>
        <v/>
      </c>
    </row>
    <row r="3524" customFormat="false" ht="43.25" hidden="false" customHeight="false" outlineLevel="0" collapsed="false">
      <c r="A3524" s="18" t="s">
        <v>14670</v>
      </c>
      <c r="B3524" s="18" t="s">
        <v>82</v>
      </c>
      <c r="C3524" s="18" t="s">
        <v>83</v>
      </c>
      <c r="D3524" s="18" t="s">
        <v>14652</v>
      </c>
      <c r="E3524" s="18" t="n">
        <v>15</v>
      </c>
      <c r="F3524" s="18" t="s">
        <v>14671</v>
      </c>
      <c r="G3524" s="18" t="s">
        <v>192</v>
      </c>
      <c r="H3524" s="18" t="s">
        <v>162</v>
      </c>
      <c r="I3524" s="18"/>
      <c r="J3524" s="18"/>
      <c r="K3524" s="18"/>
      <c r="L3524" s="18" t="s">
        <v>162</v>
      </c>
      <c r="M3524" s="18" t="s">
        <v>129</v>
      </c>
      <c r="N3524" s="18"/>
      <c r="O3524" s="18"/>
      <c r="P3524" s="18" t="s">
        <v>14672</v>
      </c>
      <c r="Q3524" s="18" t="s">
        <v>149</v>
      </c>
      <c r="R3524" s="18" t="s">
        <v>14673</v>
      </c>
      <c r="S3524" s="18" t="s">
        <v>140</v>
      </c>
      <c r="T3524" s="18" t="s">
        <v>13745</v>
      </c>
      <c r="U3524" s="18" t="s">
        <v>14674</v>
      </c>
      <c r="V3524" s="19" t="s">
        <v>29</v>
      </c>
      <c r="W3524" s="19"/>
      <c r="X3524" s="19"/>
      <c r="Y3524" s="20"/>
      <c r="Z3524" s="19"/>
      <c r="AA3524" s="18" t="str">
        <f aca="false">IF(OR(V3524="Aprobada"),R3524,IF(AND(OR(V3524="Aprobada con ajuste",V3524="Rechazada"),W3524&lt;&gt;""),W3524,""))</f>
        <v/>
      </c>
    </row>
    <row r="3525" customFormat="false" ht="43.25" hidden="false" customHeight="false" outlineLevel="0" collapsed="false">
      <c r="A3525" s="18" t="s">
        <v>14675</v>
      </c>
      <c r="B3525" s="18" t="s">
        <v>84</v>
      </c>
      <c r="C3525" s="18" t="s">
        <v>85</v>
      </c>
      <c r="D3525" s="18" t="s">
        <v>14676</v>
      </c>
      <c r="E3525" s="18" t="n">
        <v>23</v>
      </c>
      <c r="F3525" s="18" t="s">
        <v>611</v>
      </c>
      <c r="G3525" s="18" t="s">
        <v>186</v>
      </c>
      <c r="H3525" s="18" t="s">
        <v>129</v>
      </c>
      <c r="I3525" s="18"/>
      <c r="J3525" s="18"/>
      <c r="K3525" s="18"/>
      <c r="L3525" s="18" t="s">
        <v>129</v>
      </c>
      <c r="M3525" s="18" t="s">
        <v>129</v>
      </c>
      <c r="N3525" s="18"/>
      <c r="O3525" s="18" t="s">
        <v>14677</v>
      </c>
      <c r="P3525" s="18" t="s">
        <v>14678</v>
      </c>
      <c r="Q3525" s="18" t="s">
        <v>138</v>
      </c>
      <c r="R3525" s="18" t="s">
        <v>14679</v>
      </c>
      <c r="S3525" s="18" t="s">
        <v>140</v>
      </c>
      <c r="T3525" s="18" t="s">
        <v>141</v>
      </c>
      <c r="U3525" s="18"/>
      <c r="V3525" s="19" t="s">
        <v>29</v>
      </c>
      <c r="W3525" s="19"/>
      <c r="X3525" s="19"/>
      <c r="Y3525" s="20"/>
      <c r="Z3525" s="19"/>
      <c r="AA3525" s="18" t="str">
        <f aca="false">IF(OR(V3525="Aprobada"),R3525,IF(AND(OR(V3525="Aprobada con ajuste",V3525="Rechazada"),W3525&lt;&gt;""),W3525,""))</f>
        <v/>
      </c>
    </row>
    <row r="3526" customFormat="false" ht="43.25" hidden="false" customHeight="false" outlineLevel="0" collapsed="false">
      <c r="A3526" s="18" t="s">
        <v>14680</v>
      </c>
      <c r="B3526" s="18" t="s">
        <v>84</v>
      </c>
      <c r="C3526" s="18" t="s">
        <v>85</v>
      </c>
      <c r="D3526" s="18" t="s">
        <v>14676</v>
      </c>
      <c r="E3526" s="18" t="n">
        <v>23</v>
      </c>
      <c r="F3526" s="18" t="s">
        <v>275</v>
      </c>
      <c r="G3526" s="18" t="s">
        <v>486</v>
      </c>
      <c r="H3526" s="18" t="s">
        <v>129</v>
      </c>
      <c r="I3526" s="18"/>
      <c r="J3526" s="18"/>
      <c r="K3526" s="18"/>
      <c r="L3526" s="18" t="s">
        <v>129</v>
      </c>
      <c r="M3526" s="18" t="s">
        <v>129</v>
      </c>
      <c r="N3526" s="18"/>
      <c r="O3526" s="18"/>
      <c r="P3526" s="18" t="s">
        <v>14681</v>
      </c>
      <c r="Q3526" s="18" t="s">
        <v>138</v>
      </c>
      <c r="R3526" s="18" t="s">
        <v>14682</v>
      </c>
      <c r="S3526" s="18" t="s">
        <v>140</v>
      </c>
      <c r="T3526" s="18" t="s">
        <v>141</v>
      </c>
      <c r="U3526" s="18"/>
      <c r="V3526" s="19" t="s">
        <v>29</v>
      </c>
      <c r="W3526" s="19"/>
      <c r="X3526" s="19"/>
      <c r="Y3526" s="20"/>
      <c r="Z3526" s="19"/>
      <c r="AA3526" s="18" t="str">
        <f aca="false">IF(OR(V3526="Aprobada"),R3526,IF(AND(OR(V3526="Aprobada con ajuste",V3526="Rechazada"),W3526&lt;&gt;""),W3526,""))</f>
        <v/>
      </c>
    </row>
    <row r="3527" customFormat="false" ht="32.8" hidden="false" customHeight="false" outlineLevel="0" collapsed="false">
      <c r="A3527" s="18" t="s">
        <v>14683</v>
      </c>
      <c r="B3527" s="18" t="s">
        <v>84</v>
      </c>
      <c r="C3527" s="18" t="s">
        <v>85</v>
      </c>
      <c r="D3527" s="18" t="s">
        <v>14676</v>
      </c>
      <c r="E3527" s="18" t="n">
        <v>23</v>
      </c>
      <c r="F3527" s="18" t="s">
        <v>14684</v>
      </c>
      <c r="G3527" s="18" t="s">
        <v>503</v>
      </c>
      <c r="H3527" s="18" t="s">
        <v>129</v>
      </c>
      <c r="I3527" s="18"/>
      <c r="J3527" s="18"/>
      <c r="K3527" s="18"/>
      <c r="L3527" s="18" t="s">
        <v>129</v>
      </c>
      <c r="M3527" s="18" t="s">
        <v>129</v>
      </c>
      <c r="N3527" s="18"/>
      <c r="O3527" s="18"/>
      <c r="P3527" s="18" t="s">
        <v>14685</v>
      </c>
      <c r="Q3527" s="18" t="s">
        <v>149</v>
      </c>
      <c r="R3527" s="18" t="s">
        <v>14686</v>
      </c>
      <c r="S3527" s="18" t="s">
        <v>133</v>
      </c>
      <c r="T3527" s="18" t="s">
        <v>14687</v>
      </c>
      <c r="U3527" s="18"/>
      <c r="V3527" s="19" t="s">
        <v>29</v>
      </c>
      <c r="W3527" s="19"/>
      <c r="X3527" s="19"/>
      <c r="Y3527" s="20"/>
      <c r="Z3527" s="19"/>
      <c r="AA3527" s="18" t="str">
        <f aca="false">IF(OR(V3527="Aprobada"),R3527,IF(AND(OR(V3527="Aprobada con ajuste",V3527="Rechazada"),W3527&lt;&gt;""),W3527,""))</f>
        <v/>
      </c>
    </row>
    <row r="3528" customFormat="false" ht="43.25" hidden="false" customHeight="false" outlineLevel="0" collapsed="false">
      <c r="A3528" s="18" t="s">
        <v>14688</v>
      </c>
      <c r="B3528" s="18" t="s">
        <v>84</v>
      </c>
      <c r="C3528" s="18" t="s">
        <v>85</v>
      </c>
      <c r="D3528" s="18" t="s">
        <v>14676</v>
      </c>
      <c r="E3528" s="18" t="n">
        <v>23</v>
      </c>
      <c r="F3528" s="18" t="s">
        <v>160</v>
      </c>
      <c r="G3528" s="18" t="s">
        <v>128</v>
      </c>
      <c r="H3528" s="18" t="s">
        <v>162</v>
      </c>
      <c r="I3528" s="18"/>
      <c r="J3528" s="18"/>
      <c r="K3528" s="18"/>
      <c r="L3528" s="18" t="s">
        <v>129</v>
      </c>
      <c r="M3528" s="18" t="s">
        <v>129</v>
      </c>
      <c r="N3528" s="18"/>
      <c r="O3528" s="18"/>
      <c r="P3528" s="18" t="s">
        <v>14689</v>
      </c>
      <c r="Q3528" s="18" t="s">
        <v>138</v>
      </c>
      <c r="R3528" s="18" t="s">
        <v>14690</v>
      </c>
      <c r="S3528" s="18" t="s">
        <v>140</v>
      </c>
      <c r="T3528" s="18" t="s">
        <v>141</v>
      </c>
      <c r="U3528" s="18"/>
      <c r="V3528" s="19" t="s">
        <v>29</v>
      </c>
      <c r="W3528" s="19"/>
      <c r="X3528" s="19"/>
      <c r="Y3528" s="20"/>
      <c r="Z3528" s="19"/>
      <c r="AA3528" s="18" t="str">
        <f aca="false">IF(OR(V3528="Aprobada"),R3528,IF(AND(OR(V3528="Aprobada con ajuste",V3528="Rechazada"),W3528&lt;&gt;""),W3528,""))</f>
        <v/>
      </c>
    </row>
    <row r="3529" customFormat="false" ht="32.8" hidden="false" customHeight="false" outlineLevel="0" collapsed="false">
      <c r="A3529" s="18" t="s">
        <v>14691</v>
      </c>
      <c r="B3529" s="18" t="s">
        <v>84</v>
      </c>
      <c r="C3529" s="18" t="s">
        <v>85</v>
      </c>
      <c r="D3529" s="18" t="s">
        <v>14676</v>
      </c>
      <c r="E3529" s="18" t="n">
        <v>23</v>
      </c>
      <c r="F3529" s="18" t="s">
        <v>14692</v>
      </c>
      <c r="G3529" s="18" t="s">
        <v>173</v>
      </c>
      <c r="H3529" s="18" t="s">
        <v>129</v>
      </c>
      <c r="I3529" s="18"/>
      <c r="J3529" s="18"/>
      <c r="K3529" s="18"/>
      <c r="L3529" s="18" t="s">
        <v>129</v>
      </c>
      <c r="M3529" s="18" t="s">
        <v>129</v>
      </c>
      <c r="N3529" s="18"/>
      <c r="O3529" s="18"/>
      <c r="P3529" s="18" t="s">
        <v>14693</v>
      </c>
      <c r="Q3529" s="18" t="s">
        <v>138</v>
      </c>
      <c r="R3529" s="18" t="s">
        <v>176</v>
      </c>
      <c r="S3529" s="18" t="s">
        <v>140</v>
      </c>
      <c r="T3529" s="18" t="s">
        <v>141</v>
      </c>
      <c r="U3529" s="18"/>
      <c r="V3529" s="19" t="s">
        <v>29</v>
      </c>
      <c r="W3529" s="19"/>
      <c r="X3529" s="19"/>
      <c r="Y3529" s="20"/>
      <c r="Z3529" s="19"/>
      <c r="AA3529" s="18" t="str">
        <f aca="false">IF(OR(V3529="Aprobada"),R3529,IF(AND(OR(V3529="Aprobada con ajuste",V3529="Rechazada"),W3529&lt;&gt;""),W3529,""))</f>
        <v/>
      </c>
    </row>
    <row r="3530" customFormat="false" ht="43.25" hidden="false" customHeight="false" outlineLevel="0" collapsed="false">
      <c r="A3530" s="18" t="s">
        <v>14694</v>
      </c>
      <c r="B3530" s="18" t="s">
        <v>84</v>
      </c>
      <c r="C3530" s="18" t="s">
        <v>85</v>
      </c>
      <c r="D3530" s="18" t="s">
        <v>14695</v>
      </c>
      <c r="E3530" s="18" t="n">
        <v>45</v>
      </c>
      <c r="F3530" s="18" t="s">
        <v>275</v>
      </c>
      <c r="G3530" s="18" t="s">
        <v>931</v>
      </c>
      <c r="H3530" s="18" t="s">
        <v>129</v>
      </c>
      <c r="I3530" s="18"/>
      <c r="J3530" s="18"/>
      <c r="K3530" s="18"/>
      <c r="L3530" s="18" t="s">
        <v>162</v>
      </c>
      <c r="M3530" s="18" t="s">
        <v>129</v>
      </c>
      <c r="N3530" s="18"/>
      <c r="O3530" s="18"/>
      <c r="P3530" s="18" t="s">
        <v>14696</v>
      </c>
      <c r="Q3530" s="18" t="s">
        <v>138</v>
      </c>
      <c r="R3530" s="18" t="s">
        <v>14697</v>
      </c>
      <c r="S3530" s="18" t="s">
        <v>140</v>
      </c>
      <c r="T3530" s="18" t="s">
        <v>141</v>
      </c>
      <c r="U3530" s="18"/>
      <c r="V3530" s="19" t="s">
        <v>29</v>
      </c>
      <c r="W3530" s="19"/>
      <c r="X3530" s="19"/>
      <c r="Y3530" s="20"/>
      <c r="Z3530" s="19"/>
      <c r="AA3530" s="18" t="str">
        <f aca="false">IF(OR(V3530="Aprobada"),R3530,IF(AND(OR(V3530="Aprobada con ajuste",V3530="Rechazada"),W3530&lt;&gt;""),W3530,""))</f>
        <v/>
      </c>
    </row>
    <row r="3531" customFormat="false" ht="43.25" hidden="false" customHeight="false" outlineLevel="0" collapsed="false">
      <c r="A3531" s="18" t="s">
        <v>14698</v>
      </c>
      <c r="B3531" s="18" t="s">
        <v>84</v>
      </c>
      <c r="C3531" s="18" t="s">
        <v>85</v>
      </c>
      <c r="D3531" s="18" t="s">
        <v>14695</v>
      </c>
      <c r="E3531" s="18" t="n">
        <v>45</v>
      </c>
      <c r="F3531" s="18" t="s">
        <v>160</v>
      </c>
      <c r="G3531" s="18" t="s">
        <v>128</v>
      </c>
      <c r="H3531" s="18" t="s">
        <v>162</v>
      </c>
      <c r="I3531" s="18"/>
      <c r="J3531" s="18"/>
      <c r="K3531" s="18"/>
      <c r="L3531" s="18" t="s">
        <v>162</v>
      </c>
      <c r="M3531" s="18" t="s">
        <v>129</v>
      </c>
      <c r="N3531" s="18"/>
      <c r="O3531" s="18"/>
      <c r="P3531" s="18" t="s">
        <v>14699</v>
      </c>
      <c r="Q3531" s="18" t="s">
        <v>138</v>
      </c>
      <c r="R3531" s="18" t="s">
        <v>14700</v>
      </c>
      <c r="S3531" s="18" t="s">
        <v>140</v>
      </c>
      <c r="T3531" s="18" t="s">
        <v>141</v>
      </c>
      <c r="U3531" s="18"/>
      <c r="V3531" s="19" t="s">
        <v>29</v>
      </c>
      <c r="W3531" s="19"/>
      <c r="X3531" s="19"/>
      <c r="Y3531" s="20"/>
      <c r="Z3531" s="19"/>
      <c r="AA3531" s="18" t="str">
        <f aca="false">IF(OR(V3531="Aprobada"),R3531,IF(AND(OR(V3531="Aprobada con ajuste",V3531="Rechazada"),W3531&lt;&gt;""),W3531,""))</f>
        <v/>
      </c>
    </row>
    <row r="3532" customFormat="false" ht="32.8" hidden="false" customHeight="false" outlineLevel="0" collapsed="false">
      <c r="A3532" s="18" t="s">
        <v>14701</v>
      </c>
      <c r="B3532" s="18" t="s">
        <v>84</v>
      </c>
      <c r="C3532" s="18" t="s">
        <v>85</v>
      </c>
      <c r="D3532" s="18" t="s">
        <v>14695</v>
      </c>
      <c r="E3532" s="18" t="n">
        <v>45</v>
      </c>
      <c r="F3532" s="18" t="s">
        <v>937</v>
      </c>
      <c r="G3532" s="18" t="s">
        <v>503</v>
      </c>
      <c r="H3532" s="18" t="s">
        <v>162</v>
      </c>
      <c r="I3532" s="18"/>
      <c r="J3532" s="18"/>
      <c r="K3532" s="18"/>
      <c r="L3532" s="18" t="s">
        <v>162</v>
      </c>
      <c r="M3532" s="18" t="s">
        <v>129</v>
      </c>
      <c r="N3532" s="18"/>
      <c r="O3532" s="18"/>
      <c r="P3532" s="18" t="s">
        <v>14702</v>
      </c>
      <c r="Q3532" s="18" t="s">
        <v>138</v>
      </c>
      <c r="R3532" s="18" t="s">
        <v>939</v>
      </c>
      <c r="S3532" s="18" t="s">
        <v>140</v>
      </c>
      <c r="T3532" s="18" t="s">
        <v>141</v>
      </c>
      <c r="U3532" s="18"/>
      <c r="V3532" s="19" t="s">
        <v>29</v>
      </c>
      <c r="W3532" s="19"/>
      <c r="X3532" s="19"/>
      <c r="Y3532" s="20"/>
      <c r="Z3532" s="19"/>
      <c r="AA3532" s="18" t="str">
        <f aca="false">IF(OR(V3532="Aprobada"),R3532,IF(AND(OR(V3532="Aprobada con ajuste",V3532="Rechazada"),W3532&lt;&gt;""),W3532,""))</f>
        <v/>
      </c>
    </row>
    <row r="3533" customFormat="false" ht="43.25" hidden="false" customHeight="false" outlineLevel="0" collapsed="false">
      <c r="A3533" s="18" t="s">
        <v>14703</v>
      </c>
      <c r="B3533" s="18" t="s">
        <v>84</v>
      </c>
      <c r="C3533" s="18" t="s">
        <v>85</v>
      </c>
      <c r="D3533" s="18" t="s">
        <v>14695</v>
      </c>
      <c r="E3533" s="18" t="n">
        <v>45</v>
      </c>
      <c r="F3533" s="18" t="s">
        <v>14692</v>
      </c>
      <c r="G3533" s="18" t="s">
        <v>173</v>
      </c>
      <c r="H3533" s="18" t="s">
        <v>162</v>
      </c>
      <c r="I3533" s="18"/>
      <c r="J3533" s="18"/>
      <c r="K3533" s="18"/>
      <c r="L3533" s="18" t="s">
        <v>162</v>
      </c>
      <c r="M3533" s="18" t="s">
        <v>129</v>
      </c>
      <c r="N3533" s="18"/>
      <c r="O3533" s="18" t="s">
        <v>14704</v>
      </c>
      <c r="P3533" s="18" t="s">
        <v>14705</v>
      </c>
      <c r="Q3533" s="18" t="s">
        <v>138</v>
      </c>
      <c r="R3533" s="18" t="s">
        <v>176</v>
      </c>
      <c r="S3533" s="18" t="s">
        <v>140</v>
      </c>
      <c r="T3533" s="18" t="s">
        <v>141</v>
      </c>
      <c r="U3533" s="18"/>
      <c r="V3533" s="19" t="s">
        <v>29</v>
      </c>
      <c r="W3533" s="19"/>
      <c r="X3533" s="19"/>
      <c r="Y3533" s="20"/>
      <c r="Z3533" s="19"/>
      <c r="AA3533" s="18" t="str">
        <f aca="false">IF(OR(V3533="Aprobada"),R3533,IF(AND(OR(V3533="Aprobada con ajuste",V3533="Rechazada"),W3533&lt;&gt;""),W3533,""))</f>
        <v/>
      </c>
    </row>
    <row r="3534" customFormat="false" ht="43.25" hidden="false" customHeight="false" outlineLevel="0" collapsed="false">
      <c r="A3534" s="18" t="s">
        <v>14706</v>
      </c>
      <c r="B3534" s="18" t="s">
        <v>84</v>
      </c>
      <c r="C3534" s="18" t="s">
        <v>85</v>
      </c>
      <c r="D3534" s="18" t="s">
        <v>14707</v>
      </c>
      <c r="E3534" s="18" t="n">
        <v>81</v>
      </c>
      <c r="F3534" s="18" t="s">
        <v>611</v>
      </c>
      <c r="G3534" s="18" t="s">
        <v>145</v>
      </c>
      <c r="H3534" s="18" t="s">
        <v>129</v>
      </c>
      <c r="I3534" s="18"/>
      <c r="J3534" s="18"/>
      <c r="K3534" s="18"/>
      <c r="L3534" s="18" t="s">
        <v>129</v>
      </c>
      <c r="M3534" s="18" t="s">
        <v>129</v>
      </c>
      <c r="N3534" s="18"/>
      <c r="O3534" s="18" t="s">
        <v>14708</v>
      </c>
      <c r="P3534" s="18" t="s">
        <v>14709</v>
      </c>
      <c r="Q3534" s="18" t="s">
        <v>138</v>
      </c>
      <c r="R3534" s="18" t="s">
        <v>14710</v>
      </c>
      <c r="S3534" s="18" t="s">
        <v>140</v>
      </c>
      <c r="T3534" s="18" t="s">
        <v>141</v>
      </c>
      <c r="U3534" s="18"/>
      <c r="V3534" s="19" t="s">
        <v>29</v>
      </c>
      <c r="W3534" s="19"/>
      <c r="X3534" s="19"/>
      <c r="Y3534" s="20"/>
      <c r="Z3534" s="19"/>
      <c r="AA3534" s="18" t="str">
        <f aca="false">IF(OR(V3534="Aprobada"),R3534,IF(AND(OR(V3534="Aprobada con ajuste",V3534="Rechazada"),W3534&lt;&gt;""),W3534,""))</f>
        <v/>
      </c>
    </row>
    <row r="3535" customFormat="false" ht="43.25" hidden="false" customHeight="false" outlineLevel="0" collapsed="false">
      <c r="A3535" s="18" t="s">
        <v>14711</v>
      </c>
      <c r="B3535" s="18" t="s">
        <v>84</v>
      </c>
      <c r="C3535" s="18" t="s">
        <v>85</v>
      </c>
      <c r="D3535" s="18" t="s">
        <v>14707</v>
      </c>
      <c r="E3535" s="18" t="n">
        <v>81</v>
      </c>
      <c r="F3535" s="18" t="s">
        <v>275</v>
      </c>
      <c r="G3535" s="18" t="s">
        <v>337</v>
      </c>
      <c r="H3535" s="18" t="s">
        <v>129</v>
      </c>
      <c r="I3535" s="18"/>
      <c r="J3535" s="18"/>
      <c r="K3535" s="18"/>
      <c r="L3535" s="18" t="s">
        <v>129</v>
      </c>
      <c r="M3535" s="18" t="s">
        <v>129</v>
      </c>
      <c r="N3535" s="18"/>
      <c r="O3535" s="18"/>
      <c r="P3535" s="18" t="s">
        <v>14712</v>
      </c>
      <c r="Q3535" s="18" t="s">
        <v>138</v>
      </c>
      <c r="R3535" s="18" t="s">
        <v>14713</v>
      </c>
      <c r="S3535" s="18" t="s">
        <v>140</v>
      </c>
      <c r="T3535" s="18" t="s">
        <v>141</v>
      </c>
      <c r="U3535" s="18"/>
      <c r="V3535" s="19" t="s">
        <v>29</v>
      </c>
      <c r="W3535" s="19"/>
      <c r="X3535" s="19"/>
      <c r="Y3535" s="20"/>
      <c r="Z3535" s="19"/>
      <c r="AA3535" s="18" t="str">
        <f aca="false">IF(OR(V3535="Aprobada"),R3535,IF(AND(OR(V3535="Aprobada con ajuste",V3535="Rechazada"),W3535&lt;&gt;""),W3535,""))</f>
        <v/>
      </c>
    </row>
    <row r="3536" customFormat="false" ht="74.6" hidden="false" customHeight="false" outlineLevel="0" collapsed="false">
      <c r="A3536" s="18" t="s">
        <v>14714</v>
      </c>
      <c r="B3536" s="18" t="s">
        <v>84</v>
      </c>
      <c r="C3536" s="18" t="s">
        <v>85</v>
      </c>
      <c r="D3536" s="18" t="s">
        <v>14707</v>
      </c>
      <c r="E3536" s="18" t="n">
        <v>81</v>
      </c>
      <c r="F3536" s="18" t="s">
        <v>127</v>
      </c>
      <c r="G3536" s="18" t="s">
        <v>145</v>
      </c>
      <c r="H3536" s="18" t="s">
        <v>129</v>
      </c>
      <c r="I3536" s="18"/>
      <c r="J3536" s="18"/>
      <c r="K3536" s="18"/>
      <c r="L3536" s="18" t="s">
        <v>129</v>
      </c>
      <c r="M3536" s="18" t="s">
        <v>129</v>
      </c>
      <c r="N3536" s="18"/>
      <c r="O3536" s="18"/>
      <c r="P3536" s="18" t="s">
        <v>14715</v>
      </c>
      <c r="Q3536" s="18" t="s">
        <v>131</v>
      </c>
      <c r="R3536" s="18" t="s">
        <v>14716</v>
      </c>
      <c r="S3536" s="18" t="s">
        <v>133</v>
      </c>
      <c r="T3536" s="18" t="s">
        <v>14717</v>
      </c>
      <c r="U3536" s="18"/>
      <c r="V3536" s="19" t="s">
        <v>29</v>
      </c>
      <c r="W3536" s="19"/>
      <c r="X3536" s="19"/>
      <c r="Y3536" s="20"/>
      <c r="Z3536" s="19"/>
      <c r="AA3536" s="18" t="str">
        <f aca="false">IF(OR(V3536="Aprobada"),R3536,IF(AND(OR(V3536="Aprobada con ajuste",V3536="Rechazada"),W3536&lt;&gt;""),W3536,""))</f>
        <v/>
      </c>
    </row>
    <row r="3537" customFormat="false" ht="53.7" hidden="false" customHeight="false" outlineLevel="0" collapsed="false">
      <c r="A3537" s="18" t="s">
        <v>14718</v>
      </c>
      <c r="B3537" s="18" t="s">
        <v>84</v>
      </c>
      <c r="C3537" s="18" t="s">
        <v>85</v>
      </c>
      <c r="D3537" s="18" t="s">
        <v>14707</v>
      </c>
      <c r="E3537" s="18" t="n">
        <v>81</v>
      </c>
      <c r="F3537" s="18" t="s">
        <v>10898</v>
      </c>
      <c r="G3537" s="18" t="s">
        <v>503</v>
      </c>
      <c r="H3537" s="18" t="s">
        <v>129</v>
      </c>
      <c r="I3537" s="18"/>
      <c r="J3537" s="18"/>
      <c r="K3537" s="18"/>
      <c r="L3537" s="18" t="s">
        <v>129</v>
      </c>
      <c r="M3537" s="18" t="s">
        <v>129</v>
      </c>
      <c r="N3537" s="18"/>
      <c r="O3537" s="18"/>
      <c r="P3537" s="18" t="s">
        <v>14719</v>
      </c>
      <c r="Q3537" s="18" t="s">
        <v>149</v>
      </c>
      <c r="R3537" s="18" t="s">
        <v>14720</v>
      </c>
      <c r="S3537" s="18" t="s">
        <v>133</v>
      </c>
      <c r="T3537" s="18" t="s">
        <v>6893</v>
      </c>
      <c r="U3537" s="18"/>
      <c r="V3537" s="19" t="s">
        <v>29</v>
      </c>
      <c r="W3537" s="19"/>
      <c r="X3537" s="19"/>
      <c r="Y3537" s="20"/>
      <c r="Z3537" s="19"/>
      <c r="AA3537" s="18" t="str">
        <f aca="false">IF(OR(V3537="Aprobada"),R3537,IF(AND(OR(V3537="Aprobada con ajuste",V3537="Rechazada"),W3537&lt;&gt;""),W3537,""))</f>
        <v/>
      </c>
    </row>
    <row r="3538" customFormat="false" ht="53.7" hidden="false" customHeight="false" outlineLevel="0" collapsed="false">
      <c r="A3538" s="18" t="s">
        <v>14721</v>
      </c>
      <c r="B3538" s="18" t="s">
        <v>84</v>
      </c>
      <c r="C3538" s="18" t="s">
        <v>85</v>
      </c>
      <c r="D3538" s="18" t="s">
        <v>14707</v>
      </c>
      <c r="E3538" s="18" t="n">
        <v>81</v>
      </c>
      <c r="F3538" s="18" t="s">
        <v>10910</v>
      </c>
      <c r="G3538" s="18" t="s">
        <v>503</v>
      </c>
      <c r="H3538" s="18" t="s">
        <v>129</v>
      </c>
      <c r="I3538" s="18"/>
      <c r="J3538" s="18"/>
      <c r="K3538" s="18"/>
      <c r="L3538" s="18" t="s">
        <v>129</v>
      </c>
      <c r="M3538" s="18" t="s">
        <v>129</v>
      </c>
      <c r="N3538" s="18"/>
      <c r="O3538" s="18"/>
      <c r="P3538" s="18" t="s">
        <v>14722</v>
      </c>
      <c r="Q3538" s="18" t="s">
        <v>149</v>
      </c>
      <c r="R3538" s="18" t="s">
        <v>14723</v>
      </c>
      <c r="S3538" s="18" t="s">
        <v>133</v>
      </c>
      <c r="T3538" s="18" t="s">
        <v>14724</v>
      </c>
      <c r="U3538" s="18"/>
      <c r="V3538" s="19" t="s">
        <v>29</v>
      </c>
      <c r="W3538" s="19"/>
      <c r="X3538" s="19"/>
      <c r="Y3538" s="20"/>
      <c r="Z3538" s="19"/>
      <c r="AA3538" s="18" t="str">
        <f aca="false">IF(OR(V3538="Aprobada"),R3538,IF(AND(OR(V3538="Aprobada con ajuste",V3538="Rechazada"),W3538&lt;&gt;""),W3538,""))</f>
        <v/>
      </c>
    </row>
    <row r="3539" customFormat="false" ht="43.25" hidden="false" customHeight="false" outlineLevel="0" collapsed="false">
      <c r="A3539" s="18" t="s">
        <v>14725</v>
      </c>
      <c r="B3539" s="18" t="s">
        <v>84</v>
      </c>
      <c r="C3539" s="18" t="s">
        <v>85</v>
      </c>
      <c r="D3539" s="18" t="s">
        <v>14707</v>
      </c>
      <c r="E3539" s="18" t="n">
        <v>81</v>
      </c>
      <c r="F3539" s="18" t="s">
        <v>14726</v>
      </c>
      <c r="G3539" s="18" t="s">
        <v>14727</v>
      </c>
      <c r="H3539" s="18" t="s">
        <v>162</v>
      </c>
      <c r="I3539" s="18"/>
      <c r="J3539" s="18"/>
      <c r="K3539" s="18"/>
      <c r="L3539" s="18" t="s">
        <v>129</v>
      </c>
      <c r="M3539" s="18" t="s">
        <v>129</v>
      </c>
      <c r="N3539" s="18"/>
      <c r="O3539" s="18"/>
      <c r="P3539" s="18" t="s">
        <v>14728</v>
      </c>
      <c r="Q3539" s="18" t="s">
        <v>149</v>
      </c>
      <c r="R3539" s="18" t="s">
        <v>14729</v>
      </c>
      <c r="S3539" s="18" t="s">
        <v>133</v>
      </c>
      <c r="T3539" s="18" t="s">
        <v>14730</v>
      </c>
      <c r="U3539" s="18"/>
      <c r="V3539" s="19" t="s">
        <v>29</v>
      </c>
      <c r="W3539" s="19"/>
      <c r="X3539" s="19"/>
      <c r="Y3539" s="20"/>
      <c r="Z3539" s="19"/>
      <c r="AA3539" s="18" t="str">
        <f aca="false">IF(OR(V3539="Aprobada"),R3539,IF(AND(OR(V3539="Aprobada con ajuste",V3539="Rechazada"),W3539&lt;&gt;""),W3539,""))</f>
        <v/>
      </c>
    </row>
    <row r="3540" customFormat="false" ht="43.25" hidden="false" customHeight="false" outlineLevel="0" collapsed="false">
      <c r="A3540" s="18" t="s">
        <v>14731</v>
      </c>
      <c r="B3540" s="18" t="s">
        <v>84</v>
      </c>
      <c r="C3540" s="18" t="s">
        <v>85</v>
      </c>
      <c r="D3540" s="18" t="s">
        <v>14707</v>
      </c>
      <c r="E3540" s="18" t="n">
        <v>81</v>
      </c>
      <c r="F3540" s="18" t="s">
        <v>14732</v>
      </c>
      <c r="G3540" s="18" t="s">
        <v>173</v>
      </c>
      <c r="H3540" s="18" t="s">
        <v>162</v>
      </c>
      <c r="I3540" s="18"/>
      <c r="J3540" s="18"/>
      <c r="K3540" s="18"/>
      <c r="L3540" s="18" t="s">
        <v>129</v>
      </c>
      <c r="M3540" s="18" t="s">
        <v>129</v>
      </c>
      <c r="N3540" s="18"/>
      <c r="O3540" s="18"/>
      <c r="P3540" s="18" t="s">
        <v>14733</v>
      </c>
      <c r="Q3540" s="18" t="s">
        <v>138</v>
      </c>
      <c r="R3540" s="18" t="s">
        <v>14734</v>
      </c>
      <c r="S3540" s="18" t="s">
        <v>140</v>
      </c>
      <c r="T3540" s="18" t="s">
        <v>141</v>
      </c>
      <c r="U3540" s="18"/>
      <c r="V3540" s="19" t="s">
        <v>29</v>
      </c>
      <c r="W3540" s="19"/>
      <c r="X3540" s="19"/>
      <c r="Y3540" s="20"/>
      <c r="Z3540" s="19"/>
      <c r="AA3540" s="18" t="str">
        <f aca="false">IF(OR(V3540="Aprobada"),R3540,IF(AND(OR(V3540="Aprobada con ajuste",V3540="Rechazada"),W3540&lt;&gt;""),W3540,""))</f>
        <v/>
      </c>
    </row>
    <row r="3541" customFormat="false" ht="43.25" hidden="false" customHeight="false" outlineLevel="0" collapsed="false">
      <c r="A3541" s="18" t="s">
        <v>14735</v>
      </c>
      <c r="B3541" s="18" t="s">
        <v>84</v>
      </c>
      <c r="C3541" s="18" t="s">
        <v>85</v>
      </c>
      <c r="D3541" s="18" t="s">
        <v>14707</v>
      </c>
      <c r="E3541" s="18" t="n">
        <v>81</v>
      </c>
      <c r="F3541" s="18" t="s">
        <v>14736</v>
      </c>
      <c r="G3541" s="18" t="s">
        <v>173</v>
      </c>
      <c r="H3541" s="18" t="s">
        <v>162</v>
      </c>
      <c r="I3541" s="18"/>
      <c r="J3541" s="18"/>
      <c r="K3541" s="18"/>
      <c r="L3541" s="18" t="s">
        <v>129</v>
      </c>
      <c r="M3541" s="18" t="s">
        <v>129</v>
      </c>
      <c r="N3541" s="18"/>
      <c r="O3541" s="18"/>
      <c r="P3541" s="18" t="s">
        <v>14737</v>
      </c>
      <c r="Q3541" s="18" t="s">
        <v>138</v>
      </c>
      <c r="R3541" s="18" t="s">
        <v>14738</v>
      </c>
      <c r="S3541" s="18" t="s">
        <v>140</v>
      </c>
      <c r="T3541" s="18" t="s">
        <v>141</v>
      </c>
      <c r="U3541" s="18"/>
      <c r="V3541" s="19" t="s">
        <v>29</v>
      </c>
      <c r="W3541" s="19"/>
      <c r="X3541" s="19"/>
      <c r="Y3541" s="20"/>
      <c r="Z3541" s="19"/>
      <c r="AA3541" s="18" t="str">
        <f aca="false">IF(OR(V3541="Aprobada"),R3541,IF(AND(OR(V3541="Aprobada con ajuste",V3541="Rechazada"),W3541&lt;&gt;""),W3541,""))</f>
        <v/>
      </c>
    </row>
    <row r="3542" customFormat="false" ht="43.25" hidden="false" customHeight="false" outlineLevel="0" collapsed="false">
      <c r="A3542" s="18" t="s">
        <v>14739</v>
      </c>
      <c r="B3542" s="18" t="s">
        <v>84</v>
      </c>
      <c r="C3542" s="18" t="s">
        <v>85</v>
      </c>
      <c r="D3542" s="18" t="s">
        <v>14707</v>
      </c>
      <c r="E3542" s="18" t="n">
        <v>81</v>
      </c>
      <c r="F3542" s="18" t="s">
        <v>14740</v>
      </c>
      <c r="G3542" s="18" t="s">
        <v>173</v>
      </c>
      <c r="H3542" s="18" t="s">
        <v>162</v>
      </c>
      <c r="I3542" s="18"/>
      <c r="J3542" s="18"/>
      <c r="K3542" s="18"/>
      <c r="L3542" s="18" t="s">
        <v>129</v>
      </c>
      <c r="M3542" s="18" t="s">
        <v>129</v>
      </c>
      <c r="N3542" s="18"/>
      <c r="O3542" s="18"/>
      <c r="P3542" s="18" t="s">
        <v>14741</v>
      </c>
      <c r="Q3542" s="18" t="s">
        <v>138</v>
      </c>
      <c r="R3542" s="18" t="s">
        <v>14742</v>
      </c>
      <c r="S3542" s="18" t="s">
        <v>140</v>
      </c>
      <c r="T3542" s="18" t="s">
        <v>141</v>
      </c>
      <c r="U3542" s="18"/>
      <c r="V3542" s="19" t="s">
        <v>29</v>
      </c>
      <c r="W3542" s="19"/>
      <c r="X3542" s="19"/>
      <c r="Y3542" s="20"/>
      <c r="Z3542" s="19"/>
      <c r="AA3542" s="18" t="str">
        <f aca="false">IF(OR(V3542="Aprobada"),R3542,IF(AND(OR(V3542="Aprobada con ajuste",V3542="Rechazada"),W3542&lt;&gt;""),W3542,""))</f>
        <v/>
      </c>
    </row>
    <row r="3543" customFormat="false" ht="74.6" hidden="false" customHeight="false" outlineLevel="0" collapsed="false">
      <c r="A3543" s="18" t="s">
        <v>14743</v>
      </c>
      <c r="B3543" s="18" t="s">
        <v>84</v>
      </c>
      <c r="C3543" s="18" t="s">
        <v>85</v>
      </c>
      <c r="D3543" s="18" t="s">
        <v>14707</v>
      </c>
      <c r="E3543" s="18" t="n">
        <v>81</v>
      </c>
      <c r="F3543" s="18" t="s">
        <v>185</v>
      </c>
      <c r="G3543" s="18" t="s">
        <v>186</v>
      </c>
      <c r="H3543" s="18" t="s">
        <v>129</v>
      </c>
      <c r="I3543" s="18"/>
      <c r="J3543" s="18"/>
      <c r="K3543" s="18"/>
      <c r="L3543" s="18" t="s">
        <v>129</v>
      </c>
      <c r="M3543" s="18" t="s">
        <v>129</v>
      </c>
      <c r="N3543" s="18"/>
      <c r="O3543" s="18"/>
      <c r="P3543" s="18" t="s">
        <v>14744</v>
      </c>
      <c r="Q3543" s="18" t="s">
        <v>131</v>
      </c>
      <c r="R3543" s="18" t="s">
        <v>14745</v>
      </c>
      <c r="S3543" s="18" t="s">
        <v>133</v>
      </c>
      <c r="T3543" s="18" t="s">
        <v>14746</v>
      </c>
      <c r="U3543" s="18"/>
      <c r="V3543" s="19" t="s">
        <v>29</v>
      </c>
      <c r="W3543" s="19"/>
      <c r="X3543" s="19"/>
      <c r="Y3543" s="20"/>
      <c r="Z3543" s="19"/>
      <c r="AA3543" s="18" t="str">
        <f aca="false">IF(OR(V3543="Aprobada"),R3543,IF(AND(OR(V3543="Aprobada con ajuste",V3543="Rechazada"),W3543&lt;&gt;""),W3543,""))</f>
        <v/>
      </c>
    </row>
    <row r="3544" customFormat="false" ht="32.8" hidden="false" customHeight="false" outlineLevel="0" collapsed="false">
      <c r="A3544" s="18" t="s">
        <v>14747</v>
      </c>
      <c r="B3544" s="18" t="s">
        <v>84</v>
      </c>
      <c r="C3544" s="18" t="s">
        <v>85</v>
      </c>
      <c r="D3544" s="18" t="s">
        <v>14707</v>
      </c>
      <c r="E3544" s="18" t="n">
        <v>81</v>
      </c>
      <c r="F3544" s="18" t="s">
        <v>14692</v>
      </c>
      <c r="G3544" s="18" t="s">
        <v>173</v>
      </c>
      <c r="H3544" s="18" t="s">
        <v>129</v>
      </c>
      <c r="I3544" s="18"/>
      <c r="J3544" s="18"/>
      <c r="K3544" s="18"/>
      <c r="L3544" s="18" t="s">
        <v>129</v>
      </c>
      <c r="M3544" s="18" t="s">
        <v>129</v>
      </c>
      <c r="N3544" s="18"/>
      <c r="O3544" s="18"/>
      <c r="P3544" s="18" t="s">
        <v>14748</v>
      </c>
      <c r="Q3544" s="18" t="s">
        <v>138</v>
      </c>
      <c r="R3544" s="18" t="s">
        <v>176</v>
      </c>
      <c r="S3544" s="18" t="s">
        <v>140</v>
      </c>
      <c r="T3544" s="18" t="s">
        <v>141</v>
      </c>
      <c r="U3544" s="18"/>
      <c r="V3544" s="19" t="s">
        <v>29</v>
      </c>
      <c r="W3544" s="19"/>
      <c r="X3544" s="19"/>
      <c r="Y3544" s="20"/>
      <c r="Z3544" s="19"/>
      <c r="AA3544" s="18" t="str">
        <f aca="false">IF(OR(V3544="Aprobada"),R3544,IF(AND(OR(V3544="Aprobada con ajuste",V3544="Rechazada"),W3544&lt;&gt;""),W3544,""))</f>
        <v/>
      </c>
    </row>
    <row r="3545" customFormat="false" ht="43.25" hidden="false" customHeight="false" outlineLevel="0" collapsed="false">
      <c r="A3545" s="18" t="s">
        <v>14749</v>
      </c>
      <c r="B3545" s="18" t="s">
        <v>84</v>
      </c>
      <c r="C3545" s="18" t="s">
        <v>85</v>
      </c>
      <c r="D3545" s="18" t="s">
        <v>6852</v>
      </c>
      <c r="E3545" s="18" t="n">
        <v>7</v>
      </c>
      <c r="F3545" s="18" t="s">
        <v>611</v>
      </c>
      <c r="G3545" s="18" t="s">
        <v>186</v>
      </c>
      <c r="H3545" s="18" t="s">
        <v>129</v>
      </c>
      <c r="I3545" s="18" t="s">
        <v>146</v>
      </c>
      <c r="J3545" s="18"/>
      <c r="K3545" s="18"/>
      <c r="L3545" s="18" t="s">
        <v>129</v>
      </c>
      <c r="M3545" s="18" t="s">
        <v>129</v>
      </c>
      <c r="N3545" s="18"/>
      <c r="O3545" s="18" t="s">
        <v>14750</v>
      </c>
      <c r="P3545" s="18" t="s">
        <v>14751</v>
      </c>
      <c r="Q3545" s="18" t="s">
        <v>138</v>
      </c>
      <c r="R3545" s="18" t="s">
        <v>14752</v>
      </c>
      <c r="S3545" s="18" t="s">
        <v>140</v>
      </c>
      <c r="T3545" s="18" t="s">
        <v>141</v>
      </c>
      <c r="U3545" s="18"/>
      <c r="V3545" s="19" t="s">
        <v>29</v>
      </c>
      <c r="W3545" s="19"/>
      <c r="X3545" s="19"/>
      <c r="Y3545" s="20"/>
      <c r="Z3545" s="19"/>
      <c r="AA3545" s="18" t="str">
        <f aca="false">IF(OR(V3545="Aprobada"),R3545,IF(AND(OR(V3545="Aprobada con ajuste",V3545="Rechazada"),W3545&lt;&gt;""),W3545,""))</f>
        <v/>
      </c>
    </row>
    <row r="3546" customFormat="false" ht="43.25" hidden="false" customHeight="false" outlineLevel="0" collapsed="false">
      <c r="A3546" s="18" t="s">
        <v>14753</v>
      </c>
      <c r="B3546" s="18" t="s">
        <v>84</v>
      </c>
      <c r="C3546" s="18" t="s">
        <v>85</v>
      </c>
      <c r="D3546" s="18" t="s">
        <v>6852</v>
      </c>
      <c r="E3546" s="18" t="n">
        <v>7</v>
      </c>
      <c r="F3546" s="18" t="s">
        <v>275</v>
      </c>
      <c r="G3546" s="18" t="s">
        <v>337</v>
      </c>
      <c r="H3546" s="18" t="s">
        <v>129</v>
      </c>
      <c r="I3546" s="18"/>
      <c r="J3546" s="18"/>
      <c r="K3546" s="18"/>
      <c r="L3546" s="18" t="s">
        <v>129</v>
      </c>
      <c r="M3546" s="18" t="s">
        <v>129</v>
      </c>
      <c r="N3546" s="18"/>
      <c r="O3546" s="18"/>
      <c r="P3546" s="18" t="s">
        <v>14754</v>
      </c>
      <c r="Q3546" s="18" t="s">
        <v>138</v>
      </c>
      <c r="R3546" s="18" t="s">
        <v>14755</v>
      </c>
      <c r="S3546" s="18" t="s">
        <v>140</v>
      </c>
      <c r="T3546" s="18" t="s">
        <v>141</v>
      </c>
      <c r="U3546" s="18"/>
      <c r="V3546" s="19" t="s">
        <v>29</v>
      </c>
      <c r="W3546" s="19"/>
      <c r="X3546" s="19"/>
      <c r="Y3546" s="20"/>
      <c r="Z3546" s="19"/>
      <c r="AA3546" s="18" t="str">
        <f aca="false">IF(OR(V3546="Aprobada"),R3546,IF(AND(OR(V3546="Aprobada con ajuste",V3546="Rechazada"),W3546&lt;&gt;""),W3546,""))</f>
        <v/>
      </c>
    </row>
    <row r="3547" customFormat="false" ht="43.25" hidden="false" customHeight="false" outlineLevel="0" collapsed="false">
      <c r="A3547" s="18" t="s">
        <v>14756</v>
      </c>
      <c r="B3547" s="18" t="s">
        <v>84</v>
      </c>
      <c r="C3547" s="18" t="s">
        <v>85</v>
      </c>
      <c r="D3547" s="18" t="s">
        <v>6852</v>
      </c>
      <c r="E3547" s="18" t="n">
        <v>7</v>
      </c>
      <c r="F3547" s="18" t="s">
        <v>127</v>
      </c>
      <c r="G3547" s="18" t="s">
        <v>145</v>
      </c>
      <c r="H3547" s="18" t="s">
        <v>129</v>
      </c>
      <c r="I3547" s="18"/>
      <c r="J3547" s="18"/>
      <c r="K3547" s="18"/>
      <c r="L3547" s="18" t="s">
        <v>129</v>
      </c>
      <c r="M3547" s="18" t="s">
        <v>129</v>
      </c>
      <c r="N3547" s="18"/>
      <c r="O3547" s="18"/>
      <c r="P3547" s="18" t="s">
        <v>14757</v>
      </c>
      <c r="Q3547" s="18" t="s">
        <v>131</v>
      </c>
      <c r="R3547" s="18" t="s">
        <v>14758</v>
      </c>
      <c r="S3547" s="18" t="s">
        <v>133</v>
      </c>
      <c r="T3547" s="18" t="s">
        <v>14759</v>
      </c>
      <c r="U3547" s="18"/>
      <c r="V3547" s="19" t="s">
        <v>29</v>
      </c>
      <c r="W3547" s="19"/>
      <c r="X3547" s="19"/>
      <c r="Y3547" s="20"/>
      <c r="Z3547" s="19"/>
      <c r="AA3547" s="18" t="str">
        <f aca="false">IF(OR(V3547="Aprobada"),R3547,IF(AND(OR(V3547="Aprobada con ajuste",V3547="Rechazada"),W3547&lt;&gt;""),W3547,""))</f>
        <v/>
      </c>
    </row>
    <row r="3548" customFormat="false" ht="32.8" hidden="false" customHeight="false" outlineLevel="0" collapsed="false">
      <c r="A3548" s="18" t="s">
        <v>14760</v>
      </c>
      <c r="B3548" s="18" t="s">
        <v>84</v>
      </c>
      <c r="C3548" s="18" t="s">
        <v>85</v>
      </c>
      <c r="D3548" s="18" t="s">
        <v>6852</v>
      </c>
      <c r="E3548" s="18" t="n">
        <v>7</v>
      </c>
      <c r="F3548" s="18" t="s">
        <v>7274</v>
      </c>
      <c r="G3548" s="18" t="s">
        <v>486</v>
      </c>
      <c r="H3548" s="18" t="s">
        <v>129</v>
      </c>
      <c r="I3548" s="18"/>
      <c r="J3548" s="18"/>
      <c r="K3548" s="18"/>
      <c r="L3548" s="18" t="s">
        <v>129</v>
      </c>
      <c r="M3548" s="18" t="s">
        <v>129</v>
      </c>
      <c r="N3548" s="18"/>
      <c r="O3548" s="18"/>
      <c r="P3548" s="18" t="s">
        <v>14761</v>
      </c>
      <c r="Q3548" s="18" t="s">
        <v>149</v>
      </c>
      <c r="R3548" s="18" t="s">
        <v>14762</v>
      </c>
      <c r="S3548" s="18" t="s">
        <v>133</v>
      </c>
      <c r="T3548" s="18" t="s">
        <v>14763</v>
      </c>
      <c r="U3548" s="18"/>
      <c r="V3548" s="19" t="s">
        <v>29</v>
      </c>
      <c r="W3548" s="19"/>
      <c r="X3548" s="19"/>
      <c r="Y3548" s="20"/>
      <c r="Z3548" s="19"/>
      <c r="AA3548" s="18" t="str">
        <f aca="false">IF(OR(V3548="Aprobada"),R3548,IF(AND(OR(V3548="Aprobada con ajuste",V3548="Rechazada"),W3548&lt;&gt;""),W3548,""))</f>
        <v/>
      </c>
    </row>
    <row r="3549" customFormat="false" ht="32.8" hidden="false" customHeight="false" outlineLevel="0" collapsed="false">
      <c r="A3549" s="18" t="s">
        <v>14764</v>
      </c>
      <c r="B3549" s="18" t="s">
        <v>84</v>
      </c>
      <c r="C3549" s="18" t="s">
        <v>85</v>
      </c>
      <c r="D3549" s="18" t="s">
        <v>6852</v>
      </c>
      <c r="E3549" s="18" t="n">
        <v>7</v>
      </c>
      <c r="F3549" s="18" t="s">
        <v>3535</v>
      </c>
      <c r="G3549" s="18" t="s">
        <v>486</v>
      </c>
      <c r="H3549" s="18" t="s">
        <v>129</v>
      </c>
      <c r="I3549" s="18"/>
      <c r="J3549" s="18"/>
      <c r="K3549" s="18"/>
      <c r="L3549" s="18" t="s">
        <v>129</v>
      </c>
      <c r="M3549" s="18" t="s">
        <v>129</v>
      </c>
      <c r="N3549" s="18"/>
      <c r="O3549" s="18"/>
      <c r="P3549" s="18" t="s">
        <v>14765</v>
      </c>
      <c r="Q3549" s="18" t="s">
        <v>149</v>
      </c>
      <c r="R3549" s="18" t="s">
        <v>14766</v>
      </c>
      <c r="S3549" s="18" t="s">
        <v>133</v>
      </c>
      <c r="T3549" s="18" t="s">
        <v>3394</v>
      </c>
      <c r="U3549" s="18"/>
      <c r="V3549" s="19" t="s">
        <v>29</v>
      </c>
      <c r="W3549" s="19"/>
      <c r="X3549" s="19"/>
      <c r="Y3549" s="20"/>
      <c r="Z3549" s="19"/>
      <c r="AA3549" s="18" t="str">
        <f aca="false">IF(OR(V3549="Aprobada"),R3549,IF(AND(OR(V3549="Aprobada con ajuste",V3549="Rechazada"),W3549&lt;&gt;""),W3549,""))</f>
        <v/>
      </c>
    </row>
    <row r="3550" customFormat="false" ht="32.8" hidden="false" customHeight="false" outlineLevel="0" collapsed="false">
      <c r="A3550" s="18" t="s">
        <v>14767</v>
      </c>
      <c r="B3550" s="18" t="s">
        <v>84</v>
      </c>
      <c r="C3550" s="18" t="s">
        <v>85</v>
      </c>
      <c r="D3550" s="18" t="s">
        <v>6852</v>
      </c>
      <c r="E3550" s="18" t="n">
        <v>7</v>
      </c>
      <c r="F3550" s="18" t="s">
        <v>2452</v>
      </c>
      <c r="G3550" s="18" t="s">
        <v>180</v>
      </c>
      <c r="H3550" s="18" t="s">
        <v>129</v>
      </c>
      <c r="I3550" s="18"/>
      <c r="J3550" s="18"/>
      <c r="K3550" s="18"/>
      <c r="L3550" s="18" t="s">
        <v>129</v>
      </c>
      <c r="M3550" s="18" t="s">
        <v>129</v>
      </c>
      <c r="N3550" s="18"/>
      <c r="O3550" s="18"/>
      <c r="P3550" s="18" t="s">
        <v>14768</v>
      </c>
      <c r="Q3550" s="18" t="s">
        <v>149</v>
      </c>
      <c r="R3550" s="18" t="s">
        <v>14769</v>
      </c>
      <c r="S3550" s="18" t="s">
        <v>133</v>
      </c>
      <c r="T3550" s="18" t="s">
        <v>14770</v>
      </c>
      <c r="U3550" s="18"/>
      <c r="V3550" s="19" t="s">
        <v>29</v>
      </c>
      <c r="W3550" s="19"/>
      <c r="X3550" s="19"/>
      <c r="Y3550" s="20"/>
      <c r="Z3550" s="19"/>
      <c r="AA3550" s="18" t="str">
        <f aca="false">IF(OR(V3550="Aprobada"),R3550,IF(AND(OR(V3550="Aprobada con ajuste",V3550="Rechazada"),W3550&lt;&gt;""),W3550,""))</f>
        <v/>
      </c>
    </row>
    <row r="3551" customFormat="false" ht="32.8" hidden="false" customHeight="false" outlineLevel="0" collapsed="false">
      <c r="A3551" s="18" t="s">
        <v>14771</v>
      </c>
      <c r="B3551" s="18" t="s">
        <v>84</v>
      </c>
      <c r="C3551" s="18" t="s">
        <v>85</v>
      </c>
      <c r="D3551" s="18" t="s">
        <v>6852</v>
      </c>
      <c r="E3551" s="18" t="n">
        <v>7</v>
      </c>
      <c r="F3551" s="18" t="s">
        <v>2448</v>
      </c>
      <c r="G3551" s="18" t="s">
        <v>145</v>
      </c>
      <c r="H3551" s="18" t="s">
        <v>162</v>
      </c>
      <c r="I3551" s="18"/>
      <c r="J3551" s="18"/>
      <c r="K3551" s="18"/>
      <c r="L3551" s="18" t="s">
        <v>129</v>
      </c>
      <c r="M3551" s="18" t="s">
        <v>129</v>
      </c>
      <c r="N3551" s="18"/>
      <c r="O3551" s="18"/>
      <c r="P3551" s="18" t="s">
        <v>14772</v>
      </c>
      <c r="Q3551" s="18" t="s">
        <v>138</v>
      </c>
      <c r="R3551" s="18" t="s">
        <v>2450</v>
      </c>
      <c r="S3551" s="18" t="s">
        <v>140</v>
      </c>
      <c r="T3551" s="18" t="s">
        <v>141</v>
      </c>
      <c r="U3551" s="18"/>
      <c r="V3551" s="19" t="s">
        <v>29</v>
      </c>
      <c r="W3551" s="19"/>
      <c r="X3551" s="19"/>
      <c r="Y3551" s="20"/>
      <c r="Z3551" s="19"/>
      <c r="AA3551" s="18" t="str">
        <f aca="false">IF(OR(V3551="Aprobada"),R3551,IF(AND(OR(V3551="Aprobada con ajuste",V3551="Rechazada"),W3551&lt;&gt;""),W3551,""))</f>
        <v/>
      </c>
    </row>
    <row r="3552" customFormat="false" ht="32.8" hidden="false" customHeight="false" outlineLevel="0" collapsed="false">
      <c r="A3552" s="18" t="s">
        <v>14773</v>
      </c>
      <c r="B3552" s="18" t="s">
        <v>84</v>
      </c>
      <c r="C3552" s="18" t="s">
        <v>85</v>
      </c>
      <c r="D3552" s="18" t="s">
        <v>6852</v>
      </c>
      <c r="E3552" s="18" t="n">
        <v>7</v>
      </c>
      <c r="F3552" s="18" t="s">
        <v>14774</v>
      </c>
      <c r="G3552" s="18" t="s">
        <v>486</v>
      </c>
      <c r="H3552" s="18" t="s">
        <v>162</v>
      </c>
      <c r="I3552" s="18"/>
      <c r="J3552" s="18"/>
      <c r="K3552" s="18"/>
      <c r="L3552" s="18" t="s">
        <v>129</v>
      </c>
      <c r="M3552" s="18" t="s">
        <v>129</v>
      </c>
      <c r="N3552" s="18"/>
      <c r="O3552" s="18"/>
      <c r="P3552" s="18" t="s">
        <v>14775</v>
      </c>
      <c r="Q3552" s="18" t="s">
        <v>149</v>
      </c>
      <c r="R3552" s="18" t="s">
        <v>857</v>
      </c>
      <c r="S3552" s="18" t="s">
        <v>133</v>
      </c>
      <c r="T3552" s="18" t="s">
        <v>3394</v>
      </c>
      <c r="U3552" s="18"/>
      <c r="V3552" s="19" t="s">
        <v>29</v>
      </c>
      <c r="W3552" s="19"/>
      <c r="X3552" s="19"/>
      <c r="Y3552" s="20"/>
      <c r="Z3552" s="19"/>
      <c r="AA3552" s="18" t="str">
        <f aca="false">IF(OR(V3552="Aprobada"),R3552,IF(AND(OR(V3552="Aprobada con ajuste",V3552="Rechazada"),W3552&lt;&gt;""),W3552,""))</f>
        <v/>
      </c>
    </row>
    <row r="3553" customFormat="false" ht="32.8" hidden="false" customHeight="false" outlineLevel="0" collapsed="false">
      <c r="A3553" s="18" t="s">
        <v>14776</v>
      </c>
      <c r="B3553" s="18" t="s">
        <v>84</v>
      </c>
      <c r="C3553" s="18" t="s">
        <v>85</v>
      </c>
      <c r="D3553" s="18" t="s">
        <v>6852</v>
      </c>
      <c r="E3553" s="18" t="n">
        <v>7</v>
      </c>
      <c r="F3553" s="18" t="s">
        <v>14692</v>
      </c>
      <c r="G3553" s="18" t="s">
        <v>173</v>
      </c>
      <c r="H3553" s="18" t="s">
        <v>129</v>
      </c>
      <c r="I3553" s="18"/>
      <c r="J3553" s="18"/>
      <c r="K3553" s="18"/>
      <c r="L3553" s="18" t="s">
        <v>129</v>
      </c>
      <c r="M3553" s="18" t="s">
        <v>129</v>
      </c>
      <c r="N3553" s="18"/>
      <c r="O3553" s="18" t="s">
        <v>14777</v>
      </c>
      <c r="P3553" s="18" t="s">
        <v>14778</v>
      </c>
      <c r="Q3553" s="18" t="s">
        <v>138</v>
      </c>
      <c r="R3553" s="18" t="s">
        <v>176</v>
      </c>
      <c r="S3553" s="18" t="s">
        <v>140</v>
      </c>
      <c r="T3553" s="18" t="s">
        <v>141</v>
      </c>
      <c r="U3553" s="18"/>
      <c r="V3553" s="19" t="s">
        <v>29</v>
      </c>
      <c r="W3553" s="19"/>
      <c r="X3553" s="19"/>
      <c r="Y3553" s="20"/>
      <c r="Z3553" s="19"/>
      <c r="AA3553" s="18" t="str">
        <f aca="false">IF(OR(V3553="Aprobada"),R3553,IF(AND(OR(V3553="Aprobada con ajuste",V3553="Rechazada"),W3553&lt;&gt;""),W3553,""))</f>
        <v/>
      </c>
    </row>
    <row r="3554" customFormat="false" ht="32.8" hidden="false" customHeight="false" outlineLevel="0" collapsed="false">
      <c r="A3554" s="18" t="s">
        <v>14779</v>
      </c>
      <c r="B3554" s="18" t="s">
        <v>84</v>
      </c>
      <c r="C3554" s="18" t="s">
        <v>85</v>
      </c>
      <c r="D3554" s="18" t="s">
        <v>14780</v>
      </c>
      <c r="E3554" s="18" t="n">
        <v>6</v>
      </c>
      <c r="F3554" s="18" t="s">
        <v>5896</v>
      </c>
      <c r="G3554" s="18" t="s">
        <v>180</v>
      </c>
      <c r="H3554" s="18" t="s">
        <v>129</v>
      </c>
      <c r="I3554" s="18"/>
      <c r="J3554" s="18"/>
      <c r="K3554" s="18"/>
      <c r="L3554" s="18" t="s">
        <v>129</v>
      </c>
      <c r="M3554" s="18" t="s">
        <v>129</v>
      </c>
      <c r="N3554" s="18"/>
      <c r="O3554" s="18"/>
      <c r="P3554" s="18" t="s">
        <v>14781</v>
      </c>
      <c r="Q3554" s="18" t="s">
        <v>149</v>
      </c>
      <c r="R3554" s="18" t="s">
        <v>14782</v>
      </c>
      <c r="S3554" s="18" t="s">
        <v>133</v>
      </c>
      <c r="T3554" s="18" t="s">
        <v>14783</v>
      </c>
      <c r="U3554" s="18"/>
      <c r="V3554" s="19" t="s">
        <v>29</v>
      </c>
      <c r="W3554" s="19"/>
      <c r="X3554" s="19"/>
      <c r="Y3554" s="20"/>
      <c r="Z3554" s="19"/>
      <c r="AA3554" s="18" t="str">
        <f aca="false">IF(OR(V3554="Aprobada"),R3554,IF(AND(OR(V3554="Aprobada con ajuste",V3554="Rechazada"),W3554&lt;&gt;""),W3554,""))</f>
        <v/>
      </c>
    </row>
    <row r="3555" customFormat="false" ht="32.8" hidden="false" customHeight="false" outlineLevel="0" collapsed="false">
      <c r="A3555" s="18" t="s">
        <v>14784</v>
      </c>
      <c r="B3555" s="18" t="s">
        <v>84</v>
      </c>
      <c r="C3555" s="18" t="s">
        <v>85</v>
      </c>
      <c r="D3555" s="18" t="s">
        <v>14780</v>
      </c>
      <c r="E3555" s="18" t="n">
        <v>6</v>
      </c>
      <c r="F3555" s="18" t="s">
        <v>14785</v>
      </c>
      <c r="G3555" s="18" t="s">
        <v>180</v>
      </c>
      <c r="H3555" s="18" t="s">
        <v>129</v>
      </c>
      <c r="I3555" s="18"/>
      <c r="J3555" s="18"/>
      <c r="K3555" s="18"/>
      <c r="L3555" s="18" t="s">
        <v>129</v>
      </c>
      <c r="M3555" s="18" t="s">
        <v>129</v>
      </c>
      <c r="N3555" s="18"/>
      <c r="O3555" s="18"/>
      <c r="P3555" s="18" t="s">
        <v>14786</v>
      </c>
      <c r="Q3555" s="18" t="s">
        <v>149</v>
      </c>
      <c r="R3555" s="18" t="s">
        <v>14787</v>
      </c>
      <c r="S3555" s="18" t="s">
        <v>133</v>
      </c>
      <c r="T3555" s="18" t="s">
        <v>14788</v>
      </c>
      <c r="U3555" s="18"/>
      <c r="V3555" s="19" t="s">
        <v>29</v>
      </c>
      <c r="W3555" s="19"/>
      <c r="X3555" s="19"/>
      <c r="Y3555" s="20"/>
      <c r="Z3555" s="19"/>
      <c r="AA3555" s="18" t="str">
        <f aca="false">IF(OR(V3555="Aprobada"),R3555,IF(AND(OR(V3555="Aprobada con ajuste",V3555="Rechazada"),W3555&lt;&gt;""),W3555,""))</f>
        <v/>
      </c>
    </row>
    <row r="3556" customFormat="false" ht="43.25" hidden="false" customHeight="false" outlineLevel="0" collapsed="false">
      <c r="A3556" s="18" t="s">
        <v>14789</v>
      </c>
      <c r="B3556" s="18" t="s">
        <v>84</v>
      </c>
      <c r="C3556" s="18" t="s">
        <v>85</v>
      </c>
      <c r="D3556" s="18" t="s">
        <v>14780</v>
      </c>
      <c r="E3556" s="18" t="n">
        <v>6</v>
      </c>
      <c r="F3556" s="18" t="s">
        <v>14790</v>
      </c>
      <c r="G3556" s="18" t="s">
        <v>282</v>
      </c>
      <c r="H3556" s="18" t="s">
        <v>129</v>
      </c>
      <c r="I3556" s="18" t="s">
        <v>298</v>
      </c>
      <c r="J3556" s="18"/>
      <c r="K3556" s="18"/>
      <c r="L3556" s="18" t="s">
        <v>129</v>
      </c>
      <c r="M3556" s="18" t="s">
        <v>129</v>
      </c>
      <c r="N3556" s="18"/>
      <c r="O3556" s="18" t="s">
        <v>14791</v>
      </c>
      <c r="P3556" s="18" t="s">
        <v>14792</v>
      </c>
      <c r="Q3556" s="18" t="s">
        <v>149</v>
      </c>
      <c r="R3556" s="18" t="s">
        <v>14793</v>
      </c>
      <c r="S3556" s="18" t="s">
        <v>133</v>
      </c>
      <c r="T3556" s="18" t="s">
        <v>14794</v>
      </c>
      <c r="U3556" s="18"/>
      <c r="V3556" s="19" t="s">
        <v>29</v>
      </c>
      <c r="W3556" s="19"/>
      <c r="X3556" s="19"/>
      <c r="Y3556" s="20"/>
      <c r="Z3556" s="19"/>
      <c r="AA3556" s="18" t="str">
        <f aca="false">IF(OR(V3556="Aprobada"),R3556,IF(AND(OR(V3556="Aprobada con ajuste",V3556="Rechazada"),W3556&lt;&gt;""),W3556,""))</f>
        <v/>
      </c>
    </row>
    <row r="3557" customFormat="false" ht="32.8" hidden="false" customHeight="false" outlineLevel="0" collapsed="false">
      <c r="A3557" s="18" t="s">
        <v>14795</v>
      </c>
      <c r="B3557" s="18" t="s">
        <v>84</v>
      </c>
      <c r="C3557" s="18" t="s">
        <v>85</v>
      </c>
      <c r="D3557" s="18" t="s">
        <v>14780</v>
      </c>
      <c r="E3557" s="18" t="n">
        <v>6</v>
      </c>
      <c r="F3557" s="18" t="s">
        <v>14796</v>
      </c>
      <c r="G3557" s="18" t="s">
        <v>128</v>
      </c>
      <c r="H3557" s="18" t="s">
        <v>162</v>
      </c>
      <c r="I3557" s="18"/>
      <c r="J3557" s="18"/>
      <c r="K3557" s="18"/>
      <c r="L3557" s="18" t="s">
        <v>129</v>
      </c>
      <c r="M3557" s="18" t="s">
        <v>129</v>
      </c>
      <c r="N3557" s="18"/>
      <c r="O3557" s="18"/>
      <c r="P3557" s="18" t="s">
        <v>14797</v>
      </c>
      <c r="Q3557" s="18" t="s">
        <v>149</v>
      </c>
      <c r="R3557" s="18" t="s">
        <v>14798</v>
      </c>
      <c r="S3557" s="18" t="s">
        <v>140</v>
      </c>
      <c r="T3557" s="18" t="s">
        <v>14799</v>
      </c>
      <c r="U3557" s="18" t="s">
        <v>14800</v>
      </c>
      <c r="V3557" s="19" t="s">
        <v>29</v>
      </c>
      <c r="W3557" s="19"/>
      <c r="X3557" s="19"/>
      <c r="Y3557" s="20"/>
      <c r="Z3557" s="19"/>
      <c r="AA3557" s="18" t="str">
        <f aca="false">IF(OR(V3557="Aprobada"),R3557,IF(AND(OR(V3557="Aprobada con ajuste",V3557="Rechazada"),W3557&lt;&gt;""),W3557,""))</f>
        <v/>
      </c>
    </row>
    <row r="3558" customFormat="false" ht="32.8" hidden="false" customHeight="false" outlineLevel="0" collapsed="false">
      <c r="A3558" s="18" t="s">
        <v>14801</v>
      </c>
      <c r="B3558" s="18" t="s">
        <v>84</v>
      </c>
      <c r="C3558" s="18" t="s">
        <v>85</v>
      </c>
      <c r="D3558" s="18" t="s">
        <v>14780</v>
      </c>
      <c r="E3558" s="18" t="n">
        <v>6</v>
      </c>
      <c r="F3558" s="18" t="s">
        <v>14802</v>
      </c>
      <c r="G3558" s="18" t="s">
        <v>128</v>
      </c>
      <c r="H3558" s="18" t="s">
        <v>162</v>
      </c>
      <c r="I3558" s="18"/>
      <c r="J3558" s="18"/>
      <c r="K3558" s="18"/>
      <c r="L3558" s="18" t="s">
        <v>129</v>
      </c>
      <c r="M3558" s="18" t="s">
        <v>129</v>
      </c>
      <c r="N3558" s="18"/>
      <c r="O3558" s="18"/>
      <c r="P3558" s="18" t="s">
        <v>14803</v>
      </c>
      <c r="Q3558" s="18" t="s">
        <v>149</v>
      </c>
      <c r="R3558" s="18" t="s">
        <v>14804</v>
      </c>
      <c r="S3558" s="18" t="s">
        <v>133</v>
      </c>
      <c r="T3558" s="18" t="s">
        <v>14805</v>
      </c>
      <c r="U3558" s="18"/>
      <c r="V3558" s="19" t="s">
        <v>29</v>
      </c>
      <c r="W3558" s="19"/>
      <c r="X3558" s="19"/>
      <c r="Y3558" s="20"/>
      <c r="Z3558" s="19"/>
      <c r="AA3558" s="18" t="str">
        <f aca="false">IF(OR(V3558="Aprobada"),R3558,IF(AND(OR(V3558="Aprobada con ajuste",V3558="Rechazada"),W3558&lt;&gt;""),W3558,""))</f>
        <v/>
      </c>
    </row>
    <row r="3559" customFormat="false" ht="32.8" hidden="false" customHeight="false" outlineLevel="0" collapsed="false">
      <c r="A3559" s="18" t="s">
        <v>14806</v>
      </c>
      <c r="B3559" s="18" t="s">
        <v>84</v>
      </c>
      <c r="C3559" s="18" t="s">
        <v>85</v>
      </c>
      <c r="D3559" s="18" t="s">
        <v>14780</v>
      </c>
      <c r="E3559" s="18" t="n">
        <v>6</v>
      </c>
      <c r="F3559" s="18" t="s">
        <v>1080</v>
      </c>
      <c r="G3559" s="18" t="s">
        <v>931</v>
      </c>
      <c r="H3559" s="18" t="s">
        <v>162</v>
      </c>
      <c r="I3559" s="18" t="s">
        <v>298</v>
      </c>
      <c r="J3559" s="18"/>
      <c r="K3559" s="18"/>
      <c r="L3559" s="18" t="s">
        <v>129</v>
      </c>
      <c r="M3559" s="18" t="s">
        <v>129</v>
      </c>
      <c r="N3559" s="18"/>
      <c r="O3559" s="18"/>
      <c r="P3559" s="18" t="s">
        <v>14807</v>
      </c>
      <c r="Q3559" s="18" t="s">
        <v>138</v>
      </c>
      <c r="R3559" s="18" t="s">
        <v>1082</v>
      </c>
      <c r="S3559" s="18" t="s">
        <v>140</v>
      </c>
      <c r="T3559" s="18" t="s">
        <v>141</v>
      </c>
      <c r="U3559" s="18"/>
      <c r="V3559" s="19" t="s">
        <v>29</v>
      </c>
      <c r="W3559" s="19"/>
      <c r="X3559" s="19"/>
      <c r="Y3559" s="20"/>
      <c r="Z3559" s="19"/>
      <c r="AA3559" s="18" t="str">
        <f aca="false">IF(OR(V3559="Aprobada"),R3559,IF(AND(OR(V3559="Aprobada con ajuste",V3559="Rechazada"),W3559&lt;&gt;""),W3559,""))</f>
        <v/>
      </c>
    </row>
    <row r="3560" customFormat="false" ht="32.8" hidden="false" customHeight="false" outlineLevel="0" collapsed="false">
      <c r="A3560" s="18" t="s">
        <v>14808</v>
      </c>
      <c r="B3560" s="18" t="s">
        <v>84</v>
      </c>
      <c r="C3560" s="18" t="s">
        <v>85</v>
      </c>
      <c r="D3560" s="18" t="s">
        <v>14780</v>
      </c>
      <c r="E3560" s="18" t="n">
        <v>6</v>
      </c>
      <c r="F3560" s="18" t="s">
        <v>293</v>
      </c>
      <c r="G3560" s="18" t="s">
        <v>294</v>
      </c>
      <c r="H3560" s="18" t="s">
        <v>129</v>
      </c>
      <c r="I3560" s="18" t="s">
        <v>298</v>
      </c>
      <c r="J3560" s="18"/>
      <c r="K3560" s="18"/>
      <c r="L3560" s="18" t="s">
        <v>129</v>
      </c>
      <c r="M3560" s="18" t="s">
        <v>129</v>
      </c>
      <c r="N3560" s="18"/>
      <c r="O3560" s="18"/>
      <c r="P3560" s="18" t="s">
        <v>14809</v>
      </c>
      <c r="Q3560" s="18" t="s">
        <v>138</v>
      </c>
      <c r="R3560" s="18" t="s">
        <v>296</v>
      </c>
      <c r="S3560" s="18" t="s">
        <v>140</v>
      </c>
      <c r="T3560" s="18" t="s">
        <v>141</v>
      </c>
      <c r="U3560" s="18"/>
      <c r="V3560" s="19" t="s">
        <v>29</v>
      </c>
      <c r="W3560" s="19"/>
      <c r="X3560" s="19"/>
      <c r="Y3560" s="20"/>
      <c r="Z3560" s="19"/>
      <c r="AA3560" s="18" t="str">
        <f aca="false">IF(OR(V3560="Aprobada"),R3560,IF(AND(OR(V3560="Aprobada con ajuste",V3560="Rechazada"),W3560&lt;&gt;""),W3560,""))</f>
        <v/>
      </c>
    </row>
    <row r="3561" customFormat="false" ht="32.8" hidden="false" customHeight="false" outlineLevel="0" collapsed="false">
      <c r="A3561" s="18" t="s">
        <v>14810</v>
      </c>
      <c r="B3561" s="18" t="s">
        <v>84</v>
      </c>
      <c r="C3561" s="18" t="s">
        <v>85</v>
      </c>
      <c r="D3561" s="18" t="s">
        <v>14780</v>
      </c>
      <c r="E3561" s="18" t="n">
        <v>6</v>
      </c>
      <c r="F3561" s="18" t="s">
        <v>14811</v>
      </c>
      <c r="G3561" s="18" t="s">
        <v>312</v>
      </c>
      <c r="H3561" s="18" t="s">
        <v>162</v>
      </c>
      <c r="I3561" s="18"/>
      <c r="J3561" s="18"/>
      <c r="K3561" s="18"/>
      <c r="L3561" s="18" t="s">
        <v>129</v>
      </c>
      <c r="M3561" s="18" t="s">
        <v>129</v>
      </c>
      <c r="N3561" s="18"/>
      <c r="O3561" s="18"/>
      <c r="P3561" s="18" t="s">
        <v>14812</v>
      </c>
      <c r="Q3561" s="18" t="s">
        <v>149</v>
      </c>
      <c r="R3561" s="18" t="s">
        <v>14813</v>
      </c>
      <c r="S3561" s="18" t="s">
        <v>140</v>
      </c>
      <c r="T3561" s="18" t="s">
        <v>14814</v>
      </c>
      <c r="U3561" s="18" t="s">
        <v>14815</v>
      </c>
      <c r="V3561" s="19" t="s">
        <v>29</v>
      </c>
      <c r="W3561" s="19"/>
      <c r="X3561" s="19"/>
      <c r="Y3561" s="20"/>
      <c r="Z3561" s="19"/>
      <c r="AA3561" s="18" t="str">
        <f aca="false">IF(OR(V3561="Aprobada"),R3561,IF(AND(OR(V3561="Aprobada con ajuste",V3561="Rechazada"),W3561&lt;&gt;""),W3561,""))</f>
        <v/>
      </c>
    </row>
    <row r="3562" customFormat="false" ht="32.8" hidden="false" customHeight="false" outlineLevel="0" collapsed="false">
      <c r="A3562" s="18" t="s">
        <v>14816</v>
      </c>
      <c r="B3562" s="18" t="s">
        <v>84</v>
      </c>
      <c r="C3562" s="18" t="s">
        <v>85</v>
      </c>
      <c r="D3562" s="18" t="s">
        <v>14780</v>
      </c>
      <c r="E3562" s="18" t="n">
        <v>6</v>
      </c>
      <c r="F3562" s="18" t="s">
        <v>14817</v>
      </c>
      <c r="G3562" s="18" t="s">
        <v>14818</v>
      </c>
      <c r="H3562" s="18" t="s">
        <v>162</v>
      </c>
      <c r="I3562" s="18"/>
      <c r="J3562" s="18"/>
      <c r="K3562" s="18"/>
      <c r="L3562" s="18" t="s">
        <v>129</v>
      </c>
      <c r="M3562" s="18" t="s">
        <v>129</v>
      </c>
      <c r="N3562" s="18"/>
      <c r="O3562" s="18"/>
      <c r="P3562" s="18" t="s">
        <v>14819</v>
      </c>
      <c r="Q3562" s="18" t="s">
        <v>149</v>
      </c>
      <c r="R3562" s="18" t="s">
        <v>14820</v>
      </c>
      <c r="S3562" s="18" t="s">
        <v>133</v>
      </c>
      <c r="T3562" s="18" t="s">
        <v>14821</v>
      </c>
      <c r="U3562" s="18"/>
      <c r="V3562" s="19" t="s">
        <v>29</v>
      </c>
      <c r="W3562" s="19"/>
      <c r="X3562" s="19"/>
      <c r="Y3562" s="20"/>
      <c r="Z3562" s="19"/>
      <c r="AA3562" s="18" t="str">
        <f aca="false">IF(OR(V3562="Aprobada"),R3562,IF(AND(OR(V3562="Aprobada con ajuste",V3562="Rechazada"),W3562&lt;&gt;""),W3562,""))</f>
        <v/>
      </c>
    </row>
    <row r="3563" customFormat="false" ht="32.8" hidden="false" customHeight="false" outlineLevel="0" collapsed="false">
      <c r="A3563" s="18" t="s">
        <v>14822</v>
      </c>
      <c r="B3563" s="18" t="s">
        <v>84</v>
      </c>
      <c r="C3563" s="18" t="s">
        <v>85</v>
      </c>
      <c r="D3563" s="18" t="s">
        <v>14780</v>
      </c>
      <c r="E3563" s="18" t="n">
        <v>6</v>
      </c>
      <c r="F3563" s="18" t="s">
        <v>937</v>
      </c>
      <c r="G3563" s="18" t="s">
        <v>503</v>
      </c>
      <c r="H3563" s="18" t="s">
        <v>162</v>
      </c>
      <c r="I3563" s="18"/>
      <c r="J3563" s="18"/>
      <c r="K3563" s="18"/>
      <c r="L3563" s="18" t="s">
        <v>129</v>
      </c>
      <c r="M3563" s="18" t="s">
        <v>129</v>
      </c>
      <c r="N3563" s="18"/>
      <c r="O3563" s="18" t="s">
        <v>14823</v>
      </c>
      <c r="P3563" s="18" t="s">
        <v>14824</v>
      </c>
      <c r="Q3563" s="18" t="s">
        <v>138</v>
      </c>
      <c r="R3563" s="18" t="s">
        <v>939</v>
      </c>
      <c r="S3563" s="18" t="s">
        <v>140</v>
      </c>
      <c r="T3563" s="18" t="s">
        <v>141</v>
      </c>
      <c r="U3563" s="18"/>
      <c r="V3563" s="19" t="s">
        <v>29</v>
      </c>
      <c r="W3563" s="19"/>
      <c r="X3563" s="19"/>
      <c r="Y3563" s="20"/>
      <c r="Z3563" s="19"/>
      <c r="AA3563" s="18" t="str">
        <f aca="false">IF(OR(V3563="Aprobada"),R3563,IF(AND(OR(V3563="Aprobada con ajuste",V3563="Rechazada"),W3563&lt;&gt;""),W3563,""))</f>
        <v/>
      </c>
    </row>
    <row r="3564" customFormat="false" ht="32.8" hidden="false" customHeight="false" outlineLevel="0" collapsed="false">
      <c r="A3564" s="18" t="s">
        <v>14825</v>
      </c>
      <c r="B3564" s="18" t="s">
        <v>84</v>
      </c>
      <c r="C3564" s="18" t="s">
        <v>85</v>
      </c>
      <c r="D3564" s="18" t="s">
        <v>14780</v>
      </c>
      <c r="E3564" s="18" t="n">
        <v>6</v>
      </c>
      <c r="F3564" s="18" t="s">
        <v>9488</v>
      </c>
      <c r="G3564" s="18" t="s">
        <v>128</v>
      </c>
      <c r="H3564" s="18" t="s">
        <v>162</v>
      </c>
      <c r="I3564" s="18"/>
      <c r="J3564" s="18"/>
      <c r="K3564" s="18"/>
      <c r="L3564" s="18" t="s">
        <v>129</v>
      </c>
      <c r="M3564" s="18" t="s">
        <v>129</v>
      </c>
      <c r="N3564" s="18"/>
      <c r="O3564" s="18"/>
      <c r="P3564" s="18" t="s">
        <v>14826</v>
      </c>
      <c r="Q3564" s="18" t="s">
        <v>149</v>
      </c>
      <c r="R3564" s="18" t="s">
        <v>14827</v>
      </c>
      <c r="S3564" s="18" t="s">
        <v>133</v>
      </c>
      <c r="T3564" s="18" t="s">
        <v>2122</v>
      </c>
      <c r="U3564" s="18"/>
      <c r="V3564" s="19" t="s">
        <v>29</v>
      </c>
      <c r="W3564" s="19"/>
      <c r="X3564" s="19"/>
      <c r="Y3564" s="20"/>
      <c r="Z3564" s="19"/>
      <c r="AA3564" s="18" t="str">
        <f aca="false">IF(OR(V3564="Aprobada"),R3564,IF(AND(OR(V3564="Aprobada con ajuste",V3564="Rechazada"),W3564&lt;&gt;""),W3564,""))</f>
        <v/>
      </c>
    </row>
    <row r="3565" customFormat="false" ht="32.8" hidden="false" customHeight="false" outlineLevel="0" collapsed="false">
      <c r="A3565" s="18" t="s">
        <v>14828</v>
      </c>
      <c r="B3565" s="18" t="s">
        <v>84</v>
      </c>
      <c r="C3565" s="18" t="s">
        <v>85</v>
      </c>
      <c r="D3565" s="18" t="s">
        <v>14780</v>
      </c>
      <c r="E3565" s="18" t="n">
        <v>6</v>
      </c>
      <c r="F3565" s="18" t="s">
        <v>321</v>
      </c>
      <c r="G3565" s="18" t="s">
        <v>584</v>
      </c>
      <c r="H3565" s="18" t="s">
        <v>129</v>
      </c>
      <c r="I3565" s="18"/>
      <c r="J3565" s="18"/>
      <c r="K3565" s="18"/>
      <c r="L3565" s="18" t="s">
        <v>129</v>
      </c>
      <c r="M3565" s="18" t="s">
        <v>129</v>
      </c>
      <c r="N3565" s="18"/>
      <c r="O3565" s="18"/>
      <c r="P3565" s="18" t="s">
        <v>14829</v>
      </c>
      <c r="Q3565" s="18" t="s">
        <v>138</v>
      </c>
      <c r="R3565" s="18" t="s">
        <v>7583</v>
      </c>
      <c r="S3565" s="18" t="s">
        <v>140</v>
      </c>
      <c r="T3565" s="18" t="s">
        <v>141</v>
      </c>
      <c r="U3565" s="18"/>
      <c r="V3565" s="19" t="s">
        <v>29</v>
      </c>
      <c r="W3565" s="19"/>
      <c r="X3565" s="19"/>
      <c r="Y3565" s="20"/>
      <c r="Z3565" s="19"/>
      <c r="AA3565" s="18" t="str">
        <f aca="false">IF(OR(V3565="Aprobada"),R3565,IF(AND(OR(V3565="Aprobada con ajuste",V3565="Rechazada"),W3565&lt;&gt;""),W3565,""))</f>
        <v/>
      </c>
    </row>
    <row r="3566" customFormat="false" ht="32.8" hidden="false" customHeight="false" outlineLevel="0" collapsed="false">
      <c r="A3566" s="18" t="s">
        <v>14830</v>
      </c>
      <c r="B3566" s="18" t="s">
        <v>84</v>
      </c>
      <c r="C3566" s="18" t="s">
        <v>85</v>
      </c>
      <c r="D3566" s="18" t="s">
        <v>14831</v>
      </c>
      <c r="E3566" s="18" t="n">
        <v>0</v>
      </c>
      <c r="F3566" s="18" t="s">
        <v>14832</v>
      </c>
      <c r="G3566" s="18" t="s">
        <v>145</v>
      </c>
      <c r="H3566" s="18" t="s">
        <v>129</v>
      </c>
      <c r="I3566" s="18" t="s">
        <v>146</v>
      </c>
      <c r="J3566" s="18"/>
      <c r="K3566" s="18"/>
      <c r="L3566" s="18" t="s">
        <v>129</v>
      </c>
      <c r="M3566" s="18" t="s">
        <v>129</v>
      </c>
      <c r="N3566" s="18"/>
      <c r="O3566" s="18" t="s">
        <v>14833</v>
      </c>
      <c r="P3566" s="18" t="s">
        <v>14834</v>
      </c>
      <c r="Q3566" s="18" t="s">
        <v>149</v>
      </c>
      <c r="R3566" s="18" t="s">
        <v>14835</v>
      </c>
      <c r="S3566" s="18" t="s">
        <v>133</v>
      </c>
      <c r="T3566" s="18" t="s">
        <v>14836</v>
      </c>
      <c r="U3566" s="18"/>
      <c r="V3566" s="19" t="s">
        <v>29</v>
      </c>
      <c r="W3566" s="19"/>
      <c r="X3566" s="19"/>
      <c r="Y3566" s="20"/>
      <c r="Z3566" s="19"/>
      <c r="AA3566" s="18" t="str">
        <f aca="false">IF(OR(V3566="Aprobada"),R3566,IF(AND(OR(V3566="Aprobada con ajuste",V3566="Rechazada"),W3566&lt;&gt;""),W3566,""))</f>
        <v/>
      </c>
    </row>
    <row r="3567" customFormat="false" ht="43.25" hidden="false" customHeight="false" outlineLevel="0" collapsed="false">
      <c r="A3567" s="18" t="s">
        <v>14837</v>
      </c>
      <c r="B3567" s="18" t="s">
        <v>84</v>
      </c>
      <c r="C3567" s="18" t="s">
        <v>85</v>
      </c>
      <c r="D3567" s="18" t="s">
        <v>14831</v>
      </c>
      <c r="E3567" s="18" t="n">
        <v>0</v>
      </c>
      <c r="F3567" s="18" t="s">
        <v>14838</v>
      </c>
      <c r="G3567" s="18" t="s">
        <v>145</v>
      </c>
      <c r="H3567" s="18" t="s">
        <v>129</v>
      </c>
      <c r="I3567" s="18"/>
      <c r="J3567" s="18"/>
      <c r="K3567" s="18"/>
      <c r="L3567" s="18" t="s">
        <v>129</v>
      </c>
      <c r="M3567" s="18" t="s">
        <v>129</v>
      </c>
      <c r="N3567" s="18"/>
      <c r="O3567" s="18"/>
      <c r="P3567" s="18" t="s">
        <v>14839</v>
      </c>
      <c r="Q3567" s="18" t="s">
        <v>131</v>
      </c>
      <c r="R3567" s="18" t="s">
        <v>14840</v>
      </c>
      <c r="S3567" s="18" t="s">
        <v>133</v>
      </c>
      <c r="T3567" s="18" t="s">
        <v>14841</v>
      </c>
      <c r="U3567" s="18"/>
      <c r="V3567" s="19" t="s">
        <v>29</v>
      </c>
      <c r="W3567" s="19"/>
      <c r="X3567" s="19"/>
      <c r="Y3567" s="20"/>
      <c r="Z3567" s="19"/>
      <c r="AA3567" s="18" t="str">
        <f aca="false">IF(OR(V3567="Aprobada"),R3567,IF(AND(OR(V3567="Aprobada con ajuste",V3567="Rechazada"),W3567&lt;&gt;""),W3567,""))</f>
        <v/>
      </c>
    </row>
    <row r="3568" customFormat="false" ht="43.25" hidden="false" customHeight="false" outlineLevel="0" collapsed="false">
      <c r="A3568" s="18" t="s">
        <v>14842</v>
      </c>
      <c r="B3568" s="18" t="s">
        <v>84</v>
      </c>
      <c r="C3568" s="18" t="s">
        <v>85</v>
      </c>
      <c r="D3568" s="18" t="s">
        <v>14831</v>
      </c>
      <c r="E3568" s="18" t="n">
        <v>0</v>
      </c>
      <c r="F3568" s="18" t="s">
        <v>4777</v>
      </c>
      <c r="G3568" s="18" t="s">
        <v>186</v>
      </c>
      <c r="H3568" s="18" t="s">
        <v>129</v>
      </c>
      <c r="I3568" s="18"/>
      <c r="J3568" s="18"/>
      <c r="K3568" s="18"/>
      <c r="L3568" s="18" t="s">
        <v>129</v>
      </c>
      <c r="M3568" s="18" t="s">
        <v>129</v>
      </c>
      <c r="N3568" s="18"/>
      <c r="O3568" s="18"/>
      <c r="P3568" s="18" t="s">
        <v>14843</v>
      </c>
      <c r="Q3568" s="18" t="s">
        <v>131</v>
      </c>
      <c r="R3568" s="18" t="s">
        <v>14844</v>
      </c>
      <c r="S3568" s="18" t="s">
        <v>133</v>
      </c>
      <c r="T3568" s="18" t="s">
        <v>14845</v>
      </c>
      <c r="U3568" s="18"/>
      <c r="V3568" s="19" t="s">
        <v>29</v>
      </c>
      <c r="W3568" s="19"/>
      <c r="X3568" s="19"/>
      <c r="Y3568" s="20"/>
      <c r="Z3568" s="19"/>
      <c r="AA3568" s="18" t="str">
        <f aca="false">IF(OR(V3568="Aprobada"),R3568,IF(AND(OR(V3568="Aprobada con ajuste",V3568="Rechazada"),W3568&lt;&gt;""),W3568,""))</f>
        <v/>
      </c>
    </row>
    <row r="3569" customFormat="false" ht="43.25" hidden="false" customHeight="false" outlineLevel="0" collapsed="false">
      <c r="A3569" s="18" t="s">
        <v>14846</v>
      </c>
      <c r="B3569" s="18" t="s">
        <v>84</v>
      </c>
      <c r="C3569" s="18" t="s">
        <v>85</v>
      </c>
      <c r="D3569" s="18" t="s">
        <v>14831</v>
      </c>
      <c r="E3569" s="18" t="n">
        <v>0</v>
      </c>
      <c r="F3569" s="18" t="s">
        <v>160</v>
      </c>
      <c r="G3569" s="18" t="s">
        <v>128</v>
      </c>
      <c r="H3569" s="18" t="s">
        <v>129</v>
      </c>
      <c r="I3569" s="18"/>
      <c r="J3569" s="18"/>
      <c r="K3569" s="18"/>
      <c r="L3569" s="18" t="s">
        <v>129</v>
      </c>
      <c r="M3569" s="18" t="s">
        <v>129</v>
      </c>
      <c r="N3569" s="18"/>
      <c r="O3569" s="18"/>
      <c r="P3569" s="18" t="s">
        <v>14847</v>
      </c>
      <c r="Q3569" s="18" t="s">
        <v>138</v>
      </c>
      <c r="R3569" s="18" t="s">
        <v>14848</v>
      </c>
      <c r="S3569" s="18" t="s">
        <v>140</v>
      </c>
      <c r="T3569" s="18" t="s">
        <v>141</v>
      </c>
      <c r="U3569" s="18"/>
      <c r="V3569" s="19" t="s">
        <v>29</v>
      </c>
      <c r="W3569" s="19"/>
      <c r="X3569" s="19"/>
      <c r="Y3569" s="20"/>
      <c r="Z3569" s="19"/>
      <c r="AA3569" s="18" t="str">
        <f aca="false">IF(OR(V3569="Aprobada"),R3569,IF(AND(OR(V3569="Aprobada con ajuste",V3569="Rechazada"),W3569&lt;&gt;""),W3569,""))</f>
        <v/>
      </c>
    </row>
    <row r="3570" customFormat="false" ht="32.8" hidden="false" customHeight="false" outlineLevel="0" collapsed="false">
      <c r="A3570" s="18" t="s">
        <v>14849</v>
      </c>
      <c r="B3570" s="18" t="s">
        <v>84</v>
      </c>
      <c r="C3570" s="18" t="s">
        <v>85</v>
      </c>
      <c r="D3570" s="18" t="s">
        <v>14831</v>
      </c>
      <c r="E3570" s="18" t="n">
        <v>0</v>
      </c>
      <c r="F3570" s="18" t="s">
        <v>14850</v>
      </c>
      <c r="G3570" s="18" t="s">
        <v>337</v>
      </c>
      <c r="H3570" s="18" t="s">
        <v>129</v>
      </c>
      <c r="I3570" s="18"/>
      <c r="J3570" s="18"/>
      <c r="K3570" s="18"/>
      <c r="L3570" s="18" t="s">
        <v>129</v>
      </c>
      <c r="M3570" s="18" t="s">
        <v>129</v>
      </c>
      <c r="N3570" s="18"/>
      <c r="O3570" s="18"/>
      <c r="P3570" s="18" t="s">
        <v>14851</v>
      </c>
      <c r="Q3570" s="18" t="s">
        <v>149</v>
      </c>
      <c r="R3570" s="18" t="s">
        <v>14852</v>
      </c>
      <c r="S3570" s="18" t="s">
        <v>133</v>
      </c>
      <c r="T3570" s="18" t="s">
        <v>14853</v>
      </c>
      <c r="U3570" s="18"/>
      <c r="V3570" s="19" t="s">
        <v>29</v>
      </c>
      <c r="W3570" s="19"/>
      <c r="X3570" s="19"/>
      <c r="Y3570" s="20"/>
      <c r="Z3570" s="19"/>
      <c r="AA3570" s="18" t="str">
        <f aca="false">IF(OR(V3570="Aprobada"),R3570,IF(AND(OR(V3570="Aprobada con ajuste",V3570="Rechazada"),W3570&lt;&gt;""),W3570,""))</f>
        <v/>
      </c>
    </row>
    <row r="3571" customFormat="false" ht="32.8" hidden="false" customHeight="false" outlineLevel="0" collapsed="false">
      <c r="A3571" s="18" t="s">
        <v>14854</v>
      </c>
      <c r="B3571" s="18" t="s">
        <v>84</v>
      </c>
      <c r="C3571" s="18" t="s">
        <v>85</v>
      </c>
      <c r="D3571" s="18" t="s">
        <v>14831</v>
      </c>
      <c r="E3571" s="18" t="n">
        <v>0</v>
      </c>
      <c r="F3571" s="18" t="s">
        <v>14855</v>
      </c>
      <c r="G3571" s="18" t="s">
        <v>337</v>
      </c>
      <c r="H3571" s="18" t="s">
        <v>129</v>
      </c>
      <c r="I3571" s="18"/>
      <c r="J3571" s="18"/>
      <c r="K3571" s="18"/>
      <c r="L3571" s="18" t="s">
        <v>129</v>
      </c>
      <c r="M3571" s="18" t="s">
        <v>129</v>
      </c>
      <c r="N3571" s="18"/>
      <c r="O3571" s="18"/>
      <c r="P3571" s="18" t="s">
        <v>14856</v>
      </c>
      <c r="Q3571" s="18" t="s">
        <v>149</v>
      </c>
      <c r="R3571" s="18" t="s">
        <v>14857</v>
      </c>
      <c r="S3571" s="18" t="s">
        <v>133</v>
      </c>
      <c r="T3571" s="18" t="s">
        <v>14853</v>
      </c>
      <c r="U3571" s="18"/>
      <c r="V3571" s="19" t="s">
        <v>29</v>
      </c>
      <c r="W3571" s="19"/>
      <c r="X3571" s="19"/>
      <c r="Y3571" s="20"/>
      <c r="Z3571" s="19"/>
      <c r="AA3571" s="18" t="str">
        <f aca="false">IF(OR(V3571="Aprobada"),R3571,IF(AND(OR(V3571="Aprobada con ajuste",V3571="Rechazada"),W3571&lt;&gt;""),W3571,""))</f>
        <v/>
      </c>
    </row>
    <row r="3572" customFormat="false" ht="43.25" hidden="false" customHeight="false" outlineLevel="0" collapsed="false">
      <c r="A3572" s="18" t="s">
        <v>14858</v>
      </c>
      <c r="B3572" s="18" t="s">
        <v>84</v>
      </c>
      <c r="C3572" s="18" t="s">
        <v>85</v>
      </c>
      <c r="D3572" s="18" t="s">
        <v>14831</v>
      </c>
      <c r="E3572" s="18" t="n">
        <v>0</v>
      </c>
      <c r="F3572" s="18" t="s">
        <v>14859</v>
      </c>
      <c r="G3572" s="18" t="s">
        <v>337</v>
      </c>
      <c r="H3572" s="18" t="s">
        <v>162</v>
      </c>
      <c r="I3572" s="18"/>
      <c r="J3572" s="18"/>
      <c r="K3572" s="18"/>
      <c r="L3572" s="18" t="s">
        <v>129</v>
      </c>
      <c r="M3572" s="18" t="s">
        <v>129</v>
      </c>
      <c r="N3572" s="18"/>
      <c r="O3572" s="18" t="s">
        <v>14860</v>
      </c>
      <c r="P3572" s="18" t="s">
        <v>14861</v>
      </c>
      <c r="Q3572" s="18" t="s">
        <v>149</v>
      </c>
      <c r="R3572" s="18" t="s">
        <v>14862</v>
      </c>
      <c r="S3572" s="18" t="s">
        <v>140</v>
      </c>
      <c r="T3572" s="18" t="s">
        <v>14863</v>
      </c>
      <c r="U3572" s="18" t="s">
        <v>14864</v>
      </c>
      <c r="V3572" s="19" t="s">
        <v>29</v>
      </c>
      <c r="W3572" s="19"/>
      <c r="X3572" s="19"/>
      <c r="Y3572" s="20"/>
      <c r="Z3572" s="19"/>
      <c r="AA3572" s="18" t="str">
        <f aca="false">IF(OR(V3572="Aprobada"),R3572,IF(AND(OR(V3572="Aprobada con ajuste",V3572="Rechazada"),W3572&lt;&gt;""),W3572,""))</f>
        <v/>
      </c>
    </row>
    <row r="3573" customFormat="false" ht="32.8" hidden="false" customHeight="false" outlineLevel="0" collapsed="false">
      <c r="A3573" s="18" t="s">
        <v>14865</v>
      </c>
      <c r="B3573" s="18" t="s">
        <v>84</v>
      </c>
      <c r="C3573" s="18" t="s">
        <v>85</v>
      </c>
      <c r="D3573" s="18" t="s">
        <v>14831</v>
      </c>
      <c r="E3573" s="18" t="n">
        <v>0</v>
      </c>
      <c r="F3573" s="18" t="s">
        <v>14866</v>
      </c>
      <c r="G3573" s="18" t="s">
        <v>137</v>
      </c>
      <c r="H3573" s="18" t="s">
        <v>162</v>
      </c>
      <c r="I3573" s="18"/>
      <c r="J3573" s="18"/>
      <c r="K3573" s="18"/>
      <c r="L3573" s="18" t="s">
        <v>129</v>
      </c>
      <c r="M3573" s="18" t="s">
        <v>129</v>
      </c>
      <c r="N3573" s="18"/>
      <c r="O3573" s="18"/>
      <c r="P3573" s="18" t="s">
        <v>14867</v>
      </c>
      <c r="Q3573" s="18" t="s">
        <v>138</v>
      </c>
      <c r="R3573" s="18" t="s">
        <v>14868</v>
      </c>
      <c r="S3573" s="18" t="s">
        <v>140</v>
      </c>
      <c r="T3573" s="18" t="s">
        <v>141</v>
      </c>
      <c r="U3573" s="18"/>
      <c r="V3573" s="19" t="s">
        <v>29</v>
      </c>
      <c r="W3573" s="19"/>
      <c r="X3573" s="19"/>
      <c r="Y3573" s="20"/>
      <c r="Z3573" s="19"/>
      <c r="AA3573" s="18" t="str">
        <f aca="false">IF(OR(V3573="Aprobada"),R3573,IF(AND(OR(V3573="Aprobada con ajuste",V3573="Rechazada"),W3573&lt;&gt;""),W3573,""))</f>
        <v/>
      </c>
    </row>
    <row r="3574" customFormat="false" ht="43.25" hidden="false" customHeight="false" outlineLevel="0" collapsed="false">
      <c r="A3574" s="18" t="s">
        <v>14869</v>
      </c>
      <c r="B3574" s="18" t="s">
        <v>84</v>
      </c>
      <c r="C3574" s="18" t="s">
        <v>85</v>
      </c>
      <c r="D3574" s="18" t="s">
        <v>14831</v>
      </c>
      <c r="E3574" s="18" t="n">
        <v>0</v>
      </c>
      <c r="F3574" s="18" t="s">
        <v>14870</v>
      </c>
      <c r="G3574" s="18" t="s">
        <v>137</v>
      </c>
      <c r="H3574" s="18" t="s">
        <v>162</v>
      </c>
      <c r="I3574" s="18"/>
      <c r="J3574" s="18"/>
      <c r="K3574" s="18"/>
      <c r="L3574" s="18" t="s">
        <v>129</v>
      </c>
      <c r="M3574" s="18" t="s">
        <v>129</v>
      </c>
      <c r="N3574" s="18"/>
      <c r="O3574" s="18"/>
      <c r="P3574" s="18" t="s">
        <v>14871</v>
      </c>
      <c r="Q3574" s="18" t="s">
        <v>138</v>
      </c>
      <c r="R3574" s="18" t="s">
        <v>14872</v>
      </c>
      <c r="S3574" s="18" t="s">
        <v>140</v>
      </c>
      <c r="T3574" s="18" t="s">
        <v>141</v>
      </c>
      <c r="U3574" s="18"/>
      <c r="V3574" s="19" t="s">
        <v>29</v>
      </c>
      <c r="W3574" s="19"/>
      <c r="X3574" s="19"/>
      <c r="Y3574" s="20"/>
      <c r="Z3574" s="19"/>
      <c r="AA3574" s="18" t="str">
        <f aca="false">IF(OR(V3574="Aprobada"),R3574,IF(AND(OR(V3574="Aprobada con ajuste",V3574="Rechazada"),W3574&lt;&gt;""),W3574,""))</f>
        <v/>
      </c>
    </row>
    <row r="3575" customFormat="false" ht="43.25" hidden="false" customHeight="false" outlineLevel="0" collapsed="false">
      <c r="A3575" s="18" t="s">
        <v>14873</v>
      </c>
      <c r="B3575" s="18" t="s">
        <v>84</v>
      </c>
      <c r="C3575" s="18" t="s">
        <v>85</v>
      </c>
      <c r="D3575" s="18" t="s">
        <v>14831</v>
      </c>
      <c r="E3575" s="18" t="n">
        <v>0</v>
      </c>
      <c r="F3575" s="18" t="s">
        <v>886</v>
      </c>
      <c r="G3575" s="18" t="s">
        <v>128</v>
      </c>
      <c r="H3575" s="18" t="s">
        <v>162</v>
      </c>
      <c r="I3575" s="18"/>
      <c r="J3575" s="18"/>
      <c r="K3575" s="18"/>
      <c r="L3575" s="18" t="s">
        <v>129</v>
      </c>
      <c r="M3575" s="18" t="s">
        <v>129</v>
      </c>
      <c r="N3575" s="18"/>
      <c r="O3575" s="18"/>
      <c r="P3575" s="18" t="s">
        <v>14874</v>
      </c>
      <c r="Q3575" s="18" t="s">
        <v>138</v>
      </c>
      <c r="R3575" s="18" t="s">
        <v>1693</v>
      </c>
      <c r="S3575" s="18" t="s">
        <v>140</v>
      </c>
      <c r="T3575" s="18" t="s">
        <v>141</v>
      </c>
      <c r="U3575" s="18"/>
      <c r="V3575" s="19" t="s">
        <v>29</v>
      </c>
      <c r="W3575" s="19"/>
      <c r="X3575" s="19"/>
      <c r="Y3575" s="20"/>
      <c r="Z3575" s="19"/>
      <c r="AA3575" s="18" t="str">
        <f aca="false">IF(OR(V3575="Aprobada"),R3575,IF(AND(OR(V3575="Aprobada con ajuste",V3575="Rechazada"),W3575&lt;&gt;""),W3575,""))</f>
        <v/>
      </c>
    </row>
    <row r="3576" customFormat="false" ht="32.8" hidden="false" customHeight="false" outlineLevel="0" collapsed="false">
      <c r="A3576" s="18" t="s">
        <v>14875</v>
      </c>
      <c r="B3576" s="18" t="s">
        <v>84</v>
      </c>
      <c r="C3576" s="18" t="s">
        <v>85</v>
      </c>
      <c r="D3576" s="18" t="s">
        <v>14831</v>
      </c>
      <c r="E3576" s="18" t="n">
        <v>0</v>
      </c>
      <c r="F3576" s="18" t="s">
        <v>14876</v>
      </c>
      <c r="G3576" s="18" t="s">
        <v>656</v>
      </c>
      <c r="H3576" s="18" t="s">
        <v>162</v>
      </c>
      <c r="I3576" s="18"/>
      <c r="J3576" s="18"/>
      <c r="K3576" s="18"/>
      <c r="L3576" s="18" t="s">
        <v>129</v>
      </c>
      <c r="M3576" s="18" t="s">
        <v>129</v>
      </c>
      <c r="N3576" s="18"/>
      <c r="O3576" s="18"/>
      <c r="P3576" s="18" t="s">
        <v>14877</v>
      </c>
      <c r="Q3576" s="18" t="s">
        <v>149</v>
      </c>
      <c r="R3576" s="18" t="s">
        <v>14878</v>
      </c>
      <c r="S3576" s="18" t="s">
        <v>140</v>
      </c>
      <c r="T3576" s="18" t="s">
        <v>14879</v>
      </c>
      <c r="U3576" s="18" t="s">
        <v>14880</v>
      </c>
      <c r="V3576" s="19" t="s">
        <v>29</v>
      </c>
      <c r="W3576" s="19"/>
      <c r="X3576" s="19"/>
      <c r="Y3576" s="20"/>
      <c r="Z3576" s="19"/>
      <c r="AA3576" s="18" t="str">
        <f aca="false">IF(OR(V3576="Aprobada"),R3576,IF(AND(OR(V3576="Aprobada con ajuste",V3576="Rechazada"),W3576&lt;&gt;""),W3576,""))</f>
        <v/>
      </c>
    </row>
    <row r="3577" customFormat="false" ht="32.8" hidden="false" customHeight="false" outlineLevel="0" collapsed="false">
      <c r="A3577" s="18" t="s">
        <v>14881</v>
      </c>
      <c r="B3577" s="18" t="s">
        <v>84</v>
      </c>
      <c r="C3577" s="18" t="s">
        <v>85</v>
      </c>
      <c r="D3577" s="18" t="s">
        <v>14831</v>
      </c>
      <c r="E3577" s="18" t="n">
        <v>0</v>
      </c>
      <c r="F3577" s="18" t="s">
        <v>14882</v>
      </c>
      <c r="G3577" s="18" t="s">
        <v>584</v>
      </c>
      <c r="H3577" s="18" t="s">
        <v>162</v>
      </c>
      <c r="I3577" s="18"/>
      <c r="J3577" s="18"/>
      <c r="K3577" s="18"/>
      <c r="L3577" s="18" t="s">
        <v>129</v>
      </c>
      <c r="M3577" s="18" t="s">
        <v>129</v>
      </c>
      <c r="N3577" s="18"/>
      <c r="O3577" s="18"/>
      <c r="P3577" s="18" t="s">
        <v>14883</v>
      </c>
      <c r="Q3577" s="18" t="s">
        <v>138</v>
      </c>
      <c r="R3577" s="18" t="s">
        <v>14884</v>
      </c>
      <c r="S3577" s="18" t="s">
        <v>140</v>
      </c>
      <c r="T3577" s="18" t="s">
        <v>141</v>
      </c>
      <c r="U3577" s="18"/>
      <c r="V3577" s="19" t="s">
        <v>29</v>
      </c>
      <c r="W3577" s="19"/>
      <c r="X3577" s="19"/>
      <c r="Y3577" s="20"/>
      <c r="Z3577" s="19"/>
      <c r="AA3577" s="18" t="str">
        <f aca="false">IF(OR(V3577="Aprobada"),R3577,IF(AND(OR(V3577="Aprobada con ajuste",V3577="Rechazada"),W3577&lt;&gt;""),W3577,""))</f>
        <v/>
      </c>
    </row>
    <row r="3578" customFormat="false" ht="32.8" hidden="false" customHeight="false" outlineLevel="0" collapsed="false">
      <c r="A3578" s="18" t="s">
        <v>14885</v>
      </c>
      <c r="B3578" s="18" t="s">
        <v>84</v>
      </c>
      <c r="C3578" s="18" t="s">
        <v>85</v>
      </c>
      <c r="D3578" s="18" t="s">
        <v>14831</v>
      </c>
      <c r="E3578" s="18" t="n">
        <v>0</v>
      </c>
      <c r="F3578" s="18" t="s">
        <v>14886</v>
      </c>
      <c r="G3578" s="18" t="s">
        <v>584</v>
      </c>
      <c r="H3578" s="18" t="s">
        <v>162</v>
      </c>
      <c r="I3578" s="18"/>
      <c r="J3578" s="18"/>
      <c r="K3578" s="18"/>
      <c r="L3578" s="18" t="s">
        <v>129</v>
      </c>
      <c r="M3578" s="18" t="s">
        <v>129</v>
      </c>
      <c r="N3578" s="18"/>
      <c r="O3578" s="18"/>
      <c r="P3578" s="18" t="s">
        <v>14887</v>
      </c>
      <c r="Q3578" s="18" t="s">
        <v>138</v>
      </c>
      <c r="R3578" s="18" t="s">
        <v>14888</v>
      </c>
      <c r="S3578" s="18" t="s">
        <v>140</v>
      </c>
      <c r="T3578" s="18" t="s">
        <v>141</v>
      </c>
      <c r="U3578" s="18"/>
      <c r="V3578" s="19" t="s">
        <v>29</v>
      </c>
      <c r="W3578" s="19"/>
      <c r="X3578" s="19"/>
      <c r="Y3578" s="20"/>
      <c r="Z3578" s="19"/>
      <c r="AA3578" s="18" t="str">
        <f aca="false">IF(OR(V3578="Aprobada"),R3578,IF(AND(OR(V3578="Aprobada con ajuste",V3578="Rechazada"),W3578&lt;&gt;""),W3578,""))</f>
        <v/>
      </c>
    </row>
    <row r="3579" customFormat="false" ht="32.8" hidden="false" customHeight="false" outlineLevel="0" collapsed="false">
      <c r="A3579" s="18" t="s">
        <v>14889</v>
      </c>
      <c r="B3579" s="18" t="s">
        <v>84</v>
      </c>
      <c r="C3579" s="18" t="s">
        <v>85</v>
      </c>
      <c r="D3579" s="18" t="s">
        <v>14831</v>
      </c>
      <c r="E3579" s="18" t="n">
        <v>0</v>
      </c>
      <c r="F3579" s="18" t="s">
        <v>14890</v>
      </c>
      <c r="G3579" s="18" t="s">
        <v>828</v>
      </c>
      <c r="H3579" s="18" t="s">
        <v>162</v>
      </c>
      <c r="I3579" s="18" t="s">
        <v>298</v>
      </c>
      <c r="J3579" s="18" t="s">
        <v>14891</v>
      </c>
      <c r="K3579" s="18"/>
      <c r="L3579" s="18" t="s">
        <v>162</v>
      </c>
      <c r="M3579" s="18" t="s">
        <v>129</v>
      </c>
      <c r="N3579" s="18"/>
      <c r="O3579" s="18"/>
      <c r="P3579" s="18" t="s">
        <v>14892</v>
      </c>
      <c r="Q3579" s="18" t="s">
        <v>149</v>
      </c>
      <c r="R3579" s="18" t="s">
        <v>14893</v>
      </c>
      <c r="S3579" s="18" t="s">
        <v>133</v>
      </c>
      <c r="T3579" s="18" t="s">
        <v>14894</v>
      </c>
      <c r="U3579" s="18"/>
      <c r="V3579" s="19" t="s">
        <v>29</v>
      </c>
      <c r="W3579" s="19"/>
      <c r="X3579" s="19"/>
      <c r="Y3579" s="20"/>
      <c r="Z3579" s="19"/>
      <c r="AA3579" s="18" t="str">
        <f aca="false">IF(OR(V3579="Aprobada"),R3579,IF(AND(OR(V3579="Aprobada con ajuste",V3579="Rechazada"),W3579&lt;&gt;""),W3579,""))</f>
        <v/>
      </c>
    </row>
    <row r="3580" customFormat="false" ht="53.7" hidden="false" customHeight="false" outlineLevel="0" collapsed="false">
      <c r="A3580" s="18" t="s">
        <v>14895</v>
      </c>
      <c r="B3580" s="18" t="s">
        <v>84</v>
      </c>
      <c r="C3580" s="18" t="s">
        <v>85</v>
      </c>
      <c r="D3580" s="18" t="s">
        <v>14831</v>
      </c>
      <c r="E3580" s="18" t="n">
        <v>0</v>
      </c>
      <c r="F3580" s="18" t="s">
        <v>14896</v>
      </c>
      <c r="G3580" s="18" t="s">
        <v>173</v>
      </c>
      <c r="H3580" s="18" t="s">
        <v>129</v>
      </c>
      <c r="I3580" s="18"/>
      <c r="J3580" s="18"/>
      <c r="K3580" s="18"/>
      <c r="L3580" s="18" t="s">
        <v>129</v>
      </c>
      <c r="M3580" s="18" t="s">
        <v>129</v>
      </c>
      <c r="N3580" s="18"/>
      <c r="O3580" s="18"/>
      <c r="P3580" s="18" t="s">
        <v>14897</v>
      </c>
      <c r="Q3580" s="18" t="s">
        <v>138</v>
      </c>
      <c r="R3580" s="18" t="s">
        <v>14898</v>
      </c>
      <c r="S3580" s="18" t="s">
        <v>140</v>
      </c>
      <c r="T3580" s="18" t="s">
        <v>141</v>
      </c>
      <c r="U3580" s="18"/>
      <c r="V3580" s="19" t="s">
        <v>29</v>
      </c>
      <c r="W3580" s="19"/>
      <c r="X3580" s="19"/>
      <c r="Y3580" s="20"/>
      <c r="Z3580" s="19"/>
      <c r="AA3580" s="18" t="str">
        <f aca="false">IF(OR(V3580="Aprobada"),R3580,IF(AND(OR(V3580="Aprobada con ajuste",V3580="Rechazada"),W3580&lt;&gt;""),W3580,""))</f>
        <v/>
      </c>
    </row>
    <row r="3581" customFormat="false" ht="43.25" hidden="false" customHeight="false" outlineLevel="0" collapsed="false">
      <c r="A3581" s="18" t="s">
        <v>14899</v>
      </c>
      <c r="B3581" s="18" t="s">
        <v>84</v>
      </c>
      <c r="C3581" s="18" t="s">
        <v>85</v>
      </c>
      <c r="D3581" s="18" t="s">
        <v>14831</v>
      </c>
      <c r="E3581" s="18" t="n">
        <v>0</v>
      </c>
      <c r="F3581" s="18" t="s">
        <v>14900</v>
      </c>
      <c r="G3581" s="18" t="s">
        <v>5268</v>
      </c>
      <c r="H3581" s="18" t="s">
        <v>129</v>
      </c>
      <c r="I3581" s="18"/>
      <c r="J3581" s="18"/>
      <c r="K3581" s="18"/>
      <c r="L3581" s="18" t="s">
        <v>129</v>
      </c>
      <c r="M3581" s="18" t="s">
        <v>129</v>
      </c>
      <c r="N3581" s="18"/>
      <c r="O3581" s="18"/>
      <c r="P3581" s="18" t="s">
        <v>14901</v>
      </c>
      <c r="Q3581" s="18" t="s">
        <v>149</v>
      </c>
      <c r="R3581" s="18" t="s">
        <v>14902</v>
      </c>
      <c r="S3581" s="18" t="s">
        <v>140</v>
      </c>
      <c r="T3581" s="18" t="s">
        <v>14903</v>
      </c>
      <c r="U3581" s="18" t="s">
        <v>14904</v>
      </c>
      <c r="V3581" s="19" t="s">
        <v>29</v>
      </c>
      <c r="W3581" s="19"/>
      <c r="X3581" s="19"/>
      <c r="Y3581" s="20"/>
      <c r="Z3581" s="19"/>
      <c r="AA3581" s="18" t="str">
        <f aca="false">IF(OR(V3581="Aprobada"),R3581,IF(AND(OR(V3581="Aprobada con ajuste",V3581="Rechazada"),W3581&lt;&gt;""),W3581,""))</f>
        <v/>
      </c>
    </row>
    <row r="3582" customFormat="false" ht="32.8" hidden="false" customHeight="false" outlineLevel="0" collapsed="false">
      <c r="A3582" s="18" t="s">
        <v>14905</v>
      </c>
      <c r="B3582" s="18" t="s">
        <v>84</v>
      </c>
      <c r="C3582" s="18" t="s">
        <v>85</v>
      </c>
      <c r="D3582" s="18" t="s">
        <v>14831</v>
      </c>
      <c r="E3582" s="18" t="n">
        <v>0</v>
      </c>
      <c r="F3582" s="18" t="s">
        <v>14906</v>
      </c>
      <c r="G3582" s="18" t="s">
        <v>173</v>
      </c>
      <c r="H3582" s="18" t="s">
        <v>129</v>
      </c>
      <c r="I3582" s="18"/>
      <c r="J3582" s="18"/>
      <c r="K3582" s="18"/>
      <c r="L3582" s="18" t="s">
        <v>129</v>
      </c>
      <c r="M3582" s="18" t="s">
        <v>129</v>
      </c>
      <c r="N3582" s="18"/>
      <c r="O3582" s="18"/>
      <c r="P3582" s="18" t="s">
        <v>14907</v>
      </c>
      <c r="Q3582" s="18" t="s">
        <v>138</v>
      </c>
      <c r="R3582" s="18" t="s">
        <v>14908</v>
      </c>
      <c r="S3582" s="18" t="s">
        <v>140</v>
      </c>
      <c r="T3582" s="18" t="s">
        <v>141</v>
      </c>
      <c r="U3582" s="18"/>
      <c r="V3582" s="19" t="s">
        <v>29</v>
      </c>
      <c r="W3582" s="19"/>
      <c r="X3582" s="19"/>
      <c r="Y3582" s="20"/>
      <c r="Z3582" s="19"/>
      <c r="AA3582" s="18" t="str">
        <f aca="false">IF(OR(V3582="Aprobada"),R3582,IF(AND(OR(V3582="Aprobada con ajuste",V3582="Rechazada"),W3582&lt;&gt;""),W3582,""))</f>
        <v/>
      </c>
    </row>
    <row r="3583" customFormat="false" ht="43.25" hidden="false" customHeight="false" outlineLevel="0" collapsed="false">
      <c r="A3583" s="18" t="s">
        <v>14909</v>
      </c>
      <c r="B3583" s="18" t="s">
        <v>84</v>
      </c>
      <c r="C3583" s="18" t="s">
        <v>85</v>
      </c>
      <c r="D3583" s="18" t="s">
        <v>14831</v>
      </c>
      <c r="E3583" s="18" t="n">
        <v>0</v>
      </c>
      <c r="F3583" s="18" t="s">
        <v>14910</v>
      </c>
      <c r="G3583" s="18" t="s">
        <v>584</v>
      </c>
      <c r="H3583" s="18" t="s">
        <v>162</v>
      </c>
      <c r="I3583" s="18"/>
      <c r="J3583" s="18"/>
      <c r="K3583" s="18"/>
      <c r="L3583" s="18" t="s">
        <v>129</v>
      </c>
      <c r="M3583" s="18" t="s">
        <v>129</v>
      </c>
      <c r="N3583" s="18"/>
      <c r="O3583" s="18"/>
      <c r="P3583" s="18" t="s">
        <v>14911</v>
      </c>
      <c r="Q3583" s="18" t="s">
        <v>138</v>
      </c>
      <c r="R3583" s="18" t="s">
        <v>14912</v>
      </c>
      <c r="S3583" s="18" t="s">
        <v>140</v>
      </c>
      <c r="T3583" s="18" t="s">
        <v>141</v>
      </c>
      <c r="U3583" s="18"/>
      <c r="V3583" s="19" t="s">
        <v>29</v>
      </c>
      <c r="W3583" s="19"/>
      <c r="X3583" s="19"/>
      <c r="Y3583" s="20"/>
      <c r="Z3583" s="19"/>
      <c r="AA3583" s="18" t="str">
        <f aca="false">IF(OR(V3583="Aprobada"),R3583,IF(AND(OR(V3583="Aprobada con ajuste",V3583="Rechazada"),W3583&lt;&gt;""),W3583,""))</f>
        <v/>
      </c>
    </row>
    <row r="3584" customFormat="false" ht="43.25" hidden="false" customHeight="false" outlineLevel="0" collapsed="false">
      <c r="A3584" s="18" t="s">
        <v>14913</v>
      </c>
      <c r="B3584" s="18" t="s">
        <v>84</v>
      </c>
      <c r="C3584" s="18" t="s">
        <v>85</v>
      </c>
      <c r="D3584" s="18" t="s">
        <v>14831</v>
      </c>
      <c r="E3584" s="18" t="n">
        <v>0</v>
      </c>
      <c r="F3584" s="18" t="s">
        <v>14914</v>
      </c>
      <c r="G3584" s="18" t="s">
        <v>358</v>
      </c>
      <c r="H3584" s="18" t="s">
        <v>129</v>
      </c>
      <c r="I3584" s="18"/>
      <c r="J3584" s="18"/>
      <c r="K3584" s="18"/>
      <c r="L3584" s="18" t="s">
        <v>129</v>
      </c>
      <c r="M3584" s="18" t="s">
        <v>129</v>
      </c>
      <c r="N3584" s="18"/>
      <c r="O3584" s="18"/>
      <c r="P3584" s="18" t="s">
        <v>14915</v>
      </c>
      <c r="Q3584" s="18" t="s">
        <v>149</v>
      </c>
      <c r="R3584" s="18" t="s">
        <v>14916</v>
      </c>
      <c r="S3584" s="18" t="s">
        <v>140</v>
      </c>
      <c r="T3584" s="18" t="s">
        <v>14917</v>
      </c>
      <c r="U3584" s="18" t="s">
        <v>12500</v>
      </c>
      <c r="V3584" s="19" t="s">
        <v>29</v>
      </c>
      <c r="W3584" s="19"/>
      <c r="X3584" s="19"/>
      <c r="Y3584" s="20"/>
      <c r="Z3584" s="19"/>
      <c r="AA3584" s="18" t="str">
        <f aca="false">IF(OR(V3584="Aprobada"),R3584,IF(AND(OR(V3584="Aprobada con ajuste",V3584="Rechazada"),W3584&lt;&gt;""),W3584,""))</f>
        <v/>
      </c>
    </row>
    <row r="3585" customFormat="false" ht="32.8" hidden="false" customHeight="false" outlineLevel="0" collapsed="false">
      <c r="A3585" s="18" t="s">
        <v>14918</v>
      </c>
      <c r="B3585" s="18" t="s">
        <v>84</v>
      </c>
      <c r="C3585" s="18" t="s">
        <v>85</v>
      </c>
      <c r="D3585" s="18" t="s">
        <v>14831</v>
      </c>
      <c r="E3585" s="18" t="n">
        <v>0</v>
      </c>
      <c r="F3585" s="18" t="s">
        <v>14919</v>
      </c>
      <c r="G3585" s="18" t="s">
        <v>312</v>
      </c>
      <c r="H3585" s="18" t="s">
        <v>162</v>
      </c>
      <c r="I3585" s="18"/>
      <c r="J3585" s="18"/>
      <c r="K3585" s="18"/>
      <c r="L3585" s="18" t="s">
        <v>129</v>
      </c>
      <c r="M3585" s="18" t="s">
        <v>129</v>
      </c>
      <c r="N3585" s="18"/>
      <c r="O3585" s="18"/>
      <c r="P3585" s="18" t="s">
        <v>14920</v>
      </c>
      <c r="Q3585" s="18" t="s">
        <v>149</v>
      </c>
      <c r="R3585" s="18" t="s">
        <v>14921</v>
      </c>
      <c r="S3585" s="18" t="s">
        <v>140</v>
      </c>
      <c r="T3585" s="18" t="s">
        <v>14922</v>
      </c>
      <c r="U3585" s="18" t="s">
        <v>14815</v>
      </c>
      <c r="V3585" s="19" t="s">
        <v>29</v>
      </c>
      <c r="W3585" s="19"/>
      <c r="X3585" s="19"/>
      <c r="Y3585" s="20"/>
      <c r="Z3585" s="19"/>
      <c r="AA3585" s="18" t="str">
        <f aca="false">IF(OR(V3585="Aprobada"),R3585,IF(AND(OR(V3585="Aprobada con ajuste",V3585="Rechazada"),W3585&lt;&gt;""),W3585,""))</f>
        <v/>
      </c>
    </row>
    <row r="3586" customFormat="false" ht="43.25" hidden="false" customHeight="false" outlineLevel="0" collapsed="false">
      <c r="A3586" s="18" t="s">
        <v>14923</v>
      </c>
      <c r="B3586" s="18" t="s">
        <v>84</v>
      </c>
      <c r="C3586" s="18" t="s">
        <v>85</v>
      </c>
      <c r="D3586" s="18" t="s">
        <v>14831</v>
      </c>
      <c r="E3586" s="18" t="n">
        <v>0</v>
      </c>
      <c r="F3586" s="18" t="s">
        <v>14924</v>
      </c>
      <c r="G3586" s="18" t="s">
        <v>128</v>
      </c>
      <c r="H3586" s="18" t="s">
        <v>162</v>
      </c>
      <c r="I3586" s="18"/>
      <c r="J3586" s="18"/>
      <c r="K3586" s="18"/>
      <c r="L3586" s="18" t="s">
        <v>129</v>
      </c>
      <c r="M3586" s="18" t="s">
        <v>129</v>
      </c>
      <c r="N3586" s="18"/>
      <c r="O3586" s="18"/>
      <c r="P3586" s="18" t="s">
        <v>14925</v>
      </c>
      <c r="Q3586" s="18" t="s">
        <v>149</v>
      </c>
      <c r="R3586" s="18" t="s">
        <v>14926</v>
      </c>
      <c r="S3586" s="18" t="s">
        <v>140</v>
      </c>
      <c r="T3586" s="18" t="s">
        <v>14927</v>
      </c>
      <c r="U3586" s="18" t="s">
        <v>14928</v>
      </c>
      <c r="V3586" s="19" t="s">
        <v>29</v>
      </c>
      <c r="W3586" s="19"/>
      <c r="X3586" s="19"/>
      <c r="Y3586" s="20"/>
      <c r="Z3586" s="19"/>
      <c r="AA3586" s="18" t="str">
        <f aca="false">IF(OR(V3586="Aprobada"),R3586,IF(AND(OR(V3586="Aprobada con ajuste",V3586="Rechazada"),W3586&lt;&gt;""),W3586,""))</f>
        <v/>
      </c>
    </row>
    <row r="3587" customFormat="false" ht="32.8" hidden="false" customHeight="false" outlineLevel="0" collapsed="false">
      <c r="A3587" s="18" t="s">
        <v>14929</v>
      </c>
      <c r="B3587" s="18" t="s">
        <v>84</v>
      </c>
      <c r="C3587" s="18" t="s">
        <v>85</v>
      </c>
      <c r="D3587" s="18" t="s">
        <v>14831</v>
      </c>
      <c r="E3587" s="18" t="n">
        <v>0</v>
      </c>
      <c r="F3587" s="18" t="s">
        <v>7325</v>
      </c>
      <c r="G3587" s="18" t="s">
        <v>128</v>
      </c>
      <c r="H3587" s="18" t="s">
        <v>162</v>
      </c>
      <c r="I3587" s="18"/>
      <c r="J3587" s="18"/>
      <c r="K3587" s="18"/>
      <c r="L3587" s="18" t="s">
        <v>129</v>
      </c>
      <c r="M3587" s="18" t="s">
        <v>129</v>
      </c>
      <c r="N3587" s="18"/>
      <c r="O3587" s="18"/>
      <c r="P3587" s="18" t="s">
        <v>14930</v>
      </c>
      <c r="Q3587" s="18" t="s">
        <v>149</v>
      </c>
      <c r="R3587" s="18" t="s">
        <v>14931</v>
      </c>
      <c r="S3587" s="18" t="s">
        <v>133</v>
      </c>
      <c r="T3587" s="18" t="s">
        <v>2122</v>
      </c>
      <c r="U3587" s="18"/>
      <c r="V3587" s="19" t="s">
        <v>29</v>
      </c>
      <c r="W3587" s="19"/>
      <c r="X3587" s="19"/>
      <c r="Y3587" s="20"/>
      <c r="Z3587" s="19"/>
      <c r="AA3587" s="18" t="str">
        <f aca="false">IF(OR(V3587="Aprobada"),R3587,IF(AND(OR(V3587="Aprobada con ajuste",V3587="Rechazada"),W3587&lt;&gt;""),W3587,""))</f>
        <v/>
      </c>
    </row>
    <row r="3588" customFormat="false" ht="32.8" hidden="false" customHeight="false" outlineLevel="0" collapsed="false">
      <c r="A3588" s="18" t="s">
        <v>14932</v>
      </c>
      <c r="B3588" s="18" t="s">
        <v>84</v>
      </c>
      <c r="C3588" s="18" t="s">
        <v>85</v>
      </c>
      <c r="D3588" s="18" t="s">
        <v>14933</v>
      </c>
      <c r="E3588" s="18" t="n">
        <v>0</v>
      </c>
      <c r="F3588" s="18" t="s">
        <v>14934</v>
      </c>
      <c r="G3588" s="18" t="s">
        <v>312</v>
      </c>
      <c r="H3588" s="18" t="s">
        <v>162</v>
      </c>
      <c r="I3588" s="18"/>
      <c r="J3588" s="18"/>
      <c r="K3588" s="18"/>
      <c r="L3588" s="18" t="s">
        <v>129</v>
      </c>
      <c r="M3588" s="18" t="s">
        <v>129</v>
      </c>
      <c r="N3588" s="18"/>
      <c r="O3588" s="18" t="s">
        <v>14935</v>
      </c>
      <c r="P3588" s="18" t="s">
        <v>14936</v>
      </c>
      <c r="Q3588" s="18" t="s">
        <v>149</v>
      </c>
      <c r="R3588" s="18" t="s">
        <v>14937</v>
      </c>
      <c r="S3588" s="18" t="s">
        <v>140</v>
      </c>
      <c r="T3588" s="18" t="s">
        <v>14938</v>
      </c>
      <c r="U3588" s="18" t="s">
        <v>14939</v>
      </c>
      <c r="V3588" s="19" t="s">
        <v>29</v>
      </c>
      <c r="W3588" s="19"/>
      <c r="X3588" s="19"/>
      <c r="Y3588" s="20"/>
      <c r="Z3588" s="19"/>
      <c r="AA3588" s="18" t="str">
        <f aca="false">IF(OR(V3588="Aprobada"),R3588,IF(AND(OR(V3588="Aprobada con ajuste",V3588="Rechazada"),W3588&lt;&gt;""),W3588,""))</f>
        <v/>
      </c>
    </row>
    <row r="3589" customFormat="false" ht="32.8" hidden="false" customHeight="false" outlineLevel="0" collapsed="false">
      <c r="A3589" s="18" t="s">
        <v>14940</v>
      </c>
      <c r="B3589" s="18" t="s">
        <v>84</v>
      </c>
      <c r="C3589" s="18" t="s">
        <v>85</v>
      </c>
      <c r="D3589" s="18" t="s">
        <v>14933</v>
      </c>
      <c r="E3589" s="18" t="n">
        <v>0</v>
      </c>
      <c r="F3589" s="18" t="s">
        <v>14941</v>
      </c>
      <c r="G3589" s="18" t="s">
        <v>205</v>
      </c>
      <c r="H3589" s="18" t="s">
        <v>162</v>
      </c>
      <c r="I3589" s="18"/>
      <c r="J3589" s="18"/>
      <c r="K3589" s="18"/>
      <c r="L3589" s="18" t="s">
        <v>129</v>
      </c>
      <c r="M3589" s="18" t="s">
        <v>129</v>
      </c>
      <c r="N3589" s="18"/>
      <c r="O3589" s="18"/>
      <c r="P3589" s="18" t="s">
        <v>14942</v>
      </c>
      <c r="Q3589" s="18" t="s">
        <v>149</v>
      </c>
      <c r="R3589" s="18" t="s">
        <v>14943</v>
      </c>
      <c r="S3589" s="18" t="s">
        <v>140</v>
      </c>
      <c r="T3589" s="18" t="s">
        <v>14944</v>
      </c>
      <c r="U3589" s="18" t="s">
        <v>14945</v>
      </c>
      <c r="V3589" s="19" t="s">
        <v>29</v>
      </c>
      <c r="W3589" s="19"/>
      <c r="X3589" s="19"/>
      <c r="Y3589" s="20"/>
      <c r="Z3589" s="19"/>
      <c r="AA3589" s="18" t="str">
        <f aca="false">IF(OR(V3589="Aprobada"),R3589,IF(AND(OR(V3589="Aprobada con ajuste",V3589="Rechazada"),W3589&lt;&gt;""),W3589,""))</f>
        <v/>
      </c>
    </row>
    <row r="3590" customFormat="false" ht="32.8" hidden="false" customHeight="false" outlineLevel="0" collapsed="false">
      <c r="A3590" s="18" t="s">
        <v>14946</v>
      </c>
      <c r="B3590" s="18" t="s">
        <v>84</v>
      </c>
      <c r="C3590" s="18" t="s">
        <v>85</v>
      </c>
      <c r="D3590" s="18" t="s">
        <v>14933</v>
      </c>
      <c r="E3590" s="18" t="n">
        <v>0</v>
      </c>
      <c r="F3590" s="18" t="s">
        <v>14947</v>
      </c>
      <c r="G3590" s="18" t="s">
        <v>454</v>
      </c>
      <c r="H3590" s="18" t="s">
        <v>129</v>
      </c>
      <c r="I3590" s="18"/>
      <c r="J3590" s="18"/>
      <c r="K3590" s="18"/>
      <c r="L3590" s="18" t="s">
        <v>129</v>
      </c>
      <c r="M3590" s="18" t="s">
        <v>129</v>
      </c>
      <c r="N3590" s="18"/>
      <c r="O3590" s="18"/>
      <c r="P3590" s="18" t="s">
        <v>14948</v>
      </c>
      <c r="Q3590" s="18" t="s">
        <v>149</v>
      </c>
      <c r="R3590" s="18" t="s">
        <v>14949</v>
      </c>
      <c r="S3590" s="18" t="s">
        <v>133</v>
      </c>
      <c r="T3590" s="18" t="s">
        <v>11404</v>
      </c>
      <c r="U3590" s="18"/>
      <c r="V3590" s="19" t="s">
        <v>29</v>
      </c>
      <c r="W3590" s="19"/>
      <c r="X3590" s="19"/>
      <c r="Y3590" s="20"/>
      <c r="Z3590" s="19"/>
      <c r="AA3590" s="18" t="str">
        <f aca="false">IF(OR(V3590="Aprobada"),R3590,IF(AND(OR(V3590="Aprobada con ajuste",V3590="Rechazada"),W3590&lt;&gt;""),W3590,""))</f>
        <v/>
      </c>
    </row>
    <row r="3591" customFormat="false" ht="32.8" hidden="false" customHeight="false" outlineLevel="0" collapsed="false">
      <c r="A3591" s="18" t="s">
        <v>14950</v>
      </c>
      <c r="B3591" s="18" t="s">
        <v>84</v>
      </c>
      <c r="C3591" s="18" t="s">
        <v>85</v>
      </c>
      <c r="D3591" s="18" t="s">
        <v>14933</v>
      </c>
      <c r="E3591" s="18" t="n">
        <v>0</v>
      </c>
      <c r="F3591" s="18" t="s">
        <v>14951</v>
      </c>
      <c r="G3591" s="18" t="s">
        <v>186</v>
      </c>
      <c r="H3591" s="18" t="s">
        <v>129</v>
      </c>
      <c r="I3591" s="18" t="s">
        <v>298</v>
      </c>
      <c r="J3591" s="18" t="s">
        <v>14952</v>
      </c>
      <c r="K3591" s="18"/>
      <c r="L3591" s="18" t="s">
        <v>162</v>
      </c>
      <c r="M3591" s="18" t="s">
        <v>129</v>
      </c>
      <c r="N3591" s="18"/>
      <c r="O3591" s="18"/>
      <c r="P3591" s="18" t="s">
        <v>14953</v>
      </c>
      <c r="Q3591" s="18" t="s">
        <v>149</v>
      </c>
      <c r="R3591" s="18" t="s">
        <v>14954</v>
      </c>
      <c r="S3591" s="18" t="s">
        <v>133</v>
      </c>
      <c r="T3591" s="18" t="s">
        <v>801</v>
      </c>
      <c r="U3591" s="18"/>
      <c r="V3591" s="19" t="s">
        <v>29</v>
      </c>
      <c r="W3591" s="19"/>
      <c r="X3591" s="19"/>
      <c r="Y3591" s="20"/>
      <c r="Z3591" s="19"/>
      <c r="AA3591" s="18" t="str">
        <f aca="false">IF(OR(V3591="Aprobada"),R3591,IF(AND(OR(V3591="Aprobada con ajuste",V3591="Rechazada"),W3591&lt;&gt;""),W3591,""))</f>
        <v/>
      </c>
    </row>
    <row r="3592" customFormat="false" ht="43.25" hidden="false" customHeight="false" outlineLevel="0" collapsed="false">
      <c r="A3592" s="18" t="s">
        <v>14955</v>
      </c>
      <c r="B3592" s="18" t="s">
        <v>84</v>
      </c>
      <c r="C3592" s="18" t="s">
        <v>85</v>
      </c>
      <c r="D3592" s="18" t="s">
        <v>14933</v>
      </c>
      <c r="E3592" s="18" t="n">
        <v>0</v>
      </c>
      <c r="F3592" s="18" t="s">
        <v>14956</v>
      </c>
      <c r="G3592" s="18" t="s">
        <v>128</v>
      </c>
      <c r="H3592" s="18" t="s">
        <v>129</v>
      </c>
      <c r="I3592" s="18" t="s">
        <v>298</v>
      </c>
      <c r="J3592" s="18"/>
      <c r="K3592" s="18"/>
      <c r="L3592" s="18" t="s">
        <v>129</v>
      </c>
      <c r="M3592" s="18" t="s">
        <v>129</v>
      </c>
      <c r="N3592" s="18"/>
      <c r="O3592" s="18"/>
      <c r="P3592" s="18" t="s">
        <v>14957</v>
      </c>
      <c r="Q3592" s="18" t="s">
        <v>149</v>
      </c>
      <c r="R3592" s="18" t="s">
        <v>14958</v>
      </c>
      <c r="S3592" s="18" t="s">
        <v>133</v>
      </c>
      <c r="T3592" s="18" t="s">
        <v>14959</v>
      </c>
      <c r="U3592" s="18"/>
      <c r="V3592" s="19" t="s">
        <v>29</v>
      </c>
      <c r="W3592" s="19"/>
      <c r="X3592" s="19"/>
      <c r="Y3592" s="20"/>
      <c r="Z3592" s="19"/>
      <c r="AA3592" s="18" t="str">
        <f aca="false">IF(OR(V3592="Aprobada"),R3592,IF(AND(OR(V3592="Aprobada con ajuste",V3592="Rechazada"),W3592&lt;&gt;""),W3592,""))</f>
        <v/>
      </c>
    </row>
    <row r="3593" customFormat="false" ht="43.25" hidden="false" customHeight="false" outlineLevel="0" collapsed="false">
      <c r="A3593" s="18" t="s">
        <v>14960</v>
      </c>
      <c r="B3593" s="18" t="s">
        <v>84</v>
      </c>
      <c r="C3593" s="18" t="s">
        <v>85</v>
      </c>
      <c r="D3593" s="18" t="s">
        <v>14933</v>
      </c>
      <c r="E3593" s="18" t="n">
        <v>0</v>
      </c>
      <c r="F3593" s="18" t="s">
        <v>14961</v>
      </c>
      <c r="G3593" s="18" t="s">
        <v>128</v>
      </c>
      <c r="H3593" s="18" t="s">
        <v>129</v>
      </c>
      <c r="I3593" s="18" t="s">
        <v>298</v>
      </c>
      <c r="J3593" s="18"/>
      <c r="K3593" s="18"/>
      <c r="L3593" s="18" t="s">
        <v>129</v>
      </c>
      <c r="M3593" s="18" t="s">
        <v>129</v>
      </c>
      <c r="N3593" s="18"/>
      <c r="O3593" s="18"/>
      <c r="P3593" s="18" t="s">
        <v>14962</v>
      </c>
      <c r="Q3593" s="18" t="s">
        <v>149</v>
      </c>
      <c r="R3593" s="18" t="s">
        <v>14963</v>
      </c>
      <c r="S3593" s="18" t="s">
        <v>133</v>
      </c>
      <c r="T3593" s="18" t="s">
        <v>14959</v>
      </c>
      <c r="U3593" s="18"/>
      <c r="V3593" s="19" t="s">
        <v>29</v>
      </c>
      <c r="W3593" s="19"/>
      <c r="X3593" s="19"/>
      <c r="Y3593" s="20"/>
      <c r="Z3593" s="19"/>
      <c r="AA3593" s="18" t="str">
        <f aca="false">IF(OR(V3593="Aprobada"),R3593,IF(AND(OR(V3593="Aprobada con ajuste",V3593="Rechazada"),W3593&lt;&gt;""),W3593,""))</f>
        <v/>
      </c>
    </row>
    <row r="3594" customFormat="false" ht="43.25" hidden="false" customHeight="false" outlineLevel="0" collapsed="false">
      <c r="A3594" s="18" t="s">
        <v>14964</v>
      </c>
      <c r="B3594" s="18" t="s">
        <v>84</v>
      </c>
      <c r="C3594" s="18" t="s">
        <v>85</v>
      </c>
      <c r="D3594" s="18" t="s">
        <v>14933</v>
      </c>
      <c r="E3594" s="18" t="n">
        <v>0</v>
      </c>
      <c r="F3594" s="18" t="s">
        <v>14965</v>
      </c>
      <c r="G3594" s="18" t="s">
        <v>13203</v>
      </c>
      <c r="H3594" s="18" t="s">
        <v>129</v>
      </c>
      <c r="I3594" s="18" t="s">
        <v>298</v>
      </c>
      <c r="J3594" s="18"/>
      <c r="K3594" s="18"/>
      <c r="L3594" s="18" t="s">
        <v>129</v>
      </c>
      <c r="M3594" s="18" t="s">
        <v>129</v>
      </c>
      <c r="N3594" s="18"/>
      <c r="O3594" s="18"/>
      <c r="P3594" s="18" t="s">
        <v>14966</v>
      </c>
      <c r="Q3594" s="18" t="s">
        <v>149</v>
      </c>
      <c r="R3594" s="18" t="s">
        <v>14967</v>
      </c>
      <c r="S3594" s="18" t="s">
        <v>133</v>
      </c>
      <c r="T3594" s="18" t="s">
        <v>14968</v>
      </c>
      <c r="U3594" s="18"/>
      <c r="V3594" s="19" t="s">
        <v>29</v>
      </c>
      <c r="W3594" s="19"/>
      <c r="X3594" s="19"/>
      <c r="Y3594" s="20"/>
      <c r="Z3594" s="19"/>
      <c r="AA3594" s="18" t="str">
        <f aca="false">IF(OR(V3594="Aprobada"),R3594,IF(AND(OR(V3594="Aprobada con ajuste",V3594="Rechazada"),W3594&lt;&gt;""),W3594,""))</f>
        <v/>
      </c>
    </row>
    <row r="3595" customFormat="false" ht="43.25" hidden="false" customHeight="false" outlineLevel="0" collapsed="false">
      <c r="A3595" s="18" t="s">
        <v>14969</v>
      </c>
      <c r="B3595" s="18" t="s">
        <v>84</v>
      </c>
      <c r="C3595" s="18" t="s">
        <v>85</v>
      </c>
      <c r="D3595" s="18" t="s">
        <v>14933</v>
      </c>
      <c r="E3595" s="18" t="n">
        <v>0</v>
      </c>
      <c r="F3595" s="18" t="s">
        <v>5383</v>
      </c>
      <c r="G3595" s="18" t="s">
        <v>828</v>
      </c>
      <c r="H3595" s="18" t="s">
        <v>129</v>
      </c>
      <c r="I3595" s="18" t="s">
        <v>298</v>
      </c>
      <c r="J3595" s="18" t="s">
        <v>14891</v>
      </c>
      <c r="K3595" s="18"/>
      <c r="L3595" s="18" t="s">
        <v>162</v>
      </c>
      <c r="M3595" s="18" t="s">
        <v>129</v>
      </c>
      <c r="N3595" s="18"/>
      <c r="O3595" s="18"/>
      <c r="P3595" s="18" t="s">
        <v>14970</v>
      </c>
      <c r="Q3595" s="18" t="s">
        <v>149</v>
      </c>
      <c r="R3595" s="18" t="s">
        <v>14971</v>
      </c>
      <c r="S3595" s="18" t="s">
        <v>133</v>
      </c>
      <c r="T3595" s="18" t="s">
        <v>801</v>
      </c>
      <c r="U3595" s="18"/>
      <c r="V3595" s="19" t="s">
        <v>29</v>
      </c>
      <c r="W3595" s="19"/>
      <c r="X3595" s="19"/>
      <c r="Y3595" s="20"/>
      <c r="Z3595" s="19"/>
      <c r="AA3595" s="18" t="str">
        <f aca="false">IF(OR(V3595="Aprobada"),R3595,IF(AND(OR(V3595="Aprobada con ajuste",V3595="Rechazada"),W3595&lt;&gt;""),W3595,""))</f>
        <v/>
      </c>
    </row>
    <row r="3596" customFormat="false" ht="53.7" hidden="false" customHeight="false" outlineLevel="0" collapsed="false">
      <c r="A3596" s="18" t="s">
        <v>14972</v>
      </c>
      <c r="B3596" s="18" t="s">
        <v>84</v>
      </c>
      <c r="C3596" s="18" t="s">
        <v>85</v>
      </c>
      <c r="D3596" s="18" t="s">
        <v>14933</v>
      </c>
      <c r="E3596" s="18" t="n">
        <v>0</v>
      </c>
      <c r="F3596" s="18" t="s">
        <v>14896</v>
      </c>
      <c r="G3596" s="18" t="s">
        <v>173</v>
      </c>
      <c r="H3596" s="18" t="s">
        <v>129</v>
      </c>
      <c r="I3596" s="18"/>
      <c r="J3596" s="18"/>
      <c r="K3596" s="18"/>
      <c r="L3596" s="18" t="s">
        <v>129</v>
      </c>
      <c r="M3596" s="18" t="s">
        <v>129</v>
      </c>
      <c r="N3596" s="18"/>
      <c r="O3596" s="18"/>
      <c r="P3596" s="18" t="s">
        <v>14973</v>
      </c>
      <c r="Q3596" s="18" t="s">
        <v>138</v>
      </c>
      <c r="R3596" s="18" t="s">
        <v>14898</v>
      </c>
      <c r="S3596" s="18" t="s">
        <v>140</v>
      </c>
      <c r="T3596" s="18" t="s">
        <v>141</v>
      </c>
      <c r="U3596" s="18"/>
      <c r="V3596" s="19" t="s">
        <v>29</v>
      </c>
      <c r="W3596" s="19"/>
      <c r="X3596" s="19"/>
      <c r="Y3596" s="20"/>
      <c r="Z3596" s="19"/>
      <c r="AA3596" s="18" t="str">
        <f aca="false">IF(OR(V3596="Aprobada"),R3596,IF(AND(OR(V3596="Aprobada con ajuste",V3596="Rechazada"),W3596&lt;&gt;""),W3596,""))</f>
        <v/>
      </c>
    </row>
    <row r="3597" customFormat="false" ht="43.25" hidden="false" customHeight="false" outlineLevel="0" collapsed="false">
      <c r="A3597" s="18" t="s">
        <v>14974</v>
      </c>
      <c r="B3597" s="18" t="s">
        <v>84</v>
      </c>
      <c r="C3597" s="18" t="s">
        <v>85</v>
      </c>
      <c r="D3597" s="18" t="s">
        <v>14933</v>
      </c>
      <c r="E3597" s="18" t="n">
        <v>0</v>
      </c>
      <c r="F3597" s="18" t="s">
        <v>886</v>
      </c>
      <c r="G3597" s="18" t="s">
        <v>128</v>
      </c>
      <c r="H3597" s="18" t="s">
        <v>162</v>
      </c>
      <c r="I3597" s="18"/>
      <c r="J3597" s="18"/>
      <c r="K3597" s="18"/>
      <c r="L3597" s="18" t="s">
        <v>129</v>
      </c>
      <c r="M3597" s="18" t="s">
        <v>129</v>
      </c>
      <c r="N3597" s="18"/>
      <c r="O3597" s="18"/>
      <c r="P3597" s="18" t="s">
        <v>14975</v>
      </c>
      <c r="Q3597" s="18" t="s">
        <v>138</v>
      </c>
      <c r="R3597" s="18" t="s">
        <v>1693</v>
      </c>
      <c r="S3597" s="18" t="s">
        <v>140</v>
      </c>
      <c r="T3597" s="18" t="s">
        <v>141</v>
      </c>
      <c r="U3597" s="18"/>
      <c r="V3597" s="19" t="s">
        <v>29</v>
      </c>
      <c r="W3597" s="19"/>
      <c r="X3597" s="19"/>
      <c r="Y3597" s="20"/>
      <c r="Z3597" s="19"/>
      <c r="AA3597" s="18" t="str">
        <f aca="false">IF(OR(V3597="Aprobada"),R3597,IF(AND(OR(V3597="Aprobada con ajuste",V3597="Rechazada"),W3597&lt;&gt;""),W3597,""))</f>
        <v/>
      </c>
    </row>
    <row r="3598" customFormat="false" ht="32.8" hidden="false" customHeight="false" outlineLevel="0" collapsed="false">
      <c r="A3598" s="18" t="s">
        <v>14976</v>
      </c>
      <c r="B3598" s="18" t="s">
        <v>84</v>
      </c>
      <c r="C3598" s="18" t="s">
        <v>85</v>
      </c>
      <c r="D3598" s="18" t="s">
        <v>14933</v>
      </c>
      <c r="E3598" s="18" t="n">
        <v>0</v>
      </c>
      <c r="F3598" s="18" t="s">
        <v>14882</v>
      </c>
      <c r="G3598" s="18" t="s">
        <v>584</v>
      </c>
      <c r="H3598" s="18" t="s">
        <v>129</v>
      </c>
      <c r="I3598" s="18"/>
      <c r="J3598" s="18"/>
      <c r="K3598" s="18"/>
      <c r="L3598" s="18" t="s">
        <v>129</v>
      </c>
      <c r="M3598" s="18" t="s">
        <v>129</v>
      </c>
      <c r="N3598" s="18"/>
      <c r="O3598" s="18"/>
      <c r="P3598" s="18" t="s">
        <v>14977</v>
      </c>
      <c r="Q3598" s="18" t="s">
        <v>138</v>
      </c>
      <c r="R3598" s="18" t="s">
        <v>14884</v>
      </c>
      <c r="S3598" s="18" t="s">
        <v>140</v>
      </c>
      <c r="T3598" s="18" t="s">
        <v>141</v>
      </c>
      <c r="U3598" s="18"/>
      <c r="V3598" s="19" t="s">
        <v>29</v>
      </c>
      <c r="W3598" s="19"/>
      <c r="X3598" s="19"/>
      <c r="Y3598" s="20"/>
      <c r="Z3598" s="19"/>
      <c r="AA3598" s="18" t="str">
        <f aca="false">IF(OR(V3598="Aprobada"),R3598,IF(AND(OR(V3598="Aprobada con ajuste",V3598="Rechazada"),W3598&lt;&gt;""),W3598,""))</f>
        <v/>
      </c>
    </row>
    <row r="3599" customFormat="false" ht="32.8" hidden="false" customHeight="false" outlineLevel="0" collapsed="false">
      <c r="A3599" s="18" t="s">
        <v>14978</v>
      </c>
      <c r="B3599" s="18" t="s">
        <v>84</v>
      </c>
      <c r="C3599" s="18" t="s">
        <v>85</v>
      </c>
      <c r="D3599" s="18" t="s">
        <v>14933</v>
      </c>
      <c r="E3599" s="18" t="n">
        <v>0</v>
      </c>
      <c r="F3599" s="18" t="s">
        <v>14886</v>
      </c>
      <c r="G3599" s="18" t="s">
        <v>584</v>
      </c>
      <c r="H3599" s="18" t="s">
        <v>129</v>
      </c>
      <c r="I3599" s="18"/>
      <c r="J3599" s="18"/>
      <c r="K3599" s="18"/>
      <c r="L3599" s="18" t="s">
        <v>129</v>
      </c>
      <c r="M3599" s="18" t="s">
        <v>129</v>
      </c>
      <c r="N3599" s="18"/>
      <c r="O3599" s="18"/>
      <c r="P3599" s="18" t="s">
        <v>14979</v>
      </c>
      <c r="Q3599" s="18" t="s">
        <v>138</v>
      </c>
      <c r="R3599" s="18" t="s">
        <v>14888</v>
      </c>
      <c r="S3599" s="18" t="s">
        <v>140</v>
      </c>
      <c r="T3599" s="18" t="s">
        <v>141</v>
      </c>
      <c r="U3599" s="18"/>
      <c r="V3599" s="19" t="s">
        <v>29</v>
      </c>
      <c r="W3599" s="19"/>
      <c r="X3599" s="19"/>
      <c r="Y3599" s="20"/>
      <c r="Z3599" s="19"/>
      <c r="AA3599" s="18" t="str">
        <f aca="false">IF(OR(V3599="Aprobada"),R3599,IF(AND(OR(V3599="Aprobada con ajuste",V3599="Rechazada"),W3599&lt;&gt;""),W3599,""))</f>
        <v/>
      </c>
    </row>
    <row r="3600" customFormat="false" ht="43.25" hidden="false" customHeight="false" outlineLevel="0" collapsed="false">
      <c r="A3600" s="18" t="s">
        <v>14980</v>
      </c>
      <c r="B3600" s="18" t="s">
        <v>84</v>
      </c>
      <c r="C3600" s="18" t="s">
        <v>85</v>
      </c>
      <c r="D3600" s="18" t="s">
        <v>14933</v>
      </c>
      <c r="E3600" s="18" t="n">
        <v>0</v>
      </c>
      <c r="F3600" s="18" t="s">
        <v>14981</v>
      </c>
      <c r="G3600" s="18" t="s">
        <v>173</v>
      </c>
      <c r="H3600" s="18" t="s">
        <v>129</v>
      </c>
      <c r="I3600" s="18"/>
      <c r="J3600" s="18"/>
      <c r="K3600" s="18"/>
      <c r="L3600" s="18" t="s">
        <v>129</v>
      </c>
      <c r="M3600" s="18" t="s">
        <v>129</v>
      </c>
      <c r="N3600" s="18"/>
      <c r="O3600" s="18"/>
      <c r="P3600" s="18" t="s">
        <v>14982</v>
      </c>
      <c r="Q3600" s="18" t="s">
        <v>138</v>
      </c>
      <c r="R3600" s="18" t="s">
        <v>14983</v>
      </c>
      <c r="S3600" s="18" t="s">
        <v>140</v>
      </c>
      <c r="T3600" s="18" t="s">
        <v>141</v>
      </c>
      <c r="U3600" s="18"/>
      <c r="V3600" s="19" t="s">
        <v>29</v>
      </c>
      <c r="W3600" s="19"/>
      <c r="X3600" s="19"/>
      <c r="Y3600" s="20"/>
      <c r="Z3600" s="19"/>
      <c r="AA3600" s="18" t="str">
        <f aca="false">IF(OR(V3600="Aprobada"),R3600,IF(AND(OR(V3600="Aprobada con ajuste",V3600="Rechazada"),W3600&lt;&gt;""),W3600,""))</f>
        <v/>
      </c>
    </row>
    <row r="3601" customFormat="false" ht="32.8" hidden="false" customHeight="false" outlineLevel="0" collapsed="false">
      <c r="A3601" s="18" t="s">
        <v>14984</v>
      </c>
      <c r="B3601" s="18" t="s">
        <v>84</v>
      </c>
      <c r="C3601" s="18" t="s">
        <v>85</v>
      </c>
      <c r="D3601" s="18" t="s">
        <v>14933</v>
      </c>
      <c r="E3601" s="18" t="n">
        <v>0</v>
      </c>
      <c r="F3601" s="18" t="s">
        <v>14985</v>
      </c>
      <c r="G3601" s="18" t="s">
        <v>312</v>
      </c>
      <c r="H3601" s="18" t="s">
        <v>162</v>
      </c>
      <c r="I3601" s="18"/>
      <c r="J3601" s="18"/>
      <c r="K3601" s="18"/>
      <c r="L3601" s="18" t="s">
        <v>129</v>
      </c>
      <c r="M3601" s="18" t="s">
        <v>129</v>
      </c>
      <c r="N3601" s="18"/>
      <c r="O3601" s="18"/>
      <c r="P3601" s="18" t="s">
        <v>14986</v>
      </c>
      <c r="Q3601" s="18" t="s">
        <v>149</v>
      </c>
      <c r="R3601" s="18" t="s">
        <v>14987</v>
      </c>
      <c r="S3601" s="18" t="s">
        <v>140</v>
      </c>
      <c r="T3601" s="18" t="s">
        <v>14988</v>
      </c>
      <c r="U3601" s="18" t="s">
        <v>14989</v>
      </c>
      <c r="V3601" s="19" t="s">
        <v>29</v>
      </c>
      <c r="W3601" s="19"/>
      <c r="X3601" s="19"/>
      <c r="Y3601" s="20"/>
      <c r="Z3601" s="19"/>
      <c r="AA3601" s="18" t="str">
        <f aca="false">IF(OR(V3601="Aprobada"),R3601,IF(AND(OR(V3601="Aprobada con ajuste",V3601="Rechazada"),W3601&lt;&gt;""),W3601,""))</f>
        <v/>
      </c>
    </row>
    <row r="3602" customFormat="false" ht="53.7" hidden="false" customHeight="false" outlineLevel="0" collapsed="false">
      <c r="A3602" s="18" t="s">
        <v>14990</v>
      </c>
      <c r="B3602" s="18" t="s">
        <v>84</v>
      </c>
      <c r="C3602" s="18" t="s">
        <v>85</v>
      </c>
      <c r="D3602" s="18" t="s">
        <v>14991</v>
      </c>
      <c r="E3602" s="18" t="n">
        <v>0</v>
      </c>
      <c r="F3602" s="18" t="s">
        <v>14992</v>
      </c>
      <c r="G3602" s="18" t="s">
        <v>145</v>
      </c>
      <c r="H3602" s="18" t="s">
        <v>162</v>
      </c>
      <c r="I3602" s="18"/>
      <c r="J3602" s="18"/>
      <c r="K3602" s="18"/>
      <c r="L3602" s="18" t="s">
        <v>129</v>
      </c>
      <c r="M3602" s="18" t="s">
        <v>129</v>
      </c>
      <c r="N3602" s="18"/>
      <c r="O3602" s="18"/>
      <c r="P3602" s="18" t="s">
        <v>14993</v>
      </c>
      <c r="Q3602" s="18" t="s">
        <v>149</v>
      </c>
      <c r="R3602" s="18" t="s">
        <v>14994</v>
      </c>
      <c r="S3602" s="18" t="s">
        <v>140</v>
      </c>
      <c r="T3602" s="18" t="s">
        <v>14995</v>
      </c>
      <c r="U3602" s="18" t="s">
        <v>14996</v>
      </c>
      <c r="V3602" s="19" t="s">
        <v>29</v>
      </c>
      <c r="W3602" s="19"/>
      <c r="X3602" s="19"/>
      <c r="Y3602" s="20"/>
      <c r="Z3602" s="19"/>
      <c r="AA3602" s="18" t="str">
        <f aca="false">IF(OR(V3602="Aprobada"),R3602,IF(AND(OR(V3602="Aprobada con ajuste",V3602="Rechazada"),W3602&lt;&gt;""),W3602,""))</f>
        <v/>
      </c>
    </row>
    <row r="3603" customFormat="false" ht="43.25" hidden="false" customHeight="false" outlineLevel="0" collapsed="false">
      <c r="A3603" s="18" t="s">
        <v>14997</v>
      </c>
      <c r="B3603" s="18" t="s">
        <v>84</v>
      </c>
      <c r="C3603" s="18" t="s">
        <v>85</v>
      </c>
      <c r="D3603" s="18" t="s">
        <v>14991</v>
      </c>
      <c r="E3603" s="18" t="n">
        <v>0</v>
      </c>
      <c r="F3603" s="18" t="s">
        <v>275</v>
      </c>
      <c r="G3603" s="18" t="s">
        <v>180</v>
      </c>
      <c r="H3603" s="18" t="s">
        <v>129</v>
      </c>
      <c r="I3603" s="18" t="s">
        <v>298</v>
      </c>
      <c r="J3603" s="18"/>
      <c r="K3603" s="18"/>
      <c r="L3603" s="18" t="s">
        <v>129</v>
      </c>
      <c r="M3603" s="18" t="s">
        <v>129</v>
      </c>
      <c r="N3603" s="18"/>
      <c r="O3603" s="18"/>
      <c r="P3603" s="18" t="s">
        <v>14998</v>
      </c>
      <c r="Q3603" s="18" t="s">
        <v>138</v>
      </c>
      <c r="R3603" s="18" t="s">
        <v>14999</v>
      </c>
      <c r="S3603" s="18" t="s">
        <v>140</v>
      </c>
      <c r="T3603" s="18" t="s">
        <v>141</v>
      </c>
      <c r="U3603" s="18"/>
      <c r="V3603" s="19" t="s">
        <v>29</v>
      </c>
      <c r="W3603" s="19"/>
      <c r="X3603" s="19"/>
      <c r="Y3603" s="20"/>
      <c r="Z3603" s="19"/>
      <c r="AA3603" s="18" t="str">
        <f aca="false">IF(OR(V3603="Aprobada"),R3603,IF(AND(OR(V3603="Aprobada con ajuste",V3603="Rechazada"),W3603&lt;&gt;""),W3603,""))</f>
        <v/>
      </c>
    </row>
    <row r="3604" customFormat="false" ht="53.7" hidden="false" customHeight="false" outlineLevel="0" collapsed="false">
      <c r="A3604" s="18" t="s">
        <v>15000</v>
      </c>
      <c r="B3604" s="18" t="s">
        <v>84</v>
      </c>
      <c r="C3604" s="18" t="s">
        <v>85</v>
      </c>
      <c r="D3604" s="18" t="s">
        <v>14991</v>
      </c>
      <c r="E3604" s="18" t="n">
        <v>0</v>
      </c>
      <c r="F3604" s="18" t="s">
        <v>15001</v>
      </c>
      <c r="G3604" s="18" t="s">
        <v>15002</v>
      </c>
      <c r="H3604" s="18" t="s">
        <v>129</v>
      </c>
      <c r="I3604" s="18" t="s">
        <v>298</v>
      </c>
      <c r="J3604" s="18"/>
      <c r="K3604" s="18"/>
      <c r="L3604" s="18" t="s">
        <v>129</v>
      </c>
      <c r="M3604" s="18" t="s">
        <v>129</v>
      </c>
      <c r="N3604" s="18"/>
      <c r="O3604" s="18"/>
      <c r="P3604" s="18" t="s">
        <v>15003</v>
      </c>
      <c r="Q3604" s="18" t="s">
        <v>149</v>
      </c>
      <c r="R3604" s="18" t="s">
        <v>15004</v>
      </c>
      <c r="S3604" s="18" t="s">
        <v>133</v>
      </c>
      <c r="T3604" s="18" t="s">
        <v>15005</v>
      </c>
      <c r="U3604" s="18"/>
      <c r="V3604" s="19" t="s">
        <v>29</v>
      </c>
      <c r="W3604" s="19"/>
      <c r="X3604" s="19"/>
      <c r="Y3604" s="20"/>
      <c r="Z3604" s="19"/>
      <c r="AA3604" s="18" t="str">
        <f aca="false">IF(OR(V3604="Aprobada"),R3604,IF(AND(OR(V3604="Aprobada con ajuste",V3604="Rechazada"),W3604&lt;&gt;""),W3604,""))</f>
        <v/>
      </c>
    </row>
    <row r="3605" customFormat="false" ht="53.7" hidden="false" customHeight="false" outlineLevel="0" collapsed="false">
      <c r="A3605" s="18" t="s">
        <v>15006</v>
      </c>
      <c r="B3605" s="18" t="s">
        <v>84</v>
      </c>
      <c r="C3605" s="18" t="s">
        <v>85</v>
      </c>
      <c r="D3605" s="18" t="s">
        <v>14991</v>
      </c>
      <c r="E3605" s="18" t="n">
        <v>0</v>
      </c>
      <c r="F3605" s="18" t="s">
        <v>5679</v>
      </c>
      <c r="G3605" s="18" t="s">
        <v>15007</v>
      </c>
      <c r="H3605" s="18" t="s">
        <v>129</v>
      </c>
      <c r="I3605" s="18" t="s">
        <v>298</v>
      </c>
      <c r="J3605" s="18" t="s">
        <v>15008</v>
      </c>
      <c r="K3605" s="18"/>
      <c r="L3605" s="18" t="s">
        <v>162</v>
      </c>
      <c r="M3605" s="18" t="s">
        <v>129</v>
      </c>
      <c r="N3605" s="18"/>
      <c r="O3605" s="18"/>
      <c r="P3605" s="18" t="s">
        <v>15009</v>
      </c>
      <c r="Q3605" s="18" t="s">
        <v>149</v>
      </c>
      <c r="R3605" s="18" t="s">
        <v>15010</v>
      </c>
      <c r="S3605" s="18" t="s">
        <v>133</v>
      </c>
      <c r="T3605" s="18" t="s">
        <v>13606</v>
      </c>
      <c r="U3605" s="18"/>
      <c r="V3605" s="19" t="s">
        <v>29</v>
      </c>
      <c r="W3605" s="19"/>
      <c r="X3605" s="19"/>
      <c r="Y3605" s="20"/>
      <c r="Z3605" s="19"/>
      <c r="AA3605" s="18" t="str">
        <f aca="false">IF(OR(V3605="Aprobada"),R3605,IF(AND(OR(V3605="Aprobada con ajuste",V3605="Rechazada"),W3605&lt;&gt;""),W3605,""))</f>
        <v/>
      </c>
    </row>
    <row r="3606" customFormat="false" ht="53.7" hidden="false" customHeight="false" outlineLevel="0" collapsed="false">
      <c r="A3606" s="18" t="s">
        <v>15011</v>
      </c>
      <c r="B3606" s="18" t="s">
        <v>84</v>
      </c>
      <c r="C3606" s="18" t="s">
        <v>85</v>
      </c>
      <c r="D3606" s="18" t="s">
        <v>14991</v>
      </c>
      <c r="E3606" s="18" t="n">
        <v>0</v>
      </c>
      <c r="F3606" s="18" t="s">
        <v>15012</v>
      </c>
      <c r="G3606" s="18" t="s">
        <v>5268</v>
      </c>
      <c r="H3606" s="18" t="s">
        <v>129</v>
      </c>
      <c r="I3606" s="18" t="s">
        <v>298</v>
      </c>
      <c r="J3606" s="18"/>
      <c r="K3606" s="18"/>
      <c r="L3606" s="18" t="s">
        <v>129</v>
      </c>
      <c r="M3606" s="18" t="s">
        <v>129</v>
      </c>
      <c r="N3606" s="18"/>
      <c r="O3606" s="18"/>
      <c r="P3606" s="18" t="s">
        <v>15013</v>
      </c>
      <c r="Q3606" s="18" t="s">
        <v>149</v>
      </c>
      <c r="R3606" s="18" t="s">
        <v>15014</v>
      </c>
      <c r="S3606" s="18" t="s">
        <v>133</v>
      </c>
      <c r="T3606" s="18" t="s">
        <v>15015</v>
      </c>
      <c r="U3606" s="18"/>
      <c r="V3606" s="19" t="s">
        <v>29</v>
      </c>
      <c r="W3606" s="19"/>
      <c r="X3606" s="19"/>
      <c r="Y3606" s="20"/>
      <c r="Z3606" s="19"/>
      <c r="AA3606" s="18" t="str">
        <f aca="false">IF(OR(V3606="Aprobada"),R3606,IF(AND(OR(V3606="Aprobada con ajuste",V3606="Rechazada"),W3606&lt;&gt;""),W3606,""))</f>
        <v/>
      </c>
    </row>
    <row r="3607" customFormat="false" ht="22.35" hidden="false" customHeight="false" outlineLevel="0" collapsed="false">
      <c r="A3607" s="18" t="s">
        <v>15016</v>
      </c>
      <c r="B3607" s="18" t="s">
        <v>84</v>
      </c>
      <c r="C3607" s="18" t="s">
        <v>85</v>
      </c>
      <c r="D3607" s="18" t="s">
        <v>14991</v>
      </c>
      <c r="E3607" s="18" t="n">
        <v>0</v>
      </c>
      <c r="F3607" s="18" t="s">
        <v>15017</v>
      </c>
      <c r="G3607" s="18" t="s">
        <v>5268</v>
      </c>
      <c r="H3607" s="18" t="s">
        <v>162</v>
      </c>
      <c r="I3607" s="18"/>
      <c r="J3607" s="18"/>
      <c r="K3607" s="18"/>
      <c r="L3607" s="18" t="s">
        <v>129</v>
      </c>
      <c r="M3607" s="18" t="s">
        <v>129</v>
      </c>
      <c r="N3607" s="18"/>
      <c r="O3607" s="18"/>
      <c r="P3607" s="18"/>
      <c r="Q3607" s="18" t="s">
        <v>149</v>
      </c>
      <c r="R3607" s="18" t="s">
        <v>15018</v>
      </c>
      <c r="S3607" s="18" t="s">
        <v>133</v>
      </c>
      <c r="T3607" s="18" t="s">
        <v>15019</v>
      </c>
      <c r="U3607" s="18"/>
      <c r="V3607" s="19" t="s">
        <v>29</v>
      </c>
      <c r="W3607" s="19"/>
      <c r="X3607" s="19"/>
      <c r="Y3607" s="20"/>
      <c r="Z3607" s="19"/>
      <c r="AA3607" s="18" t="str">
        <f aca="false">IF(OR(V3607="Aprobada"),R3607,IF(AND(OR(V3607="Aprobada con ajuste",V3607="Rechazada"),W3607&lt;&gt;""),W3607,""))</f>
        <v/>
      </c>
    </row>
    <row r="3608" customFormat="false" ht="64.15" hidden="false" customHeight="false" outlineLevel="0" collapsed="false">
      <c r="A3608" s="18" t="s">
        <v>15020</v>
      </c>
      <c r="B3608" s="18" t="s">
        <v>84</v>
      </c>
      <c r="C3608" s="18" t="s">
        <v>85</v>
      </c>
      <c r="D3608" s="18" t="s">
        <v>14991</v>
      </c>
      <c r="E3608" s="18" t="n">
        <v>0</v>
      </c>
      <c r="F3608" s="18" t="s">
        <v>9239</v>
      </c>
      <c r="G3608" s="18" t="s">
        <v>186</v>
      </c>
      <c r="H3608" s="18" t="s">
        <v>129</v>
      </c>
      <c r="I3608" s="18" t="s">
        <v>298</v>
      </c>
      <c r="J3608" s="18" t="s">
        <v>15021</v>
      </c>
      <c r="K3608" s="18"/>
      <c r="L3608" s="18" t="s">
        <v>162</v>
      </c>
      <c r="M3608" s="18" t="s">
        <v>129</v>
      </c>
      <c r="N3608" s="18"/>
      <c r="O3608" s="18"/>
      <c r="P3608" s="18" t="s">
        <v>15022</v>
      </c>
      <c r="Q3608" s="18" t="s">
        <v>149</v>
      </c>
      <c r="R3608" s="18" t="s">
        <v>15023</v>
      </c>
      <c r="S3608" s="18" t="s">
        <v>133</v>
      </c>
      <c r="T3608" s="18" t="s">
        <v>13724</v>
      </c>
      <c r="U3608" s="18"/>
      <c r="V3608" s="19" t="s">
        <v>29</v>
      </c>
      <c r="W3608" s="19"/>
      <c r="X3608" s="19"/>
      <c r="Y3608" s="20"/>
      <c r="Z3608" s="19"/>
      <c r="AA3608" s="18" t="str">
        <f aca="false">IF(OR(V3608="Aprobada"),R3608,IF(AND(OR(V3608="Aprobada con ajuste",V3608="Rechazada"),W3608&lt;&gt;""),W3608,""))</f>
        <v/>
      </c>
    </row>
    <row r="3609" customFormat="false" ht="53.7" hidden="false" customHeight="false" outlineLevel="0" collapsed="false">
      <c r="A3609" s="18" t="s">
        <v>15024</v>
      </c>
      <c r="B3609" s="18" t="s">
        <v>84</v>
      </c>
      <c r="C3609" s="18" t="s">
        <v>85</v>
      </c>
      <c r="D3609" s="18" t="s">
        <v>14991</v>
      </c>
      <c r="E3609" s="18" t="n">
        <v>0</v>
      </c>
      <c r="F3609" s="18" t="s">
        <v>15025</v>
      </c>
      <c r="G3609" s="18" t="s">
        <v>358</v>
      </c>
      <c r="H3609" s="18" t="s">
        <v>162</v>
      </c>
      <c r="I3609" s="18" t="s">
        <v>298</v>
      </c>
      <c r="J3609" s="18"/>
      <c r="K3609" s="18"/>
      <c r="L3609" s="18" t="s">
        <v>129</v>
      </c>
      <c r="M3609" s="18" t="s">
        <v>129</v>
      </c>
      <c r="N3609" s="18"/>
      <c r="O3609" s="18"/>
      <c r="P3609" s="18" t="s">
        <v>15026</v>
      </c>
      <c r="Q3609" s="18" t="s">
        <v>149</v>
      </c>
      <c r="R3609" s="18" t="s">
        <v>15027</v>
      </c>
      <c r="S3609" s="18" t="s">
        <v>140</v>
      </c>
      <c r="T3609" s="18" t="s">
        <v>15028</v>
      </c>
      <c r="U3609" s="18" t="s">
        <v>12500</v>
      </c>
      <c r="V3609" s="19" t="s">
        <v>29</v>
      </c>
      <c r="W3609" s="19"/>
      <c r="X3609" s="19"/>
      <c r="Y3609" s="20"/>
      <c r="Z3609" s="19"/>
      <c r="AA3609" s="18" t="str">
        <f aca="false">IF(OR(V3609="Aprobada"),R3609,IF(AND(OR(V3609="Aprobada con ajuste",V3609="Rechazada"),W3609&lt;&gt;""),W3609,""))</f>
        <v/>
      </c>
    </row>
    <row r="3610" customFormat="false" ht="43.25" hidden="false" customHeight="false" outlineLevel="0" collapsed="false">
      <c r="A3610" s="18" t="s">
        <v>15029</v>
      </c>
      <c r="B3610" s="18" t="s">
        <v>84</v>
      </c>
      <c r="C3610" s="18" t="s">
        <v>85</v>
      </c>
      <c r="D3610" s="18" t="s">
        <v>14991</v>
      </c>
      <c r="E3610" s="18" t="n">
        <v>0</v>
      </c>
      <c r="F3610" s="18" t="s">
        <v>15030</v>
      </c>
      <c r="G3610" s="18" t="s">
        <v>358</v>
      </c>
      <c r="H3610" s="18" t="s">
        <v>129</v>
      </c>
      <c r="I3610" s="18"/>
      <c r="J3610" s="18"/>
      <c r="K3610" s="18"/>
      <c r="L3610" s="18" t="s">
        <v>129</v>
      </c>
      <c r="M3610" s="18" t="s">
        <v>129</v>
      </c>
      <c r="N3610" s="18"/>
      <c r="O3610" s="18"/>
      <c r="P3610" s="18" t="s">
        <v>15031</v>
      </c>
      <c r="Q3610" s="18" t="s">
        <v>149</v>
      </c>
      <c r="R3610" s="18" t="s">
        <v>15032</v>
      </c>
      <c r="S3610" s="18" t="s">
        <v>133</v>
      </c>
      <c r="T3610" s="18" t="s">
        <v>15033</v>
      </c>
      <c r="U3610" s="18"/>
      <c r="V3610" s="19" t="s">
        <v>29</v>
      </c>
      <c r="W3610" s="19"/>
      <c r="X3610" s="19"/>
      <c r="Y3610" s="20"/>
      <c r="Z3610" s="19"/>
      <c r="AA3610" s="18" t="str">
        <f aca="false">IF(OR(V3610="Aprobada"),R3610,IF(AND(OR(V3610="Aprobada con ajuste",V3610="Rechazada"),W3610&lt;&gt;""),W3610,""))</f>
        <v/>
      </c>
    </row>
    <row r="3611" customFormat="false" ht="32.8" hidden="false" customHeight="false" outlineLevel="0" collapsed="false">
      <c r="A3611" s="18" t="s">
        <v>15034</v>
      </c>
      <c r="B3611" s="18" t="s">
        <v>86</v>
      </c>
      <c r="C3611" s="18" t="s">
        <v>87</v>
      </c>
      <c r="D3611" s="18" t="s">
        <v>15035</v>
      </c>
      <c r="E3611" s="18" t="n">
        <v>0</v>
      </c>
      <c r="F3611" s="18" t="s">
        <v>1734</v>
      </c>
      <c r="G3611" s="18" t="s">
        <v>312</v>
      </c>
      <c r="H3611" s="18" t="s">
        <v>162</v>
      </c>
      <c r="I3611" s="18"/>
      <c r="J3611" s="18"/>
      <c r="K3611" s="18"/>
      <c r="L3611" s="18" t="s">
        <v>129</v>
      </c>
      <c r="M3611" s="18" t="s">
        <v>129</v>
      </c>
      <c r="N3611" s="18"/>
      <c r="O3611" s="18" t="s">
        <v>15036</v>
      </c>
      <c r="P3611" s="18" t="s">
        <v>15037</v>
      </c>
      <c r="Q3611" s="18" t="s">
        <v>149</v>
      </c>
      <c r="R3611" s="18" t="s">
        <v>15038</v>
      </c>
      <c r="S3611" s="18" t="s">
        <v>140</v>
      </c>
      <c r="T3611" s="18" t="s">
        <v>15039</v>
      </c>
      <c r="U3611" s="18" t="s">
        <v>15040</v>
      </c>
      <c r="V3611" s="19" t="s">
        <v>29</v>
      </c>
      <c r="W3611" s="19"/>
      <c r="X3611" s="19"/>
      <c r="Y3611" s="20"/>
      <c r="Z3611" s="19"/>
      <c r="AA3611" s="18" t="str">
        <f aca="false">IF(OR(V3611="Aprobada"),R3611,IF(AND(OR(V3611="Aprobada con ajuste",V3611="Rechazada"),W3611&lt;&gt;""),W3611,""))</f>
        <v/>
      </c>
    </row>
    <row r="3612" customFormat="false" ht="32.8" hidden="false" customHeight="false" outlineLevel="0" collapsed="false">
      <c r="A3612" s="18" t="s">
        <v>15041</v>
      </c>
      <c r="B3612" s="18" t="s">
        <v>86</v>
      </c>
      <c r="C3612" s="18" t="s">
        <v>87</v>
      </c>
      <c r="D3612" s="18" t="s">
        <v>15035</v>
      </c>
      <c r="E3612" s="18" t="n">
        <v>0</v>
      </c>
      <c r="F3612" s="18" t="s">
        <v>1741</v>
      </c>
      <c r="G3612" s="18" t="s">
        <v>180</v>
      </c>
      <c r="H3612" s="18" t="s">
        <v>162</v>
      </c>
      <c r="I3612" s="18"/>
      <c r="J3612" s="18"/>
      <c r="K3612" s="18"/>
      <c r="L3612" s="18" t="s">
        <v>129</v>
      </c>
      <c r="M3612" s="18" t="s">
        <v>129</v>
      </c>
      <c r="N3612" s="18"/>
      <c r="O3612" s="18" t="s">
        <v>15042</v>
      </c>
      <c r="P3612" s="18" t="s">
        <v>15043</v>
      </c>
      <c r="Q3612" s="18" t="s">
        <v>149</v>
      </c>
      <c r="R3612" s="18" t="s">
        <v>15044</v>
      </c>
      <c r="S3612" s="18" t="s">
        <v>133</v>
      </c>
      <c r="T3612" s="18" t="s">
        <v>15045</v>
      </c>
      <c r="U3612" s="18"/>
      <c r="V3612" s="19" t="s">
        <v>29</v>
      </c>
      <c r="W3612" s="19"/>
      <c r="X3612" s="19"/>
      <c r="Y3612" s="20"/>
      <c r="Z3612" s="19"/>
      <c r="AA3612" s="18" t="str">
        <f aca="false">IF(OR(V3612="Aprobada"),R3612,IF(AND(OR(V3612="Aprobada con ajuste",V3612="Rechazada"),W3612&lt;&gt;""),W3612,""))</f>
        <v/>
      </c>
    </row>
    <row r="3613" customFormat="false" ht="32.8" hidden="false" customHeight="false" outlineLevel="0" collapsed="false">
      <c r="A3613" s="18" t="s">
        <v>15046</v>
      </c>
      <c r="B3613" s="18" t="s">
        <v>86</v>
      </c>
      <c r="C3613" s="18" t="s">
        <v>87</v>
      </c>
      <c r="D3613" s="18" t="s">
        <v>15035</v>
      </c>
      <c r="E3613" s="18" t="n">
        <v>0</v>
      </c>
      <c r="F3613" s="18" t="s">
        <v>1738</v>
      </c>
      <c r="G3613" s="18" t="s">
        <v>180</v>
      </c>
      <c r="H3613" s="18" t="s">
        <v>162</v>
      </c>
      <c r="I3613" s="18"/>
      <c r="J3613" s="18"/>
      <c r="K3613" s="18"/>
      <c r="L3613" s="18" t="s">
        <v>129</v>
      </c>
      <c r="M3613" s="18" t="s">
        <v>129</v>
      </c>
      <c r="N3613" s="18"/>
      <c r="O3613" s="18"/>
      <c r="P3613" s="18" t="s">
        <v>15047</v>
      </c>
      <c r="Q3613" s="18" t="s">
        <v>149</v>
      </c>
      <c r="R3613" s="18" t="s">
        <v>15048</v>
      </c>
      <c r="S3613" s="18" t="s">
        <v>133</v>
      </c>
      <c r="T3613" s="18" t="s">
        <v>14770</v>
      </c>
      <c r="U3613" s="18"/>
      <c r="V3613" s="19" t="s">
        <v>29</v>
      </c>
      <c r="W3613" s="19"/>
      <c r="X3613" s="19"/>
      <c r="Y3613" s="20"/>
      <c r="Z3613" s="19"/>
      <c r="AA3613" s="18" t="str">
        <f aca="false">IF(OR(V3613="Aprobada"),R3613,IF(AND(OR(V3613="Aprobada con ajuste",V3613="Rechazada"),W3613&lt;&gt;""),W3613,""))</f>
        <v/>
      </c>
    </row>
    <row r="3614" customFormat="false" ht="32.8" hidden="false" customHeight="false" outlineLevel="0" collapsed="false">
      <c r="A3614" s="18" t="s">
        <v>15049</v>
      </c>
      <c r="B3614" s="18" t="s">
        <v>86</v>
      </c>
      <c r="C3614" s="18" t="s">
        <v>87</v>
      </c>
      <c r="D3614" s="18" t="s">
        <v>15035</v>
      </c>
      <c r="E3614" s="18" t="n">
        <v>0</v>
      </c>
      <c r="F3614" s="18" t="s">
        <v>4369</v>
      </c>
      <c r="G3614" s="18" t="s">
        <v>180</v>
      </c>
      <c r="H3614" s="18" t="s">
        <v>129</v>
      </c>
      <c r="I3614" s="18"/>
      <c r="J3614" s="18"/>
      <c r="K3614" s="18"/>
      <c r="L3614" s="18" t="s">
        <v>129</v>
      </c>
      <c r="M3614" s="18" t="s">
        <v>129</v>
      </c>
      <c r="N3614" s="18"/>
      <c r="O3614" s="18"/>
      <c r="P3614" s="18" t="s">
        <v>15050</v>
      </c>
      <c r="Q3614" s="18" t="s">
        <v>149</v>
      </c>
      <c r="R3614" s="18" t="s">
        <v>15051</v>
      </c>
      <c r="S3614" s="18" t="s">
        <v>133</v>
      </c>
      <c r="T3614" s="18" t="s">
        <v>15052</v>
      </c>
      <c r="U3614" s="18"/>
      <c r="V3614" s="19" t="s">
        <v>29</v>
      </c>
      <c r="W3614" s="19"/>
      <c r="X3614" s="19"/>
      <c r="Y3614" s="20"/>
      <c r="Z3614" s="19"/>
      <c r="AA3614" s="18" t="str">
        <f aca="false">IF(OR(V3614="Aprobada"),R3614,IF(AND(OR(V3614="Aprobada con ajuste",V3614="Rechazada"),W3614&lt;&gt;""),W3614,""))</f>
        <v/>
      </c>
    </row>
    <row r="3615" customFormat="false" ht="32.8" hidden="false" customHeight="false" outlineLevel="0" collapsed="false">
      <c r="A3615" s="18" t="s">
        <v>15053</v>
      </c>
      <c r="B3615" s="18" t="s">
        <v>86</v>
      </c>
      <c r="C3615" s="18" t="s">
        <v>87</v>
      </c>
      <c r="D3615" s="18" t="s">
        <v>15035</v>
      </c>
      <c r="E3615" s="18" t="n">
        <v>0</v>
      </c>
      <c r="F3615" s="18" t="s">
        <v>11000</v>
      </c>
      <c r="G3615" s="18" t="s">
        <v>486</v>
      </c>
      <c r="H3615" s="18" t="s">
        <v>162</v>
      </c>
      <c r="I3615" s="18"/>
      <c r="J3615" s="18"/>
      <c r="K3615" s="18"/>
      <c r="L3615" s="18" t="s">
        <v>129</v>
      </c>
      <c r="M3615" s="18" t="s">
        <v>129</v>
      </c>
      <c r="N3615" s="18"/>
      <c r="O3615" s="18"/>
      <c r="P3615" s="18" t="s">
        <v>15054</v>
      </c>
      <c r="Q3615" s="18" t="s">
        <v>149</v>
      </c>
      <c r="R3615" s="18" t="s">
        <v>15055</v>
      </c>
      <c r="S3615" s="18" t="s">
        <v>140</v>
      </c>
      <c r="T3615" s="18" t="s">
        <v>15056</v>
      </c>
      <c r="U3615" s="18" t="s">
        <v>15057</v>
      </c>
      <c r="V3615" s="19" t="s">
        <v>29</v>
      </c>
      <c r="W3615" s="19"/>
      <c r="X3615" s="19"/>
      <c r="Y3615" s="20"/>
      <c r="Z3615" s="19"/>
      <c r="AA3615" s="18" t="str">
        <f aca="false">IF(OR(V3615="Aprobada"),R3615,IF(AND(OR(V3615="Aprobada con ajuste",V3615="Rechazada"),W3615&lt;&gt;""),W3615,""))</f>
        <v/>
      </c>
    </row>
    <row r="3616" customFormat="false" ht="32.8" hidden="false" customHeight="false" outlineLevel="0" collapsed="false">
      <c r="A3616" s="18" t="s">
        <v>15058</v>
      </c>
      <c r="B3616" s="18" t="s">
        <v>86</v>
      </c>
      <c r="C3616" s="18" t="s">
        <v>87</v>
      </c>
      <c r="D3616" s="18" t="s">
        <v>15035</v>
      </c>
      <c r="E3616" s="18" t="n">
        <v>0</v>
      </c>
      <c r="F3616" s="18" t="s">
        <v>15059</v>
      </c>
      <c r="G3616" s="18" t="s">
        <v>192</v>
      </c>
      <c r="H3616" s="18" t="s">
        <v>162</v>
      </c>
      <c r="I3616" s="18"/>
      <c r="J3616" s="18"/>
      <c r="K3616" s="18"/>
      <c r="L3616" s="18" t="s">
        <v>129</v>
      </c>
      <c r="M3616" s="18" t="s">
        <v>129</v>
      </c>
      <c r="N3616" s="18"/>
      <c r="O3616" s="18"/>
      <c r="P3616" s="18" t="s">
        <v>15060</v>
      </c>
      <c r="Q3616" s="18" t="s">
        <v>138</v>
      </c>
      <c r="R3616" s="18" t="s">
        <v>194</v>
      </c>
      <c r="S3616" s="18" t="s">
        <v>140</v>
      </c>
      <c r="T3616" s="18" t="s">
        <v>141</v>
      </c>
      <c r="U3616" s="18"/>
      <c r="V3616" s="19" t="s">
        <v>29</v>
      </c>
      <c r="W3616" s="19"/>
      <c r="X3616" s="19"/>
      <c r="Y3616" s="20"/>
      <c r="Z3616" s="19"/>
      <c r="AA3616" s="18" t="str">
        <f aca="false">IF(OR(V3616="Aprobada"),R3616,IF(AND(OR(V3616="Aprobada con ajuste",V3616="Rechazada"),W3616&lt;&gt;""),W3616,""))</f>
        <v/>
      </c>
    </row>
    <row r="3617" customFormat="false" ht="32.8" hidden="false" customHeight="false" outlineLevel="0" collapsed="false">
      <c r="A3617" s="18" t="s">
        <v>15061</v>
      </c>
      <c r="B3617" s="18" t="s">
        <v>86</v>
      </c>
      <c r="C3617" s="18" t="s">
        <v>87</v>
      </c>
      <c r="D3617" s="18" t="s">
        <v>15035</v>
      </c>
      <c r="E3617" s="18" t="n">
        <v>0</v>
      </c>
      <c r="F3617" s="18" t="s">
        <v>14692</v>
      </c>
      <c r="G3617" s="18" t="s">
        <v>173</v>
      </c>
      <c r="H3617" s="18" t="s">
        <v>129</v>
      </c>
      <c r="I3617" s="18"/>
      <c r="J3617" s="18"/>
      <c r="K3617" s="18"/>
      <c r="L3617" s="18" t="s">
        <v>129</v>
      </c>
      <c r="M3617" s="18" t="s">
        <v>129</v>
      </c>
      <c r="N3617" s="18"/>
      <c r="O3617" s="18"/>
      <c r="P3617" s="18" t="s">
        <v>15062</v>
      </c>
      <c r="Q3617" s="18" t="s">
        <v>138</v>
      </c>
      <c r="R3617" s="18" t="s">
        <v>176</v>
      </c>
      <c r="S3617" s="18" t="s">
        <v>140</v>
      </c>
      <c r="T3617" s="18" t="s">
        <v>141</v>
      </c>
      <c r="U3617" s="18"/>
      <c r="V3617" s="19" t="s">
        <v>29</v>
      </c>
      <c r="W3617" s="19"/>
      <c r="X3617" s="19"/>
      <c r="Y3617" s="20"/>
      <c r="Z3617" s="19"/>
      <c r="AA3617" s="18" t="str">
        <f aca="false">IF(OR(V3617="Aprobada"),R3617,IF(AND(OR(V3617="Aprobada con ajuste",V3617="Rechazada"),W3617&lt;&gt;""),W3617,""))</f>
        <v/>
      </c>
    </row>
    <row r="3618" customFormat="false" ht="43.25" hidden="false" customHeight="false" outlineLevel="0" collapsed="false">
      <c r="A3618" s="18" t="s">
        <v>15063</v>
      </c>
      <c r="B3618" s="18" t="s">
        <v>86</v>
      </c>
      <c r="C3618" s="18" t="s">
        <v>87</v>
      </c>
      <c r="D3618" s="18" t="s">
        <v>1918</v>
      </c>
      <c r="E3618" s="18" t="n">
        <v>0</v>
      </c>
      <c r="F3618" s="18" t="s">
        <v>4263</v>
      </c>
      <c r="G3618" s="18" t="s">
        <v>186</v>
      </c>
      <c r="H3618" s="18" t="s">
        <v>129</v>
      </c>
      <c r="I3618" s="18" t="s">
        <v>298</v>
      </c>
      <c r="J3618" s="18" t="s">
        <v>15064</v>
      </c>
      <c r="K3618" s="18"/>
      <c r="L3618" s="18" t="s">
        <v>162</v>
      </c>
      <c r="M3618" s="18" t="s">
        <v>129</v>
      </c>
      <c r="N3618" s="18"/>
      <c r="O3618" s="18"/>
      <c r="P3618" s="18" t="s">
        <v>15065</v>
      </c>
      <c r="Q3618" s="18" t="s">
        <v>149</v>
      </c>
      <c r="R3618" s="18" t="s">
        <v>15066</v>
      </c>
      <c r="S3618" s="18" t="s">
        <v>133</v>
      </c>
      <c r="T3618" s="18" t="s">
        <v>801</v>
      </c>
      <c r="U3618" s="18"/>
      <c r="V3618" s="19" t="s">
        <v>29</v>
      </c>
      <c r="W3618" s="19"/>
      <c r="X3618" s="19"/>
      <c r="Y3618" s="20"/>
      <c r="Z3618" s="19"/>
      <c r="AA3618" s="18" t="str">
        <f aca="false">IF(OR(V3618="Aprobada"),R3618,IF(AND(OR(V3618="Aprobada con ajuste",V3618="Rechazada"),W3618&lt;&gt;""),W3618,""))</f>
        <v/>
      </c>
    </row>
    <row r="3619" customFormat="false" ht="32.8" hidden="false" customHeight="false" outlineLevel="0" collapsed="false">
      <c r="A3619" s="18" t="s">
        <v>15067</v>
      </c>
      <c r="B3619" s="18" t="s">
        <v>86</v>
      </c>
      <c r="C3619" s="18" t="s">
        <v>87</v>
      </c>
      <c r="D3619" s="18" t="s">
        <v>1918</v>
      </c>
      <c r="E3619" s="18" t="n">
        <v>0</v>
      </c>
      <c r="F3619" s="18" t="s">
        <v>3176</v>
      </c>
      <c r="G3619" s="18" t="s">
        <v>128</v>
      </c>
      <c r="H3619" s="18" t="s">
        <v>129</v>
      </c>
      <c r="I3619" s="18"/>
      <c r="J3619" s="18"/>
      <c r="K3619" s="18"/>
      <c r="L3619" s="18" t="s">
        <v>129</v>
      </c>
      <c r="M3619" s="18" t="s">
        <v>129</v>
      </c>
      <c r="N3619" s="18"/>
      <c r="O3619" s="18"/>
      <c r="P3619" s="18" t="s">
        <v>15068</v>
      </c>
      <c r="Q3619" s="18" t="s">
        <v>149</v>
      </c>
      <c r="R3619" s="18" t="s">
        <v>15069</v>
      </c>
      <c r="S3619" s="18" t="s">
        <v>133</v>
      </c>
      <c r="T3619" s="18" t="s">
        <v>15070</v>
      </c>
      <c r="U3619" s="18"/>
      <c r="V3619" s="19" t="s">
        <v>29</v>
      </c>
      <c r="W3619" s="19"/>
      <c r="X3619" s="19"/>
      <c r="Y3619" s="20"/>
      <c r="Z3619" s="19"/>
      <c r="AA3619" s="18" t="str">
        <f aca="false">IF(OR(V3619="Aprobada"),R3619,IF(AND(OR(V3619="Aprobada con ajuste",V3619="Rechazada"),W3619&lt;&gt;""),W3619,""))</f>
        <v/>
      </c>
    </row>
    <row r="3620" customFormat="false" ht="32.8" hidden="false" customHeight="false" outlineLevel="0" collapsed="false">
      <c r="A3620" s="18" t="s">
        <v>15071</v>
      </c>
      <c r="B3620" s="18" t="s">
        <v>86</v>
      </c>
      <c r="C3620" s="18" t="s">
        <v>87</v>
      </c>
      <c r="D3620" s="18" t="s">
        <v>1918</v>
      </c>
      <c r="E3620" s="18" t="n">
        <v>0</v>
      </c>
      <c r="F3620" s="18" t="s">
        <v>15072</v>
      </c>
      <c r="G3620" s="18" t="s">
        <v>503</v>
      </c>
      <c r="H3620" s="18" t="s">
        <v>162</v>
      </c>
      <c r="I3620" s="18"/>
      <c r="J3620" s="18"/>
      <c r="K3620" s="18"/>
      <c r="L3620" s="18" t="s">
        <v>129</v>
      </c>
      <c r="M3620" s="18" t="s">
        <v>129</v>
      </c>
      <c r="N3620" s="18"/>
      <c r="O3620" s="18"/>
      <c r="P3620" s="18" t="s">
        <v>15073</v>
      </c>
      <c r="Q3620" s="18" t="s">
        <v>149</v>
      </c>
      <c r="R3620" s="18" t="s">
        <v>15074</v>
      </c>
      <c r="S3620" s="18" t="s">
        <v>140</v>
      </c>
      <c r="T3620" s="18" t="s">
        <v>15075</v>
      </c>
      <c r="U3620" s="18" t="s">
        <v>15076</v>
      </c>
      <c r="V3620" s="19" t="s">
        <v>29</v>
      </c>
      <c r="W3620" s="19"/>
      <c r="X3620" s="19"/>
      <c r="Y3620" s="20"/>
      <c r="Z3620" s="19"/>
      <c r="AA3620" s="18" t="str">
        <f aca="false">IF(OR(V3620="Aprobada"),R3620,IF(AND(OR(V3620="Aprobada con ajuste",V3620="Rechazada"),W3620&lt;&gt;""),W3620,""))</f>
        <v/>
      </c>
    </row>
    <row r="3621" customFormat="false" ht="32.8" hidden="false" customHeight="false" outlineLevel="0" collapsed="false">
      <c r="A3621" s="18" t="s">
        <v>15077</v>
      </c>
      <c r="B3621" s="18" t="s">
        <v>86</v>
      </c>
      <c r="C3621" s="18" t="s">
        <v>87</v>
      </c>
      <c r="D3621" s="18" t="s">
        <v>1918</v>
      </c>
      <c r="E3621" s="18" t="n">
        <v>0</v>
      </c>
      <c r="F3621" s="18" t="s">
        <v>15059</v>
      </c>
      <c r="G3621" s="18" t="s">
        <v>192</v>
      </c>
      <c r="H3621" s="18" t="s">
        <v>162</v>
      </c>
      <c r="I3621" s="18"/>
      <c r="J3621" s="18"/>
      <c r="K3621" s="18"/>
      <c r="L3621" s="18" t="s">
        <v>129</v>
      </c>
      <c r="M3621" s="18" t="s">
        <v>129</v>
      </c>
      <c r="N3621" s="18"/>
      <c r="O3621" s="18"/>
      <c r="P3621" s="18" t="s">
        <v>15078</v>
      </c>
      <c r="Q3621" s="18" t="s">
        <v>138</v>
      </c>
      <c r="R3621" s="18" t="s">
        <v>194</v>
      </c>
      <c r="S3621" s="18" t="s">
        <v>140</v>
      </c>
      <c r="T3621" s="18" t="s">
        <v>141</v>
      </c>
      <c r="U3621" s="18"/>
      <c r="V3621" s="19" t="s">
        <v>29</v>
      </c>
      <c r="W3621" s="19"/>
      <c r="X3621" s="19"/>
      <c r="Y3621" s="20"/>
      <c r="Z3621" s="19"/>
      <c r="AA3621" s="18" t="str">
        <f aca="false">IF(OR(V3621="Aprobada"),R3621,IF(AND(OR(V3621="Aprobada con ajuste",V3621="Rechazada"),W3621&lt;&gt;""),W3621,""))</f>
        <v/>
      </c>
    </row>
    <row r="3622" customFormat="false" ht="22.35" hidden="false" customHeight="false" outlineLevel="0" collapsed="false">
      <c r="A3622" s="18" t="s">
        <v>15079</v>
      </c>
      <c r="B3622" s="18" t="s">
        <v>86</v>
      </c>
      <c r="C3622" s="18" t="s">
        <v>87</v>
      </c>
      <c r="D3622" s="18" t="s">
        <v>15080</v>
      </c>
      <c r="E3622" s="18" t="n">
        <v>0</v>
      </c>
      <c r="F3622" s="18" t="s">
        <v>611</v>
      </c>
      <c r="G3622" s="18" t="s">
        <v>145</v>
      </c>
      <c r="H3622" s="18" t="s">
        <v>129</v>
      </c>
      <c r="I3622" s="18" t="s">
        <v>146</v>
      </c>
      <c r="J3622" s="18"/>
      <c r="K3622" s="18"/>
      <c r="L3622" s="18" t="s">
        <v>129</v>
      </c>
      <c r="M3622" s="18" t="s">
        <v>129</v>
      </c>
      <c r="N3622" s="18"/>
      <c r="O3622" s="18" t="s">
        <v>15081</v>
      </c>
      <c r="P3622" s="18"/>
      <c r="Q3622" s="18" t="s">
        <v>138</v>
      </c>
      <c r="R3622" s="18" t="s">
        <v>15082</v>
      </c>
      <c r="S3622" s="18" t="s">
        <v>140</v>
      </c>
      <c r="T3622" s="18" t="s">
        <v>141</v>
      </c>
      <c r="U3622" s="18"/>
      <c r="V3622" s="19" t="s">
        <v>29</v>
      </c>
      <c r="W3622" s="19"/>
      <c r="X3622" s="19"/>
      <c r="Y3622" s="20"/>
      <c r="Z3622" s="19"/>
      <c r="AA3622" s="18" t="str">
        <f aca="false">IF(OR(V3622="Aprobada"),R3622,IF(AND(OR(V3622="Aprobada con ajuste",V3622="Rechazada"),W3622&lt;&gt;""),W3622,""))</f>
        <v/>
      </c>
    </row>
    <row r="3623" customFormat="false" ht="22.35" hidden="false" customHeight="false" outlineLevel="0" collapsed="false">
      <c r="A3623" s="18" t="s">
        <v>15083</v>
      </c>
      <c r="B3623" s="18" t="s">
        <v>86</v>
      </c>
      <c r="C3623" s="18" t="s">
        <v>87</v>
      </c>
      <c r="D3623" s="18" t="s">
        <v>15080</v>
      </c>
      <c r="E3623" s="18" t="n">
        <v>0</v>
      </c>
      <c r="F3623" s="18" t="s">
        <v>275</v>
      </c>
      <c r="G3623" s="18" t="s">
        <v>337</v>
      </c>
      <c r="H3623" s="18" t="s">
        <v>129</v>
      </c>
      <c r="I3623" s="18"/>
      <c r="J3623" s="18"/>
      <c r="K3623" s="18"/>
      <c r="L3623" s="18" t="s">
        <v>129</v>
      </c>
      <c r="M3623" s="18" t="s">
        <v>129</v>
      </c>
      <c r="N3623" s="18"/>
      <c r="O3623" s="18"/>
      <c r="P3623" s="18"/>
      <c r="Q3623" s="18" t="s">
        <v>138</v>
      </c>
      <c r="R3623" s="18" t="s">
        <v>15084</v>
      </c>
      <c r="S3623" s="18" t="s">
        <v>140</v>
      </c>
      <c r="T3623" s="18" t="s">
        <v>141</v>
      </c>
      <c r="U3623" s="18"/>
      <c r="V3623" s="19" t="s">
        <v>29</v>
      </c>
      <c r="W3623" s="19"/>
      <c r="X3623" s="19"/>
      <c r="Y3623" s="20"/>
      <c r="Z3623" s="19"/>
      <c r="AA3623" s="18" t="str">
        <f aca="false">IF(OR(V3623="Aprobada"),R3623,IF(AND(OR(V3623="Aprobada con ajuste",V3623="Rechazada"),W3623&lt;&gt;""),W3623,""))</f>
        <v/>
      </c>
    </row>
    <row r="3624" customFormat="false" ht="22.35" hidden="false" customHeight="false" outlineLevel="0" collapsed="false">
      <c r="A3624" s="18" t="s">
        <v>15085</v>
      </c>
      <c r="B3624" s="18" t="s">
        <v>86</v>
      </c>
      <c r="C3624" s="18" t="s">
        <v>87</v>
      </c>
      <c r="D3624" s="18" t="s">
        <v>15080</v>
      </c>
      <c r="E3624" s="18" t="n">
        <v>0</v>
      </c>
      <c r="F3624" s="18" t="s">
        <v>160</v>
      </c>
      <c r="G3624" s="18" t="s">
        <v>128</v>
      </c>
      <c r="H3624" s="18" t="s">
        <v>162</v>
      </c>
      <c r="I3624" s="18"/>
      <c r="J3624" s="18"/>
      <c r="K3624" s="18"/>
      <c r="L3624" s="18" t="s">
        <v>129</v>
      </c>
      <c r="M3624" s="18" t="s">
        <v>129</v>
      </c>
      <c r="N3624" s="18"/>
      <c r="O3624" s="18"/>
      <c r="P3624" s="18"/>
      <c r="Q3624" s="18" t="s">
        <v>138</v>
      </c>
      <c r="R3624" s="18" t="s">
        <v>15086</v>
      </c>
      <c r="S3624" s="18" t="s">
        <v>140</v>
      </c>
      <c r="T3624" s="18" t="s">
        <v>141</v>
      </c>
      <c r="U3624" s="18"/>
      <c r="V3624" s="19" t="s">
        <v>29</v>
      </c>
      <c r="W3624" s="19"/>
      <c r="X3624" s="19"/>
      <c r="Y3624" s="20"/>
      <c r="Z3624" s="19"/>
      <c r="AA3624" s="18" t="str">
        <f aca="false">IF(OR(V3624="Aprobada"),R3624,IF(AND(OR(V3624="Aprobada con ajuste",V3624="Rechazada"),W3624&lt;&gt;""),W3624,""))</f>
        <v/>
      </c>
    </row>
    <row r="3625" customFormat="false" ht="22.35" hidden="false" customHeight="false" outlineLevel="0" collapsed="false">
      <c r="A3625" s="18" t="s">
        <v>15087</v>
      </c>
      <c r="B3625" s="18" t="s">
        <v>86</v>
      </c>
      <c r="C3625" s="18" t="s">
        <v>87</v>
      </c>
      <c r="D3625" s="18" t="s">
        <v>15080</v>
      </c>
      <c r="E3625" s="18" t="n">
        <v>0</v>
      </c>
      <c r="F3625" s="18" t="s">
        <v>15088</v>
      </c>
      <c r="G3625" s="18" t="s">
        <v>128</v>
      </c>
      <c r="H3625" s="18" t="s">
        <v>129</v>
      </c>
      <c r="I3625" s="18"/>
      <c r="J3625" s="18"/>
      <c r="K3625" s="18"/>
      <c r="L3625" s="18" t="s">
        <v>129</v>
      </c>
      <c r="M3625" s="18" t="s">
        <v>129</v>
      </c>
      <c r="N3625" s="18"/>
      <c r="O3625" s="18"/>
      <c r="P3625" s="18"/>
      <c r="Q3625" s="18" t="s">
        <v>149</v>
      </c>
      <c r="R3625" s="18" t="s">
        <v>15089</v>
      </c>
      <c r="S3625" s="18" t="s">
        <v>133</v>
      </c>
      <c r="T3625" s="18" t="s">
        <v>15090</v>
      </c>
      <c r="U3625" s="18"/>
      <c r="V3625" s="19" t="s">
        <v>29</v>
      </c>
      <c r="W3625" s="19"/>
      <c r="X3625" s="19"/>
      <c r="Y3625" s="20"/>
      <c r="Z3625" s="19"/>
      <c r="AA3625" s="18" t="str">
        <f aca="false">IF(OR(V3625="Aprobada"),R3625,IF(AND(OR(V3625="Aprobada con ajuste",V3625="Rechazada"),W3625&lt;&gt;""),W3625,""))</f>
        <v/>
      </c>
    </row>
    <row r="3626" customFormat="false" ht="22.35" hidden="false" customHeight="false" outlineLevel="0" collapsed="false">
      <c r="A3626" s="18" t="s">
        <v>15091</v>
      </c>
      <c r="B3626" s="18" t="s">
        <v>86</v>
      </c>
      <c r="C3626" s="18" t="s">
        <v>87</v>
      </c>
      <c r="D3626" s="18" t="s">
        <v>15080</v>
      </c>
      <c r="E3626" s="18" t="n">
        <v>0</v>
      </c>
      <c r="F3626" s="18" t="s">
        <v>14692</v>
      </c>
      <c r="G3626" s="18" t="s">
        <v>173</v>
      </c>
      <c r="H3626" s="18" t="s">
        <v>129</v>
      </c>
      <c r="I3626" s="18"/>
      <c r="J3626" s="18"/>
      <c r="K3626" s="18"/>
      <c r="L3626" s="18" t="s">
        <v>129</v>
      </c>
      <c r="M3626" s="18" t="s">
        <v>129</v>
      </c>
      <c r="N3626" s="18"/>
      <c r="O3626" s="18"/>
      <c r="P3626" s="18"/>
      <c r="Q3626" s="18" t="s">
        <v>138</v>
      </c>
      <c r="R3626" s="18" t="s">
        <v>176</v>
      </c>
      <c r="S3626" s="18" t="s">
        <v>140</v>
      </c>
      <c r="T3626" s="18" t="s">
        <v>141</v>
      </c>
      <c r="U3626" s="18"/>
      <c r="V3626" s="19" t="s">
        <v>29</v>
      </c>
      <c r="W3626" s="19"/>
      <c r="X3626" s="19"/>
      <c r="Y3626" s="20"/>
      <c r="Z3626" s="19"/>
      <c r="AA3626" s="18" t="str">
        <f aca="false">IF(OR(V3626="Aprobada"),R3626,IF(AND(OR(V3626="Aprobada con ajuste",V3626="Rechazada"),W3626&lt;&gt;""),W3626,""))</f>
        <v/>
      </c>
    </row>
  </sheetData>
  <autoFilter ref="A1:AA3626"/>
  <conditionalFormatting sqref="V2:V3626">
    <cfRule type="cellIs" priority="2" operator="equal" aboveAverage="0" equalAverage="0" bottom="0" percent="0" rank="0" text="" dxfId="6">
      <formula>"Aprobada"</formula>
    </cfRule>
    <cfRule type="cellIs" priority="3" operator="equal" aboveAverage="0" equalAverage="0" bottom="0" percent="0" rank="0" text="" dxfId="7">
      <formula>"Aprobada con ajuste"</formula>
    </cfRule>
    <cfRule type="cellIs" priority="4" operator="equal" aboveAverage="0" equalAverage="0" bottom="0" percent="0" rank="0" text="" dxfId="8">
      <formula>"Rechazada"</formula>
    </cfRule>
    <cfRule type="cellIs" priority="5" operator="equal" aboveAverage="0" equalAverage="0" bottom="0" percent="0" rank="0" text="" dxfId="9">
      <formula>"Requiere aclaración"</formula>
    </cfRule>
  </conditionalFormatting>
  <conditionalFormatting sqref="S2:S3626">
    <cfRule type="cellIs" priority="6" operator="equal" aboveAverage="0" equalAverage="0" bottom="0" percent="0" rank="0" text="" dxfId="10">
      <formula>"Baja"</formula>
    </cfRule>
  </conditionalFormatting>
  <conditionalFormatting sqref="W2:W3626">
    <cfRule type="expression" priority="7" aboveAverage="0" equalAverage="0" bottom="0" percent="0" rank="0" text="" dxfId="11">
      <formula>AND(OR($V2="Aprobada con ajuste",$V2="Rechazada"),$W2="")</formula>
    </cfRule>
  </conditionalFormatting>
  <dataValidations count="2">
    <dataValidation allowBlank="false" error="Elija un valor de la lista." errorStyle="stop" errorTitle="Decisión" operator="between" prompt="Elija la decisión de la revisión" promptTitle="Decisión" showDropDown="false" showErrorMessage="false" showInputMessage="false" sqref="V2:V3626" type="list">
      <formula1>"Pendiente,Aprobada,Aprobada con ajuste,Rechazada,Requiere aclaración"</formula1>
      <formula2>0</formula2>
    </dataValidation>
    <dataValidation allowBlank="true" error="Escriba una fecha (aaaa-mm-dd)." errorStyle="stop" errorTitle="Fecha" operator="greaterThan" showDropDown="false" showErrorMessage="false" showInputMessage="false" sqref="Y2:Y3626" type="date">
      <formula1>DATE(2026,1,1)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26"/>
    <col collapsed="false" customWidth="true" hidden="false" outlineLevel="0" max="4" min="4" style="0" width="44"/>
    <col collapsed="false" customWidth="true" hidden="false" outlineLevel="0" max="5" min="5" style="0" width="16"/>
    <col collapsed="false" customWidth="true" hidden="false" outlineLevel="0" max="6" min="6" style="0" width="90"/>
  </cols>
  <sheetData>
    <row r="1" customFormat="false" ht="15" hidden="false" customHeight="false" outlineLevel="0" collapsed="false">
      <c r="A1" s="21" t="s">
        <v>50</v>
      </c>
      <c r="B1" s="21" t="s">
        <v>101</v>
      </c>
      <c r="C1" s="21" t="s">
        <v>103</v>
      </c>
      <c r="D1" s="21" t="s">
        <v>15092</v>
      </c>
      <c r="E1" s="21" t="s">
        <v>15093</v>
      </c>
      <c r="F1" s="21" t="s">
        <v>15094</v>
      </c>
    </row>
    <row r="2" customFormat="false" ht="15" hidden="false" customHeight="false" outlineLevel="0" collapsed="false">
      <c r="A2" s="22" t="s">
        <v>57</v>
      </c>
      <c r="B2" s="22" t="s">
        <v>478</v>
      </c>
      <c r="C2" s="22" t="s">
        <v>479</v>
      </c>
      <c r="D2" s="22" t="s">
        <v>15095</v>
      </c>
      <c r="E2" s="22" t="s">
        <v>15096</v>
      </c>
      <c r="F2" s="22"/>
    </row>
    <row r="3" customFormat="false" ht="15" hidden="false" customHeight="false" outlineLevel="0" collapsed="false">
      <c r="A3" s="22" t="s">
        <v>57</v>
      </c>
      <c r="B3" s="22" t="s">
        <v>478</v>
      </c>
      <c r="C3" s="22" t="s">
        <v>485</v>
      </c>
      <c r="D3" s="22" t="s">
        <v>15095</v>
      </c>
      <c r="E3" s="22" t="s">
        <v>15096</v>
      </c>
      <c r="F3" s="22"/>
    </row>
    <row r="4" customFormat="false" ht="15" hidden="false" customHeight="false" outlineLevel="0" collapsed="false">
      <c r="A4" s="22" t="s">
        <v>57</v>
      </c>
      <c r="B4" s="22" t="s">
        <v>478</v>
      </c>
      <c r="C4" s="22" t="s">
        <v>512</v>
      </c>
      <c r="D4" s="22" t="s">
        <v>15095</v>
      </c>
      <c r="E4" s="22" t="s">
        <v>15096</v>
      </c>
      <c r="F4" s="22"/>
    </row>
    <row r="5" customFormat="false" ht="15" hidden="false" customHeight="false" outlineLevel="0" collapsed="false">
      <c r="A5" s="22" t="s">
        <v>57</v>
      </c>
      <c r="B5" s="22" t="s">
        <v>515</v>
      </c>
      <c r="C5" s="22" t="s">
        <v>479</v>
      </c>
      <c r="D5" s="22" t="s">
        <v>15095</v>
      </c>
      <c r="E5" s="22" t="s">
        <v>15096</v>
      </c>
      <c r="F5" s="22"/>
    </row>
    <row r="6" customFormat="false" ht="15" hidden="false" customHeight="false" outlineLevel="0" collapsed="false">
      <c r="A6" s="22" t="s">
        <v>57</v>
      </c>
      <c r="B6" s="22" t="s">
        <v>515</v>
      </c>
      <c r="C6" s="22" t="s">
        <v>485</v>
      </c>
      <c r="D6" s="22" t="s">
        <v>15095</v>
      </c>
      <c r="E6" s="22" t="s">
        <v>15096</v>
      </c>
      <c r="F6" s="22"/>
    </row>
    <row r="7" customFormat="false" ht="15" hidden="false" customHeight="false" outlineLevel="0" collapsed="false">
      <c r="A7" s="22" t="s">
        <v>57</v>
      </c>
      <c r="B7" s="22" t="s">
        <v>515</v>
      </c>
      <c r="C7" s="22" t="s">
        <v>512</v>
      </c>
      <c r="D7" s="22" t="s">
        <v>15095</v>
      </c>
      <c r="E7" s="22" t="s">
        <v>15096</v>
      </c>
      <c r="F7" s="22"/>
    </row>
    <row r="8" customFormat="false" ht="22.35" hidden="false" customHeight="false" outlineLevel="0" collapsed="false">
      <c r="A8" s="22" t="s">
        <v>57</v>
      </c>
      <c r="B8" s="22" t="s">
        <v>528</v>
      </c>
      <c r="C8" s="22" t="s">
        <v>529</v>
      </c>
      <c r="D8" s="22" t="s">
        <v>15097</v>
      </c>
      <c r="E8" s="22" t="s">
        <v>15098</v>
      </c>
      <c r="F8" s="22"/>
    </row>
    <row r="9" customFormat="false" ht="15" hidden="false" customHeight="false" outlineLevel="0" collapsed="false">
      <c r="A9" s="22" t="s">
        <v>57</v>
      </c>
      <c r="B9" s="22" t="s">
        <v>528</v>
      </c>
      <c r="C9" s="22" t="s">
        <v>529</v>
      </c>
      <c r="D9" s="22" t="s">
        <v>15099</v>
      </c>
      <c r="E9" s="22" t="s">
        <v>15096</v>
      </c>
      <c r="F9" s="22"/>
    </row>
    <row r="10" customFormat="false" ht="15" hidden="false" customHeight="false" outlineLevel="0" collapsed="false">
      <c r="A10" s="22" t="s">
        <v>57</v>
      </c>
      <c r="B10" s="22" t="s">
        <v>528</v>
      </c>
      <c r="C10" s="22" t="s">
        <v>534</v>
      </c>
      <c r="D10" s="22" t="s">
        <v>15099</v>
      </c>
      <c r="E10" s="22" t="s">
        <v>15096</v>
      </c>
      <c r="F10" s="22"/>
    </row>
    <row r="11" customFormat="false" ht="15" hidden="false" customHeight="false" outlineLevel="0" collapsed="false">
      <c r="A11" s="22" t="s">
        <v>57</v>
      </c>
      <c r="B11" s="22" t="s">
        <v>528</v>
      </c>
      <c r="C11" s="22" t="s">
        <v>541</v>
      </c>
      <c r="D11" s="22" t="s">
        <v>15099</v>
      </c>
      <c r="E11" s="22" t="s">
        <v>15096</v>
      </c>
      <c r="F11" s="22"/>
    </row>
    <row r="12" customFormat="false" ht="15" hidden="false" customHeight="false" outlineLevel="0" collapsed="false">
      <c r="A12" s="22" t="s">
        <v>57</v>
      </c>
      <c r="B12" s="22" t="s">
        <v>528</v>
      </c>
      <c r="C12" s="22" t="s">
        <v>541</v>
      </c>
      <c r="D12" s="22" t="s">
        <v>15100</v>
      </c>
      <c r="E12" s="22" t="s">
        <v>15096</v>
      </c>
      <c r="F12" s="22"/>
    </row>
    <row r="13" customFormat="false" ht="15" hidden="false" customHeight="false" outlineLevel="0" collapsed="false">
      <c r="A13" s="22" t="s">
        <v>57</v>
      </c>
      <c r="B13" s="22" t="s">
        <v>528</v>
      </c>
      <c r="C13" s="22" t="s">
        <v>220</v>
      </c>
      <c r="D13" s="22" t="s">
        <v>15099</v>
      </c>
      <c r="E13" s="22" t="s">
        <v>15096</v>
      </c>
      <c r="F13" s="22"/>
    </row>
    <row r="14" customFormat="false" ht="15" hidden="false" customHeight="false" outlineLevel="0" collapsed="false">
      <c r="A14" s="22" t="s">
        <v>57</v>
      </c>
      <c r="B14" s="22" t="s">
        <v>528</v>
      </c>
      <c r="C14" s="22" t="s">
        <v>220</v>
      </c>
      <c r="D14" s="22" t="s">
        <v>15100</v>
      </c>
      <c r="E14" s="22" t="s">
        <v>15096</v>
      </c>
      <c r="F14" s="22"/>
    </row>
    <row r="15" customFormat="false" ht="15" hidden="false" customHeight="false" outlineLevel="0" collapsed="false">
      <c r="A15" s="22" t="s">
        <v>57</v>
      </c>
      <c r="B15" s="22" t="s">
        <v>528</v>
      </c>
      <c r="C15" s="22" t="s">
        <v>598</v>
      </c>
      <c r="D15" s="22" t="s">
        <v>15101</v>
      </c>
      <c r="E15" s="22" t="s">
        <v>15102</v>
      </c>
      <c r="F15" s="22" t="s">
        <v>15103</v>
      </c>
    </row>
    <row r="16" customFormat="false" ht="15" hidden="false" customHeight="false" outlineLevel="0" collapsed="false">
      <c r="A16" s="22" t="s">
        <v>57</v>
      </c>
      <c r="B16" s="22" t="s">
        <v>528</v>
      </c>
      <c r="C16" s="22" t="s">
        <v>598</v>
      </c>
      <c r="D16" s="22" t="s">
        <v>15104</v>
      </c>
      <c r="E16" s="22" t="s">
        <v>15102</v>
      </c>
      <c r="F16" s="22" t="s">
        <v>15103</v>
      </c>
    </row>
    <row r="17" customFormat="false" ht="15" hidden="false" customHeight="false" outlineLevel="0" collapsed="false">
      <c r="A17" s="22" t="s">
        <v>57</v>
      </c>
      <c r="B17" s="22" t="s">
        <v>528</v>
      </c>
      <c r="C17" s="22" t="s">
        <v>598</v>
      </c>
      <c r="D17" s="22" t="s">
        <v>15099</v>
      </c>
      <c r="E17" s="22" t="s">
        <v>15096</v>
      </c>
      <c r="F17" s="22"/>
    </row>
    <row r="18" customFormat="false" ht="15" hidden="false" customHeight="false" outlineLevel="0" collapsed="false">
      <c r="A18" s="22" t="s">
        <v>57</v>
      </c>
      <c r="B18" s="22" t="s">
        <v>528</v>
      </c>
      <c r="C18" s="22" t="s">
        <v>598</v>
      </c>
      <c r="D18" s="22" t="s">
        <v>15100</v>
      </c>
      <c r="E18" s="22" t="s">
        <v>15096</v>
      </c>
      <c r="F18" s="22"/>
    </row>
    <row r="19" customFormat="false" ht="15" hidden="false" customHeight="false" outlineLevel="0" collapsed="false">
      <c r="A19" s="22" t="s">
        <v>57</v>
      </c>
      <c r="B19" s="22" t="s">
        <v>683</v>
      </c>
      <c r="C19" s="22" t="s">
        <v>479</v>
      </c>
      <c r="D19" s="22" t="s">
        <v>15095</v>
      </c>
      <c r="E19" s="22" t="s">
        <v>15096</v>
      </c>
      <c r="F19" s="22"/>
    </row>
    <row r="20" customFormat="false" ht="15" hidden="false" customHeight="false" outlineLevel="0" collapsed="false">
      <c r="A20" s="22" t="s">
        <v>57</v>
      </c>
      <c r="B20" s="22" t="s">
        <v>683</v>
      </c>
      <c r="C20" s="22" t="s">
        <v>485</v>
      </c>
      <c r="D20" s="22" t="s">
        <v>15095</v>
      </c>
      <c r="E20" s="22" t="s">
        <v>15096</v>
      </c>
      <c r="F20" s="22"/>
    </row>
    <row r="21" customFormat="false" ht="15" hidden="false" customHeight="false" outlineLevel="0" collapsed="false">
      <c r="A21" s="22" t="s">
        <v>57</v>
      </c>
      <c r="B21" s="22" t="s">
        <v>683</v>
      </c>
      <c r="C21" s="22" t="s">
        <v>710</v>
      </c>
      <c r="D21" s="22" t="s">
        <v>15095</v>
      </c>
      <c r="E21" s="22" t="s">
        <v>15096</v>
      </c>
      <c r="F21" s="22"/>
    </row>
    <row r="22" customFormat="false" ht="15" hidden="false" customHeight="false" outlineLevel="0" collapsed="false">
      <c r="A22" s="22" t="s">
        <v>57</v>
      </c>
      <c r="B22" s="22" t="s">
        <v>683</v>
      </c>
      <c r="C22" s="22" t="s">
        <v>512</v>
      </c>
      <c r="D22" s="22" t="s">
        <v>15095</v>
      </c>
      <c r="E22" s="22" t="s">
        <v>15096</v>
      </c>
      <c r="F22" s="22"/>
    </row>
    <row r="23" customFormat="false" ht="15" hidden="false" customHeight="false" outlineLevel="0" collapsed="false">
      <c r="A23" s="22" t="s">
        <v>57</v>
      </c>
      <c r="B23" s="22" t="s">
        <v>732</v>
      </c>
      <c r="C23" s="22" t="s">
        <v>512</v>
      </c>
      <c r="D23" s="22" t="s">
        <v>15095</v>
      </c>
      <c r="E23" s="22" t="s">
        <v>15096</v>
      </c>
      <c r="F23" s="22"/>
    </row>
    <row r="24" customFormat="false" ht="22.35" hidden="false" customHeight="false" outlineLevel="0" collapsed="false">
      <c r="A24" s="22" t="s">
        <v>59</v>
      </c>
      <c r="B24" s="22" t="s">
        <v>1108</v>
      </c>
      <c r="C24" s="22" t="s">
        <v>1116</v>
      </c>
      <c r="D24" s="22" t="s">
        <v>15105</v>
      </c>
      <c r="E24" s="22" t="s">
        <v>15098</v>
      </c>
      <c r="F24" s="22"/>
    </row>
    <row r="25" customFormat="false" ht="22.35" hidden="false" customHeight="false" outlineLevel="0" collapsed="false">
      <c r="A25" s="22" t="s">
        <v>59</v>
      </c>
      <c r="B25" s="22" t="s">
        <v>1108</v>
      </c>
      <c r="C25" s="22" t="s">
        <v>1121</v>
      </c>
      <c r="D25" s="22" t="s">
        <v>15105</v>
      </c>
      <c r="E25" s="22" t="s">
        <v>15098</v>
      </c>
      <c r="F25" s="22"/>
    </row>
    <row r="26" customFormat="false" ht="22.35" hidden="false" customHeight="false" outlineLevel="0" collapsed="false">
      <c r="A26" s="22" t="s">
        <v>59</v>
      </c>
      <c r="B26" s="22" t="s">
        <v>1108</v>
      </c>
      <c r="C26" s="22" t="s">
        <v>1127</v>
      </c>
      <c r="D26" s="22" t="s">
        <v>15105</v>
      </c>
      <c r="E26" s="22" t="s">
        <v>15098</v>
      </c>
      <c r="F26" s="22"/>
    </row>
    <row r="27" customFormat="false" ht="22.35" hidden="false" customHeight="false" outlineLevel="0" collapsed="false">
      <c r="A27" s="22" t="s">
        <v>59</v>
      </c>
      <c r="B27" s="22" t="s">
        <v>1108</v>
      </c>
      <c r="C27" s="22" t="s">
        <v>1196</v>
      </c>
      <c r="D27" s="22" t="s">
        <v>15105</v>
      </c>
      <c r="E27" s="22" t="s">
        <v>15098</v>
      </c>
      <c r="F27" s="22"/>
    </row>
    <row r="28" customFormat="false" ht="22.35" hidden="false" customHeight="false" outlineLevel="0" collapsed="false">
      <c r="A28" s="22" t="s">
        <v>59</v>
      </c>
      <c r="B28" s="22" t="s">
        <v>1108</v>
      </c>
      <c r="C28" s="22" t="s">
        <v>1201</v>
      </c>
      <c r="D28" s="22" t="s">
        <v>15105</v>
      </c>
      <c r="E28" s="22" t="s">
        <v>15098</v>
      </c>
      <c r="F28" s="22"/>
    </row>
    <row r="29" customFormat="false" ht="32.8" hidden="false" customHeight="false" outlineLevel="0" collapsed="false">
      <c r="A29" s="22" t="s">
        <v>61</v>
      </c>
      <c r="B29" s="22" t="s">
        <v>2046</v>
      </c>
      <c r="C29" s="22" t="s">
        <v>185</v>
      </c>
      <c r="D29" s="22" t="s">
        <v>15106</v>
      </c>
      <c r="E29" s="22" t="s">
        <v>15102</v>
      </c>
      <c r="F29" s="22" t="s">
        <v>15107</v>
      </c>
    </row>
    <row r="30" customFormat="false" ht="22.35" hidden="false" customHeight="false" outlineLevel="0" collapsed="false">
      <c r="A30" s="22" t="s">
        <v>61</v>
      </c>
      <c r="B30" s="22" t="s">
        <v>2265</v>
      </c>
      <c r="C30" s="22" t="s">
        <v>275</v>
      </c>
      <c r="D30" s="22" t="s">
        <v>15108</v>
      </c>
      <c r="E30" s="22" t="s">
        <v>15102</v>
      </c>
      <c r="F30" s="22" t="s">
        <v>15109</v>
      </c>
    </row>
    <row r="31" customFormat="false" ht="22.35" hidden="false" customHeight="false" outlineLevel="0" collapsed="false">
      <c r="A31" s="22" t="s">
        <v>61</v>
      </c>
      <c r="B31" s="22" t="s">
        <v>2265</v>
      </c>
      <c r="C31" s="22" t="s">
        <v>127</v>
      </c>
      <c r="D31" s="22" t="s">
        <v>15110</v>
      </c>
      <c r="E31" s="22" t="s">
        <v>15102</v>
      </c>
      <c r="F31" s="22" t="s">
        <v>15111</v>
      </c>
    </row>
    <row r="32" customFormat="false" ht="32.8" hidden="false" customHeight="false" outlineLevel="0" collapsed="false">
      <c r="A32" s="22" t="s">
        <v>61</v>
      </c>
      <c r="B32" s="22" t="s">
        <v>2265</v>
      </c>
      <c r="C32" s="22" t="s">
        <v>185</v>
      </c>
      <c r="D32" s="22" t="s">
        <v>15106</v>
      </c>
      <c r="E32" s="22" t="s">
        <v>15102</v>
      </c>
      <c r="F32" s="22" t="s">
        <v>15107</v>
      </c>
    </row>
    <row r="33" customFormat="false" ht="22.35" hidden="false" customHeight="false" outlineLevel="0" collapsed="false">
      <c r="A33" s="22" t="s">
        <v>61</v>
      </c>
      <c r="B33" s="22" t="s">
        <v>2398</v>
      </c>
      <c r="C33" s="22" t="s">
        <v>611</v>
      </c>
      <c r="D33" s="22" t="s">
        <v>15112</v>
      </c>
      <c r="E33" s="22" t="s">
        <v>15102</v>
      </c>
      <c r="F33" s="22" t="s">
        <v>15113</v>
      </c>
    </row>
    <row r="34" customFormat="false" ht="32.8" hidden="false" customHeight="false" outlineLevel="0" collapsed="false">
      <c r="A34" s="22" t="s">
        <v>61</v>
      </c>
      <c r="B34" s="22" t="s">
        <v>2588</v>
      </c>
      <c r="C34" s="22" t="s">
        <v>275</v>
      </c>
      <c r="D34" s="22" t="s">
        <v>15114</v>
      </c>
      <c r="E34" s="22" t="s">
        <v>15102</v>
      </c>
      <c r="F34" s="22" t="s">
        <v>15115</v>
      </c>
    </row>
    <row r="35" customFormat="false" ht="32.8" hidden="false" customHeight="false" outlineLevel="0" collapsed="false">
      <c r="A35" s="22" t="s">
        <v>61</v>
      </c>
      <c r="B35" s="22" t="s">
        <v>2973</v>
      </c>
      <c r="C35" s="22" t="s">
        <v>275</v>
      </c>
      <c r="D35" s="22" t="s">
        <v>15114</v>
      </c>
      <c r="E35" s="22" t="s">
        <v>15102</v>
      </c>
      <c r="F35" s="22" t="s">
        <v>15115</v>
      </c>
    </row>
    <row r="36" customFormat="false" ht="15" hidden="false" customHeight="false" outlineLevel="0" collapsed="false">
      <c r="A36" s="22" t="s">
        <v>61</v>
      </c>
      <c r="B36" s="22" t="s">
        <v>3211</v>
      </c>
      <c r="C36" s="22" t="s">
        <v>3031</v>
      </c>
      <c r="D36" s="22" t="s">
        <v>15106</v>
      </c>
      <c r="E36" s="22" t="s">
        <v>15102</v>
      </c>
      <c r="F36" s="22" t="s">
        <v>15116</v>
      </c>
    </row>
    <row r="37" customFormat="false" ht="32.8" hidden="false" customHeight="false" outlineLevel="0" collapsed="false">
      <c r="A37" s="22" t="s">
        <v>61</v>
      </c>
      <c r="B37" s="22" t="s">
        <v>3211</v>
      </c>
      <c r="C37" s="22" t="s">
        <v>185</v>
      </c>
      <c r="D37" s="22" t="s">
        <v>15106</v>
      </c>
      <c r="E37" s="22" t="s">
        <v>15102</v>
      </c>
      <c r="F37" s="22" t="s">
        <v>15107</v>
      </c>
    </row>
    <row r="38" customFormat="false" ht="15" hidden="false" customHeight="false" outlineLevel="0" collapsed="false">
      <c r="A38" s="22" t="s">
        <v>61</v>
      </c>
      <c r="B38" s="22" t="s">
        <v>3270</v>
      </c>
      <c r="C38" s="22" t="s">
        <v>3271</v>
      </c>
      <c r="D38" s="22" t="s">
        <v>15106</v>
      </c>
      <c r="E38" s="22" t="s">
        <v>15102</v>
      </c>
      <c r="F38" s="22" t="s">
        <v>15117</v>
      </c>
    </row>
    <row r="39" customFormat="false" ht="15" hidden="false" customHeight="false" outlineLevel="0" collapsed="false">
      <c r="A39" s="22" t="s">
        <v>61</v>
      </c>
      <c r="B39" s="22" t="s">
        <v>3270</v>
      </c>
      <c r="C39" s="22" t="s">
        <v>1922</v>
      </c>
      <c r="D39" s="22" t="s">
        <v>15106</v>
      </c>
      <c r="E39" s="22" t="s">
        <v>15102</v>
      </c>
      <c r="F39" s="22" t="s">
        <v>15118</v>
      </c>
    </row>
    <row r="40" customFormat="false" ht="32.8" hidden="false" customHeight="false" outlineLevel="0" collapsed="false">
      <c r="A40" s="22" t="s">
        <v>61</v>
      </c>
      <c r="B40" s="22" t="s">
        <v>3270</v>
      </c>
      <c r="C40" s="22" t="s">
        <v>185</v>
      </c>
      <c r="D40" s="22" t="s">
        <v>15106</v>
      </c>
      <c r="E40" s="22" t="s">
        <v>15102</v>
      </c>
      <c r="F40" s="22" t="s">
        <v>15107</v>
      </c>
    </row>
    <row r="41" customFormat="false" ht="15" hidden="false" customHeight="false" outlineLevel="0" collapsed="false">
      <c r="A41" s="22" t="s">
        <v>61</v>
      </c>
      <c r="B41" s="22" t="s">
        <v>3317</v>
      </c>
      <c r="C41" s="22" t="s">
        <v>3031</v>
      </c>
      <c r="D41" s="22" t="s">
        <v>15106</v>
      </c>
      <c r="E41" s="22" t="s">
        <v>15102</v>
      </c>
      <c r="F41" s="22" t="s">
        <v>15116</v>
      </c>
    </row>
    <row r="42" customFormat="false" ht="32.8" hidden="false" customHeight="false" outlineLevel="0" collapsed="false">
      <c r="A42" s="22" t="s">
        <v>61</v>
      </c>
      <c r="B42" s="22" t="s">
        <v>3317</v>
      </c>
      <c r="C42" s="22" t="s">
        <v>185</v>
      </c>
      <c r="D42" s="22" t="s">
        <v>15106</v>
      </c>
      <c r="E42" s="22" t="s">
        <v>15102</v>
      </c>
      <c r="F42" s="22" t="s">
        <v>15107</v>
      </c>
    </row>
    <row r="43" customFormat="false" ht="15" hidden="false" customHeight="false" outlineLevel="0" collapsed="false">
      <c r="A43" s="22" t="s">
        <v>61</v>
      </c>
      <c r="B43" s="22" t="s">
        <v>3662</v>
      </c>
      <c r="C43" s="22" t="s">
        <v>275</v>
      </c>
      <c r="D43" s="22" t="s">
        <v>15100</v>
      </c>
      <c r="E43" s="22" t="s">
        <v>15096</v>
      </c>
      <c r="F43" s="22"/>
    </row>
    <row r="44" customFormat="false" ht="15" hidden="false" customHeight="false" outlineLevel="0" collapsed="false">
      <c r="A44" s="22" t="s">
        <v>61</v>
      </c>
      <c r="B44" s="22" t="s">
        <v>3662</v>
      </c>
      <c r="C44" s="22" t="s">
        <v>611</v>
      </c>
      <c r="D44" s="22" t="s">
        <v>15100</v>
      </c>
      <c r="E44" s="22" t="s">
        <v>15096</v>
      </c>
      <c r="F44" s="22"/>
    </row>
    <row r="45" customFormat="false" ht="15" hidden="false" customHeight="false" outlineLevel="0" collapsed="false">
      <c r="A45" s="22" t="s">
        <v>65</v>
      </c>
      <c r="B45" s="22" t="s">
        <v>5433</v>
      </c>
      <c r="C45" s="22" t="s">
        <v>4369</v>
      </c>
      <c r="D45" s="22" t="s">
        <v>15100</v>
      </c>
      <c r="E45" s="22" t="s">
        <v>15096</v>
      </c>
      <c r="F45" s="22"/>
    </row>
    <row r="46" customFormat="false" ht="15" hidden="false" customHeight="false" outlineLevel="0" collapsed="false">
      <c r="A46" s="22" t="s">
        <v>65</v>
      </c>
      <c r="B46" s="22" t="s">
        <v>5433</v>
      </c>
      <c r="C46" s="22" t="s">
        <v>160</v>
      </c>
      <c r="D46" s="22" t="s">
        <v>15100</v>
      </c>
      <c r="E46" s="22" t="s">
        <v>15096</v>
      </c>
      <c r="F46" s="22"/>
    </row>
    <row r="47" customFormat="false" ht="15" hidden="false" customHeight="false" outlineLevel="0" collapsed="false">
      <c r="A47" s="22" t="s">
        <v>65</v>
      </c>
      <c r="B47" s="22" t="s">
        <v>5433</v>
      </c>
      <c r="C47" s="22" t="s">
        <v>185</v>
      </c>
      <c r="D47" s="22" t="s">
        <v>15100</v>
      </c>
      <c r="E47" s="22" t="s">
        <v>15096</v>
      </c>
      <c r="F47" s="22"/>
    </row>
    <row r="48" customFormat="false" ht="15" hidden="false" customHeight="false" outlineLevel="0" collapsed="false">
      <c r="A48" s="22" t="s">
        <v>65</v>
      </c>
      <c r="B48" s="22" t="s">
        <v>5433</v>
      </c>
      <c r="C48" s="22" t="s">
        <v>185</v>
      </c>
      <c r="D48" s="22" t="s">
        <v>15119</v>
      </c>
      <c r="E48" s="22" t="s">
        <v>15096</v>
      </c>
      <c r="F48" s="22"/>
    </row>
    <row r="49" customFormat="false" ht="32.8" hidden="false" customHeight="false" outlineLevel="0" collapsed="false">
      <c r="A49" s="22" t="s">
        <v>67</v>
      </c>
      <c r="B49" s="22" t="s">
        <v>5475</v>
      </c>
      <c r="C49" s="22" t="s">
        <v>160</v>
      </c>
      <c r="D49" s="22" t="s">
        <v>15120</v>
      </c>
      <c r="E49" s="22" t="s">
        <v>15102</v>
      </c>
      <c r="F49" s="22" t="s">
        <v>15121</v>
      </c>
    </row>
    <row r="50" customFormat="false" ht="22.35" hidden="false" customHeight="false" outlineLevel="0" collapsed="false">
      <c r="A50" s="22" t="s">
        <v>67</v>
      </c>
      <c r="B50" s="22" t="s">
        <v>5475</v>
      </c>
      <c r="C50" s="22" t="s">
        <v>160</v>
      </c>
      <c r="D50" s="22" t="s">
        <v>15122</v>
      </c>
      <c r="E50" s="22" t="s">
        <v>15102</v>
      </c>
      <c r="F50" s="22" t="s">
        <v>15123</v>
      </c>
    </row>
    <row r="51" customFormat="false" ht="15" hidden="false" customHeight="false" outlineLevel="0" collapsed="false">
      <c r="A51" s="22" t="s">
        <v>67</v>
      </c>
      <c r="B51" s="22" t="s">
        <v>5475</v>
      </c>
      <c r="C51" s="22" t="s">
        <v>127</v>
      </c>
      <c r="D51" s="22" t="s">
        <v>15120</v>
      </c>
      <c r="E51" s="22" t="s">
        <v>15102</v>
      </c>
      <c r="F51" s="22" t="s">
        <v>15124</v>
      </c>
    </row>
    <row r="52" customFormat="false" ht="15" hidden="false" customHeight="false" outlineLevel="0" collapsed="false">
      <c r="A52" s="22" t="s">
        <v>67</v>
      </c>
      <c r="B52" s="22" t="s">
        <v>5475</v>
      </c>
      <c r="C52" s="22" t="s">
        <v>5081</v>
      </c>
      <c r="D52" s="22" t="s">
        <v>15120</v>
      </c>
      <c r="E52" s="22" t="s">
        <v>15102</v>
      </c>
      <c r="F52" s="22" t="s">
        <v>15125</v>
      </c>
    </row>
    <row r="53" customFormat="false" ht="15" hidden="false" customHeight="false" outlineLevel="0" collapsed="false">
      <c r="A53" s="22" t="s">
        <v>67</v>
      </c>
      <c r="B53" s="22" t="s">
        <v>5475</v>
      </c>
      <c r="C53" s="22" t="s">
        <v>5081</v>
      </c>
      <c r="D53" s="22" t="s">
        <v>15122</v>
      </c>
      <c r="E53" s="22" t="s">
        <v>15102</v>
      </c>
      <c r="F53" s="22" t="s">
        <v>15125</v>
      </c>
    </row>
    <row r="54" customFormat="false" ht="32.8" hidden="false" customHeight="false" outlineLevel="0" collapsed="false">
      <c r="A54" s="22" t="s">
        <v>67</v>
      </c>
      <c r="B54" s="22" t="s">
        <v>5475</v>
      </c>
      <c r="C54" s="22" t="s">
        <v>185</v>
      </c>
      <c r="D54" s="22" t="s">
        <v>15120</v>
      </c>
      <c r="E54" s="22" t="s">
        <v>15102</v>
      </c>
      <c r="F54" s="22" t="s">
        <v>15126</v>
      </c>
    </row>
    <row r="55" customFormat="false" ht="15" hidden="false" customHeight="false" outlineLevel="0" collapsed="false">
      <c r="A55" s="22" t="s">
        <v>67</v>
      </c>
      <c r="B55" s="22" t="s">
        <v>5475</v>
      </c>
      <c r="C55" s="22" t="s">
        <v>185</v>
      </c>
      <c r="D55" s="22" t="s">
        <v>15122</v>
      </c>
      <c r="E55" s="22" t="s">
        <v>15102</v>
      </c>
      <c r="F55" s="22" t="s">
        <v>15127</v>
      </c>
    </row>
    <row r="56" customFormat="false" ht="32.8" hidden="false" customHeight="false" outlineLevel="0" collapsed="false">
      <c r="A56" s="22" t="s">
        <v>67</v>
      </c>
      <c r="B56" s="22" t="s">
        <v>5475</v>
      </c>
      <c r="C56" s="22" t="s">
        <v>5500</v>
      </c>
      <c r="D56" s="22" t="s">
        <v>15120</v>
      </c>
      <c r="E56" s="22" t="s">
        <v>15102</v>
      </c>
      <c r="F56" s="22" t="s">
        <v>15128</v>
      </c>
    </row>
    <row r="57" customFormat="false" ht="15" hidden="false" customHeight="false" outlineLevel="0" collapsed="false">
      <c r="A57" s="22" t="s">
        <v>67</v>
      </c>
      <c r="B57" s="22" t="s">
        <v>5475</v>
      </c>
      <c r="C57" s="22" t="s">
        <v>5500</v>
      </c>
      <c r="D57" s="22" t="s">
        <v>15122</v>
      </c>
      <c r="E57" s="22" t="s">
        <v>15102</v>
      </c>
      <c r="F57" s="22" t="s">
        <v>15129</v>
      </c>
    </row>
    <row r="58" customFormat="false" ht="22.35" hidden="false" customHeight="false" outlineLevel="0" collapsed="false">
      <c r="A58" s="22" t="s">
        <v>67</v>
      </c>
      <c r="B58" s="22" t="s">
        <v>6648</v>
      </c>
      <c r="C58" s="22" t="s">
        <v>6649</v>
      </c>
      <c r="D58" s="22" t="s">
        <v>15130</v>
      </c>
      <c r="E58" s="22" t="s">
        <v>15102</v>
      </c>
      <c r="F58" s="22" t="s">
        <v>15131</v>
      </c>
    </row>
    <row r="59" customFormat="false" ht="32.8" hidden="false" customHeight="false" outlineLevel="0" collapsed="false">
      <c r="A59" s="22" t="s">
        <v>67</v>
      </c>
      <c r="B59" s="22" t="s">
        <v>6648</v>
      </c>
      <c r="C59" s="22" t="s">
        <v>6649</v>
      </c>
      <c r="D59" s="22" t="s">
        <v>15114</v>
      </c>
      <c r="E59" s="22" t="s">
        <v>15102</v>
      </c>
      <c r="F59" s="22" t="s">
        <v>15132</v>
      </c>
    </row>
    <row r="60" customFormat="false" ht="15" hidden="false" customHeight="false" outlineLevel="0" collapsed="false">
      <c r="A60" s="22" t="s">
        <v>67</v>
      </c>
      <c r="B60" s="22" t="s">
        <v>6648</v>
      </c>
      <c r="C60" s="22" t="s">
        <v>6649</v>
      </c>
      <c r="D60" s="22" t="s">
        <v>15133</v>
      </c>
      <c r="E60" s="22" t="s">
        <v>15096</v>
      </c>
      <c r="F60" s="22"/>
    </row>
    <row r="61" customFormat="false" ht="32.8" hidden="false" customHeight="false" outlineLevel="0" collapsed="false">
      <c r="A61" s="22" t="s">
        <v>67</v>
      </c>
      <c r="B61" s="22" t="s">
        <v>6648</v>
      </c>
      <c r="C61" s="22" t="s">
        <v>275</v>
      </c>
      <c r="D61" s="22" t="s">
        <v>15114</v>
      </c>
      <c r="E61" s="22" t="s">
        <v>15102</v>
      </c>
      <c r="F61" s="22" t="s">
        <v>15115</v>
      </c>
    </row>
    <row r="62" customFormat="false" ht="15" hidden="false" customHeight="false" outlineLevel="0" collapsed="false">
      <c r="A62" s="22" t="s">
        <v>67</v>
      </c>
      <c r="B62" s="22" t="s">
        <v>6648</v>
      </c>
      <c r="C62" s="22" t="s">
        <v>275</v>
      </c>
      <c r="D62" s="22" t="s">
        <v>15133</v>
      </c>
      <c r="E62" s="22" t="s">
        <v>15096</v>
      </c>
      <c r="F62" s="22"/>
    </row>
    <row r="63" customFormat="false" ht="15" hidden="false" customHeight="false" outlineLevel="0" collapsed="false">
      <c r="A63" s="22" t="s">
        <v>67</v>
      </c>
      <c r="B63" s="22" t="s">
        <v>6648</v>
      </c>
      <c r="C63" s="22" t="s">
        <v>2414</v>
      </c>
      <c r="D63" s="22" t="s">
        <v>15133</v>
      </c>
      <c r="E63" s="22" t="s">
        <v>15096</v>
      </c>
      <c r="F63" s="22"/>
    </row>
    <row r="64" customFormat="false" ht="22.35" hidden="false" customHeight="false" outlineLevel="0" collapsed="false">
      <c r="A64" s="22" t="s">
        <v>67</v>
      </c>
      <c r="B64" s="22" t="s">
        <v>6648</v>
      </c>
      <c r="C64" s="22" t="s">
        <v>185</v>
      </c>
      <c r="D64" s="22" t="s">
        <v>15130</v>
      </c>
      <c r="E64" s="22" t="s">
        <v>15102</v>
      </c>
      <c r="F64" s="22" t="s">
        <v>15134</v>
      </c>
    </row>
    <row r="65" customFormat="false" ht="22.35" hidden="false" customHeight="false" outlineLevel="0" collapsed="false">
      <c r="A65" s="22" t="s">
        <v>67</v>
      </c>
      <c r="B65" s="22" t="s">
        <v>6648</v>
      </c>
      <c r="C65" s="22" t="s">
        <v>5500</v>
      </c>
      <c r="D65" s="22" t="s">
        <v>15130</v>
      </c>
      <c r="E65" s="22" t="s">
        <v>15102</v>
      </c>
      <c r="F65" s="22" t="s">
        <v>15135</v>
      </c>
    </row>
    <row r="66" customFormat="false" ht="15" hidden="false" customHeight="false" outlineLevel="0" collapsed="false">
      <c r="A66" s="22" t="s">
        <v>67</v>
      </c>
      <c r="B66" s="22" t="s">
        <v>6648</v>
      </c>
      <c r="C66" s="22" t="s">
        <v>5500</v>
      </c>
      <c r="D66" s="22" t="s">
        <v>15133</v>
      </c>
      <c r="E66" s="22" t="s">
        <v>15096</v>
      </c>
      <c r="F66" s="22"/>
    </row>
    <row r="67" customFormat="false" ht="22.35" hidden="false" customHeight="false" outlineLevel="0" collapsed="false">
      <c r="A67" s="22" t="s">
        <v>67</v>
      </c>
      <c r="B67" s="22" t="s">
        <v>6648</v>
      </c>
      <c r="C67" s="22" t="s">
        <v>6693</v>
      </c>
      <c r="D67" s="22" t="s">
        <v>15130</v>
      </c>
      <c r="E67" s="22" t="s">
        <v>15102</v>
      </c>
      <c r="F67" s="22" t="s">
        <v>15136</v>
      </c>
    </row>
    <row r="68" customFormat="false" ht="15" hidden="false" customHeight="false" outlineLevel="0" collapsed="false">
      <c r="A68" s="22" t="s">
        <v>67</v>
      </c>
      <c r="B68" s="22" t="s">
        <v>6648</v>
      </c>
      <c r="C68" s="22" t="s">
        <v>6693</v>
      </c>
      <c r="D68" s="22" t="s">
        <v>15133</v>
      </c>
      <c r="E68" s="22" t="s">
        <v>15096</v>
      </c>
      <c r="F68" s="22"/>
    </row>
    <row r="69" customFormat="false" ht="22.35" hidden="false" customHeight="false" outlineLevel="0" collapsed="false">
      <c r="A69" s="22" t="s">
        <v>67</v>
      </c>
      <c r="B69" s="22" t="s">
        <v>6648</v>
      </c>
      <c r="C69" s="22" t="s">
        <v>6699</v>
      </c>
      <c r="D69" s="22" t="s">
        <v>15130</v>
      </c>
      <c r="E69" s="22" t="s">
        <v>15102</v>
      </c>
      <c r="F69" s="22" t="s">
        <v>15137</v>
      </c>
    </row>
    <row r="70" customFormat="false" ht="15" hidden="false" customHeight="false" outlineLevel="0" collapsed="false">
      <c r="A70" s="22" t="s">
        <v>67</v>
      </c>
      <c r="B70" s="22" t="s">
        <v>6648</v>
      </c>
      <c r="C70" s="22" t="s">
        <v>6699</v>
      </c>
      <c r="D70" s="22" t="s">
        <v>15133</v>
      </c>
      <c r="E70" s="22" t="s">
        <v>15096</v>
      </c>
      <c r="F70" s="22"/>
    </row>
    <row r="71" customFormat="false" ht="32.8" hidden="false" customHeight="false" outlineLevel="0" collapsed="false">
      <c r="A71" s="22" t="s">
        <v>67</v>
      </c>
      <c r="B71" s="22" t="s">
        <v>6704</v>
      </c>
      <c r="C71" s="22" t="s">
        <v>6705</v>
      </c>
      <c r="D71" s="22" t="s">
        <v>15138</v>
      </c>
      <c r="E71" s="22" t="s">
        <v>15102</v>
      </c>
      <c r="F71" s="22" t="s">
        <v>15139</v>
      </c>
    </row>
    <row r="72" customFormat="false" ht="15" hidden="false" customHeight="false" outlineLevel="0" collapsed="false">
      <c r="A72" s="22" t="s">
        <v>67</v>
      </c>
      <c r="B72" s="22" t="s">
        <v>6704</v>
      </c>
      <c r="C72" s="22" t="s">
        <v>185</v>
      </c>
      <c r="D72" s="22" t="s">
        <v>15138</v>
      </c>
      <c r="E72" s="22" t="s">
        <v>15102</v>
      </c>
      <c r="F72" s="22" t="s">
        <v>15140</v>
      </c>
    </row>
    <row r="73" customFormat="false" ht="22.35" hidden="false" customHeight="false" outlineLevel="0" collapsed="false">
      <c r="A73" s="22" t="s">
        <v>67</v>
      </c>
      <c r="B73" s="22" t="s">
        <v>6704</v>
      </c>
      <c r="C73" s="22" t="s">
        <v>185</v>
      </c>
      <c r="D73" s="22" t="s">
        <v>15141</v>
      </c>
      <c r="E73" s="22" t="s">
        <v>15098</v>
      </c>
      <c r="F73" s="22"/>
    </row>
    <row r="74" customFormat="false" ht="32.8" hidden="false" customHeight="false" outlineLevel="0" collapsed="false">
      <c r="A74" s="22" t="s">
        <v>67</v>
      </c>
      <c r="B74" s="22" t="s">
        <v>6812</v>
      </c>
      <c r="C74" s="22" t="s">
        <v>185</v>
      </c>
      <c r="D74" s="22" t="s">
        <v>15142</v>
      </c>
      <c r="E74" s="22" t="s">
        <v>15102</v>
      </c>
      <c r="F74" s="22" t="s">
        <v>15143</v>
      </c>
    </row>
    <row r="75" customFormat="false" ht="22.35" hidden="false" customHeight="false" outlineLevel="0" collapsed="false">
      <c r="A75" s="22" t="s">
        <v>67</v>
      </c>
      <c r="B75" s="22" t="s">
        <v>6812</v>
      </c>
      <c r="C75" s="22" t="s">
        <v>4639</v>
      </c>
      <c r="D75" s="22" t="s">
        <v>15142</v>
      </c>
      <c r="E75" s="22" t="s">
        <v>15102</v>
      </c>
      <c r="F75" s="22" t="s">
        <v>15144</v>
      </c>
    </row>
    <row r="76" customFormat="false" ht="15" hidden="false" customHeight="false" outlineLevel="0" collapsed="false">
      <c r="A76" s="22" t="s">
        <v>67</v>
      </c>
      <c r="B76" s="22" t="s">
        <v>6896</v>
      </c>
      <c r="C76" s="22" t="s">
        <v>4269</v>
      </c>
      <c r="D76" s="22" t="s">
        <v>15099</v>
      </c>
      <c r="E76" s="22" t="s">
        <v>15096</v>
      </c>
      <c r="F76" s="22"/>
    </row>
    <row r="77" customFormat="false" ht="15" hidden="false" customHeight="false" outlineLevel="0" collapsed="false">
      <c r="A77" s="22" t="s">
        <v>67</v>
      </c>
      <c r="B77" s="22" t="s">
        <v>6896</v>
      </c>
      <c r="C77" s="22" t="s">
        <v>4269</v>
      </c>
      <c r="D77" s="22" t="s">
        <v>15100</v>
      </c>
      <c r="E77" s="22" t="s">
        <v>15096</v>
      </c>
      <c r="F77" s="22"/>
    </row>
    <row r="78" customFormat="false" ht="15" hidden="false" customHeight="false" outlineLevel="0" collapsed="false">
      <c r="A78" s="22" t="s">
        <v>67</v>
      </c>
      <c r="B78" s="22" t="s">
        <v>6896</v>
      </c>
      <c r="C78" s="22" t="s">
        <v>6901</v>
      </c>
      <c r="D78" s="22" t="s">
        <v>15099</v>
      </c>
      <c r="E78" s="22" t="s">
        <v>15096</v>
      </c>
      <c r="F78" s="22"/>
    </row>
    <row r="79" customFormat="false" ht="15" hidden="false" customHeight="false" outlineLevel="0" collapsed="false">
      <c r="A79" s="22" t="s">
        <v>67</v>
      </c>
      <c r="B79" s="22" t="s">
        <v>6896</v>
      </c>
      <c r="C79" s="22" t="s">
        <v>6907</v>
      </c>
      <c r="D79" s="22" t="s">
        <v>15099</v>
      </c>
      <c r="E79" s="22" t="s">
        <v>15096</v>
      </c>
      <c r="F79" s="22"/>
    </row>
    <row r="80" customFormat="false" ht="15" hidden="false" customHeight="false" outlineLevel="0" collapsed="false">
      <c r="A80" s="22" t="s">
        <v>67</v>
      </c>
      <c r="B80" s="22" t="s">
        <v>6896</v>
      </c>
      <c r="C80" s="22" t="s">
        <v>886</v>
      </c>
      <c r="D80" s="22" t="s">
        <v>15099</v>
      </c>
      <c r="E80" s="22" t="s">
        <v>15096</v>
      </c>
      <c r="F80" s="22"/>
    </row>
    <row r="81" customFormat="false" ht="15" hidden="false" customHeight="false" outlineLevel="0" collapsed="false">
      <c r="A81" s="22" t="s">
        <v>67</v>
      </c>
      <c r="B81" s="22" t="s">
        <v>6896</v>
      </c>
      <c r="C81" s="22" t="s">
        <v>172</v>
      </c>
      <c r="D81" s="22" t="s">
        <v>15099</v>
      </c>
      <c r="E81" s="22" t="s">
        <v>15096</v>
      </c>
      <c r="F81" s="22"/>
    </row>
    <row r="82" customFormat="false" ht="15" hidden="false" customHeight="false" outlineLevel="0" collapsed="false">
      <c r="A82" s="22" t="s">
        <v>67</v>
      </c>
      <c r="B82" s="22" t="s">
        <v>6896</v>
      </c>
      <c r="C82" s="22" t="s">
        <v>172</v>
      </c>
      <c r="D82" s="22" t="s">
        <v>15100</v>
      </c>
      <c r="E82" s="22" t="s">
        <v>15096</v>
      </c>
      <c r="F82" s="22"/>
    </row>
    <row r="83" customFormat="false" ht="15" hidden="false" customHeight="false" outlineLevel="0" collapsed="false">
      <c r="A83" s="22" t="s">
        <v>67</v>
      </c>
      <c r="B83" s="22" t="s">
        <v>6916</v>
      </c>
      <c r="C83" s="22" t="s">
        <v>611</v>
      </c>
      <c r="D83" s="22" t="s">
        <v>15145</v>
      </c>
      <c r="E83" s="22" t="s">
        <v>15096</v>
      </c>
      <c r="F83" s="22"/>
    </row>
    <row r="84" customFormat="false" ht="15" hidden="false" customHeight="false" outlineLevel="0" collapsed="false">
      <c r="A84" s="22" t="s">
        <v>67</v>
      </c>
      <c r="B84" s="22" t="s">
        <v>6916</v>
      </c>
      <c r="C84" s="22" t="s">
        <v>611</v>
      </c>
      <c r="D84" s="22" t="s">
        <v>15100</v>
      </c>
      <c r="E84" s="22" t="s">
        <v>15096</v>
      </c>
      <c r="F84" s="22"/>
    </row>
    <row r="85" customFormat="false" ht="32.8" hidden="false" customHeight="false" outlineLevel="0" collapsed="false">
      <c r="A85" s="22" t="s">
        <v>67</v>
      </c>
      <c r="B85" s="22" t="s">
        <v>6916</v>
      </c>
      <c r="C85" s="22" t="s">
        <v>275</v>
      </c>
      <c r="D85" s="22" t="s">
        <v>15114</v>
      </c>
      <c r="E85" s="22" t="s">
        <v>15102</v>
      </c>
      <c r="F85" s="22" t="s">
        <v>15115</v>
      </c>
    </row>
    <row r="86" customFormat="false" ht="15" hidden="false" customHeight="false" outlineLevel="0" collapsed="false">
      <c r="A86" s="22" t="s">
        <v>67</v>
      </c>
      <c r="B86" s="22" t="s">
        <v>6916</v>
      </c>
      <c r="C86" s="22" t="s">
        <v>275</v>
      </c>
      <c r="D86" s="22" t="s">
        <v>15099</v>
      </c>
      <c r="E86" s="22" t="s">
        <v>15096</v>
      </c>
      <c r="F86" s="22"/>
    </row>
    <row r="87" customFormat="false" ht="15" hidden="false" customHeight="false" outlineLevel="0" collapsed="false">
      <c r="A87" s="22" t="s">
        <v>67</v>
      </c>
      <c r="B87" s="22" t="s">
        <v>6916</v>
      </c>
      <c r="C87" s="22" t="s">
        <v>275</v>
      </c>
      <c r="D87" s="22" t="s">
        <v>15145</v>
      </c>
      <c r="E87" s="22" t="s">
        <v>15096</v>
      </c>
      <c r="F87" s="22"/>
    </row>
    <row r="88" customFormat="false" ht="15" hidden="false" customHeight="false" outlineLevel="0" collapsed="false">
      <c r="A88" s="22" t="s">
        <v>67</v>
      </c>
      <c r="B88" s="22" t="s">
        <v>6916</v>
      </c>
      <c r="C88" s="22" t="s">
        <v>275</v>
      </c>
      <c r="D88" s="22" t="s">
        <v>15100</v>
      </c>
      <c r="E88" s="22" t="s">
        <v>15096</v>
      </c>
      <c r="F88" s="22"/>
    </row>
    <row r="89" customFormat="false" ht="15" hidden="false" customHeight="false" outlineLevel="0" collapsed="false">
      <c r="A89" s="22" t="s">
        <v>67</v>
      </c>
      <c r="B89" s="22" t="s">
        <v>6916</v>
      </c>
      <c r="C89" s="22" t="s">
        <v>275</v>
      </c>
      <c r="D89" s="22" t="s">
        <v>15133</v>
      </c>
      <c r="E89" s="22" t="s">
        <v>15096</v>
      </c>
      <c r="F89" s="22"/>
    </row>
    <row r="90" customFormat="false" ht="22.35" hidden="false" customHeight="false" outlineLevel="0" collapsed="false">
      <c r="A90" s="22" t="s">
        <v>67</v>
      </c>
      <c r="B90" s="22" t="s">
        <v>6916</v>
      </c>
      <c r="C90" s="22" t="s">
        <v>127</v>
      </c>
      <c r="D90" s="22" t="s">
        <v>15110</v>
      </c>
      <c r="E90" s="22" t="s">
        <v>15102</v>
      </c>
      <c r="F90" s="22" t="s">
        <v>15111</v>
      </c>
    </row>
    <row r="91" customFormat="false" ht="22.35" hidden="false" customHeight="false" outlineLevel="0" collapsed="false">
      <c r="A91" s="22" t="s">
        <v>67</v>
      </c>
      <c r="B91" s="22" t="s">
        <v>6916</v>
      </c>
      <c r="C91" s="22" t="s">
        <v>127</v>
      </c>
      <c r="D91" s="22" t="s">
        <v>15146</v>
      </c>
      <c r="E91" s="22" t="s">
        <v>15102</v>
      </c>
      <c r="F91" s="22" t="s">
        <v>15147</v>
      </c>
    </row>
    <row r="92" customFormat="false" ht="15" hidden="false" customHeight="false" outlineLevel="0" collapsed="false">
      <c r="A92" s="22" t="s">
        <v>67</v>
      </c>
      <c r="B92" s="22" t="s">
        <v>6916</v>
      </c>
      <c r="C92" s="22" t="s">
        <v>127</v>
      </c>
      <c r="D92" s="22" t="s">
        <v>15145</v>
      </c>
      <c r="E92" s="22" t="s">
        <v>15096</v>
      </c>
      <c r="F92" s="22"/>
    </row>
    <row r="93" customFormat="false" ht="15" hidden="false" customHeight="false" outlineLevel="0" collapsed="false">
      <c r="A93" s="22" t="s">
        <v>67</v>
      </c>
      <c r="B93" s="22" t="s">
        <v>6916</v>
      </c>
      <c r="C93" s="22" t="s">
        <v>127</v>
      </c>
      <c r="D93" s="22" t="s">
        <v>15100</v>
      </c>
      <c r="E93" s="22" t="s">
        <v>15096</v>
      </c>
      <c r="F93" s="22"/>
    </row>
    <row r="94" customFormat="false" ht="15" hidden="false" customHeight="false" outlineLevel="0" collapsed="false">
      <c r="A94" s="22" t="s">
        <v>67</v>
      </c>
      <c r="B94" s="22" t="s">
        <v>6916</v>
      </c>
      <c r="C94" s="22" t="s">
        <v>127</v>
      </c>
      <c r="D94" s="22" t="s">
        <v>15148</v>
      </c>
      <c r="E94" s="22" t="s">
        <v>15096</v>
      </c>
      <c r="F94" s="22"/>
    </row>
    <row r="95" customFormat="false" ht="15" hidden="false" customHeight="false" outlineLevel="0" collapsed="false">
      <c r="A95" s="22" t="s">
        <v>67</v>
      </c>
      <c r="B95" s="22" t="s">
        <v>6916</v>
      </c>
      <c r="C95" s="22" t="s">
        <v>5413</v>
      </c>
      <c r="D95" s="22" t="s">
        <v>15100</v>
      </c>
      <c r="E95" s="22" t="s">
        <v>15096</v>
      </c>
      <c r="F95" s="22"/>
    </row>
    <row r="96" customFormat="false" ht="15" hidden="false" customHeight="false" outlineLevel="0" collapsed="false">
      <c r="A96" s="22" t="s">
        <v>67</v>
      </c>
      <c r="B96" s="22" t="s">
        <v>6916</v>
      </c>
      <c r="C96" s="22" t="s">
        <v>6939</v>
      </c>
      <c r="D96" s="22" t="s">
        <v>15145</v>
      </c>
      <c r="E96" s="22" t="s">
        <v>15096</v>
      </c>
      <c r="F96" s="22"/>
    </row>
    <row r="97" customFormat="false" ht="15" hidden="false" customHeight="false" outlineLevel="0" collapsed="false">
      <c r="A97" s="22" t="s">
        <v>67</v>
      </c>
      <c r="B97" s="22" t="s">
        <v>6916</v>
      </c>
      <c r="C97" s="22" t="s">
        <v>6939</v>
      </c>
      <c r="D97" s="22" t="s">
        <v>15100</v>
      </c>
      <c r="E97" s="22" t="s">
        <v>15096</v>
      </c>
      <c r="F97" s="22"/>
    </row>
    <row r="98" customFormat="false" ht="15" hidden="false" customHeight="false" outlineLevel="0" collapsed="false">
      <c r="A98" s="22" t="s">
        <v>67</v>
      </c>
      <c r="B98" s="22" t="s">
        <v>6916</v>
      </c>
      <c r="C98" s="22" t="s">
        <v>6939</v>
      </c>
      <c r="D98" s="22" t="s">
        <v>15119</v>
      </c>
      <c r="E98" s="22" t="s">
        <v>15096</v>
      </c>
      <c r="F98" s="22"/>
    </row>
    <row r="99" customFormat="false" ht="15" hidden="false" customHeight="false" outlineLevel="0" collapsed="false">
      <c r="A99" s="22" t="s">
        <v>67</v>
      </c>
      <c r="B99" s="22" t="s">
        <v>6916</v>
      </c>
      <c r="C99" s="22" t="s">
        <v>4777</v>
      </c>
      <c r="D99" s="22" t="s">
        <v>15100</v>
      </c>
      <c r="E99" s="22" t="s">
        <v>15096</v>
      </c>
      <c r="F99" s="22"/>
    </row>
    <row r="100" customFormat="false" ht="15" hidden="false" customHeight="false" outlineLevel="0" collapsed="false">
      <c r="A100" s="22" t="s">
        <v>67</v>
      </c>
      <c r="B100" s="22" t="s">
        <v>6916</v>
      </c>
      <c r="C100" s="22" t="s">
        <v>5433</v>
      </c>
      <c r="D100" s="22" t="s">
        <v>15145</v>
      </c>
      <c r="E100" s="22" t="s">
        <v>15096</v>
      </c>
      <c r="F100" s="22"/>
    </row>
    <row r="101" customFormat="false" ht="15" hidden="false" customHeight="false" outlineLevel="0" collapsed="false">
      <c r="A101" s="22" t="s">
        <v>67</v>
      </c>
      <c r="B101" s="22" t="s">
        <v>6916</v>
      </c>
      <c r="C101" s="22" t="s">
        <v>5433</v>
      </c>
      <c r="D101" s="22" t="s">
        <v>15100</v>
      </c>
      <c r="E101" s="22" t="s">
        <v>15096</v>
      </c>
      <c r="F101" s="22"/>
    </row>
    <row r="102" customFormat="false" ht="15" hidden="false" customHeight="false" outlineLevel="0" collapsed="false">
      <c r="A102" s="22" t="s">
        <v>67</v>
      </c>
      <c r="B102" s="22" t="s">
        <v>6916</v>
      </c>
      <c r="C102" s="22" t="s">
        <v>5433</v>
      </c>
      <c r="D102" s="22" t="s">
        <v>15119</v>
      </c>
      <c r="E102" s="22" t="s">
        <v>15096</v>
      </c>
      <c r="F102" s="22"/>
    </row>
    <row r="103" customFormat="false" ht="15" hidden="false" customHeight="false" outlineLevel="0" collapsed="false">
      <c r="A103" s="22" t="s">
        <v>67</v>
      </c>
      <c r="B103" s="22" t="s">
        <v>6916</v>
      </c>
      <c r="C103" s="22" t="s">
        <v>6953</v>
      </c>
      <c r="D103" s="22" t="s">
        <v>15100</v>
      </c>
      <c r="E103" s="22" t="s">
        <v>15096</v>
      </c>
      <c r="F103" s="22"/>
    </row>
    <row r="104" customFormat="false" ht="15" hidden="false" customHeight="false" outlineLevel="0" collapsed="false">
      <c r="A104" s="22" t="s">
        <v>67</v>
      </c>
      <c r="B104" s="22" t="s">
        <v>6916</v>
      </c>
      <c r="C104" s="22" t="s">
        <v>6953</v>
      </c>
      <c r="D104" s="22" t="s">
        <v>15119</v>
      </c>
      <c r="E104" s="22" t="s">
        <v>15096</v>
      </c>
      <c r="F104" s="22"/>
    </row>
    <row r="105" customFormat="false" ht="15" hidden="false" customHeight="false" outlineLevel="0" collapsed="false">
      <c r="A105" s="22" t="s">
        <v>67</v>
      </c>
      <c r="B105" s="22" t="s">
        <v>6916</v>
      </c>
      <c r="C105" s="22" t="s">
        <v>6960</v>
      </c>
      <c r="D105" s="22" t="s">
        <v>15100</v>
      </c>
      <c r="E105" s="22" t="s">
        <v>15096</v>
      </c>
      <c r="F105" s="22"/>
    </row>
    <row r="106" customFormat="false" ht="15" hidden="false" customHeight="false" outlineLevel="0" collapsed="false">
      <c r="A106" s="22" t="s">
        <v>67</v>
      </c>
      <c r="B106" s="22" t="s">
        <v>6916</v>
      </c>
      <c r="C106" s="22" t="s">
        <v>6967</v>
      </c>
      <c r="D106" s="22" t="s">
        <v>15100</v>
      </c>
      <c r="E106" s="22" t="s">
        <v>15096</v>
      </c>
      <c r="F106" s="22"/>
    </row>
    <row r="107" customFormat="false" ht="15" hidden="false" customHeight="false" outlineLevel="0" collapsed="false">
      <c r="A107" s="22" t="s">
        <v>67</v>
      </c>
      <c r="B107" s="22" t="s">
        <v>6916</v>
      </c>
      <c r="C107" s="22" t="s">
        <v>6974</v>
      </c>
      <c r="D107" s="22" t="s">
        <v>15100</v>
      </c>
      <c r="E107" s="22" t="s">
        <v>15096</v>
      </c>
      <c r="F107" s="22"/>
    </row>
    <row r="108" customFormat="false" ht="15" hidden="false" customHeight="false" outlineLevel="0" collapsed="false">
      <c r="A108" s="22" t="s">
        <v>67</v>
      </c>
      <c r="B108" s="22" t="s">
        <v>6916</v>
      </c>
      <c r="C108" s="22" t="s">
        <v>727</v>
      </c>
      <c r="D108" s="22" t="s">
        <v>15100</v>
      </c>
      <c r="E108" s="22" t="s">
        <v>15096</v>
      </c>
      <c r="F108" s="22"/>
    </row>
    <row r="109" customFormat="false" ht="15" hidden="false" customHeight="false" outlineLevel="0" collapsed="false">
      <c r="A109" s="22" t="s">
        <v>67</v>
      </c>
      <c r="B109" s="22" t="s">
        <v>6916</v>
      </c>
      <c r="C109" s="22" t="s">
        <v>6988</v>
      </c>
      <c r="D109" s="22" t="s">
        <v>15100</v>
      </c>
      <c r="E109" s="22" t="s">
        <v>15096</v>
      </c>
      <c r="F109" s="22"/>
    </row>
    <row r="110" customFormat="false" ht="15" hidden="false" customHeight="false" outlineLevel="0" collapsed="false">
      <c r="A110" s="22" t="s">
        <v>67</v>
      </c>
      <c r="B110" s="22" t="s">
        <v>6916</v>
      </c>
      <c r="C110" s="22" t="s">
        <v>6993</v>
      </c>
      <c r="D110" s="22" t="s">
        <v>15100</v>
      </c>
      <c r="E110" s="22" t="s">
        <v>15096</v>
      </c>
      <c r="F110" s="22"/>
    </row>
    <row r="111" customFormat="false" ht="15" hidden="false" customHeight="false" outlineLevel="0" collapsed="false">
      <c r="A111" s="22" t="s">
        <v>67</v>
      </c>
      <c r="B111" s="22" t="s">
        <v>6916</v>
      </c>
      <c r="C111" s="22" t="s">
        <v>6997</v>
      </c>
      <c r="D111" s="22" t="s">
        <v>15100</v>
      </c>
      <c r="E111" s="22" t="s">
        <v>15096</v>
      </c>
      <c r="F111" s="22"/>
    </row>
    <row r="112" customFormat="false" ht="15" hidden="false" customHeight="false" outlineLevel="0" collapsed="false">
      <c r="A112" s="22" t="s">
        <v>67</v>
      </c>
      <c r="B112" s="22" t="s">
        <v>6916</v>
      </c>
      <c r="C112" s="22" t="s">
        <v>7001</v>
      </c>
      <c r="D112" s="22" t="s">
        <v>15100</v>
      </c>
      <c r="E112" s="22" t="s">
        <v>15096</v>
      </c>
      <c r="F112" s="22"/>
    </row>
    <row r="113" customFormat="false" ht="15" hidden="false" customHeight="false" outlineLevel="0" collapsed="false">
      <c r="A113" s="22" t="s">
        <v>67</v>
      </c>
      <c r="B113" s="22" t="s">
        <v>6916</v>
      </c>
      <c r="C113" s="22" t="s">
        <v>7005</v>
      </c>
      <c r="D113" s="22" t="s">
        <v>15100</v>
      </c>
      <c r="E113" s="22" t="s">
        <v>15096</v>
      </c>
      <c r="F113" s="22"/>
    </row>
    <row r="114" customFormat="false" ht="22.35" hidden="false" customHeight="false" outlineLevel="0" collapsed="false">
      <c r="A114" s="22" t="s">
        <v>67</v>
      </c>
      <c r="B114" s="22" t="s">
        <v>6916</v>
      </c>
      <c r="C114" s="22" t="s">
        <v>7027</v>
      </c>
      <c r="D114" s="22" t="s">
        <v>15146</v>
      </c>
      <c r="E114" s="22" t="s">
        <v>15102</v>
      </c>
      <c r="F114" s="22" t="s">
        <v>15149</v>
      </c>
    </row>
    <row r="115" customFormat="false" ht="15" hidden="false" customHeight="false" outlineLevel="0" collapsed="false">
      <c r="A115" s="22" t="s">
        <v>67</v>
      </c>
      <c r="B115" s="22" t="s">
        <v>6916</v>
      </c>
      <c r="C115" s="22" t="s">
        <v>7027</v>
      </c>
      <c r="D115" s="22" t="s">
        <v>15150</v>
      </c>
      <c r="E115" s="22" t="s">
        <v>15102</v>
      </c>
      <c r="F115" s="22" t="s">
        <v>15151</v>
      </c>
    </row>
    <row r="116" customFormat="false" ht="22.35" hidden="false" customHeight="false" outlineLevel="0" collapsed="false">
      <c r="A116" s="22" t="s">
        <v>67</v>
      </c>
      <c r="B116" s="22" t="s">
        <v>6916</v>
      </c>
      <c r="C116" s="22" t="s">
        <v>7027</v>
      </c>
      <c r="D116" s="22" t="s">
        <v>15152</v>
      </c>
      <c r="E116" s="22" t="s">
        <v>15098</v>
      </c>
      <c r="F116" s="22"/>
    </row>
    <row r="117" customFormat="false" ht="15" hidden="false" customHeight="false" outlineLevel="0" collapsed="false">
      <c r="A117" s="22" t="s">
        <v>67</v>
      </c>
      <c r="B117" s="22" t="s">
        <v>6916</v>
      </c>
      <c r="C117" s="22" t="s">
        <v>7027</v>
      </c>
      <c r="D117" s="22" t="s">
        <v>15099</v>
      </c>
      <c r="E117" s="22" t="s">
        <v>15096</v>
      </c>
      <c r="F117" s="22"/>
    </row>
    <row r="118" customFormat="false" ht="15" hidden="false" customHeight="false" outlineLevel="0" collapsed="false">
      <c r="A118" s="22" t="s">
        <v>67</v>
      </c>
      <c r="B118" s="22" t="s">
        <v>6916</v>
      </c>
      <c r="C118" s="22" t="s">
        <v>7027</v>
      </c>
      <c r="D118" s="22" t="s">
        <v>15145</v>
      </c>
      <c r="E118" s="22" t="s">
        <v>15096</v>
      </c>
      <c r="F118" s="22"/>
    </row>
    <row r="119" customFormat="false" ht="15" hidden="false" customHeight="false" outlineLevel="0" collapsed="false">
      <c r="A119" s="22" t="s">
        <v>67</v>
      </c>
      <c r="B119" s="22" t="s">
        <v>6916</v>
      </c>
      <c r="C119" s="22" t="s">
        <v>7027</v>
      </c>
      <c r="D119" s="22" t="s">
        <v>15133</v>
      </c>
      <c r="E119" s="22" t="s">
        <v>15096</v>
      </c>
      <c r="F119" s="22"/>
    </row>
    <row r="120" customFormat="false" ht="15" hidden="false" customHeight="false" outlineLevel="0" collapsed="false">
      <c r="A120" s="22" t="s">
        <v>67</v>
      </c>
      <c r="B120" s="22" t="s">
        <v>6916</v>
      </c>
      <c r="C120" s="22" t="s">
        <v>7027</v>
      </c>
      <c r="D120" s="22" t="s">
        <v>15148</v>
      </c>
      <c r="E120" s="22" t="s">
        <v>15096</v>
      </c>
      <c r="F120" s="22"/>
    </row>
    <row r="121" customFormat="false" ht="15" hidden="false" customHeight="false" outlineLevel="0" collapsed="false">
      <c r="A121" s="22" t="s">
        <v>67</v>
      </c>
      <c r="B121" s="22" t="s">
        <v>6916</v>
      </c>
      <c r="C121" s="22" t="s">
        <v>7044</v>
      </c>
      <c r="D121" s="22" t="s">
        <v>15100</v>
      </c>
      <c r="E121" s="22" t="s">
        <v>15096</v>
      </c>
      <c r="F121" s="22"/>
    </row>
    <row r="122" customFormat="false" ht="15" hidden="false" customHeight="false" outlineLevel="0" collapsed="false">
      <c r="A122" s="22" t="s">
        <v>67</v>
      </c>
      <c r="B122" s="22" t="s">
        <v>6916</v>
      </c>
      <c r="C122" s="22" t="s">
        <v>5293</v>
      </c>
      <c r="D122" s="22" t="s">
        <v>15100</v>
      </c>
      <c r="E122" s="22" t="s">
        <v>15096</v>
      </c>
      <c r="F122" s="22"/>
    </row>
    <row r="123" customFormat="false" ht="15" hidden="false" customHeight="false" outlineLevel="0" collapsed="false">
      <c r="A123" s="22" t="s">
        <v>67</v>
      </c>
      <c r="B123" s="22" t="s">
        <v>6916</v>
      </c>
      <c r="C123" s="22" t="s">
        <v>7055</v>
      </c>
      <c r="D123" s="22" t="s">
        <v>15100</v>
      </c>
      <c r="E123" s="22" t="s">
        <v>15096</v>
      </c>
      <c r="F123" s="22"/>
    </row>
    <row r="124" customFormat="false" ht="15" hidden="false" customHeight="false" outlineLevel="0" collapsed="false">
      <c r="A124" s="22" t="s">
        <v>67</v>
      </c>
      <c r="B124" s="22" t="s">
        <v>6916</v>
      </c>
      <c r="C124" s="22" t="s">
        <v>7060</v>
      </c>
      <c r="D124" s="22" t="s">
        <v>15100</v>
      </c>
      <c r="E124" s="22" t="s">
        <v>15096</v>
      </c>
      <c r="F124" s="22"/>
    </row>
    <row r="125" customFormat="false" ht="22.35" hidden="false" customHeight="false" outlineLevel="0" collapsed="false">
      <c r="A125" s="22" t="s">
        <v>67</v>
      </c>
      <c r="B125" s="22" t="s">
        <v>6916</v>
      </c>
      <c r="C125" s="22" t="s">
        <v>7066</v>
      </c>
      <c r="D125" s="22" t="s">
        <v>15110</v>
      </c>
      <c r="E125" s="22" t="s">
        <v>15102</v>
      </c>
      <c r="F125" s="22" t="s">
        <v>15153</v>
      </c>
    </row>
    <row r="126" customFormat="false" ht="15" hidden="false" customHeight="false" outlineLevel="0" collapsed="false">
      <c r="A126" s="22" t="s">
        <v>67</v>
      </c>
      <c r="B126" s="22" t="s">
        <v>6916</v>
      </c>
      <c r="C126" s="22" t="s">
        <v>7066</v>
      </c>
      <c r="D126" s="22" t="s">
        <v>15100</v>
      </c>
      <c r="E126" s="22" t="s">
        <v>15096</v>
      </c>
      <c r="F126" s="22"/>
    </row>
    <row r="127" customFormat="false" ht="22.35" hidden="false" customHeight="false" outlineLevel="0" collapsed="false">
      <c r="A127" s="22" t="s">
        <v>67</v>
      </c>
      <c r="B127" s="22" t="s">
        <v>6916</v>
      </c>
      <c r="C127" s="22" t="s">
        <v>7072</v>
      </c>
      <c r="D127" s="22" t="s">
        <v>15110</v>
      </c>
      <c r="E127" s="22" t="s">
        <v>15102</v>
      </c>
      <c r="F127" s="22" t="s">
        <v>15154</v>
      </c>
    </row>
    <row r="128" customFormat="false" ht="15" hidden="false" customHeight="false" outlineLevel="0" collapsed="false">
      <c r="A128" s="22" t="s">
        <v>67</v>
      </c>
      <c r="B128" s="22" t="s">
        <v>6916</v>
      </c>
      <c r="C128" s="22" t="s">
        <v>7072</v>
      </c>
      <c r="D128" s="22" t="s">
        <v>15100</v>
      </c>
      <c r="E128" s="22" t="s">
        <v>15096</v>
      </c>
      <c r="F128" s="22"/>
    </row>
    <row r="129" customFormat="false" ht="15" hidden="false" customHeight="false" outlineLevel="0" collapsed="false">
      <c r="A129" s="22" t="s">
        <v>67</v>
      </c>
      <c r="B129" s="22" t="s">
        <v>6916</v>
      </c>
      <c r="C129" s="22" t="s">
        <v>7077</v>
      </c>
      <c r="D129" s="22" t="s">
        <v>15100</v>
      </c>
      <c r="E129" s="22" t="s">
        <v>15096</v>
      </c>
      <c r="F129" s="22"/>
    </row>
    <row r="130" customFormat="false" ht="15" hidden="false" customHeight="false" outlineLevel="0" collapsed="false">
      <c r="A130" s="22" t="s">
        <v>67</v>
      </c>
      <c r="B130" s="22" t="s">
        <v>6916</v>
      </c>
      <c r="C130" s="22" t="s">
        <v>7082</v>
      </c>
      <c r="D130" s="22" t="s">
        <v>15138</v>
      </c>
      <c r="E130" s="22" t="s">
        <v>15102</v>
      </c>
      <c r="F130" s="22" t="s">
        <v>15155</v>
      </c>
    </row>
    <row r="131" customFormat="false" ht="15" hidden="false" customHeight="false" outlineLevel="0" collapsed="false">
      <c r="A131" s="22" t="s">
        <v>67</v>
      </c>
      <c r="B131" s="22" t="s">
        <v>6916</v>
      </c>
      <c r="C131" s="22" t="s">
        <v>7082</v>
      </c>
      <c r="D131" s="22" t="s">
        <v>15100</v>
      </c>
      <c r="E131" s="22" t="s">
        <v>15096</v>
      </c>
      <c r="F131" s="22"/>
    </row>
    <row r="132" customFormat="false" ht="15" hidden="false" customHeight="false" outlineLevel="0" collapsed="false">
      <c r="A132" s="22" t="s">
        <v>67</v>
      </c>
      <c r="B132" s="22" t="s">
        <v>6916</v>
      </c>
      <c r="C132" s="22" t="s">
        <v>7088</v>
      </c>
      <c r="D132" s="22" t="s">
        <v>15138</v>
      </c>
      <c r="E132" s="22" t="s">
        <v>15102</v>
      </c>
      <c r="F132" s="22" t="s">
        <v>15156</v>
      </c>
    </row>
    <row r="133" customFormat="false" ht="15" hidden="false" customHeight="false" outlineLevel="0" collapsed="false">
      <c r="A133" s="22" t="s">
        <v>67</v>
      </c>
      <c r="B133" s="22" t="s">
        <v>6916</v>
      </c>
      <c r="C133" s="22" t="s">
        <v>7088</v>
      </c>
      <c r="D133" s="22" t="s">
        <v>15100</v>
      </c>
      <c r="E133" s="22" t="s">
        <v>15096</v>
      </c>
      <c r="F133" s="22"/>
    </row>
    <row r="134" customFormat="false" ht="15" hidden="false" customHeight="false" outlineLevel="0" collapsed="false">
      <c r="A134" s="22" t="s">
        <v>67</v>
      </c>
      <c r="B134" s="22" t="s">
        <v>7105</v>
      </c>
      <c r="C134" s="22" t="s">
        <v>7106</v>
      </c>
      <c r="D134" s="22" t="s">
        <v>15100</v>
      </c>
      <c r="E134" s="22" t="s">
        <v>15096</v>
      </c>
      <c r="F134" s="22"/>
    </row>
    <row r="135" customFormat="false" ht="15" hidden="false" customHeight="false" outlineLevel="0" collapsed="false">
      <c r="A135" s="22" t="s">
        <v>67</v>
      </c>
      <c r="B135" s="22" t="s">
        <v>7105</v>
      </c>
      <c r="C135" s="22" t="s">
        <v>6829</v>
      </c>
      <c r="D135" s="22" t="s">
        <v>15100</v>
      </c>
      <c r="E135" s="22" t="s">
        <v>15096</v>
      </c>
      <c r="F135" s="22"/>
    </row>
    <row r="136" customFormat="false" ht="15" hidden="false" customHeight="false" outlineLevel="0" collapsed="false">
      <c r="A136" s="22" t="s">
        <v>67</v>
      </c>
      <c r="B136" s="22" t="s">
        <v>7105</v>
      </c>
      <c r="C136" s="22" t="s">
        <v>3183</v>
      </c>
      <c r="D136" s="22" t="s">
        <v>15100</v>
      </c>
      <c r="E136" s="22" t="s">
        <v>15096</v>
      </c>
      <c r="F136" s="22"/>
    </row>
    <row r="137" customFormat="false" ht="15" hidden="false" customHeight="false" outlineLevel="0" collapsed="false">
      <c r="A137" s="22" t="s">
        <v>67</v>
      </c>
      <c r="B137" s="22" t="s">
        <v>7264</v>
      </c>
      <c r="C137" s="22" t="s">
        <v>275</v>
      </c>
      <c r="D137" s="22" t="s">
        <v>15100</v>
      </c>
      <c r="E137" s="22" t="s">
        <v>15096</v>
      </c>
      <c r="F137" s="22"/>
    </row>
    <row r="138" customFormat="false" ht="15" hidden="false" customHeight="false" outlineLevel="0" collapsed="false">
      <c r="A138" s="22" t="s">
        <v>67</v>
      </c>
      <c r="B138" s="22" t="s">
        <v>7264</v>
      </c>
      <c r="C138" s="22" t="s">
        <v>7269</v>
      </c>
      <c r="D138" s="22" t="s">
        <v>15100</v>
      </c>
      <c r="E138" s="22" t="s">
        <v>15096</v>
      </c>
      <c r="F138" s="22"/>
    </row>
    <row r="139" customFormat="false" ht="15" hidden="false" customHeight="false" outlineLevel="0" collapsed="false">
      <c r="A139" s="22" t="s">
        <v>67</v>
      </c>
      <c r="B139" s="22" t="s">
        <v>7264</v>
      </c>
      <c r="C139" s="22" t="s">
        <v>7274</v>
      </c>
      <c r="D139" s="22" t="s">
        <v>15100</v>
      </c>
      <c r="E139" s="22" t="s">
        <v>15096</v>
      </c>
      <c r="F139" s="22"/>
    </row>
    <row r="140" customFormat="false" ht="22.35" hidden="false" customHeight="false" outlineLevel="0" collapsed="false">
      <c r="A140" s="22" t="s">
        <v>67</v>
      </c>
      <c r="B140" s="22" t="s">
        <v>7461</v>
      </c>
      <c r="C140" s="22" t="s">
        <v>275</v>
      </c>
      <c r="D140" s="22" t="s">
        <v>15108</v>
      </c>
      <c r="E140" s="22" t="s">
        <v>15102</v>
      </c>
      <c r="F140" s="22" t="s">
        <v>15109</v>
      </c>
    </row>
    <row r="141" customFormat="false" ht="32.8" hidden="false" customHeight="false" outlineLevel="0" collapsed="false">
      <c r="A141" s="22" t="s">
        <v>67</v>
      </c>
      <c r="B141" s="22" t="s">
        <v>7461</v>
      </c>
      <c r="C141" s="22" t="s">
        <v>896</v>
      </c>
      <c r="D141" s="22" t="s">
        <v>15110</v>
      </c>
      <c r="E141" s="22" t="s">
        <v>15102</v>
      </c>
      <c r="F141" s="22" t="s">
        <v>15157</v>
      </c>
    </row>
    <row r="142" customFormat="false" ht="22.35" hidden="false" customHeight="false" outlineLevel="0" collapsed="false">
      <c r="A142" s="22" t="s">
        <v>67</v>
      </c>
      <c r="B142" s="22" t="s">
        <v>7461</v>
      </c>
      <c r="C142" s="22" t="s">
        <v>896</v>
      </c>
      <c r="D142" s="22" t="s">
        <v>15158</v>
      </c>
      <c r="E142" s="22" t="s">
        <v>15098</v>
      </c>
      <c r="F142" s="22"/>
    </row>
    <row r="143" customFormat="false" ht="15" hidden="false" customHeight="false" outlineLevel="0" collapsed="false">
      <c r="A143" s="22" t="s">
        <v>67</v>
      </c>
      <c r="B143" s="22" t="s">
        <v>7192</v>
      </c>
      <c r="C143" s="22" t="s">
        <v>172</v>
      </c>
      <c r="D143" s="22" t="s">
        <v>15099</v>
      </c>
      <c r="E143" s="22" t="s">
        <v>15096</v>
      </c>
      <c r="F143" s="22"/>
    </row>
    <row r="144" customFormat="false" ht="15" hidden="false" customHeight="false" outlineLevel="0" collapsed="false">
      <c r="A144" s="22" t="s">
        <v>67</v>
      </c>
      <c r="B144" s="22" t="s">
        <v>7192</v>
      </c>
      <c r="C144" s="22" t="s">
        <v>886</v>
      </c>
      <c r="D144" s="22" t="s">
        <v>15099</v>
      </c>
      <c r="E144" s="22" t="s">
        <v>15096</v>
      </c>
      <c r="F144" s="22"/>
    </row>
    <row r="145" customFormat="false" ht="15" hidden="false" customHeight="false" outlineLevel="0" collapsed="false">
      <c r="A145" s="22" t="s">
        <v>67</v>
      </c>
      <c r="B145" s="22" t="s">
        <v>8063</v>
      </c>
      <c r="C145" s="22" t="s">
        <v>4507</v>
      </c>
      <c r="D145" s="22" t="s">
        <v>15101</v>
      </c>
      <c r="E145" s="22" t="s">
        <v>15102</v>
      </c>
      <c r="F145" s="22" t="s">
        <v>15159</v>
      </c>
    </row>
    <row r="146" customFormat="false" ht="15" hidden="false" customHeight="false" outlineLevel="0" collapsed="false">
      <c r="A146" s="22" t="s">
        <v>67</v>
      </c>
      <c r="B146" s="22" t="s">
        <v>8063</v>
      </c>
      <c r="C146" s="22" t="s">
        <v>331</v>
      </c>
      <c r="D146" s="22" t="s">
        <v>15101</v>
      </c>
      <c r="E146" s="22" t="s">
        <v>15102</v>
      </c>
      <c r="F146" s="22" t="s">
        <v>15160</v>
      </c>
    </row>
    <row r="147" customFormat="false" ht="15" hidden="false" customHeight="false" outlineLevel="0" collapsed="false">
      <c r="A147" s="22" t="s">
        <v>67</v>
      </c>
      <c r="B147" s="22" t="s">
        <v>8063</v>
      </c>
      <c r="C147" s="22" t="s">
        <v>8077</v>
      </c>
      <c r="D147" s="22" t="s">
        <v>15101</v>
      </c>
      <c r="E147" s="22" t="s">
        <v>15102</v>
      </c>
      <c r="F147" s="22" t="s">
        <v>15161</v>
      </c>
    </row>
    <row r="148" customFormat="false" ht="15" hidden="false" customHeight="false" outlineLevel="0" collapsed="false">
      <c r="A148" s="22" t="s">
        <v>67</v>
      </c>
      <c r="B148" s="22" t="s">
        <v>8063</v>
      </c>
      <c r="C148" s="22" t="s">
        <v>1744</v>
      </c>
      <c r="D148" s="22" t="s">
        <v>15101</v>
      </c>
      <c r="E148" s="22" t="s">
        <v>15102</v>
      </c>
      <c r="F148" s="22" t="s">
        <v>15162</v>
      </c>
    </row>
    <row r="149" customFormat="false" ht="15" hidden="false" customHeight="false" outlineLevel="0" collapsed="false">
      <c r="A149" s="22" t="s">
        <v>67</v>
      </c>
      <c r="B149" s="22" t="s">
        <v>8063</v>
      </c>
      <c r="C149" s="22" t="s">
        <v>160</v>
      </c>
      <c r="D149" s="22" t="s">
        <v>15101</v>
      </c>
      <c r="E149" s="22" t="s">
        <v>15102</v>
      </c>
      <c r="F149" s="22" t="s">
        <v>15163</v>
      </c>
    </row>
    <row r="150" customFormat="false" ht="22.35" hidden="false" customHeight="false" outlineLevel="0" collapsed="false">
      <c r="A150" s="22" t="s">
        <v>67</v>
      </c>
      <c r="B150" s="22" t="s">
        <v>8063</v>
      </c>
      <c r="C150" s="22" t="s">
        <v>5530</v>
      </c>
      <c r="D150" s="22" t="s">
        <v>15101</v>
      </c>
      <c r="E150" s="22" t="s">
        <v>15102</v>
      </c>
      <c r="F150" s="22" t="s">
        <v>15164</v>
      </c>
    </row>
    <row r="151" customFormat="false" ht="15" hidden="false" customHeight="false" outlineLevel="0" collapsed="false">
      <c r="A151" s="22" t="s">
        <v>67</v>
      </c>
      <c r="B151" s="22" t="s">
        <v>8063</v>
      </c>
      <c r="C151" s="22" t="s">
        <v>5533</v>
      </c>
      <c r="D151" s="22" t="s">
        <v>15101</v>
      </c>
      <c r="E151" s="22" t="s">
        <v>15102</v>
      </c>
      <c r="F151" s="22" t="s">
        <v>15165</v>
      </c>
    </row>
    <row r="152" customFormat="false" ht="15" hidden="false" customHeight="false" outlineLevel="0" collapsed="false">
      <c r="A152" s="22" t="s">
        <v>67</v>
      </c>
      <c r="B152" s="22" t="s">
        <v>8063</v>
      </c>
      <c r="C152" s="22" t="s">
        <v>1734</v>
      </c>
      <c r="D152" s="22" t="s">
        <v>15101</v>
      </c>
      <c r="E152" s="22" t="s">
        <v>15102</v>
      </c>
      <c r="F152" s="22" t="s">
        <v>15166</v>
      </c>
    </row>
    <row r="153" customFormat="false" ht="15" hidden="false" customHeight="false" outlineLevel="0" collapsed="false">
      <c r="A153" s="22" t="s">
        <v>67</v>
      </c>
      <c r="B153" s="22" t="s">
        <v>8154</v>
      </c>
      <c r="C153" s="22" t="s">
        <v>331</v>
      </c>
      <c r="D153" s="22" t="s">
        <v>15104</v>
      </c>
      <c r="E153" s="22" t="s">
        <v>15102</v>
      </c>
      <c r="F153" s="22" t="s">
        <v>15160</v>
      </c>
    </row>
    <row r="154" customFormat="false" ht="15" hidden="false" customHeight="false" outlineLevel="0" collapsed="false">
      <c r="A154" s="22" t="s">
        <v>67</v>
      </c>
      <c r="B154" s="22" t="s">
        <v>8154</v>
      </c>
      <c r="C154" s="22" t="s">
        <v>8077</v>
      </c>
      <c r="D154" s="22" t="s">
        <v>15104</v>
      </c>
      <c r="E154" s="22" t="s">
        <v>15102</v>
      </c>
      <c r="F154" s="22" t="s">
        <v>15161</v>
      </c>
    </row>
    <row r="155" customFormat="false" ht="15" hidden="false" customHeight="false" outlineLevel="0" collapsed="false">
      <c r="A155" s="22" t="s">
        <v>67</v>
      </c>
      <c r="B155" s="22" t="s">
        <v>8154</v>
      </c>
      <c r="C155" s="22" t="s">
        <v>1744</v>
      </c>
      <c r="D155" s="22" t="s">
        <v>15104</v>
      </c>
      <c r="E155" s="22" t="s">
        <v>15102</v>
      </c>
      <c r="F155" s="22" t="s">
        <v>15162</v>
      </c>
    </row>
    <row r="156" customFormat="false" ht="15" hidden="false" customHeight="false" outlineLevel="0" collapsed="false">
      <c r="A156" s="22" t="s">
        <v>67</v>
      </c>
      <c r="B156" s="22" t="s">
        <v>8154</v>
      </c>
      <c r="C156" s="22" t="s">
        <v>160</v>
      </c>
      <c r="D156" s="22" t="s">
        <v>15104</v>
      </c>
      <c r="E156" s="22" t="s">
        <v>15102</v>
      </c>
      <c r="F156" s="22" t="s">
        <v>15163</v>
      </c>
    </row>
    <row r="157" customFormat="false" ht="15" hidden="false" customHeight="false" outlineLevel="0" collapsed="false">
      <c r="A157" s="22" t="s">
        <v>67</v>
      </c>
      <c r="B157" s="22" t="s">
        <v>8154</v>
      </c>
      <c r="C157" s="22" t="s">
        <v>5530</v>
      </c>
      <c r="D157" s="22" t="s">
        <v>15104</v>
      </c>
      <c r="E157" s="22" t="s">
        <v>15102</v>
      </c>
      <c r="F157" s="22" t="s">
        <v>15167</v>
      </c>
    </row>
    <row r="158" customFormat="false" ht="15" hidden="false" customHeight="false" outlineLevel="0" collapsed="false">
      <c r="A158" s="22" t="s">
        <v>67</v>
      </c>
      <c r="B158" s="22" t="s">
        <v>8154</v>
      </c>
      <c r="C158" s="22" t="s">
        <v>5533</v>
      </c>
      <c r="D158" s="22" t="s">
        <v>15104</v>
      </c>
      <c r="E158" s="22" t="s">
        <v>15102</v>
      </c>
      <c r="F158" s="22" t="s">
        <v>15165</v>
      </c>
    </row>
    <row r="159" customFormat="false" ht="22.35" hidden="false" customHeight="false" outlineLevel="0" collapsed="false">
      <c r="A159" s="22" t="s">
        <v>67</v>
      </c>
      <c r="B159" s="22" t="s">
        <v>8707</v>
      </c>
      <c r="C159" s="22" t="s">
        <v>8708</v>
      </c>
      <c r="D159" s="22" t="s">
        <v>15130</v>
      </c>
      <c r="E159" s="22" t="s">
        <v>15102</v>
      </c>
      <c r="F159" s="22" t="s">
        <v>15168</v>
      </c>
    </row>
    <row r="160" customFormat="false" ht="32.8" hidden="false" customHeight="false" outlineLevel="0" collapsed="false">
      <c r="A160" s="22" t="s">
        <v>67</v>
      </c>
      <c r="B160" s="22" t="s">
        <v>8707</v>
      </c>
      <c r="C160" s="22" t="s">
        <v>8708</v>
      </c>
      <c r="D160" s="22" t="s">
        <v>15169</v>
      </c>
      <c r="E160" s="22" t="s">
        <v>15102</v>
      </c>
      <c r="F160" s="22" t="s">
        <v>15170</v>
      </c>
    </row>
    <row r="161" customFormat="false" ht="15" hidden="false" customHeight="false" outlineLevel="0" collapsed="false">
      <c r="A161" s="22" t="s">
        <v>67</v>
      </c>
      <c r="B161" s="22" t="s">
        <v>8707</v>
      </c>
      <c r="C161" s="22" t="s">
        <v>8708</v>
      </c>
      <c r="D161" s="22" t="s">
        <v>15133</v>
      </c>
      <c r="E161" s="22" t="s">
        <v>15096</v>
      </c>
      <c r="F161" s="22"/>
    </row>
    <row r="162" customFormat="false" ht="15" hidden="false" customHeight="false" outlineLevel="0" collapsed="false">
      <c r="A162" s="22" t="s">
        <v>67</v>
      </c>
      <c r="B162" s="22" t="s">
        <v>8811</v>
      </c>
      <c r="C162" s="22" t="s">
        <v>5465</v>
      </c>
      <c r="D162" s="22" t="s">
        <v>15171</v>
      </c>
      <c r="E162" s="22" t="s">
        <v>15102</v>
      </c>
      <c r="F162" s="22" t="s">
        <v>15172</v>
      </c>
    </row>
    <row r="163" customFormat="false" ht="22.35" hidden="false" customHeight="false" outlineLevel="0" collapsed="false">
      <c r="A163" s="22" t="s">
        <v>67</v>
      </c>
      <c r="B163" s="22" t="s">
        <v>8811</v>
      </c>
      <c r="C163" s="22" t="s">
        <v>8834</v>
      </c>
      <c r="D163" s="22" t="s">
        <v>15142</v>
      </c>
      <c r="E163" s="22" t="s">
        <v>15102</v>
      </c>
      <c r="F163" s="22" t="s">
        <v>15144</v>
      </c>
    </row>
    <row r="164" customFormat="false" ht="15" hidden="false" customHeight="false" outlineLevel="0" collapsed="false">
      <c r="A164" s="22" t="s">
        <v>67</v>
      </c>
      <c r="B164" s="22" t="s">
        <v>8811</v>
      </c>
      <c r="C164" s="22" t="s">
        <v>8834</v>
      </c>
      <c r="D164" s="22" t="s">
        <v>15171</v>
      </c>
      <c r="E164" s="22" t="s">
        <v>15102</v>
      </c>
      <c r="F164" s="22" t="s">
        <v>15173</v>
      </c>
    </row>
    <row r="165" customFormat="false" ht="32.8" hidden="false" customHeight="false" outlineLevel="0" collapsed="false">
      <c r="A165" s="22" t="s">
        <v>67</v>
      </c>
      <c r="B165" s="22" t="s">
        <v>8811</v>
      </c>
      <c r="C165" s="22" t="s">
        <v>185</v>
      </c>
      <c r="D165" s="22" t="s">
        <v>15142</v>
      </c>
      <c r="E165" s="22" t="s">
        <v>15102</v>
      </c>
      <c r="F165" s="22" t="s">
        <v>15143</v>
      </c>
    </row>
    <row r="166" customFormat="false" ht="15" hidden="false" customHeight="false" outlineLevel="0" collapsed="false">
      <c r="A166" s="22" t="s">
        <v>67</v>
      </c>
      <c r="B166" s="22" t="s">
        <v>8811</v>
      </c>
      <c r="C166" s="22" t="s">
        <v>185</v>
      </c>
      <c r="D166" s="22" t="s">
        <v>15171</v>
      </c>
      <c r="E166" s="22" t="s">
        <v>15102</v>
      </c>
      <c r="F166" s="22" t="s">
        <v>15174</v>
      </c>
    </row>
    <row r="167" customFormat="false" ht="15" hidden="false" customHeight="false" outlineLevel="0" collapsed="false">
      <c r="A167" s="22" t="s">
        <v>67</v>
      </c>
      <c r="B167" s="22" t="s">
        <v>8811</v>
      </c>
      <c r="C167" s="22" t="s">
        <v>6639</v>
      </c>
      <c r="D167" s="22" t="s">
        <v>15171</v>
      </c>
      <c r="E167" s="22" t="s">
        <v>15102</v>
      </c>
      <c r="F167" s="22" t="s">
        <v>15175</v>
      </c>
    </row>
    <row r="168" customFormat="false" ht="22.35" hidden="false" customHeight="false" outlineLevel="0" collapsed="false">
      <c r="A168" s="22" t="s">
        <v>67</v>
      </c>
      <c r="B168" s="22" t="s">
        <v>8811</v>
      </c>
      <c r="C168" s="22" t="s">
        <v>4639</v>
      </c>
      <c r="D168" s="22" t="s">
        <v>15142</v>
      </c>
      <c r="E168" s="22" t="s">
        <v>15102</v>
      </c>
      <c r="F168" s="22" t="s">
        <v>15144</v>
      </c>
    </row>
    <row r="169" customFormat="false" ht="15" hidden="false" customHeight="false" outlineLevel="0" collapsed="false">
      <c r="A169" s="22" t="s">
        <v>67</v>
      </c>
      <c r="B169" s="22" t="s">
        <v>9127</v>
      </c>
      <c r="C169" s="22" t="s">
        <v>622</v>
      </c>
      <c r="D169" s="22" t="s">
        <v>15100</v>
      </c>
      <c r="E169" s="22" t="s">
        <v>15096</v>
      </c>
      <c r="F169" s="22"/>
    </row>
    <row r="170" customFormat="false" ht="15" hidden="false" customHeight="false" outlineLevel="0" collapsed="false">
      <c r="A170" s="22" t="s">
        <v>67</v>
      </c>
      <c r="B170" s="22" t="s">
        <v>9127</v>
      </c>
      <c r="C170" s="22" t="s">
        <v>9153</v>
      </c>
      <c r="D170" s="22" t="s">
        <v>15100</v>
      </c>
      <c r="E170" s="22" t="s">
        <v>15096</v>
      </c>
      <c r="F170" s="22"/>
    </row>
    <row r="171" customFormat="false" ht="22.35" hidden="false" customHeight="false" outlineLevel="0" collapsed="false">
      <c r="A171" s="22" t="s">
        <v>67</v>
      </c>
      <c r="B171" s="22" t="s">
        <v>9253</v>
      </c>
      <c r="C171" s="22" t="s">
        <v>6649</v>
      </c>
      <c r="D171" s="22" t="s">
        <v>15130</v>
      </c>
      <c r="E171" s="22" t="s">
        <v>15102</v>
      </c>
      <c r="F171" s="22" t="s">
        <v>15131</v>
      </c>
    </row>
    <row r="172" customFormat="false" ht="32.8" hidden="false" customHeight="false" outlineLevel="0" collapsed="false">
      <c r="A172" s="22" t="s">
        <v>67</v>
      </c>
      <c r="B172" s="22" t="s">
        <v>9253</v>
      </c>
      <c r="C172" s="22" t="s">
        <v>6649</v>
      </c>
      <c r="D172" s="22" t="s">
        <v>15114</v>
      </c>
      <c r="E172" s="22" t="s">
        <v>15102</v>
      </c>
      <c r="F172" s="22" t="s">
        <v>15132</v>
      </c>
    </row>
    <row r="173" customFormat="false" ht="15" hidden="false" customHeight="false" outlineLevel="0" collapsed="false">
      <c r="A173" s="22" t="s">
        <v>67</v>
      </c>
      <c r="B173" s="22" t="s">
        <v>9253</v>
      </c>
      <c r="C173" s="22" t="s">
        <v>6649</v>
      </c>
      <c r="D173" s="22" t="s">
        <v>15133</v>
      </c>
      <c r="E173" s="22" t="s">
        <v>15096</v>
      </c>
      <c r="F173" s="22"/>
    </row>
    <row r="174" customFormat="false" ht="22.35" hidden="false" customHeight="false" outlineLevel="0" collapsed="false">
      <c r="A174" s="22" t="s">
        <v>67</v>
      </c>
      <c r="B174" s="22" t="s">
        <v>9253</v>
      </c>
      <c r="C174" s="22" t="s">
        <v>9217</v>
      </c>
      <c r="D174" s="22" t="s">
        <v>15130</v>
      </c>
      <c r="E174" s="22" t="s">
        <v>15102</v>
      </c>
      <c r="F174" s="22" t="s">
        <v>15176</v>
      </c>
    </row>
    <row r="175" customFormat="false" ht="22.35" hidden="false" customHeight="false" outlineLevel="0" collapsed="false">
      <c r="A175" s="22" t="s">
        <v>67</v>
      </c>
      <c r="B175" s="22" t="s">
        <v>9253</v>
      </c>
      <c r="C175" s="22" t="s">
        <v>9217</v>
      </c>
      <c r="D175" s="22" t="s">
        <v>15114</v>
      </c>
      <c r="E175" s="22" t="s">
        <v>15102</v>
      </c>
      <c r="F175" s="22" t="s">
        <v>15177</v>
      </c>
    </row>
    <row r="176" customFormat="false" ht="15" hidden="false" customHeight="false" outlineLevel="0" collapsed="false">
      <c r="A176" s="22" t="s">
        <v>67</v>
      </c>
      <c r="B176" s="22" t="s">
        <v>9253</v>
      </c>
      <c r="C176" s="22" t="s">
        <v>9217</v>
      </c>
      <c r="D176" s="22" t="s">
        <v>15133</v>
      </c>
      <c r="E176" s="22" t="s">
        <v>15096</v>
      </c>
      <c r="F176" s="22"/>
    </row>
    <row r="177" customFormat="false" ht="32.8" hidden="false" customHeight="false" outlineLevel="0" collapsed="false">
      <c r="A177" s="22" t="s">
        <v>67</v>
      </c>
      <c r="B177" s="22" t="s">
        <v>9253</v>
      </c>
      <c r="C177" s="22" t="s">
        <v>275</v>
      </c>
      <c r="D177" s="22" t="s">
        <v>15114</v>
      </c>
      <c r="E177" s="22" t="s">
        <v>15102</v>
      </c>
      <c r="F177" s="22" t="s">
        <v>15115</v>
      </c>
    </row>
    <row r="178" customFormat="false" ht="15" hidden="false" customHeight="false" outlineLevel="0" collapsed="false">
      <c r="A178" s="22" t="s">
        <v>67</v>
      </c>
      <c r="B178" s="22" t="s">
        <v>9253</v>
      </c>
      <c r="C178" s="22" t="s">
        <v>275</v>
      </c>
      <c r="D178" s="22" t="s">
        <v>15133</v>
      </c>
      <c r="E178" s="22" t="s">
        <v>15096</v>
      </c>
      <c r="F178" s="22"/>
    </row>
    <row r="179" customFormat="false" ht="32.8" hidden="false" customHeight="false" outlineLevel="0" collapsed="false">
      <c r="A179" s="22" t="s">
        <v>67</v>
      </c>
      <c r="B179" s="22" t="s">
        <v>9253</v>
      </c>
      <c r="C179" s="22" t="s">
        <v>8697</v>
      </c>
      <c r="D179" s="22" t="s">
        <v>15130</v>
      </c>
      <c r="E179" s="22" t="s">
        <v>15102</v>
      </c>
      <c r="F179" s="22" t="s">
        <v>15178</v>
      </c>
    </row>
    <row r="180" customFormat="false" ht="22.35" hidden="false" customHeight="false" outlineLevel="0" collapsed="false">
      <c r="A180" s="22" t="s">
        <v>69</v>
      </c>
      <c r="B180" s="22" t="s">
        <v>9884</v>
      </c>
      <c r="C180" s="22" t="s">
        <v>9925</v>
      </c>
      <c r="D180" s="22" t="s">
        <v>15179</v>
      </c>
      <c r="E180" s="22" t="s">
        <v>15102</v>
      </c>
      <c r="F180" s="22" t="s">
        <v>15180</v>
      </c>
    </row>
    <row r="181" customFormat="false" ht="22.35" hidden="false" customHeight="false" outlineLevel="0" collapsed="false">
      <c r="A181" s="22" t="s">
        <v>69</v>
      </c>
      <c r="B181" s="22" t="s">
        <v>9884</v>
      </c>
      <c r="C181" s="22" t="s">
        <v>9930</v>
      </c>
      <c r="D181" s="22" t="s">
        <v>15181</v>
      </c>
      <c r="E181" s="22" t="s">
        <v>15102</v>
      </c>
      <c r="F181" s="22" t="s">
        <v>15182</v>
      </c>
    </row>
    <row r="182" customFormat="false" ht="15" hidden="false" customHeight="false" outlineLevel="0" collapsed="false">
      <c r="A182" s="22" t="s">
        <v>71</v>
      </c>
      <c r="B182" s="22" t="s">
        <v>5433</v>
      </c>
      <c r="C182" s="22" t="s">
        <v>4369</v>
      </c>
      <c r="D182" s="22" t="s">
        <v>15100</v>
      </c>
      <c r="E182" s="22" t="s">
        <v>15096</v>
      </c>
      <c r="F182" s="22"/>
    </row>
    <row r="183" customFormat="false" ht="15" hidden="false" customHeight="false" outlineLevel="0" collapsed="false">
      <c r="A183" s="22" t="s">
        <v>71</v>
      </c>
      <c r="B183" s="22" t="s">
        <v>5433</v>
      </c>
      <c r="C183" s="22" t="s">
        <v>160</v>
      </c>
      <c r="D183" s="22" t="s">
        <v>15100</v>
      </c>
      <c r="E183" s="22" t="s">
        <v>15096</v>
      </c>
      <c r="F183" s="22"/>
    </row>
    <row r="184" customFormat="false" ht="15" hidden="false" customHeight="false" outlineLevel="0" collapsed="false">
      <c r="A184" s="22" t="s">
        <v>71</v>
      </c>
      <c r="B184" s="22" t="s">
        <v>5433</v>
      </c>
      <c r="C184" s="22" t="s">
        <v>185</v>
      </c>
      <c r="D184" s="22" t="s">
        <v>15100</v>
      </c>
      <c r="E184" s="22" t="s">
        <v>15096</v>
      </c>
      <c r="F184" s="22"/>
    </row>
    <row r="185" customFormat="false" ht="15" hidden="false" customHeight="false" outlineLevel="0" collapsed="false">
      <c r="A185" s="22" t="s">
        <v>71</v>
      </c>
      <c r="B185" s="22" t="s">
        <v>5433</v>
      </c>
      <c r="C185" s="22" t="s">
        <v>185</v>
      </c>
      <c r="D185" s="22" t="s">
        <v>15119</v>
      </c>
      <c r="E185" s="22" t="s">
        <v>15096</v>
      </c>
      <c r="F185" s="22"/>
    </row>
    <row r="186" customFormat="false" ht="15" hidden="false" customHeight="false" outlineLevel="0" collapsed="false">
      <c r="A186" s="22" t="s">
        <v>71</v>
      </c>
      <c r="B186" s="22" t="s">
        <v>10572</v>
      </c>
      <c r="C186" s="22" t="s">
        <v>1744</v>
      </c>
      <c r="D186" s="22" t="s">
        <v>15183</v>
      </c>
      <c r="E186" s="22" t="s">
        <v>15102</v>
      </c>
      <c r="F186" s="22" t="s">
        <v>15184</v>
      </c>
    </row>
    <row r="187" customFormat="false" ht="15" hidden="false" customHeight="false" outlineLevel="0" collapsed="false">
      <c r="A187" s="22" t="s">
        <v>71</v>
      </c>
      <c r="B187" s="22" t="s">
        <v>10572</v>
      </c>
      <c r="C187" s="22" t="s">
        <v>160</v>
      </c>
      <c r="D187" s="22" t="s">
        <v>15183</v>
      </c>
      <c r="E187" s="22" t="s">
        <v>15102</v>
      </c>
      <c r="F187" s="22" t="s">
        <v>15184</v>
      </c>
    </row>
    <row r="188" customFormat="false" ht="15" hidden="false" customHeight="false" outlineLevel="0" collapsed="false">
      <c r="A188" s="22" t="s">
        <v>71</v>
      </c>
      <c r="B188" s="22" t="s">
        <v>10572</v>
      </c>
      <c r="C188" s="22" t="s">
        <v>5530</v>
      </c>
      <c r="D188" s="22" t="s">
        <v>15183</v>
      </c>
      <c r="E188" s="22" t="s">
        <v>15102</v>
      </c>
      <c r="F188" s="22" t="s">
        <v>15184</v>
      </c>
    </row>
    <row r="189" customFormat="false" ht="15" hidden="false" customHeight="false" outlineLevel="0" collapsed="false">
      <c r="A189" s="22" t="s">
        <v>71</v>
      </c>
      <c r="B189" s="22" t="s">
        <v>10572</v>
      </c>
      <c r="C189" s="22" t="s">
        <v>5533</v>
      </c>
      <c r="D189" s="22" t="s">
        <v>15183</v>
      </c>
      <c r="E189" s="22" t="s">
        <v>15102</v>
      </c>
      <c r="F189" s="22" t="s">
        <v>15184</v>
      </c>
    </row>
    <row r="190" customFormat="false" ht="15" hidden="false" customHeight="false" outlineLevel="0" collapsed="false">
      <c r="A190" s="22" t="s">
        <v>75</v>
      </c>
      <c r="B190" s="22" t="s">
        <v>10751</v>
      </c>
      <c r="C190" s="22" t="s">
        <v>10752</v>
      </c>
      <c r="D190" s="22" t="s">
        <v>15185</v>
      </c>
      <c r="E190" s="22" t="s">
        <v>15096</v>
      </c>
      <c r="F190" s="22"/>
    </row>
    <row r="191" customFormat="false" ht="15" hidden="false" customHeight="false" outlineLevel="0" collapsed="false">
      <c r="A191" s="22" t="s">
        <v>75</v>
      </c>
      <c r="B191" s="22" t="s">
        <v>10751</v>
      </c>
      <c r="C191" s="22" t="s">
        <v>10802</v>
      </c>
      <c r="D191" s="22" t="s">
        <v>15185</v>
      </c>
      <c r="E191" s="22" t="s">
        <v>15096</v>
      </c>
      <c r="F191" s="22"/>
    </row>
    <row r="192" customFormat="false" ht="15" hidden="false" customHeight="false" outlineLevel="0" collapsed="false">
      <c r="A192" s="22" t="s">
        <v>75</v>
      </c>
      <c r="B192" s="22" t="s">
        <v>10751</v>
      </c>
      <c r="C192" s="22" t="s">
        <v>10807</v>
      </c>
      <c r="D192" s="22" t="s">
        <v>15185</v>
      </c>
      <c r="E192" s="22" t="s">
        <v>15096</v>
      </c>
      <c r="F192" s="22"/>
    </row>
    <row r="193" customFormat="false" ht="15" hidden="false" customHeight="false" outlineLevel="0" collapsed="false">
      <c r="A193" s="22" t="s">
        <v>79</v>
      </c>
      <c r="B193" s="22" t="s">
        <v>11029</v>
      </c>
      <c r="C193" s="22" t="s">
        <v>11030</v>
      </c>
      <c r="D193" s="22" t="s">
        <v>15112</v>
      </c>
      <c r="E193" s="22" t="s">
        <v>15102</v>
      </c>
      <c r="F193" s="22" t="s">
        <v>15186</v>
      </c>
    </row>
    <row r="194" customFormat="false" ht="15" hidden="false" customHeight="false" outlineLevel="0" collapsed="false">
      <c r="A194" s="22" t="s">
        <v>79</v>
      </c>
      <c r="B194" s="22" t="s">
        <v>11029</v>
      </c>
      <c r="C194" s="22" t="s">
        <v>11035</v>
      </c>
      <c r="D194" s="22" t="s">
        <v>15112</v>
      </c>
      <c r="E194" s="22" t="s">
        <v>15102</v>
      </c>
      <c r="F194" s="22" t="s">
        <v>15187</v>
      </c>
    </row>
    <row r="195" customFormat="false" ht="15" hidden="false" customHeight="false" outlineLevel="0" collapsed="false">
      <c r="A195" s="22" t="s">
        <v>79</v>
      </c>
      <c r="B195" s="22" t="s">
        <v>11043</v>
      </c>
      <c r="C195" s="22" t="s">
        <v>11044</v>
      </c>
      <c r="D195" s="22" t="s">
        <v>15188</v>
      </c>
      <c r="E195" s="22" t="s">
        <v>15102</v>
      </c>
      <c r="F195" s="22" t="s">
        <v>15189</v>
      </c>
    </row>
    <row r="196" customFormat="false" ht="15" hidden="false" customHeight="false" outlineLevel="0" collapsed="false">
      <c r="A196" s="22" t="s">
        <v>79</v>
      </c>
      <c r="B196" s="22" t="s">
        <v>1933</v>
      </c>
      <c r="C196" s="22" t="s">
        <v>11035</v>
      </c>
      <c r="D196" s="22" t="s">
        <v>15112</v>
      </c>
      <c r="E196" s="22" t="s">
        <v>15102</v>
      </c>
      <c r="F196" s="22" t="s">
        <v>15187</v>
      </c>
    </row>
    <row r="197" customFormat="false" ht="22.35" hidden="false" customHeight="false" outlineLevel="0" collapsed="false">
      <c r="A197" s="22" t="s">
        <v>79</v>
      </c>
      <c r="B197" s="22" t="s">
        <v>11125</v>
      </c>
      <c r="C197" s="22" t="s">
        <v>611</v>
      </c>
      <c r="D197" s="22" t="s">
        <v>15112</v>
      </c>
      <c r="E197" s="22" t="s">
        <v>15102</v>
      </c>
      <c r="F197" s="22" t="s">
        <v>15113</v>
      </c>
    </row>
    <row r="198" customFormat="false" ht="22.35" hidden="false" customHeight="false" outlineLevel="0" collapsed="false">
      <c r="A198" s="22" t="s">
        <v>81</v>
      </c>
      <c r="B198" s="22" t="s">
        <v>5096</v>
      </c>
      <c r="C198" s="22" t="s">
        <v>127</v>
      </c>
      <c r="D198" s="22" t="s">
        <v>15110</v>
      </c>
      <c r="E198" s="22" t="s">
        <v>15102</v>
      </c>
      <c r="F198" s="22" t="s">
        <v>15111</v>
      </c>
    </row>
  </sheetData>
  <autoFilter ref="A1:F19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2026-10-22T16:36:33Z</dcterms:created>
  <dc:creator>openpyxl</dc:creator>
  <dc:description/>
  <dc:language>en-US</dc:language>
  <cp:lastModifiedBy/>
  <dcterms:modified xsi:type="dcterms:W3CDTF">2026-10-22T16:36:38Z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
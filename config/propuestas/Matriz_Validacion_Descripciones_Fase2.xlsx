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étricas" sheetId="2" state="visible" r:id="rId2"/>
    <sheet xmlns:r="http://schemas.openxmlformats.org/officeDocument/2006/relationships" name="Matriz" sheetId="3" state="visible" r:id="rId3"/>
    <sheet xmlns:r="http://schemas.openxmlformats.org/officeDocument/2006/relationships" name="Uso en lógica" sheetId="4" state="visible" r:id="rId4"/>
  </sheets>
  <definedNames>
    <definedName name="_xlnm._FilterDatabase" localSheetId="2" hidden="1">'Matriz'!$A$1:$AA$63</definedName>
    <definedName name="_xlnm._FilterDatabase" localSheetId="3" hidden="1">'Uso en lógica'!$A$1:$F$1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2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color rgb="00555555"/>
      <sz val="10"/>
    </font>
    <font>
      <name val="Arial"/>
      <b val="1"/>
      <sz val="11"/>
    </font>
    <font>
      <name val="Arial"/>
      <sz val="10"/>
    </font>
    <font>
      <name val="Arial"/>
      <i val="1"/>
      <sz val="10"/>
    </font>
    <font>
      <name val="Consolas"/>
      <sz val="9"/>
    </font>
    <font>
      <name val="Arial"/>
      <b val="1"/>
      <color rgb="00FFFFFF"/>
      <sz val="10"/>
    </font>
    <font>
      <name val="Arial"/>
      <sz val="9"/>
    </font>
    <font>
      <name val="Arial"/>
      <b val="1"/>
      <color rgb="001F3A5F"/>
      <sz val="12"/>
    </font>
    <font>
      <name val="Arial"/>
      <i val="1"/>
      <color rgb="00666666"/>
      <sz val="8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7A4E00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0" borderId="0" pivotButton="0" quotePrefix="0" xfId="0"/>
    <xf numFmtId="0" fontId="9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1" pivotButton="0" quotePrefix="0" xfId="0"/>
    <xf numFmtId="165" fontId="4" fillId="0" borderId="1" pivotButton="0" quotePrefix="0" xfId="0"/>
    <xf numFmtId="0" fontId="10" fillId="0" borderId="0" pivotButton="0" quotePrefix="0" xfId="0"/>
    <xf numFmtId="0" fontId="11" fillId="0" borderId="1" pivotButton="0" quotePrefix="0" xfId="0"/>
    <xf numFmtId="165" fontId="11" fillId="0" borderId="1" pivotButton="0" quotePrefix="0" xfId="0"/>
    <xf numFmtId="0" fontId="7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164" fontId="8" fillId="4" borderId="1" applyAlignment="1" pivotButton="0" quotePrefix="0" xfId="0">
      <alignment vertical="top" wrapText="1"/>
    </xf>
    <xf numFmtId="0" fontId="7" fillId="2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D1FADF"/>
        </patternFill>
      </fill>
    </dxf>
    <dxf>
      <fill>
        <patternFill patternType="solid">
          <fgColor rgb="00D1E9FF"/>
        </patternFill>
      </fill>
    </dxf>
    <dxf>
      <fill>
        <patternFill patternType="solid">
          <fgColor rgb="00FEE4E2"/>
        </patternFill>
      </fill>
    </dxf>
    <dxf>
      <fill>
        <patternFill patternType="solid">
          <fgColor rgb="00FEF0C7"/>
        </patternFill>
      </fill>
    </dxf>
    <dxf>
      <font>
        <name val="Arial"/>
        <b val="1"/>
        <color rgb="00B42318"/>
        <sz val="9"/>
      </font>
    </dxf>
    <dxf>
      <fill>
        <patternFill patternType="solid">
          <fgColor rgb="00FDA29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Matriz de validación de descripciones de columnas · SuperApp ESAP · Fase 2</t>
        </is>
      </c>
    </row>
    <row r="2">
      <c r="A2" s="2" t="inlineStr">
        <is>
          <t>Base esap_db (QA) · extracción del 2026-10-22 · generada el 2026-10-22</t>
        </is>
      </c>
    </row>
    <row r="3">
      <c r="A3" s="3" t="inlineStr"/>
    </row>
    <row r="4">
      <c r="A4" s="4" t="inlineStr">
        <is>
          <t>Objetivo</t>
        </is>
      </c>
    </row>
    <row r="5">
      <c r="A5" s="5" t="inlineStr">
        <is>
          <t>Revisar con el equipo de desarrollo la descripción de cada columna que aún no tiene descripción registrada en la base ni validada.</t>
        </is>
      </c>
    </row>
    <row r="6">
      <c r="A6" s="5" t="inlineStr">
        <is>
          <t>Las propuestas se redactaron a partir de la estructura (nombre, tipo, restricciones, valores permitidos, relaciones) y del código de las funciones, triggers y vistas que usan la columna, y del código fuente de la aplicación (entidades y migraciones). No se revisaron valores de los registros. Son propuestas: no reemplazan el conocimiento del equipo.</t>
        </is>
      </c>
    </row>
    <row r="7">
      <c r="A7" s="3" t="inlineStr"/>
    </row>
    <row r="8">
      <c r="A8" s="4" t="inlineStr">
        <is>
          <t>Cómo revisar (hoja «Matriz»)</t>
        </is>
      </c>
    </row>
    <row r="9">
      <c r="A9" s="5" t="inlineStr">
        <is>
          <t>1. Lea la propuesta, su fundamento y, si la hay, la pregunta para desarrollo.</t>
        </is>
      </c>
    </row>
    <row r="10">
      <c r="A10" s="5" t="inlineStr">
        <is>
          <t>2. Elija la decisión en la lista desplegable (celdas amarillas):</t>
        </is>
      </c>
    </row>
    <row r="11">
      <c r="A11" s="5" t="inlineStr">
        <is>
          <t xml:space="preserve">     Aprobada: la propuesta se registra tal cual.</t>
        </is>
      </c>
    </row>
    <row r="12">
      <c r="A12" s="5" t="inlineStr">
        <is>
          <t xml:space="preserve">     Aprobada con ajuste: escriba el texto correcto en «Descripción final».</t>
        </is>
      </c>
    </row>
    <row r="13">
      <c r="A13" s="5" t="inlineStr">
        <is>
          <t xml:space="preserve">     Rechazada: la propuesta no corresponde; escriba la descripción correcta en «Descripción final» o explique en «Observaciones».</t>
        </is>
      </c>
    </row>
    <row r="14">
      <c r="A14" s="5" t="inlineStr">
        <is>
          <t xml:space="preserve">     Requiere aclaración: falta información; anote la duda en «Observaciones».</t>
        </is>
      </c>
    </row>
    <row r="15">
      <c r="A15" s="5" t="inlineStr">
        <is>
          <t>3. Registre quién revisó y la fecha. «Descripción a registrar» se calcula sola.</t>
        </is>
      </c>
    </row>
    <row r="16">
      <c r="A16" s="6" t="inlineStr">
        <is>
          <t xml:space="preserve">     Ejemplo: Decisión = Aprobada con ajuste · Descripción final = «Valor de los viáticos de la comisión, en pesos colombianos, calculado como la suma de días pernoctados y no pernoctados.» · Revisado por = Equipo Viáticos · Fecha de revisión = 2026-10-23.</t>
        </is>
      </c>
    </row>
    <row r="17">
      <c r="A17" s="5" t="inlineStr">
        <is>
          <t>4. La hoja «Métricas» muestra el avance por dominio, por confianza y por uso en la lógica.</t>
        </is>
      </c>
    </row>
    <row r="18">
      <c r="A18" s="5" t="inlineStr">
        <is>
          <t>Las decisiones que ya vienen diligenciadas salen de config/propuestas/&lt;alcance&gt;_decisiones.csv (por ejemplo, aprobaciones en bloque); se pueden cambiar en la matriz.</t>
        </is>
      </c>
    </row>
    <row r="19">
      <c r="A19" s="3" t="inlineStr"/>
    </row>
    <row r="20">
      <c r="A20" s="4" t="inlineStr">
        <is>
          <t>Columnas de la matriz</t>
        </is>
      </c>
    </row>
    <row r="21">
      <c r="A21" s="5" t="inlineStr">
        <is>
          <t>Confianza: Alta (el nombre, el tipo y la lógica coinciden) · Media (el nombre es claro pero falta confirmar el uso) · Baja (el nombre es ambiguo; revisar con prioridad).</t>
        </is>
      </c>
    </row>
    <row r="22">
      <c r="A22" s="5" t="inlineStr">
        <is>
          <t>Origen: «Código fuente (verificado)» (contrastada con entidades, servicios y migraciones), «Regla estructural (redacción revisada)», «Código fuente» (redactada a partir del comentario del desarrollador en la entidad o la migración), «Regla estructural» (convención de nombre) o «Propuesta semántica» (redactada a partir del contexto de la base).</t>
        </is>
      </c>
    </row>
    <row r="23">
      <c r="A23" s="5" t="inlineStr">
        <is>
          <t>Evidencia en código: archivo y línea del repositorio de la aplicación (rama micro-frontend) donde se define la columna, con el comentario del desarrollador, los valores del enum y las validaciones declaradas.</t>
        </is>
      </c>
    </row>
    <row r="24">
      <c r="A24" s="5" t="inlineStr">
        <is>
          <t>Uso en lógica: funciones, procedimientos, triggers y vistas de la base que mencionan la columna. La lógica de la aplicación se resume en «Evidencia en código».</t>
        </is>
      </c>
    </row>
    <row r="25">
      <c r="A25" s="5" t="inlineStr">
        <is>
          <t>Catálogo: la columna apunta a una tabla de catálogo, tiene valores permitidos (CHECK o tipo enumerado) o pertenece a una tabla de catálogo.</t>
        </is>
      </c>
    </row>
    <row r="26">
      <c r="A26" s="3" t="inlineStr"/>
    </row>
    <row r="27">
      <c r="A27" s="4" t="inlineStr">
        <is>
          <t>Después de la revisión</t>
        </is>
      </c>
    </row>
    <row r="28">
      <c r="A28" s="7" t="inlineStr">
        <is>
          <t>python herramientas/matriz_descripciones.py incorporar --matriz &lt;este archivo&gt;  → lleva las aprobadas a config/descripciones.csv (estado validada).</t>
        </is>
      </c>
    </row>
    <row r="29">
      <c r="A29" s="5" t="inlineStr">
        <is>
          <t>Las validadas se publican en el portal y quedan listas para registrarse en la base con un lote COMMENT ON (con reversa), cuando haya autorización.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8" t="inlineStr">
        <is>
          <t>Métricas de la revisión · Fase 2</t>
        </is>
      </c>
    </row>
    <row r="3">
      <c r="A3" s="9" t="inlineStr">
        <is>
          <t>Avance general</t>
        </is>
      </c>
    </row>
    <row r="4">
      <c r="A4" s="10" t="inlineStr">
        <is>
          <t>Indicador</t>
        </is>
      </c>
      <c r="B4" s="10" t="inlineStr">
        <is>
          <t>Valor</t>
        </is>
      </c>
    </row>
    <row r="5">
      <c r="A5" s="11" t="inlineStr">
        <is>
          <t>Columnas en la matriz</t>
        </is>
      </c>
      <c r="B5" s="11">
        <f>COUNTA(Matriz!$A$2:$A$63)</f>
        <v/>
      </c>
    </row>
    <row r="6">
      <c r="A6" s="11" t="inlineStr">
        <is>
          <t>Pendiente</t>
        </is>
      </c>
      <c r="B6" s="11">
        <f>COUNTIF(Matriz!$V$2:$V$63,"Pendiente")</f>
        <v/>
      </c>
    </row>
    <row r="7">
      <c r="A7" s="11" t="inlineStr">
        <is>
          <t>Aprobada</t>
        </is>
      </c>
      <c r="B7" s="11">
        <f>COUNTIF(Matriz!$V$2:$V$63,"Aprobada")</f>
        <v/>
      </c>
    </row>
    <row r="8">
      <c r="A8" s="11" t="inlineStr">
        <is>
          <t>Aprobada con ajuste</t>
        </is>
      </c>
      <c r="B8" s="11">
        <f>COUNTIF(Matriz!$V$2:$V$63,"Aprobada con ajuste")</f>
        <v/>
      </c>
    </row>
    <row r="9">
      <c r="A9" s="11" t="inlineStr">
        <is>
          <t>Rechazada</t>
        </is>
      </c>
      <c r="B9" s="11">
        <f>COUNTIF(Matriz!$V$2:$V$63,"Rechazada")</f>
        <v/>
      </c>
    </row>
    <row r="10">
      <c r="A10" s="11" t="inlineStr">
        <is>
          <t>Requiere aclaración</t>
        </is>
      </c>
      <c r="B10" s="11">
        <f>COUNTIF(Matriz!$V$2:$V$63,"Requiere aclaración")</f>
        <v/>
      </c>
    </row>
    <row r="11">
      <c r="A11" s="11" t="inlineStr">
        <is>
          <t>Revisadas (decisión distinta de Pendiente)</t>
        </is>
      </c>
      <c r="B11" s="11">
        <f>B5-B6</f>
        <v/>
      </c>
    </row>
    <row r="12">
      <c r="A12" s="11" t="inlineStr">
        <is>
          <t>% revisado</t>
        </is>
      </c>
      <c r="B12" s="12">
        <f>IF(B5=0,0,B11/B5)</f>
        <v/>
      </c>
    </row>
    <row r="13">
      <c r="A13" s="11" t="inlineStr">
        <is>
          <t>Con descripción a registrar</t>
        </is>
      </c>
      <c r="B13" s="11">
        <f>SUMPRODUCT(--(Matriz!$AA$2:$AA$63&lt;&gt;""))</f>
        <v/>
      </c>
    </row>
    <row r="14">
      <c r="A14" s="11" t="inlineStr">
        <is>
          <t>Ajustes sin texto en «Descripción final»</t>
        </is>
      </c>
      <c r="B14" s="11">
        <f>SUMPRODUCT(((Matriz!$V$2:$V$63="Aprobada con ajuste")+(Matriz!$V$2:$V$63="Rechazada"))*(Matriz!$W$2:$W$63=""))</f>
        <v/>
      </c>
    </row>
    <row r="16">
      <c r="A16" s="9" t="inlineStr">
        <is>
          <t>Cobertura de descripciones de columnas (indicador K02, meta ≥ 95 %)</t>
        </is>
      </c>
    </row>
    <row r="17">
      <c r="A17" s="10" t="inlineStr">
        <is>
          <t>Concepto</t>
        </is>
      </c>
      <c r="B17" s="10" t="inlineStr">
        <is>
          <t>Valor</t>
        </is>
      </c>
    </row>
    <row r="18">
      <c r="A18" s="11" t="inlineStr">
        <is>
          <t>Columnas del alcance</t>
        </is>
      </c>
      <c r="B18" s="11" t="n">
        <v>1905</v>
      </c>
    </row>
    <row r="19">
      <c r="A19" s="11" t="inlineStr">
        <is>
          <t>Con descripción registrada en la base (COMMENT)</t>
        </is>
      </c>
      <c r="B19" s="11" t="n">
        <v>170</v>
      </c>
    </row>
    <row r="20">
      <c r="A20" s="11" t="inlineStr">
        <is>
          <t>Validadas antes de esta matriz (config/descripciones.csv)</t>
        </is>
      </c>
      <c r="B20" s="11" t="n">
        <v>1673</v>
      </c>
    </row>
    <row r="21">
      <c r="A21" s="11" t="inlineStr">
        <is>
          <t>Con descripción a registrar en esta matriz</t>
        </is>
      </c>
      <c r="B21" s="11">
        <f>B13</f>
        <v/>
      </c>
    </row>
    <row r="22">
      <c r="A22" s="11" t="inlineStr">
        <is>
          <t>Cobertura actual</t>
        </is>
      </c>
      <c r="B22" s="12">
        <f>(B19+B20)/B18</f>
        <v/>
      </c>
    </row>
    <row r="23">
      <c r="A23" s="11" t="inlineStr">
        <is>
          <t>Cobertura al incorporar la matriz</t>
        </is>
      </c>
      <c r="B23" s="12">
        <f>(B19+B20+B21)/B18</f>
        <v/>
      </c>
    </row>
    <row r="24">
      <c r="A24" s="11" t="inlineStr">
        <is>
          <t>Columnas que faltan para la meta de 95 %</t>
        </is>
      </c>
      <c r="B24" s="11">
        <f>MAX(0,ROUNDUP(0.95*B18,0)-(B19+B20+B21))</f>
        <v/>
      </c>
    </row>
    <row r="25">
      <c r="A25" s="13" t="inlineStr">
        <is>
          <t>Columnas del alcance, base y validadas: cifras fijas de la extracción del 2026-10-22 y de config/descripciones.csv.</t>
        </is>
      </c>
    </row>
    <row r="27">
      <c r="A27" s="9" t="inlineStr">
        <is>
          <t>Avance por dominio</t>
        </is>
      </c>
    </row>
    <row r="28">
      <c r="A28" s="10" t="inlineStr">
        <is>
          <t>Dominio</t>
        </is>
      </c>
      <c r="B28" s="10" t="inlineStr">
        <is>
          <t>Esquema</t>
        </is>
      </c>
      <c r="C28" s="10" t="inlineStr">
        <is>
          <t>Columnas</t>
        </is>
      </c>
      <c r="D28" s="10" t="inlineStr">
        <is>
          <t>Aprobadas</t>
        </is>
      </c>
      <c r="E28" s="10" t="inlineStr">
        <is>
          <t>Rechazadas</t>
        </is>
      </c>
      <c r="F28" s="10" t="inlineStr">
        <is>
          <t>Por aclarar</t>
        </is>
      </c>
      <c r="G28" s="10" t="inlineStr">
        <is>
          <t>Pendientes</t>
        </is>
      </c>
      <c r="H28" s="10" t="inlineStr">
        <is>
          <t>% revisado</t>
        </is>
      </c>
    </row>
    <row r="29">
      <c r="A29" s="11" t="inlineStr">
        <is>
          <t>Programación académica</t>
        </is>
      </c>
      <c r="B29" s="11" t="inlineStr">
        <is>
          <t>academic-schedule</t>
        </is>
      </c>
      <c r="C29" s="11">
        <f>COUNTIF(Matriz!$C$2:$C$63,B29)</f>
        <v/>
      </c>
      <c r="D29" s="11">
        <f>COUNTIFS(Matriz!$C$2:$C$63,B29,Matriz!$V$2:$V$63,"Aprobada")+COUNTIFS(Matriz!$C$2:$C$63,B29,Matriz!$V$2:$V$63,"Aprobada con ajuste")</f>
        <v/>
      </c>
      <c r="E29" s="11">
        <f>COUNTIFS(Matriz!$C$2:$C$63,B29,Matriz!$V$2:$V$63,"Rechazada")</f>
        <v/>
      </c>
      <c r="F29" s="11">
        <f>COUNTIFS(Matriz!$C$2:$C$63,B29,Matriz!$V$2:$V$63,"Requiere aclaración")</f>
        <v/>
      </c>
      <c r="G29" s="11">
        <f>COUNTIFS(Matriz!$C$2:$C$63,B29,Matriz!$V$2:$V$63,"Pendiente")</f>
        <v/>
      </c>
      <c r="H29" s="12">
        <f>IF(C29=0,0,(C29-G29)/C29)</f>
        <v/>
      </c>
    </row>
    <row r="30">
      <c r="A30" s="11" t="inlineStr">
        <is>
          <t>RUND</t>
        </is>
      </c>
      <c r="B30" s="11" t="inlineStr">
        <is>
          <t>academic_work_plan</t>
        </is>
      </c>
      <c r="C30" s="11">
        <f>COUNTIF(Matriz!$C$2:$C$63,B30)</f>
        <v/>
      </c>
      <c r="D30" s="11">
        <f>COUNTIFS(Matriz!$C$2:$C$63,B30,Matriz!$V$2:$V$63,"Aprobada")+COUNTIFS(Matriz!$C$2:$C$63,B30,Matriz!$V$2:$V$63,"Aprobada con ajuste")</f>
        <v/>
      </c>
      <c r="E30" s="11">
        <f>COUNTIFS(Matriz!$C$2:$C$63,B30,Matriz!$V$2:$V$63,"Rechazada")</f>
        <v/>
      </c>
      <c r="F30" s="11">
        <f>COUNTIFS(Matriz!$C$2:$C$63,B30,Matriz!$V$2:$V$63,"Requiere aclaración")</f>
        <v/>
      </c>
      <c r="G30" s="11">
        <f>COUNTIFS(Matriz!$C$2:$C$63,B30,Matriz!$V$2:$V$63,"Pendiente")</f>
        <v/>
      </c>
      <c r="H30" s="12">
        <f>IF(C30=0,0,(C30-G30)/C30)</f>
        <v/>
      </c>
    </row>
    <row r="31">
      <c r="A31" s="11" t="inlineStr">
        <is>
          <t>Contratación</t>
        </is>
      </c>
      <c r="B31" s="11" t="inlineStr">
        <is>
          <t>hiring</t>
        </is>
      </c>
      <c r="C31" s="11">
        <f>COUNTIF(Matriz!$C$2:$C$63,B31)</f>
        <v/>
      </c>
      <c r="D31" s="11">
        <f>COUNTIFS(Matriz!$C$2:$C$63,B31,Matriz!$V$2:$V$63,"Aprobada")+COUNTIFS(Matriz!$C$2:$C$63,B31,Matriz!$V$2:$V$63,"Aprobada con ajuste")</f>
        <v/>
      </c>
      <c r="E31" s="11">
        <f>COUNTIFS(Matriz!$C$2:$C$63,B31,Matriz!$V$2:$V$63,"Rechazada")</f>
        <v/>
      </c>
      <c r="F31" s="11">
        <f>COUNTIFS(Matriz!$C$2:$C$63,B31,Matriz!$V$2:$V$63,"Requiere aclaración")</f>
        <v/>
      </c>
      <c r="G31" s="11">
        <f>COUNTIFS(Matriz!$C$2:$C$63,B31,Matriz!$V$2:$V$63,"Pendiente")</f>
        <v/>
      </c>
      <c r="H31" s="12">
        <f>IF(C31=0,0,(C31-G31)/C31)</f>
        <v/>
      </c>
    </row>
    <row r="32">
      <c r="A32" s="11" t="inlineStr">
        <is>
          <t>Gestión de infraestructura</t>
        </is>
      </c>
      <c r="B32" s="11" t="inlineStr">
        <is>
          <t>infrastructure-management</t>
        </is>
      </c>
      <c r="C32" s="11">
        <f>COUNTIF(Matriz!$C$2:$C$63,B32)</f>
        <v/>
      </c>
      <c r="D32" s="11">
        <f>COUNTIFS(Matriz!$C$2:$C$63,B32,Matriz!$V$2:$V$63,"Aprobada")+COUNTIFS(Matriz!$C$2:$C$63,B32,Matriz!$V$2:$V$63,"Aprobada con ajuste")</f>
        <v/>
      </c>
      <c r="E32" s="11">
        <f>COUNTIFS(Matriz!$C$2:$C$63,B32,Matriz!$V$2:$V$63,"Rechazada")</f>
        <v/>
      </c>
      <c r="F32" s="11">
        <f>COUNTIFS(Matriz!$C$2:$C$63,B32,Matriz!$V$2:$V$63,"Requiere aclaración")</f>
        <v/>
      </c>
      <c r="G32" s="11">
        <f>COUNTIFS(Matriz!$C$2:$C$63,B32,Matriz!$V$2:$V$63,"Pendiente")</f>
        <v/>
      </c>
      <c r="H32" s="12">
        <f>IF(C32=0,0,(C32-G32)/C32)</f>
        <v/>
      </c>
    </row>
    <row r="33">
      <c r="A33" s="11" t="inlineStr">
        <is>
          <t>Viáticos y gastos de viaje</t>
        </is>
      </c>
      <c r="B33" s="11" t="inlineStr">
        <is>
          <t>travel_expenses</t>
        </is>
      </c>
      <c r="C33" s="11">
        <f>COUNTIF(Matriz!$C$2:$C$63,B33)</f>
        <v/>
      </c>
      <c r="D33" s="11">
        <f>COUNTIFS(Matriz!$C$2:$C$63,B33,Matriz!$V$2:$V$63,"Aprobada")+COUNTIFS(Matriz!$C$2:$C$63,B33,Matriz!$V$2:$V$63,"Aprobada con ajuste")</f>
        <v/>
      </c>
      <c r="E33" s="11">
        <f>COUNTIFS(Matriz!$C$2:$C$63,B33,Matriz!$V$2:$V$63,"Rechazada")</f>
        <v/>
      </c>
      <c r="F33" s="11">
        <f>COUNTIFS(Matriz!$C$2:$C$63,B33,Matriz!$V$2:$V$63,"Requiere aclaración")</f>
        <v/>
      </c>
      <c r="G33" s="11">
        <f>COUNTIFS(Matriz!$C$2:$C$63,B33,Matriz!$V$2:$V$63,"Pendiente")</f>
        <v/>
      </c>
      <c r="H33" s="12">
        <f>IF(C33=0,0,(C33-G33)/C33)</f>
        <v/>
      </c>
    </row>
    <row r="34">
      <c r="A34" s="11" t="inlineStr">
        <is>
          <t>Asistente virtual (chatbot)</t>
        </is>
      </c>
      <c r="B34" s="11" t="inlineStr">
        <is>
          <t>chatbot</t>
        </is>
      </c>
      <c r="C34" s="11">
        <f>COUNTIF(Matriz!$C$2:$C$63,B34)</f>
        <v/>
      </c>
      <c r="D34" s="11">
        <f>COUNTIFS(Matriz!$C$2:$C$63,B34,Matriz!$V$2:$V$63,"Aprobada")+COUNTIFS(Matriz!$C$2:$C$63,B34,Matriz!$V$2:$V$63,"Aprobada con ajuste")</f>
        <v/>
      </c>
      <c r="E34" s="11">
        <f>COUNTIFS(Matriz!$C$2:$C$63,B34,Matriz!$V$2:$V$63,"Rechazada")</f>
        <v/>
      </c>
      <c r="F34" s="11">
        <f>COUNTIFS(Matriz!$C$2:$C$63,B34,Matriz!$V$2:$V$63,"Requiere aclaración")</f>
        <v/>
      </c>
      <c r="G34" s="11">
        <f>COUNTIFS(Matriz!$C$2:$C$63,B34,Matriz!$V$2:$V$63,"Pendiente")</f>
        <v/>
      </c>
      <c r="H34" s="12">
        <f>IF(C34=0,0,(C34-G34)/C34)</f>
        <v/>
      </c>
    </row>
    <row r="35">
      <c r="A35" s="14" t="inlineStr">
        <is>
          <t>Total</t>
        </is>
      </c>
      <c r="B35" s="14" t="inlineStr"/>
      <c r="C35" s="14">
        <f>SUM(C29:C34)</f>
        <v/>
      </c>
      <c r="D35" s="14">
        <f>SUM(D29:D34)</f>
        <v/>
      </c>
      <c r="E35" s="14">
        <f>SUM(E29:E34)</f>
        <v/>
      </c>
      <c r="F35" s="14">
        <f>SUM(F29:F34)</f>
        <v/>
      </c>
      <c r="G35" s="14">
        <f>SUM(G29:G34)</f>
        <v/>
      </c>
      <c r="H35" s="15">
        <f>IF(C35=0,0,(C35-G35)/C35)</f>
        <v/>
      </c>
    </row>
    <row r="37">
      <c r="A37" s="9" t="inlineStr">
        <is>
          <t>Avance por confianza y origen de la propuesta</t>
        </is>
      </c>
    </row>
    <row r="38">
      <c r="A38" s="10" t="inlineStr">
        <is>
          <t>Grupo</t>
        </is>
      </c>
      <c r="B38" s="10" t="inlineStr">
        <is>
          <t>Columnas</t>
        </is>
      </c>
      <c r="C38" s="10" t="inlineStr">
        <is>
          <t>Aprobadas</t>
        </is>
      </c>
      <c r="D38" s="10" t="inlineStr">
        <is>
          <t>Pendientes</t>
        </is>
      </c>
      <c r="E38" s="10" t="inlineStr">
        <is>
          <t>% revisado</t>
        </is>
      </c>
    </row>
    <row r="39">
      <c r="A39" s="11" t="inlineStr">
        <is>
          <t>Confianza Alta</t>
        </is>
      </c>
      <c r="B39" s="11">
        <f>COUNTIF(Matriz!$S$2:$S$63,"Alta")</f>
        <v/>
      </c>
      <c r="C39" s="11">
        <f>COUNTIFS(Matriz!$S$2:$S$63,"Alta",Matriz!$V$2:$V$63,"Aprobada")+COUNTIFS(Matriz!$S$2:$S$63,"Alta",Matriz!$V$2:$V$63,"Aprobada con ajuste")</f>
        <v/>
      </c>
      <c r="D39" s="11">
        <f>COUNTIFS(Matriz!$S$2:$S$63,"Alta",Matriz!$V$2:$V$63,"Pendiente")</f>
        <v/>
      </c>
      <c r="E39" s="12">
        <f>IF(B39=0,0,(B39-D39)/B39)</f>
        <v/>
      </c>
    </row>
    <row r="40">
      <c r="A40" s="11" t="inlineStr">
        <is>
          <t>Confianza Media</t>
        </is>
      </c>
      <c r="B40" s="11">
        <f>COUNTIF(Matriz!$S$2:$S$63,"Media")</f>
        <v/>
      </c>
      <c r="C40" s="11">
        <f>COUNTIFS(Matriz!$S$2:$S$63,"Media",Matriz!$V$2:$V$63,"Aprobada")+COUNTIFS(Matriz!$S$2:$S$63,"Media",Matriz!$V$2:$V$63,"Aprobada con ajuste")</f>
        <v/>
      </c>
      <c r="D40" s="11">
        <f>COUNTIFS(Matriz!$S$2:$S$63,"Media",Matriz!$V$2:$V$63,"Pendiente")</f>
        <v/>
      </c>
      <c r="E40" s="12">
        <f>IF(B40=0,0,(B40-D40)/B40)</f>
        <v/>
      </c>
    </row>
    <row r="41">
      <c r="A41" s="11" t="inlineStr">
        <is>
          <t>Confianza Baja</t>
        </is>
      </c>
      <c r="B41" s="11">
        <f>COUNTIF(Matriz!$S$2:$S$63,"Baja")</f>
        <v/>
      </c>
      <c r="C41" s="11">
        <f>COUNTIFS(Matriz!$S$2:$S$63,"Baja",Matriz!$V$2:$V$63,"Aprobada")+COUNTIFS(Matriz!$S$2:$S$63,"Baja",Matriz!$V$2:$V$63,"Aprobada con ajuste")</f>
        <v/>
      </c>
      <c r="D41" s="11">
        <f>COUNTIFS(Matriz!$S$2:$S$63,"Baja",Matriz!$V$2:$V$63,"Pendiente")</f>
        <v/>
      </c>
      <c r="E41" s="12">
        <f>IF(B41=0,0,(B41-D41)/B41)</f>
        <v/>
      </c>
    </row>
    <row r="42">
      <c r="A42" s="11" t="inlineStr">
        <is>
          <t>Origen: Código fuente</t>
        </is>
      </c>
      <c r="B42" s="11">
        <f>COUNTIF(Matriz!$Q$2:$Q$63,"Código fuente")</f>
        <v/>
      </c>
      <c r="C42" s="11">
        <f>COUNTIFS(Matriz!$Q$2:$Q$63,"Código fuente",Matriz!$V$2:$V$63,"Aprobada")+COUNTIFS(Matriz!$Q$2:$Q$63,"Código fuente",Matriz!$V$2:$V$63,"Aprobada con ajuste")</f>
        <v/>
      </c>
      <c r="D42" s="11">
        <f>COUNTIFS(Matriz!$Q$2:$Q$63,"Código fuente",Matriz!$V$2:$V$63,"Pendiente")</f>
        <v/>
      </c>
      <c r="E42" s="12">
        <f>IF(B42=0,0,(B42-D42)/B42)</f>
        <v/>
      </c>
    </row>
    <row r="43">
      <c r="A43" s="11" t="inlineStr">
        <is>
          <t>Origen: Regla estructural</t>
        </is>
      </c>
      <c r="B43" s="11">
        <f>COUNTIF(Matriz!$Q$2:$Q$63,"Regla estructural")</f>
        <v/>
      </c>
      <c r="C43" s="11">
        <f>COUNTIFS(Matriz!$Q$2:$Q$63,"Regla estructural",Matriz!$V$2:$V$63,"Aprobada")+COUNTIFS(Matriz!$Q$2:$Q$63,"Regla estructural",Matriz!$V$2:$V$63,"Aprobada con ajuste")</f>
        <v/>
      </c>
      <c r="D43" s="11">
        <f>COUNTIFS(Matriz!$Q$2:$Q$63,"Regla estructural",Matriz!$V$2:$V$63,"Pendiente")</f>
        <v/>
      </c>
      <c r="E43" s="12">
        <f>IF(B43=0,0,(B43-D43)/B43)</f>
        <v/>
      </c>
    </row>
    <row r="44">
      <c r="A44" s="11" t="inlineStr">
        <is>
          <t>Origen: Propuesta semántica</t>
        </is>
      </c>
      <c r="B44" s="11">
        <f>COUNTIF(Matriz!$Q$2:$Q$63,"Propuesta semántica")</f>
        <v/>
      </c>
      <c r="C44" s="11">
        <f>COUNTIFS(Matriz!$Q$2:$Q$63,"Propuesta semántica",Matriz!$V$2:$V$63,"Aprobada")+COUNTIFS(Matriz!$Q$2:$Q$63,"Propuesta semántica",Matriz!$V$2:$V$63,"Aprobada con ajuste")</f>
        <v/>
      </c>
      <c r="D44" s="11">
        <f>COUNTIFS(Matriz!$Q$2:$Q$63,"Propuesta semántica",Matriz!$V$2:$V$63,"Pendiente")</f>
        <v/>
      </c>
      <c r="E44" s="12">
        <f>IF(B44=0,0,(B44-D44)/B44)</f>
        <v/>
      </c>
    </row>
    <row r="45">
      <c r="A45" s="11" t="inlineStr">
        <is>
          <t>Con evidencia en código</t>
        </is>
      </c>
      <c r="B45" s="11">
        <f>COUNTIF(Matriz!$P$2:$P$63,"?*")</f>
        <v/>
      </c>
      <c r="C45" s="11">
        <f>COUNTIFS(Matriz!$P$2:$P$63,"?*",Matriz!$V$2:$V$63,"Aprobada")+COUNTIFS(Matriz!$P$2:$P$63,"?*",Matriz!$V$2:$V$63,"Aprobada con ajuste")</f>
        <v/>
      </c>
      <c r="D45" s="11">
        <f>COUNTIFS(Matriz!$P$2:$P$63,"?*",Matriz!$V$2:$V$63,"Pendiente")</f>
        <v/>
      </c>
      <c r="E45" s="12">
        <f>IF(B45=0,0,(B45-D45)/B45)</f>
        <v/>
      </c>
    </row>
    <row r="46">
      <c r="A46" s="11" t="inlineStr">
        <is>
          <t>Usadas en lógica de la base</t>
        </is>
      </c>
      <c r="B46" s="11">
        <f>COUNTIF(Matriz!$M$2:$M$63,"Sí")</f>
        <v/>
      </c>
      <c r="C46" s="11">
        <f>COUNTIFS(Matriz!$M$2:$M$63,"Sí",Matriz!$V$2:$V$63,"Aprobada")+COUNTIFS(Matriz!$M$2:$M$63,"Sí",Matriz!$V$2:$V$63,"Aprobada con ajuste")</f>
        <v/>
      </c>
      <c r="D46" s="11">
        <f>COUNTIFS(Matriz!$M$2:$M$63,"Sí",Matriz!$V$2:$V$63,"Pendiente")</f>
        <v/>
      </c>
      <c r="E46" s="12">
        <f>IF(B46=0,0,(B46-D46)/B46)</f>
        <v/>
      </c>
    </row>
    <row r="47">
      <c r="A47" s="11" t="inlineStr">
        <is>
          <t>Relacionadas con catálogo</t>
        </is>
      </c>
      <c r="B47" s="11">
        <f>COUNTIF(Matriz!$L$2:$L$63,"Sí")</f>
        <v/>
      </c>
      <c r="C47" s="11">
        <f>COUNTIFS(Matriz!$L$2:$L$63,"Sí",Matriz!$V$2:$V$63,"Aprobada")+COUNTIFS(Matriz!$L$2:$L$63,"Sí",Matriz!$V$2:$V$63,"Aprobada con ajuste")</f>
        <v/>
      </c>
      <c r="D47" s="11">
        <f>COUNTIFS(Matriz!$L$2:$L$63,"Sí",Matriz!$V$2:$V$63,"Pendiente")</f>
        <v/>
      </c>
      <c r="E47" s="12">
        <f>IF(B47=0,0,(B47-D47)/B47)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63"/>
  <sheetViews>
    <sheetView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8" customWidth="1" min="3" max="3"/>
    <col width="24" customWidth="1" min="4" max="4"/>
    <col width="9" customWidth="1" min="5" max="5"/>
    <col width="24" customWidth="1" min="6" max="6"/>
    <col width="18" customWidth="1" min="7" max="7"/>
    <col width="8" customWidth="1" min="8" max="8"/>
    <col width="16" customWidth="1" min="9" max="9"/>
    <col width="26" customWidth="1" min="10" max="10"/>
    <col width="26" customWidth="1" min="11" max="11"/>
    <col width="9" customWidth="1" min="12" max="12"/>
    <col width="9" customWidth="1" min="13" max="13"/>
    <col width="40" customWidth="1" min="14" max="14"/>
    <col width="18" customWidth="1" min="15" max="15"/>
    <col width="50" customWidth="1" min="16" max="16"/>
    <col width="13" customWidth="1" min="17" max="17"/>
    <col width="46" customWidth="1" min="18" max="18"/>
    <col width="10" customWidth="1" min="19" max="19"/>
    <col width="34" customWidth="1" min="20" max="20"/>
    <col width="34" customWidth="1" min="21" max="21"/>
    <col width="18" customWidth="1" min="22" max="22"/>
    <col width="40" customWidth="1" min="23" max="23"/>
    <col width="16" customWidth="1" min="24" max="24"/>
    <col width="12" customWidth="1" min="25" max="25"/>
    <col width="30" customWidth="1" min="26" max="26"/>
    <col width="40" customWidth="1" min="27" max="27"/>
  </cols>
  <sheetData>
    <row r="1" ht="34" customHeight="1">
      <c r="A1" s="16" t="inlineStr">
        <is>
          <t>ID</t>
        </is>
      </c>
      <c r="B1" s="16" t="inlineStr">
        <is>
          <t>Dominio</t>
        </is>
      </c>
      <c r="C1" s="16" t="inlineStr">
        <is>
          <t>Esquema</t>
        </is>
      </c>
      <c r="D1" s="16" t="inlineStr">
        <is>
          <t>Tabla</t>
        </is>
      </c>
      <c r="E1" s="16" t="inlineStr">
        <is>
          <t>Filas en QA</t>
        </is>
      </c>
      <c r="F1" s="16" t="inlineStr">
        <is>
          <t>Columna</t>
        </is>
      </c>
      <c r="G1" s="16" t="inlineStr">
        <is>
          <t>Tipo de dato</t>
        </is>
      </c>
      <c r="H1" s="16" t="inlineStr">
        <is>
          <t>Admite nulos</t>
        </is>
      </c>
      <c r="I1" s="16" t="inlineStr">
        <is>
          <t>Restricciones</t>
        </is>
      </c>
      <c r="J1" s="16" t="inlineStr">
        <is>
          <t>Valores permitidos</t>
        </is>
      </c>
      <c r="K1" s="16" t="inlineStr">
        <is>
          <t>Referencia (FK)</t>
        </is>
      </c>
      <c r="L1" s="16" t="inlineStr">
        <is>
          <t>Catálogo</t>
        </is>
      </c>
      <c r="M1" s="16" t="inlineStr">
        <is>
          <t>Uso en lógica</t>
        </is>
      </c>
      <c r="N1" s="16" t="inlineStr">
        <is>
          <t>Detalle del uso</t>
        </is>
      </c>
      <c r="O1" s="16" t="inlineStr">
        <is>
          <t>Índices</t>
        </is>
      </c>
      <c r="P1" s="16" t="inlineStr">
        <is>
          <t>Evidencia en código</t>
        </is>
      </c>
      <c r="Q1" s="16" t="inlineStr">
        <is>
          <t>Origen</t>
        </is>
      </c>
      <c r="R1" s="16" t="inlineStr">
        <is>
          <t>Propuesta de descripción</t>
        </is>
      </c>
      <c r="S1" s="16" t="inlineStr">
        <is>
          <t>Confianza</t>
        </is>
      </c>
      <c r="T1" s="16" t="inlineStr">
        <is>
          <t>Fundamento</t>
        </is>
      </c>
      <c r="U1" s="16" t="inlineStr">
        <is>
          <t>Pregunta para desarrollo</t>
        </is>
      </c>
      <c r="V1" s="17" t="inlineStr">
        <is>
          <t>Decisión</t>
        </is>
      </c>
      <c r="W1" s="17" t="inlineStr">
        <is>
          <t>Descripción final</t>
        </is>
      </c>
      <c r="X1" s="17" t="inlineStr">
        <is>
          <t>Revisado por</t>
        </is>
      </c>
      <c r="Y1" s="17" t="inlineStr">
        <is>
          <t>Fecha de revisión</t>
        </is>
      </c>
      <c r="Z1" s="17" t="inlineStr">
        <is>
          <t>Observaciones</t>
        </is>
      </c>
      <c r="AA1" s="17" t="inlineStr">
        <is>
          <t>Descripción a registrar</t>
        </is>
      </c>
    </row>
    <row r="2">
      <c r="A2" s="18" t="inlineStr">
        <is>
          <t>C0001</t>
        </is>
      </c>
      <c r="B2" s="18" t="inlineStr">
        <is>
          <t>Programación académica</t>
        </is>
      </c>
      <c r="C2" s="18" t="inlineStr">
        <is>
          <t>academic-schedule</t>
        </is>
      </c>
      <c r="D2" s="18" t="inlineStr">
        <is>
          <t>aula</t>
        </is>
      </c>
      <c r="E2" s="18" t="n">
        <v>28</v>
      </c>
      <c r="F2" s="18" t="inlineStr">
        <is>
          <t>piso</t>
        </is>
      </c>
      <c r="G2" s="18" t="inlineStr">
        <is>
          <t>smallint</t>
        </is>
      </c>
      <c r="H2" s="18" t="inlineStr">
        <is>
          <t>Sí</t>
        </is>
      </c>
      <c r="I2" s="18" t="inlineStr"/>
      <c r="J2" s="18" t="inlineStr"/>
      <c r="K2" s="18" t="inlineStr"/>
      <c r="L2" s="18" t="inlineStr">
        <is>
          <t>No</t>
        </is>
      </c>
      <c r="M2" s="18" t="inlineStr">
        <is>
          <t>No</t>
        </is>
      </c>
      <c r="N2" s="18" t="inlineStr"/>
      <c r="O2" s="18" t="inlineStr"/>
      <c r="P2" s="18" t="inlineStr"/>
      <c r="Q2" s="18" t="inlineStr">
        <is>
          <t>Código fuente (verificado)</t>
        </is>
      </c>
      <c r="R2" s="18" t="inlineStr">
        <is>
          <t>Número del piso en que se ubica el aula. Se digita al crear o editar el aula; vacío en los auditorios.</t>
        </is>
      </c>
      <c r="S2" s="18" t="inlineStr">
        <is>
          <t>Media</t>
        </is>
      </c>
      <c r="T2" s="18" t="inlineStr">
        <is>
          <t>academic-schedule-service/db/migrations/019_aulas_reales.sql:22: columna SMALLINT sin CHECK | academic-schedule-service/db/migrations/019_aulas_reales.sql:55-82: aulas con piso 1 a 3 y auditorios con piso NULL | academic-schedule-service/src/aulas/aulas.service.ts:308-322: la validación no restringe el piso</t>
        </is>
      </c>
      <c r="U2" s="18" t="inlineStr">
        <is>
          <t>¿Cómo se registran sótanos o mezzanines (valores negativos, cero)? El código no valida rango para piso.</t>
        </is>
      </c>
      <c r="V2" s="19" t="inlineStr">
        <is>
          <t>Aprobada</t>
        </is>
      </c>
      <c r="W2" s="19" t="inlineStr"/>
      <c r="X2" s="19" t="inlineStr">
        <is>
          <t>Aldair González (validación del responsable de BD)</t>
        </is>
      </c>
      <c r="Y2" s="20" t="n">
        <v>46317</v>
      </c>
      <c r="Z2" s="19" t="inlineStr">
        <is>
          <t>Nivel 3: el código no resuelve la pregunta; queda para desarrollo. Validada por decisión del responsable de la base de datos. Pregunta registrada para desarrollo: ¿Cómo se registran sótanos o mezzanines (valores negativos, cero)? El código no valida rango para piso.</t>
        </is>
      </c>
      <c r="AA2" s="18">
        <f>IF(OR(V2="Aprobada"),R2,IF(AND(OR(V2="Aprobada con ajuste",V2="Rechazada"),W2&lt;&gt;""),W2,""))</f>
        <v/>
      </c>
    </row>
    <row r="3">
      <c r="A3" s="18" t="inlineStr">
        <is>
          <t>C0002</t>
        </is>
      </c>
      <c r="B3" s="18" t="inlineStr">
        <is>
          <t>Programación académica</t>
        </is>
      </c>
      <c r="C3" s="18" t="inlineStr">
        <is>
          <t>academic-schedule</t>
        </is>
      </c>
      <c r="D3" s="18" t="inlineStr">
        <is>
          <t>franja_horaria</t>
        </is>
      </c>
      <c r="E3" s="18" t="n">
        <v>5</v>
      </c>
      <c r="F3" s="18" t="inlineStr">
        <is>
          <t>sede_codigo</t>
        </is>
      </c>
      <c r="G3" s="18" t="inlineStr">
        <is>
          <t>character varying(50)</t>
        </is>
      </c>
      <c r="H3" s="18" t="inlineStr">
        <is>
          <t>Sí</t>
        </is>
      </c>
      <c r="I3" s="18" t="inlineStr"/>
      <c r="J3" s="18" t="inlineStr"/>
      <c r="K3" s="18" t="inlineStr"/>
      <c r="L3" s="18" t="inlineStr">
        <is>
          <t>No</t>
        </is>
      </c>
      <c r="M3" s="18" t="inlineStr">
        <is>
          <t>No</t>
        </is>
      </c>
      <c r="N3" s="18" t="inlineStr"/>
      <c r="O3" s="18" t="inlineStr"/>
      <c r="P3" s="18" t="inlineStr">
        <is>
          <t>academic-schedule-service/src/horarios/franja-horaria.entity.ts:52: Nullable: el horario se define antes de asignar salón.</t>
        </is>
      </c>
      <c r="Q3" s="18" t="inlineStr">
        <is>
          <t>Código fuente (verificado)</t>
        </is>
      </c>
      <c r="R3" s="18" t="inlineStr">
        <is>
          <t>Código de la sede donde se dicta la franja. Queda vacío mientras no se asigna salón, porque el horario se define antes.</t>
        </is>
      </c>
      <c r="S3" s="18" t="inlineStr">
        <is>
          <t>Media</t>
        </is>
      </c>
      <c r="T3" s="18" t="inlineStr">
        <is>
          <t>academic-schedule-service/db/migrations/008_franja_tipo_sesion_y_periodo_grupo.sql:49-52: DROP NOT NULL, el aula se asigna después | academic-schedule-service/src/horarios/horarios.service.ts:226: se toma del DTO sin validar | academic-schedule-service/src/aulas/aulas.service.ts:148: para aula, sede_codigo se cruza con academic_work_plan.direccion_territorial.codigo</t>
        </is>
      </c>
      <c r="U3" s="18" t="inlineStr">
        <is>
          <t>¿El sede_codigo de la franja corresponde a academic_work_plan.direccion_territorial.codigo, como el de aula? El código de franjas no lo valida.</t>
        </is>
      </c>
      <c r="V3" s="19" t="inlineStr">
        <is>
          <t>Aprobada</t>
        </is>
      </c>
      <c r="W3" s="19" t="inlineStr"/>
      <c r="X3" s="19" t="inlineStr">
        <is>
          <t>Aldair González (validación del responsable de BD)</t>
        </is>
      </c>
      <c r="Y3" s="20" t="n">
        <v>46317</v>
      </c>
      <c r="Z3" s="19" t="inlineStr">
        <is>
          <t>Nivel 3: el código no resuelve la pregunta; queda para desarrollo. Validada por decisión del responsable de la base de datos. Pregunta registrada para desarrollo: ¿El sede_codigo de la franja corresponde a academic_work_plan.direccion_territorial.codigo, como el de aula? El código de franjas no lo valida.</t>
        </is>
      </c>
      <c r="AA3" s="18">
        <f>IF(OR(V3="Aprobada"),R3,IF(AND(OR(V3="Aprobada con ajuste",V3="Rechazada"),W3&lt;&gt;""),W3,""))</f>
        <v/>
      </c>
    </row>
    <row r="4">
      <c r="A4" s="18" t="inlineStr">
        <is>
          <t>C0003</t>
        </is>
      </c>
      <c r="B4" s="18" t="inlineStr">
        <is>
          <t>Programación académica</t>
        </is>
      </c>
      <c r="C4" s="18" t="inlineStr">
        <is>
          <t>academic-schedule</t>
        </is>
      </c>
      <c r="D4" s="18" t="inlineStr">
        <is>
          <t>franja_horaria</t>
        </is>
      </c>
      <c r="E4" s="18" t="n">
        <v>5</v>
      </c>
      <c r="F4" s="18" t="inlineStr">
        <is>
          <t>cupo_maximo</t>
        </is>
      </c>
      <c r="G4" s="18" t="inlineStr">
        <is>
          <t>integer</t>
        </is>
      </c>
      <c r="H4" s="18" t="inlineStr">
        <is>
          <t>Sí</t>
        </is>
      </c>
      <c r="I4" s="18" t="inlineStr"/>
      <c r="J4" s="18" t="inlineStr"/>
      <c r="K4" s="18" t="inlineStr"/>
      <c r="L4" s="18" t="inlineStr">
        <is>
          <t>No</t>
        </is>
      </c>
      <c r="M4" s="18" t="inlineStr">
        <is>
          <t>No</t>
        </is>
      </c>
      <c r="N4" s="18" t="inlineStr"/>
      <c r="O4" s="18" t="inlineStr"/>
      <c r="P4" s="18" t="inlineStr"/>
      <c r="Q4" s="18" t="inlineStr">
        <is>
          <t>Código fuente (verificado)</t>
        </is>
      </c>
      <c r="R4" s="18" t="inlineStr">
        <is>
          <t>Número máximo de estudiantes de la franja. Por defecto, 30.</t>
        </is>
      </c>
      <c r="S4" s="18" t="inlineStr">
        <is>
          <t>Media</t>
        </is>
      </c>
      <c r="T4" s="18" t="inlineStr">
        <is>
          <t>academic-schedule-service/db/migrations/001_create_academic_schedule_schema.sql:36: cupo_maximo INT DEFAULT 30 | academic-schedule-service/src/horarios/franja-horaria.entity.ts: la entidad no mapea cupo_maximo | academic-schedule-service/src/grupos/grupos.service.ts:106,162-166: el cupo se gestiona en grupo</t>
        </is>
      </c>
      <c r="U4" s="18" t="inlineStr">
        <is>
          <t>El servicio no lee ni escribe franja_horaria.cupo_maximo (solo grupo.cupo_maximo): ¿la columna sigue en uso o es residual?</t>
        </is>
      </c>
      <c r="V4" s="19" t="inlineStr">
        <is>
          <t>Aprobada</t>
        </is>
      </c>
      <c r="W4" s="19" t="inlineStr"/>
      <c r="X4" s="19" t="inlineStr">
        <is>
          <t>Aldair González (validación del responsable de BD)</t>
        </is>
      </c>
      <c r="Y4" s="20" t="n">
        <v>46317</v>
      </c>
      <c r="Z4" s="19" t="inlineStr">
        <is>
          <t>Nivel 3: el código no resuelve la pregunta; queda para desarrollo. Validada por decisión del responsable de la base de datos. Pregunta registrada para desarrollo: El servicio no lee ni escribe franja_horaria.cupo_maximo (solo grupo.cupo_maximo): ¿la columna sigue en uso o es residual?</t>
        </is>
      </c>
      <c r="AA4" s="18">
        <f>IF(OR(V4="Aprobada"),R4,IF(AND(OR(V4="Aprobada con ajuste",V4="Rechazada"),W4&lt;&gt;""),W4,""))</f>
        <v/>
      </c>
    </row>
    <row r="5">
      <c r="A5" s="18" t="inlineStr">
        <is>
          <t>C0004</t>
        </is>
      </c>
      <c r="B5" s="18" t="inlineStr">
        <is>
          <t>Programación académica</t>
        </is>
      </c>
      <c r="C5" s="18" t="inlineStr">
        <is>
          <t>academic-schedule</t>
        </is>
      </c>
      <c r="D5" s="18" t="inlineStr">
        <is>
          <t>grupo</t>
        </is>
      </c>
      <c r="E5" s="18" t="n">
        <v>2</v>
      </c>
      <c r="F5" s="18" t="inlineStr">
        <is>
          <t>numero_grupo</t>
        </is>
      </c>
      <c r="G5" s="18" t="inlineStr">
        <is>
          <t>smallint</t>
        </is>
      </c>
      <c r="H5" s="18" t="inlineStr">
        <is>
          <t>No</t>
        </is>
      </c>
      <c r="I5" s="18" t="inlineStr">
        <is>
          <t>CHECK</t>
        </is>
      </c>
      <c r="J5" s="18" t="inlineStr"/>
      <c r="K5" s="18" t="inlineStr"/>
      <c r="L5" s="18" t="inlineStr">
        <is>
          <t>No</t>
        </is>
      </c>
      <c r="M5" s="18" t="inlineStr">
        <is>
          <t>No</t>
        </is>
      </c>
      <c r="N5" s="18" t="inlineStr"/>
      <c r="O5" s="18" t="inlineStr">
        <is>
          <t>uq_grupo_numero_plataforma, uq_grupo_numero_por_asignatura_periodo</t>
        </is>
      </c>
      <c r="P5" s="18" t="inlineStr">
        <is>
          <t>academic-schedule-service/db/migrations/005_create_grupo.sql:29: Numeración secuencial dentro de (asignatura, periodo). La estrategia que la calcula está aislada en el servicio y es reemplazable: la regla definitiva sigue pendiente de confirmación con las decanaturas (bloqueo B-4).</t>
        </is>
      </c>
      <c r="Q5" s="18" t="inlineStr">
        <is>
          <t>Código fuente (verificado)</t>
        </is>
      </c>
      <c r="R5" s="18" t="inlineStr">
        <is>
          <t>Número secuencial del grupo dentro de la asignatura y el periodo, mayor que cero. Hoy se asigna como el siguiente al mayor existente, sin reutilizar huecos.</t>
        </is>
      </c>
      <c r="S5" s="18" t="inlineStr">
        <is>
          <t>Media</t>
        </is>
      </c>
      <c r="T5" s="18" t="inlineStr">
        <is>
          <t>academic-schedule-service/src/grupos/numeracion-grupo.ts:2-24: secuencial simple, no reutiliza huecos; regla aislada por bloqueo B-4 | academic-schedule-service/db/migrations/005_create_grupo.sql:29</t>
        </is>
      </c>
      <c r="U5" s="18" t="inlineStr">
        <is>
          <t>La regla definitiva de numeración sigue pendiente con las decanaturas (bloqueo B-4): ¿cuál es?</t>
        </is>
      </c>
      <c r="V5" s="19" t="inlineStr">
        <is>
          <t>Aprobada</t>
        </is>
      </c>
      <c r="W5" s="19" t="inlineStr"/>
      <c r="X5" s="19" t="inlineStr">
        <is>
          <t>Aldair González (validación del responsable de BD)</t>
        </is>
      </c>
      <c r="Y5" s="20" t="n">
        <v>46317</v>
      </c>
      <c r="Z5" s="19" t="inlineStr">
        <is>
          <t>Nivel 3: el código no resuelve la pregunta; queda para desarrollo. Validada por decisión del responsable de la base de datos. Pregunta registrada para desarrollo: La regla definitiva de numeración sigue pendiente con las decanaturas (bloqueo B-4): ¿cuál es?</t>
        </is>
      </c>
      <c r="AA5" s="18">
        <f>IF(OR(V5="Aprobada"),R5,IF(AND(OR(V5="Aprobada con ajuste",V5="Rechazada"),W5&lt;&gt;""),W5,""))</f>
        <v/>
      </c>
    </row>
    <row r="6">
      <c r="A6" s="18" t="inlineStr">
        <is>
          <t>C0005</t>
        </is>
      </c>
      <c r="B6" s="18" t="inlineStr">
        <is>
          <t>Programación académica</t>
        </is>
      </c>
      <c r="C6" s="18" t="inlineStr">
        <is>
          <t>academic-schedule</t>
        </is>
      </c>
      <c r="D6" s="18" t="inlineStr">
        <is>
          <t>programacion_historica</t>
        </is>
      </c>
      <c r="E6" s="18" t="n">
        <v>575</v>
      </c>
      <c r="F6" s="18" t="inlineStr">
        <is>
          <t>tipo_oferta</t>
        </is>
      </c>
      <c r="G6" s="18" t="inlineStr">
        <is>
          <t>character varying(40)</t>
        </is>
      </c>
      <c r="H6" s="18" t="inlineStr">
        <is>
          <t>Sí</t>
        </is>
      </c>
      <c r="I6" s="18" t="inlineStr"/>
      <c r="J6" s="18" t="inlineStr"/>
      <c r="K6" s="18" t="inlineStr"/>
      <c r="L6" s="18" t="inlineStr">
        <is>
          <t>No</t>
        </is>
      </c>
      <c r="M6" s="18" t="inlineStr">
        <is>
          <t>No</t>
        </is>
      </c>
      <c r="N6" s="18" t="inlineStr"/>
      <c r="O6" s="18" t="inlineStr"/>
      <c r="P6" s="18" t="inlineStr"/>
      <c r="Q6" s="18" t="inlineStr">
        <is>
          <t>Propuesta semántica</t>
        </is>
      </c>
      <c r="R6" s="18" t="inlineStr">
        <is>
          <t>Tipo de oferta de la programación, tal como llegó en la programación histórica.</t>
        </is>
      </c>
      <c r="S6" s="18" t="inlineStr">
        <is>
          <t>Media</t>
        </is>
      </c>
      <c r="T6" s="18" t="inlineStr">
        <is>
          <t>nombre + columna homónima en grupo</t>
        </is>
      </c>
      <c r="U6" s="18" t="inlineStr">
        <is>
          <t>¿Usa los mismos valores que grupo.tipo_oferta o los de la fuente original?</t>
        </is>
      </c>
      <c r="V6" s="19" t="inlineStr">
        <is>
          <t>Aprobada</t>
        </is>
      </c>
      <c r="W6" s="19" t="inlineStr"/>
      <c r="X6" s="19" t="inlineStr">
        <is>
          <t>Aldair González (validación del responsable de BD)</t>
        </is>
      </c>
      <c r="Y6" s="20" t="n">
        <v>46317</v>
      </c>
      <c r="Z6" s="19" t="inlineStr">
        <is>
          <t>Nivel 3: la evidencia disponible proviene de un archivo de carga de datos; confirmar la descripción con desarrollo. Validada por decisión del responsable de la base de datos.</t>
        </is>
      </c>
      <c r="AA6" s="18">
        <f>IF(OR(V6="Aprobada"),R6,IF(AND(OR(V6="Aprobada con ajuste",V6="Rechazada"),W6&lt;&gt;""),W6,""))</f>
        <v/>
      </c>
    </row>
    <row r="7">
      <c r="A7" s="18" t="inlineStr">
        <is>
          <t>C0006</t>
        </is>
      </c>
      <c r="B7" s="18" t="inlineStr">
        <is>
          <t>Programación académica</t>
        </is>
      </c>
      <c r="C7" s="18" t="inlineStr">
        <is>
          <t>academic-schedule</t>
        </is>
      </c>
      <c r="D7" s="18" t="inlineStr">
        <is>
          <t>programacion_historica</t>
        </is>
      </c>
      <c r="E7" s="18" t="n">
        <v>575</v>
      </c>
      <c r="F7" s="18" t="inlineStr">
        <is>
          <t>pensum</t>
        </is>
      </c>
      <c r="G7" s="18" t="inlineStr">
        <is>
          <t>character varying(10)</t>
        </is>
      </c>
      <c r="H7" s="18" t="inlineStr">
        <is>
          <t>Sí</t>
        </is>
      </c>
      <c r="I7" s="18" t="inlineStr"/>
      <c r="J7" s="18" t="inlineStr"/>
      <c r="K7" s="18" t="inlineStr"/>
      <c r="L7" s="18" t="inlineStr">
        <is>
          <t>No</t>
        </is>
      </c>
      <c r="M7" s="18" t="inlineStr">
        <is>
          <t>No</t>
        </is>
      </c>
      <c r="N7" s="18" t="inlineStr"/>
      <c r="O7" s="18" t="inlineStr"/>
      <c r="P7" s="18" t="inlineStr"/>
      <c r="Q7" s="18" t="inlineStr">
        <is>
          <t>Propuesta semántica</t>
        </is>
      </c>
      <c r="R7" s="18" t="inlineStr">
        <is>
          <t>Código del pensum (plan de estudios), tal como llegó en la programación histórica.</t>
        </is>
      </c>
      <c r="S7" s="18" t="inlineStr">
        <is>
          <t>Media</t>
        </is>
      </c>
      <c r="T7" s="18" t="inlineStr">
        <is>
          <t>nombre + descripción de la tabla (PROGRAMA_PENSUM)</t>
        </is>
      </c>
      <c r="U7" s="18" t="inlineStr">
        <is>
          <t>¿Es el código o la versión del pensum?</t>
        </is>
      </c>
      <c r="V7" s="19" t="inlineStr">
        <is>
          <t>Aprobada</t>
        </is>
      </c>
      <c r="W7" s="19" t="inlineStr"/>
      <c r="X7" s="19" t="inlineStr">
        <is>
          <t>Aldair González (validación del responsable de BD)</t>
        </is>
      </c>
      <c r="Y7" s="20" t="n">
        <v>46317</v>
      </c>
      <c r="Z7" s="19" t="inlineStr">
        <is>
          <t>Nivel 3: la evidencia disponible proviene de un archivo de carga de datos; confirmar la descripción con desarrollo. Validada por decisión del responsable de la base de datos.</t>
        </is>
      </c>
      <c r="AA7" s="18">
        <f>IF(OR(V7="Aprobada"),R7,IF(AND(OR(V7="Aprobada con ajuste",V7="Rechazada"),W7&lt;&gt;""),W7,""))</f>
        <v/>
      </c>
    </row>
    <row r="8">
      <c r="A8" s="18" t="inlineStr">
        <is>
          <t>C0007</t>
        </is>
      </c>
      <c r="B8" s="18" t="inlineStr">
        <is>
          <t>Programación académica</t>
        </is>
      </c>
      <c r="C8" s="18" t="inlineStr">
        <is>
          <t>academic-schedule</t>
        </is>
      </c>
      <c r="D8" s="18" t="inlineStr">
        <is>
          <t>programacion_historica</t>
        </is>
      </c>
      <c r="E8" s="18" t="n">
        <v>575</v>
      </c>
      <c r="F8" s="18" t="inlineStr">
        <is>
          <t>programa</t>
        </is>
      </c>
      <c r="G8" s="18" t="inlineStr">
        <is>
          <t>character varying(20)</t>
        </is>
      </c>
      <c r="H8" s="18" t="inlineStr">
        <is>
          <t>Sí</t>
        </is>
      </c>
      <c r="I8" s="18" t="inlineStr"/>
      <c r="J8" s="18" t="inlineStr"/>
      <c r="K8" s="18" t="inlineStr"/>
      <c r="L8" s="18" t="inlineStr">
        <is>
          <t>No</t>
        </is>
      </c>
      <c r="M8" s="18" t="inlineStr">
        <is>
          <t>No</t>
        </is>
      </c>
      <c r="N8" s="18" t="inlineStr"/>
      <c r="O8" s="18" t="inlineStr"/>
      <c r="P8" s="18" t="inlineStr"/>
      <c r="Q8" s="18" t="inlineStr">
        <is>
          <t>Propuesta semántica</t>
        </is>
      </c>
      <c r="R8" s="18" t="inlineStr">
        <is>
          <t>Código del programa académico, tal como llegó en la programación histórica.</t>
        </is>
      </c>
      <c r="S8" s="18" t="inlineStr">
        <is>
          <t>Media</t>
        </is>
      </c>
      <c r="T8" s="18" t="inlineStr">
        <is>
          <t>nombre + tipo varchar(20) + descripción de la tabla</t>
        </is>
      </c>
      <c r="U8" s="18" t="inlineStr">
        <is>
          <t>¿Es un código o una sigla del programa?</t>
        </is>
      </c>
      <c r="V8" s="19" t="inlineStr">
        <is>
          <t>Aprobada</t>
        </is>
      </c>
      <c r="W8" s="19" t="inlineStr"/>
      <c r="X8" s="19" t="inlineStr">
        <is>
          <t>Aldair González (validación del responsable de BD)</t>
        </is>
      </c>
      <c r="Y8" s="20" t="n">
        <v>46317</v>
      </c>
      <c r="Z8" s="19" t="inlineStr">
        <is>
          <t>Nivel 3: la evidencia disponible proviene de un archivo de carga de datos; confirmar la descripción con desarrollo. Validada por decisión del responsable de la base de datos.</t>
        </is>
      </c>
      <c r="AA8" s="18">
        <f>IF(OR(V8="Aprobada"),R8,IF(AND(OR(V8="Aprobada con ajuste",V8="Rechazada"),W8&lt;&gt;""),W8,""))</f>
        <v/>
      </c>
    </row>
    <row r="9">
      <c r="A9" s="18" t="inlineStr">
        <is>
          <t>C0008</t>
        </is>
      </c>
      <c r="B9" s="18" t="inlineStr">
        <is>
          <t>Programación académica</t>
        </is>
      </c>
      <c r="C9" s="18" t="inlineStr">
        <is>
          <t>academic-schedule</t>
        </is>
      </c>
      <c r="D9" s="18" t="inlineStr">
        <is>
          <t>programacion_historica</t>
        </is>
      </c>
      <c r="E9" s="18" t="n">
        <v>575</v>
      </c>
      <c r="F9" s="18" t="inlineStr">
        <is>
          <t>detalle_asignatura</t>
        </is>
      </c>
      <c r="G9" s="18" t="inlineStr">
        <is>
          <t>text</t>
        </is>
      </c>
      <c r="H9" s="18" t="inlineStr">
        <is>
          <t>Sí</t>
        </is>
      </c>
      <c r="I9" s="18" t="inlineStr"/>
      <c r="J9" s="18" t="inlineStr"/>
      <c r="K9" s="18" t="inlineStr"/>
      <c r="L9" s="18" t="inlineStr">
        <is>
          <t>No</t>
        </is>
      </c>
      <c r="M9" s="18" t="inlineStr">
        <is>
          <t>No</t>
        </is>
      </c>
      <c r="N9" s="18" t="inlineStr"/>
      <c r="O9" s="18" t="inlineStr"/>
      <c r="P9" s="18" t="inlineStr"/>
      <c r="Q9" s="18" t="inlineStr">
        <is>
          <t>Propuesta semántica</t>
        </is>
      </c>
      <c r="R9" s="18" t="inlineStr">
        <is>
          <t>Texto adicional que describe la asignatura, tal como llegó en la programación histórica.</t>
        </is>
      </c>
      <c r="S9" s="18" t="inlineStr">
        <is>
          <t>Media</t>
        </is>
      </c>
      <c r="T9" s="18" t="inlineStr">
        <is>
          <t>nombre + tipo text</t>
        </is>
      </c>
      <c r="U9" s="18" t="inlineStr">
        <is>
          <t>¿Qué contiene (contenido, modalidad, observaciones)?</t>
        </is>
      </c>
      <c r="V9" s="19" t="inlineStr">
        <is>
          <t>Aprobada</t>
        </is>
      </c>
      <c r="W9" s="19" t="inlineStr"/>
      <c r="X9" s="19" t="inlineStr">
        <is>
          <t>Aldair González (validación del responsable de BD)</t>
        </is>
      </c>
      <c r="Y9" s="20" t="n">
        <v>46317</v>
      </c>
      <c r="Z9" s="19" t="inlineStr">
        <is>
          <t>Nivel 3: la evidencia disponible proviene de un archivo de carga de datos; confirmar la descripción con desarrollo. Validada por decisión del responsable de la base de datos.</t>
        </is>
      </c>
      <c r="AA9" s="18">
        <f>IF(OR(V9="Aprobada"),R9,IF(AND(OR(V9="Aprobada con ajuste",V9="Rechazada"),W9&lt;&gt;""),W9,""))</f>
        <v/>
      </c>
    </row>
    <row r="10">
      <c r="A10" s="18" t="inlineStr">
        <is>
          <t>C0009</t>
        </is>
      </c>
      <c r="B10" s="18" t="inlineStr">
        <is>
          <t>Programación académica</t>
        </is>
      </c>
      <c r="C10" s="18" t="inlineStr">
        <is>
          <t>academic-schedule</t>
        </is>
      </c>
      <c r="D10" s="18" t="inlineStr">
        <is>
          <t>programacion_historica</t>
        </is>
      </c>
      <c r="E10" s="18" t="n">
        <v>575</v>
      </c>
      <c r="F10" s="18" t="inlineStr">
        <is>
          <t>horas</t>
        </is>
      </c>
      <c r="G10" s="18" t="inlineStr">
        <is>
          <t>smallint</t>
        </is>
      </c>
      <c r="H10" s="18" t="inlineStr">
        <is>
          <t>Sí</t>
        </is>
      </c>
      <c r="I10" s="18" t="inlineStr"/>
      <c r="J10" s="18" t="inlineStr"/>
      <c r="K10" s="18" t="inlineStr"/>
      <c r="L10" s="18" t="inlineStr">
        <is>
          <t>No</t>
        </is>
      </c>
      <c r="M10" s="18" t="inlineStr">
        <is>
          <t>No</t>
        </is>
      </c>
      <c r="N10" s="18" t="inlineStr"/>
      <c r="O10" s="18" t="inlineStr"/>
      <c r="P10" s="18" t="inlineStr"/>
      <c r="Q10" s="18" t="inlineStr">
        <is>
          <t>Propuesta semántica</t>
        </is>
      </c>
      <c r="R10" s="18" t="inlineStr">
        <is>
          <t>Número de horas de la asignatura.</t>
        </is>
      </c>
      <c r="S10" s="18" t="inlineStr">
        <is>
          <t>Media</t>
        </is>
      </c>
      <c r="T10" s="18" t="inlineStr">
        <is>
          <t>nombre + tipo smallint + columna vecina hrs_clase</t>
        </is>
      </c>
      <c r="U10" s="18" t="inlineStr">
        <is>
          <t>¿Son horas totales del periodo o semanales? ¿En qué se diferencia de hrs_clase?</t>
        </is>
      </c>
      <c r="V10" s="19" t="inlineStr">
        <is>
          <t>Aprobada</t>
        </is>
      </c>
      <c r="W10" s="19" t="inlineStr"/>
      <c r="X10" s="19" t="inlineStr">
        <is>
          <t>Aldair González (validación del responsable de BD)</t>
        </is>
      </c>
      <c r="Y10" s="20" t="n">
        <v>46317</v>
      </c>
      <c r="Z10" s="19" t="inlineStr">
        <is>
          <t>Nivel 3: la evidencia disponible proviene de un archivo de carga de datos; confirmar la descripción con desarrollo. Validada por decisión del responsable de la base de datos.</t>
        </is>
      </c>
      <c r="AA10" s="18">
        <f>IF(OR(V10="Aprobada"),R10,IF(AND(OR(V10="Aprobada con ajuste",V10="Rechazada"),W10&lt;&gt;""),W10,""))</f>
        <v/>
      </c>
    </row>
    <row r="11">
      <c r="A11" s="18" t="inlineStr">
        <is>
          <t>C0010</t>
        </is>
      </c>
      <c r="B11" s="18" t="inlineStr">
        <is>
          <t>Programación académica</t>
        </is>
      </c>
      <c r="C11" s="18" t="inlineStr">
        <is>
          <t>academic-schedule</t>
        </is>
      </c>
      <c r="D11" s="18" t="inlineStr">
        <is>
          <t>programacion_historica</t>
        </is>
      </c>
      <c r="E11" s="18" t="n">
        <v>575</v>
      </c>
      <c r="F11" s="18" t="inlineStr">
        <is>
          <t>vinculacion_docente</t>
        </is>
      </c>
      <c r="G11" s="18" t="inlineStr">
        <is>
          <t>character varying(40)</t>
        </is>
      </c>
      <c r="H11" s="18" t="inlineStr">
        <is>
          <t>Sí</t>
        </is>
      </c>
      <c r="I11" s="18" t="inlineStr"/>
      <c r="J11" s="18" t="inlineStr"/>
      <c r="K11" s="18" t="inlineStr"/>
      <c r="L11" s="18" t="inlineStr">
        <is>
          <t>No</t>
        </is>
      </c>
      <c r="M11" s="18" t="inlineStr">
        <is>
          <t>No</t>
        </is>
      </c>
      <c r="N11" s="18" t="inlineStr"/>
      <c r="O11" s="18" t="inlineStr"/>
      <c r="P11" s="18" t="inlineStr"/>
      <c r="Q11" s="18" t="inlineStr">
        <is>
          <t>Propuesta semántica</t>
        </is>
      </c>
      <c r="R11" s="18" t="inlineStr">
        <is>
          <t>Tipo de vinculación del docente (por ejemplo, planta u ocasional), tal como llegó en la programación histórica.</t>
        </is>
      </c>
      <c r="S11" s="18" t="inlineStr">
        <is>
          <t>Media</t>
        </is>
      </c>
      <c r="T11" s="18" t="inlineStr">
        <is>
          <t>nombre</t>
        </is>
      </c>
      <c r="U11" s="18" t="inlineStr">
        <is>
          <t>¿Qué valores trae la fuente?</t>
        </is>
      </c>
      <c r="V11" s="19" t="inlineStr">
        <is>
          <t>Aprobada</t>
        </is>
      </c>
      <c r="W11" s="19" t="inlineStr"/>
      <c r="X11" s="19" t="inlineStr">
        <is>
          <t>Aldair González (validación del responsable de BD)</t>
        </is>
      </c>
      <c r="Y11" s="20" t="n">
        <v>46317</v>
      </c>
      <c r="Z11" s="19" t="inlineStr">
        <is>
          <t>Nivel 3: la evidencia disponible proviene de un archivo de carga de datos; confirmar la descripción con desarrollo. Validada por decisión del responsable de la base de datos.</t>
        </is>
      </c>
      <c r="AA11" s="18">
        <f>IF(OR(V11="Aprobada"),R11,IF(AND(OR(V11="Aprobada con ajuste",V11="Rechazada"),W11&lt;&gt;""),W11,""))</f>
        <v/>
      </c>
    </row>
    <row r="12">
      <c r="A12" s="18" t="inlineStr">
        <is>
          <t>C0011</t>
        </is>
      </c>
      <c r="B12" s="18" t="inlineStr">
        <is>
          <t>Programación académica</t>
        </is>
      </c>
      <c r="C12" s="18" t="inlineStr">
        <is>
          <t>academic-schedule</t>
        </is>
      </c>
      <c r="D12" s="18" t="inlineStr">
        <is>
          <t>programacion_historica</t>
        </is>
      </c>
      <c r="E12" s="18" t="n">
        <v>575</v>
      </c>
      <c r="F12" s="18" t="inlineStr">
        <is>
          <t>hrs_clase</t>
        </is>
      </c>
      <c r="G12" s="18" t="inlineStr">
        <is>
          <t>character varying(10)</t>
        </is>
      </c>
      <c r="H12" s="18" t="inlineStr">
        <is>
          <t>Sí</t>
        </is>
      </c>
      <c r="I12" s="18" t="inlineStr"/>
      <c r="J12" s="18" t="inlineStr"/>
      <c r="K12" s="18" t="inlineStr"/>
      <c r="L12" s="18" t="inlineStr">
        <is>
          <t>No</t>
        </is>
      </c>
      <c r="M12" s="18" t="inlineStr">
        <is>
          <t>No</t>
        </is>
      </c>
      <c r="N12" s="18" t="inlineStr"/>
      <c r="O12" s="18" t="inlineStr"/>
      <c r="P12" s="18" t="inlineStr"/>
      <c r="Q12" s="18" t="inlineStr">
        <is>
          <t>Propuesta semántica</t>
        </is>
      </c>
      <c r="R12" s="18" t="inlineStr">
        <is>
          <t>Duración de la sesión de clase en horas, en texto.</t>
        </is>
      </c>
      <c r="S12" s="18" t="inlineStr">
        <is>
          <t>Media</t>
        </is>
      </c>
      <c r="T12" s="18" t="inlineStr">
        <is>
          <t>nombre + tipo varchar(10)</t>
        </is>
      </c>
      <c r="U12" s="18" t="inlineStr">
        <is>
          <t>¿Es la duración de cada sesión o el total de horas de clase? ¿En qué formato viene?</t>
        </is>
      </c>
      <c r="V12" s="19" t="inlineStr">
        <is>
          <t>Aprobada</t>
        </is>
      </c>
      <c r="W12" s="19" t="inlineStr"/>
      <c r="X12" s="19" t="inlineStr">
        <is>
          <t>Aldair González (validación del responsable de BD)</t>
        </is>
      </c>
      <c r="Y12" s="20" t="n">
        <v>46317</v>
      </c>
      <c r="Z12" s="19" t="inlineStr">
        <is>
          <t>Nivel 3: la evidencia disponible proviene de un archivo de carga de datos; confirmar la descripción con desarrollo. Validada por decisión del responsable de la base de datos.</t>
        </is>
      </c>
      <c r="AA12" s="18">
        <f>IF(OR(V12="Aprobada"),R12,IF(AND(OR(V12="Aprobada con ajuste",V12="Rechazada"),W12&lt;&gt;""),W12,""))</f>
        <v/>
      </c>
    </row>
    <row r="13">
      <c r="A13" s="18" t="inlineStr">
        <is>
          <t>C0012</t>
        </is>
      </c>
      <c r="B13" s="18" t="inlineStr">
        <is>
          <t>Programación académica</t>
        </is>
      </c>
      <c r="C13" s="18" t="inlineStr">
        <is>
          <t>academic-schedule</t>
        </is>
      </c>
      <c r="D13" s="18" t="inlineStr">
        <is>
          <t>programacion_historica</t>
        </is>
      </c>
      <c r="E13" s="18" t="n">
        <v>575</v>
      </c>
      <c r="F13" s="18" t="inlineStr">
        <is>
          <t>estado_aula</t>
        </is>
      </c>
      <c r="G13" s="18" t="inlineStr">
        <is>
          <t>character varying(20)</t>
        </is>
      </c>
      <c r="H13" s="18" t="inlineStr">
        <is>
          <t>Sí</t>
        </is>
      </c>
      <c r="I13" s="18" t="inlineStr"/>
      <c r="J13" s="18" t="inlineStr"/>
      <c r="K13" s="18" t="inlineStr"/>
      <c r="L13" s="18" t="inlineStr">
        <is>
          <t>No</t>
        </is>
      </c>
      <c r="M13" s="18" t="inlineStr">
        <is>
          <t>No</t>
        </is>
      </c>
      <c r="N13" s="18" t="inlineStr"/>
      <c r="O13" s="18" t="inlineStr"/>
      <c r="P13" s="18" t="inlineStr"/>
      <c r="Q13" s="18" t="inlineStr">
        <is>
          <t>Propuesta semántica</t>
        </is>
      </c>
      <c r="R13" s="18" t="inlineStr">
        <is>
          <t>Estado de la asignación del aula en la fuente.</t>
        </is>
      </c>
      <c r="S13" s="18" t="inlineStr">
        <is>
          <t>Baja</t>
        </is>
      </c>
      <c r="T13" s="18" t="inlineStr">
        <is>
          <t>nombre + tipo varchar(20)</t>
        </is>
      </c>
      <c r="U13" s="18" t="inlineStr">
        <is>
          <t>¿Qué valores toma (asignada, pendiente…) y quién los define?</t>
        </is>
      </c>
      <c r="V13" s="19" t="inlineStr">
        <is>
          <t>Aprobada</t>
        </is>
      </c>
      <c r="W13" s="19" t="inlineStr"/>
      <c r="X13" s="19" t="inlineStr">
        <is>
          <t>Aldair González (validación del responsable de BD)</t>
        </is>
      </c>
      <c r="Y13" s="20" t="n">
        <v>46317</v>
      </c>
      <c r="Z13" s="19" t="inlineStr">
        <is>
          <t>Nivel 3: la evidencia disponible proviene de un archivo de carga de datos; confirmar la descripción con desarrollo. Validada por decisión del responsable de la base de datos.</t>
        </is>
      </c>
      <c r="AA13" s="18">
        <f>IF(OR(V13="Aprobada"),R13,IF(AND(OR(V13="Aprobada con ajuste",V13="Rechazada"),W13&lt;&gt;""),W13,""))</f>
        <v/>
      </c>
    </row>
    <row r="14">
      <c r="A14" s="18" t="inlineStr">
        <is>
          <t>C0013</t>
        </is>
      </c>
      <c r="B14" s="18" t="inlineStr">
        <is>
          <t>Programación académica</t>
        </is>
      </c>
      <c r="C14" s="18" t="inlineStr">
        <is>
          <t>academic-schedule</t>
        </is>
      </c>
      <c r="D14" s="18" t="inlineStr">
        <is>
          <t>programacion_historica</t>
        </is>
      </c>
      <c r="E14" s="18" t="n">
        <v>575</v>
      </c>
      <c r="F14" s="18" t="inlineStr">
        <is>
          <t>estado_docente</t>
        </is>
      </c>
      <c r="G14" s="18" t="inlineStr">
        <is>
          <t>character varying(20)</t>
        </is>
      </c>
      <c r="H14" s="18" t="inlineStr">
        <is>
          <t>Sí</t>
        </is>
      </c>
      <c r="I14" s="18" t="inlineStr"/>
      <c r="J14" s="18" t="inlineStr"/>
      <c r="K14" s="18" t="inlineStr"/>
      <c r="L14" s="18" t="inlineStr">
        <is>
          <t>No</t>
        </is>
      </c>
      <c r="M14" s="18" t="inlineStr">
        <is>
          <t>No</t>
        </is>
      </c>
      <c r="N14" s="18" t="inlineStr"/>
      <c r="O14" s="18" t="inlineStr"/>
      <c r="P14" s="18" t="inlineStr"/>
      <c r="Q14" s="18" t="inlineStr">
        <is>
          <t>Propuesta semántica</t>
        </is>
      </c>
      <c r="R14" s="18" t="inlineStr">
        <is>
          <t>Estado de la asignación del docente en la fuente.</t>
        </is>
      </c>
      <c r="S14" s="18" t="inlineStr">
        <is>
          <t>Baja</t>
        </is>
      </c>
      <c r="T14" s="18" t="inlineStr">
        <is>
          <t>nombre + tipo varchar(20)</t>
        </is>
      </c>
      <c r="U14" s="18" t="inlineStr">
        <is>
          <t>¿Qué valores toma (asignado, por contratar…) y quién los define?</t>
        </is>
      </c>
      <c r="V14" s="19" t="inlineStr">
        <is>
          <t>Aprobada</t>
        </is>
      </c>
      <c r="W14" s="19" t="inlineStr"/>
      <c r="X14" s="19" t="inlineStr">
        <is>
          <t>Aldair González (validación del responsable de BD)</t>
        </is>
      </c>
      <c r="Y14" s="20" t="n">
        <v>46317</v>
      </c>
      <c r="Z14" s="19" t="inlineStr">
        <is>
          <t>Nivel 3: la evidencia disponible proviene de un archivo de carga de datos; confirmar la descripción con desarrollo. Validada por decisión del responsable de la base de datos.</t>
        </is>
      </c>
      <c r="AA14" s="18">
        <f>IF(OR(V14="Aprobada"),R14,IF(AND(OR(V14="Aprobada con ajuste",V14="Rechazada"),W14&lt;&gt;""),W14,""))</f>
        <v/>
      </c>
    </row>
    <row r="15">
      <c r="A15" s="18" t="inlineStr">
        <is>
          <t>C0014</t>
        </is>
      </c>
      <c r="B15" s="18" t="inlineStr">
        <is>
          <t>RUND</t>
        </is>
      </c>
      <c r="C15" s="18" t="inlineStr">
        <is>
          <t>academic_work_plan</t>
        </is>
      </c>
      <c r="D15" s="18" t="inlineStr">
        <is>
          <t>Docente</t>
        </is>
      </c>
      <c r="E15" s="18" t="n">
        <v>814</v>
      </c>
      <c r="F15" s="18" t="inlineStr">
        <is>
          <t>escalafon</t>
        </is>
      </c>
      <c r="G15" s="18" t="inlineStr">
        <is>
          <t>text</t>
        </is>
      </c>
      <c r="H15" s="18" t="inlineStr">
        <is>
          <t>Sí</t>
        </is>
      </c>
      <c r="I15" s="18" t="inlineStr"/>
      <c r="J15" s="18" t="inlineStr"/>
      <c r="K15" s="18" t="inlineStr"/>
      <c r="L15" s="18" t="inlineStr">
        <is>
          <t>No</t>
        </is>
      </c>
      <c r="M15" s="18" t="inlineStr">
        <is>
          <t>No</t>
        </is>
      </c>
      <c r="N15" s="18" t="inlineStr"/>
      <c r="O15" s="18" t="inlineStr">
        <is>
          <t>idx_docente_escalafon</t>
        </is>
      </c>
      <c r="P15" s="18" t="inlineStr">
        <is>
          <t>Mapeada en academic-work-plan-service/src/pta/entities/docente.entity.ts:53 (DocenteEntity.escalafon)</t>
        </is>
      </c>
      <c r="Q15" s="18" t="inlineStr">
        <is>
          <t>Código fuente (verificado)</t>
        </is>
      </c>
      <c r="R15" s="18" t="inlineStr">
        <is>
          <t>Categoría o nivel del docente en el escalafón, en texto, tomada de la carga masiva (CATEGORIA_ESCALAFON) o de la resolución de escalafón.</t>
        </is>
      </c>
      <c r="S15" s="18" t="inlineStr">
        <is>
          <t>Media</t>
        </is>
      </c>
      <c r="T15" s="18" t="inlineStr">
        <is>
          <t>academic-work-plan-service/src/pta/banco-docentes/banco-docentes.service.ts:530: CATEGORIA_ESCALAFON / categoría de la carga | academic-work-plan-service/src/pta/banco-docentes/rund-extraccion-fields.ts:26: categoría o nivel asignado en la resolución de escalafón | academic-work-plan-service/src/pta/banco-docentes/rund-extraccion-fields.ts:43: texto de 2 a 100 caracteres, sin lista de valores</t>
        </is>
      </c>
      <c r="U15" s="18" t="inlineStr">
        <is>
          <t>¿Qué valores toma? El código lo guarda como texto libre sin catálogo.</t>
        </is>
      </c>
      <c r="V15" s="19" t="inlineStr">
        <is>
          <t>Aprobada</t>
        </is>
      </c>
      <c r="W15" s="19" t="inlineStr"/>
      <c r="X15" s="19" t="inlineStr">
        <is>
          <t>Aldair González (validación del responsable de BD)</t>
        </is>
      </c>
      <c r="Y15" s="20" t="n">
        <v>46317</v>
      </c>
      <c r="Z15" s="19" t="inlineStr">
        <is>
          <t>Nivel 3: el código no resuelve la pregunta; queda para desarrollo. Validada por decisión del responsable de la base de datos. Pregunta registrada para desarrollo: ¿Qué valores toma? El código lo guarda como texto libre sin catálogo.</t>
        </is>
      </c>
      <c r="AA15" s="18">
        <f>IF(OR(V15="Aprobada"),R15,IF(AND(OR(V15="Aprobada con ajuste",V15="Rechazada"),W15&lt;&gt;""),W15,""))</f>
        <v/>
      </c>
    </row>
    <row r="16">
      <c r="A16" s="18" t="inlineStr">
        <is>
          <t>C0015</t>
        </is>
      </c>
      <c r="B16" s="18" t="inlineStr">
        <is>
          <t>RUND</t>
        </is>
      </c>
      <c r="C16" s="18" t="inlineStr">
        <is>
          <t>academic_work_plan</t>
        </is>
      </c>
      <c r="D16" s="18" t="inlineStr">
        <is>
          <t>Docente</t>
        </is>
      </c>
      <c r="E16" s="18" t="n">
        <v>814</v>
      </c>
      <c r="F16" s="18" t="inlineStr">
        <is>
          <t>nucleoTematico</t>
        </is>
      </c>
      <c r="G16" s="18" t="inlineStr">
        <is>
          <t>text</t>
        </is>
      </c>
      <c r="H16" s="18" t="inlineStr">
        <is>
          <t>Sí</t>
        </is>
      </c>
      <c r="I16" s="18" t="inlineStr"/>
      <c r="J16" s="18" t="inlineStr"/>
      <c r="K16" s="18" t="inlineStr"/>
      <c r="L16" s="18" t="inlineStr">
        <is>
          <t>No</t>
        </is>
      </c>
      <c r="M16" s="18" t="inlineStr">
        <is>
          <t>No</t>
        </is>
      </c>
      <c r="N16" s="18" t="inlineStr"/>
      <c r="O16" s="18" t="inlineStr">
        <is>
          <t>idx_docente_nucleoTematico</t>
        </is>
      </c>
      <c r="P16" s="18" t="inlineStr">
        <is>
          <t>Mapeada en academic-work-plan-service/src/pta/entities/docente.entity.ts:56 (DocenteEntity.nucleoTematico)</t>
        </is>
      </c>
      <c r="Q16" s="18" t="inlineStr">
        <is>
          <t>Código fuente (verificado)</t>
        </is>
      </c>
      <c r="R16" s="18" t="inlineStr">
        <is>
          <t>Núcleo temático asignado al docente, en texto, tomado de la carga masiva o del acto de asignación de núcleo.</t>
        </is>
      </c>
      <c r="S16" s="18" t="inlineStr">
        <is>
          <t>Media</t>
        </is>
      </c>
      <c r="T16" s="18" t="inlineStr">
        <is>
          <t>academic-work-plan-service/src/pta/banco-docentes/banco-docentes.service.ts:531: NUCLEO_TEMATICO de la carga | academic-work-plan-service/src/pta/banco-docentes/rund-extraccion-fields.ts:27: nombre del núcleo temático asignado en el acto | academic-work-plan-service/src/pta/banco-docentes/rund-extraccion-fields.ts:43: texto de 2 a 300 caracteres</t>
        </is>
      </c>
      <c r="U16" s="18" t="inlineStr">
        <is>
          <t>¿Debe corresponder al catálogo de núcleos temáticos (entidad nucleo-tematico)? El código lo guarda como texto sin validar.</t>
        </is>
      </c>
      <c r="V16" s="19" t="inlineStr">
        <is>
          <t>Aprobada</t>
        </is>
      </c>
      <c r="W16" s="19" t="inlineStr"/>
      <c r="X16" s="19" t="inlineStr">
        <is>
          <t>Aldair González (validación del responsable de BD)</t>
        </is>
      </c>
      <c r="Y16" s="20" t="n">
        <v>46317</v>
      </c>
      <c r="Z16" s="19" t="inlineStr">
        <is>
          <t>Nivel 3: el código no resuelve la pregunta; queda para desarrollo. Validada por decisión del responsable de la base de datos. Pregunta registrada para desarrollo: ¿Debe corresponder al catálogo de núcleos temáticos (entidad nucleo-tematico)? El código lo guarda como texto sin validar.</t>
        </is>
      </c>
      <c r="AA16" s="18">
        <f>IF(OR(V16="Aprobada"),R16,IF(AND(OR(V16="Aprobada con ajuste",V16="Rechazada"),W16&lt;&gt;""),W16,""))</f>
        <v/>
      </c>
    </row>
    <row r="17">
      <c r="A17" s="18" t="inlineStr">
        <is>
          <t>C0016</t>
        </is>
      </c>
      <c r="B17" s="18" t="inlineStr">
        <is>
          <t>RUND</t>
        </is>
      </c>
      <c r="C17" s="18" t="inlineStr">
        <is>
          <t>academic_work_plan</t>
        </is>
      </c>
      <c r="D17" s="18" t="inlineStr">
        <is>
          <t>Docente</t>
        </is>
      </c>
      <c r="E17" s="18" t="n">
        <v>814</v>
      </c>
      <c r="F17" s="18" t="inlineStr">
        <is>
          <t>nivelFormacion</t>
        </is>
      </c>
      <c r="G17" s="18" t="inlineStr">
        <is>
          <t>text</t>
        </is>
      </c>
      <c r="H17" s="18" t="inlineStr">
        <is>
          <t>Sí</t>
        </is>
      </c>
      <c r="I17" s="18" t="inlineStr"/>
      <c r="J17" s="18" t="inlineStr"/>
      <c r="K17" s="18" t="inlineStr"/>
      <c r="L17" s="18" t="inlineStr">
        <is>
          <t>No</t>
        </is>
      </c>
      <c r="M17" s="18" t="inlineStr">
        <is>
          <t>No</t>
        </is>
      </c>
      <c r="N17" s="18" t="inlineStr"/>
      <c r="O17" s="18" t="inlineStr">
        <is>
          <t>idx_docente_nivelFormacion</t>
        </is>
      </c>
      <c r="P17" s="18" t="inlineStr">
        <is>
          <t>Mapeada en academic-work-plan-service/src/pta/entities/docente.entity.ts:59 (DocenteEntity.nivelFormacion)</t>
        </is>
      </c>
      <c r="Q17" s="18" t="inlineStr">
        <is>
          <t>Código fuente (verificado)</t>
        </is>
      </c>
      <c r="R17" s="18" t="inlineStr">
        <is>
          <t>Nivel de formación del docente, en texto, tomado de la columna NIVEL_FORMACION de la carga masiva; no se calcula a partir de los títulos.</t>
        </is>
      </c>
      <c r="S17" s="18" t="inlineStr">
        <is>
          <t>Media</t>
        </is>
      </c>
      <c r="T17" s="18" t="inlineStr">
        <is>
          <t>academic-work-plan-service/src/pta/banco-docentes/banco-docentes.service.ts:532: NIVEL_FORMACION de la carga | academic-work-plan-service/src/pta/entities/docente.entity.ts:59-60: texto sin restricción</t>
        </is>
      </c>
      <c r="U17" s="18" t="inlineStr">
        <is>
          <t>¿Qué valores toma? El código no los restringe.</t>
        </is>
      </c>
      <c r="V17" s="19" t="inlineStr">
        <is>
          <t>Aprobada</t>
        </is>
      </c>
      <c r="W17" s="19" t="inlineStr"/>
      <c r="X17" s="19" t="inlineStr">
        <is>
          <t>Aldair González (validación del responsable de BD)</t>
        </is>
      </c>
      <c r="Y17" s="20" t="n">
        <v>46317</v>
      </c>
      <c r="Z17" s="19" t="inlineStr">
        <is>
          <t>Nivel 3: el código no resuelve la pregunta; queda para desarrollo. Validada por decisión del responsable de la base de datos. Pregunta registrada para desarrollo: ¿Qué valores toma? El código no los restringe.</t>
        </is>
      </c>
      <c r="AA17" s="18">
        <f>IF(OR(V17="Aprobada"),R17,IF(AND(OR(V17="Aprobada con ajuste",V17="Rechazada"),W17&lt;&gt;""),W17,""))</f>
        <v/>
      </c>
    </row>
    <row r="18">
      <c r="A18" s="18" t="inlineStr">
        <is>
          <t>C0017</t>
        </is>
      </c>
      <c r="B18" s="18" t="inlineStr">
        <is>
          <t>RUND</t>
        </is>
      </c>
      <c r="C18" s="18" t="inlineStr">
        <is>
          <t>academic_work_plan</t>
        </is>
      </c>
      <c r="D18" s="18" t="inlineStr">
        <is>
          <t>Docente</t>
        </is>
      </c>
      <c r="E18" s="18" t="n">
        <v>814</v>
      </c>
      <c r="F18" s="18" t="inlineStr">
        <is>
          <t>perfilAcademicoPro</t>
        </is>
      </c>
      <c r="G18" s="18" t="inlineStr">
        <is>
          <t>text</t>
        </is>
      </c>
      <c r="H18" s="18" t="inlineStr">
        <is>
          <t>Sí</t>
        </is>
      </c>
      <c r="I18" s="18" t="inlineStr"/>
      <c r="J18" s="18" t="inlineStr"/>
      <c r="K18" s="18" t="inlineStr"/>
      <c r="L18" s="18" t="inlineStr">
        <is>
          <t>No</t>
        </is>
      </c>
      <c r="M18" s="18" t="inlineStr">
        <is>
          <t>No</t>
        </is>
      </c>
      <c r="N18" s="18" t="inlineStr"/>
      <c r="O18" s="18" t="inlineStr"/>
      <c r="P18" s="18" t="inlineStr">
        <is>
          <t>Mapeada en academic-work-plan-service/src/pta/entities/docente.entity.ts:62 (DocenteEntity.perfilAcademicoPro)</t>
        </is>
      </c>
      <c r="Q18" s="18" t="inlineStr">
        <is>
          <t>Código fuente (verificado)</t>
        </is>
      </c>
      <c r="R18" s="18" t="inlineStr">
        <is>
          <t>Perfil académico PRO del docente, en texto, tomado de la columna «Perfil académico PRO» de la carga masiva.</t>
        </is>
      </c>
      <c r="S18" s="18" t="inlineStr">
        <is>
          <t>Media</t>
        </is>
      </c>
      <c r="T18" s="18" t="inlineStr">
        <is>
          <t>academic-work-plan-service/src/pta/banco-docentes/banco-docentes.service.ts:533: perfilAcademicoPro de la carga | academic-work-plan-service/src/pta/banco-docentes/banco-docentes.service.ts:534: perfilAcademico sale de otra columna (PERFIL_ACADEMICO) | academic-work-plan-service/src/pta/banco-docentes/rund-extraccion-fields.ts:20: el OCR solo llena perfilAcademico (hoja_vida_pro)</t>
        </is>
      </c>
      <c r="U18" s="18" t="inlineStr">
        <is>
          <t>¿En qué se diferencia del perfilAcademico? El código solo los carga de columnas distintas.</t>
        </is>
      </c>
      <c r="V18" s="19" t="inlineStr">
        <is>
          <t>Aprobada</t>
        </is>
      </c>
      <c r="W18" s="19" t="inlineStr"/>
      <c r="X18" s="19" t="inlineStr">
        <is>
          <t>Aldair González (validación del responsable de BD)</t>
        </is>
      </c>
      <c r="Y18" s="20" t="n">
        <v>46317</v>
      </c>
      <c r="Z18" s="19" t="inlineStr">
        <is>
          <t>Nivel 3: el código no resuelve la pregunta; queda para desarrollo. Validada por decisión del responsable de la base de datos. Pregunta registrada para desarrollo: ¿En qué se diferencia del perfilAcademico? El código solo los carga de columnas distintas.</t>
        </is>
      </c>
      <c r="AA18" s="18">
        <f>IF(OR(V18="Aprobada"),R18,IF(AND(OR(V18="Aprobada con ajuste",V18="Rechazada"),W18&lt;&gt;""),W18,""))</f>
        <v/>
      </c>
    </row>
    <row r="19">
      <c r="A19" s="18" t="inlineStr">
        <is>
          <t>C0018</t>
        </is>
      </c>
      <c r="B19" s="18" t="inlineStr">
        <is>
          <t>RUND</t>
        </is>
      </c>
      <c r="C19" s="18" t="inlineStr">
        <is>
          <t>academic_work_plan</t>
        </is>
      </c>
      <c r="D19" s="18" t="inlineStr">
        <is>
          <t>Docente</t>
        </is>
      </c>
      <c r="E19" s="18" t="n">
        <v>814</v>
      </c>
      <c r="F19" s="18" t="inlineStr">
        <is>
          <t>pregrado</t>
        </is>
      </c>
      <c r="G19" s="18" t="inlineStr">
        <is>
          <t>text</t>
        </is>
      </c>
      <c r="H19" s="18" t="inlineStr">
        <is>
          <t>Sí</t>
        </is>
      </c>
      <c r="I19" s="18" t="inlineStr"/>
      <c r="J19" s="18" t="inlineStr"/>
      <c r="K19" s="18" t="inlineStr"/>
      <c r="L19" s="18" t="inlineStr">
        <is>
          <t>No</t>
        </is>
      </c>
      <c r="M19" s="18" t="inlineStr">
        <is>
          <t>No</t>
        </is>
      </c>
      <c r="N19" s="18" t="inlineStr"/>
      <c r="O19" s="18" t="inlineStr"/>
      <c r="P19" s="18" t="inlineStr">
        <is>
          <t>Mapeada en academic-work-plan-service/src/pta/entities/docente.entity.ts:68 (DocenteEntity.pregrado)</t>
        </is>
      </c>
      <c r="Q19" s="18" t="inlineStr">
        <is>
          <t>Código fuente (verificado)</t>
        </is>
      </c>
      <c r="R19" s="18" t="inlineStr">
        <is>
          <t>Nombre del título profesional de pregrado del docente, en texto, tomado de la carga masiva (TITULO_PREGRADO) o del diploma o acta de grado.</t>
        </is>
      </c>
      <c r="S19" s="18" t="inlineStr">
        <is>
          <t>Media</t>
        </is>
      </c>
      <c r="T19" s="18" t="inlineStr">
        <is>
          <t>academic-work-plan-service/src/pta/banco-docentes/banco-docentes.service.ts:535: TITULO_PREGRADO | academic-work-plan-service/src/pta/banco-docentes/rund-extraccion-fields.ts:15: nombre literal del título otorgado | academic-work-plan-service/src/pta/banco-docentes/rund-extraccion-fields.ts:73-75: no admite solo el nivel</t>
        </is>
      </c>
      <c r="U19" s="18" t="inlineStr">
        <is>
          <t>¿Cómo se registran varios títulos de pregrado en el mismo campo? El código no define separador.</t>
        </is>
      </c>
      <c r="V19" s="19" t="inlineStr">
        <is>
          <t>Aprobada</t>
        </is>
      </c>
      <c r="W19" s="19" t="inlineStr"/>
      <c r="X19" s="19" t="inlineStr">
        <is>
          <t>Aldair González (validación del responsable de BD)</t>
        </is>
      </c>
      <c r="Y19" s="20" t="n">
        <v>46317</v>
      </c>
      <c r="Z19" s="19" t="inlineStr">
        <is>
          <t>Nivel 3: el código no resuelve la pregunta; queda para desarrollo. Validada por decisión del responsable de la base de datos. Pregunta registrada para desarrollo: ¿Cómo se registran varios títulos de pregrado en el mismo campo? El código no define separador.</t>
        </is>
      </c>
      <c r="AA19" s="18">
        <f>IF(OR(V19="Aprobada"),R19,IF(AND(OR(V19="Aprobada con ajuste",V19="Rechazada"),W19&lt;&gt;""),W19,""))</f>
        <v/>
      </c>
    </row>
    <row r="20">
      <c r="A20" s="18" t="inlineStr">
        <is>
          <t>C0019</t>
        </is>
      </c>
      <c r="B20" s="18" t="inlineStr">
        <is>
          <t>RUND</t>
        </is>
      </c>
      <c r="C20" s="18" t="inlineStr">
        <is>
          <t>academic_work_plan</t>
        </is>
      </c>
      <c r="D20" s="18" t="inlineStr">
        <is>
          <t>Docente</t>
        </is>
      </c>
      <c r="E20" s="18" t="n">
        <v>814</v>
      </c>
      <c r="F20" s="18" t="inlineStr">
        <is>
          <t>origenVinculacion</t>
        </is>
      </c>
      <c r="G20" s="18" t="inlineStr">
        <is>
          <t>text</t>
        </is>
      </c>
      <c r="H20" s="18" t="inlineStr">
        <is>
          <t>Sí</t>
        </is>
      </c>
      <c r="I20" s="18" t="inlineStr"/>
      <c r="J20" s="18" t="inlineStr"/>
      <c r="K20" s="18" t="inlineStr"/>
      <c r="L20" s="18" t="inlineStr">
        <is>
          <t>No</t>
        </is>
      </c>
      <c r="M20" s="18" t="inlineStr">
        <is>
          <t>No</t>
        </is>
      </c>
      <c r="N20" s="18" t="inlineStr"/>
      <c r="O20" s="18" t="inlineStr"/>
      <c r="P20" s="18" t="inlineStr">
        <is>
          <t>Mapeada en academic-work-plan-service/src/pta/entities/docente.entity.ts:95 (DocenteEntity.origenVinculacion)</t>
        </is>
      </c>
      <c r="Q20" s="18" t="inlineStr">
        <is>
          <t>Código fuente (verificado)</t>
        </is>
      </c>
      <c r="R20" s="18" t="inlineStr">
        <is>
          <t>Fuente o modalidad de ingreso del docente, en texto, tomada de la carga masiva (ORIGEN_VINCULACION) o de la resolución de convocatoria.</t>
        </is>
      </c>
      <c r="S20" s="18" t="inlineStr">
        <is>
          <t>Media</t>
        </is>
      </c>
      <c r="T20" s="18" t="inlineStr">
        <is>
          <t>academic-work-plan-service/src/pta/banco-docentes/banco-docentes.service.ts:541 | academic-work-plan-service/src/pta/banco-docentes/rund-extraccion-fields.ts:24: fuente o modalidad de ingreso indicada en la resolución | academic-work-plan-service/src/pta/banco-docentes/rund-extraccion-fields.ts:42: texto de 2 a 300 caracteres, sin lista de valores</t>
        </is>
      </c>
      <c r="U20" s="18" t="inlineStr">
        <is>
          <t>¿Qué valores toma (concurso, encargo, contrato…)? El código lo guarda como texto libre.</t>
        </is>
      </c>
      <c r="V20" s="19" t="inlineStr">
        <is>
          <t>Aprobada</t>
        </is>
      </c>
      <c r="W20" s="19" t="inlineStr"/>
      <c r="X20" s="19" t="inlineStr">
        <is>
          <t>Aldair González (validación del responsable de BD)</t>
        </is>
      </c>
      <c r="Y20" s="20" t="n">
        <v>46317</v>
      </c>
      <c r="Z20" s="19" t="inlineStr">
        <is>
          <t>Nivel 3: el código no resuelve la pregunta; queda para desarrollo. Validada por decisión del responsable de la base de datos. Pregunta registrada para desarrollo: ¿Qué valores toma (concurso, encargo, contrato…)? El código lo guarda como texto libre.</t>
        </is>
      </c>
      <c r="AA20" s="18">
        <f>IF(OR(V20="Aprobada"),R20,IF(AND(OR(V20="Aprobada con ajuste",V20="Rechazada"),W20&lt;&gt;""),W20,""))</f>
        <v/>
      </c>
    </row>
    <row r="21">
      <c r="A21" s="18" t="inlineStr">
        <is>
          <t>C0020</t>
        </is>
      </c>
      <c r="B21" s="18" t="inlineStr">
        <is>
          <t>RUND</t>
        </is>
      </c>
      <c r="C21" s="18" t="inlineStr">
        <is>
          <t>academic_work_plan</t>
        </is>
      </c>
      <c r="D21" s="18" t="inlineStr">
        <is>
          <t>Docente</t>
        </is>
      </c>
      <c r="E21" s="18" t="n">
        <v>814</v>
      </c>
      <c r="F21" s="18" t="inlineStr">
        <is>
          <t>puntajeSalarial</t>
        </is>
      </c>
      <c r="G21" s="18" t="inlineStr">
        <is>
          <t>double precision</t>
        </is>
      </c>
      <c r="H21" s="18" t="inlineStr">
        <is>
          <t>Sí</t>
        </is>
      </c>
      <c r="I21" s="18" t="inlineStr"/>
      <c r="J21" s="18" t="inlineStr"/>
      <c r="K21" s="18" t="inlineStr"/>
      <c r="L21" s="18" t="inlineStr">
        <is>
          <t>No</t>
        </is>
      </c>
      <c r="M21" s="18" t="inlineStr">
        <is>
          <t>No</t>
        </is>
      </c>
      <c r="N21" s="18" t="inlineStr"/>
      <c r="O21" s="18" t="inlineStr"/>
      <c r="P21" s="18" t="inlineStr">
        <is>
          <t>Mapeada en academic-work-plan-service/src/pta/entities/docente.entity.ts:110 (DocenteEntity.puntajeSalarial)</t>
        </is>
      </c>
      <c r="Q21" s="18" t="inlineStr">
        <is>
          <t>Código fuente (verificado)</t>
        </is>
      </c>
      <c r="R21" s="18" t="inlineStr">
        <is>
          <t>Puntaje salarial del docente, numérico, tomado de la carga masiva (PUNTAJE_SALARIAL) o de la resolución de puntaje salarial.</t>
        </is>
      </c>
      <c r="S21" s="18" t="inlineStr">
        <is>
          <t>Media</t>
        </is>
      </c>
      <c r="T21" s="18" t="inlineStr">
        <is>
          <t>academic-work-plan-service/src/pta/banco-docentes/banco-docentes.service.ts:550: parseMaybeFloat(PUNTAJE_SALARIAL) | academic-work-plan-service/src/pta/banco-docentes/rund-evidence-data.ts:32: soporte resolucion_puntaje_salarial | academic-work-plan-service/src/pta/banco-docentes/banco-docentes-sensitive-data.ts:19: dato salarial protegido</t>
        </is>
      </c>
      <c r="U21" s="18" t="inlineStr">
        <is>
          <t>¿Corresponde a los puntos salariales del Decreto 1279 de 2002 u otro régimen? El código no lo indica.</t>
        </is>
      </c>
      <c r="V21" s="19" t="inlineStr">
        <is>
          <t>Aprobada</t>
        </is>
      </c>
      <c r="W21" s="19" t="inlineStr"/>
      <c r="X21" s="19" t="inlineStr">
        <is>
          <t>Aldair González (validación del responsable de BD)</t>
        </is>
      </c>
      <c r="Y21" s="20" t="n">
        <v>46317</v>
      </c>
      <c r="Z21" s="19" t="inlineStr">
        <is>
          <t>Nivel 3: el código no resuelve la pregunta; queda para desarrollo. Validada por decisión del responsable de la base de datos. Pregunta registrada para desarrollo: ¿Corresponde a los puntos salariales del Decreto 1279 de 2002 u otro régimen? El código no lo indica.</t>
        </is>
      </c>
      <c r="AA21" s="18">
        <f>IF(OR(V21="Aprobada"),R21,IF(AND(OR(V21="Aprobada con ajuste",V21="Rechazada"),W21&lt;&gt;""),W21,""))</f>
        <v/>
      </c>
    </row>
    <row r="22">
      <c r="A22" s="18" t="inlineStr">
        <is>
          <t>C0021</t>
        </is>
      </c>
      <c r="B22" s="18" t="inlineStr">
        <is>
          <t>RUND</t>
        </is>
      </c>
      <c r="C22" s="18" t="inlineStr">
        <is>
          <t>academic_work_plan</t>
        </is>
      </c>
      <c r="D22" s="18" t="inlineStr">
        <is>
          <t>Docente</t>
        </is>
      </c>
      <c r="E22" s="18" t="n">
        <v>814</v>
      </c>
      <c r="F22" s="18" t="inlineStr">
        <is>
          <t>sexoBiologico</t>
        </is>
      </c>
      <c r="G22" s="18" t="inlineStr">
        <is>
          <t>text</t>
        </is>
      </c>
      <c r="H22" s="18" t="inlineStr">
        <is>
          <t>Sí</t>
        </is>
      </c>
      <c r="I22" s="18" t="inlineStr"/>
      <c r="J22" s="18" t="inlineStr"/>
      <c r="K22" s="18" t="inlineStr"/>
      <c r="L22" s="18" t="inlineStr">
        <is>
          <t>No</t>
        </is>
      </c>
      <c r="M22" s="18" t="inlineStr">
        <is>
          <t>No</t>
        </is>
      </c>
      <c r="N22" s="18" t="inlineStr"/>
      <c r="O22" s="18" t="inlineStr"/>
      <c r="P22" s="18" t="inlineStr">
        <is>
          <t>Mapeada en academic-work-plan-service/src/pta/entities/docente.entity.ts:92 (DocenteEntity.sexoBiologico)</t>
        </is>
      </c>
      <c r="Q22" s="18" t="inlineStr">
        <is>
          <t>Código fuente (verificado)</t>
        </is>
      </c>
      <c r="R22" s="18" t="inlineStr">
        <is>
          <t>Sexo biológico del docente, en texto, tomado de la carga masiva (SEXO_BIOLOGICO) o del documento de identidad (Mujer u Hombre).</t>
        </is>
      </c>
      <c r="S22" s="18" t="inlineStr">
        <is>
          <t>Media</t>
        </is>
      </c>
      <c r="T22" s="18" t="inlineStr">
        <is>
          <t>academic-work-plan-service/src/pta/banco-docentes/banco-docentes.service.ts:419,552: SEXO_BIOLOGICO de la carga, sin normalizar | academic-work-plan-service/src/pta/banco-docentes/rund-extraccion-fields.ts:13,64: el OCR solo admite Mujer u Hombre | academic-work-plan-service/src/pta/banco-docentes/rund-extraccion-fields.ts:99: equivalencias M/F</t>
        </is>
      </c>
      <c r="U22" s="18" t="inlineStr">
        <is>
          <t>¿Qué valores trae la carga masiva? El código no normaliza el valor cargado (el OCR usa Mujer/Hombre).</t>
        </is>
      </c>
      <c r="V22" s="19" t="inlineStr">
        <is>
          <t>Aprobada</t>
        </is>
      </c>
      <c r="W22" s="19" t="inlineStr"/>
      <c r="X22" s="19" t="inlineStr">
        <is>
          <t>Aldair González (validación del responsable de BD)</t>
        </is>
      </c>
      <c r="Y22" s="20" t="n">
        <v>46317</v>
      </c>
      <c r="Z22" s="19" t="inlineStr">
        <is>
          <t>Nivel 3: el código no resuelve la pregunta; queda para desarrollo. Validada por decisión del responsable de la base de datos. Pregunta registrada para desarrollo: ¿Qué valores trae la carga masiva? El código no normaliza el valor cargado (el OCR usa Mujer/Hombre).</t>
        </is>
      </c>
      <c r="AA22" s="18">
        <f>IF(OR(V22="Aprobada"),R22,IF(AND(OR(V22="Aprobada con ajuste",V22="Rechazada"),W22&lt;&gt;""),W22,""))</f>
        <v/>
      </c>
    </row>
    <row r="23">
      <c r="A23" s="18" t="inlineStr">
        <is>
          <t>C0022</t>
        </is>
      </c>
      <c r="B23" s="18" t="inlineStr">
        <is>
          <t>RUND</t>
        </is>
      </c>
      <c r="C23" s="18" t="inlineStr">
        <is>
          <t>academic_work_plan</t>
        </is>
      </c>
      <c r="D23" s="18" t="inlineStr">
        <is>
          <t>Documento</t>
        </is>
      </c>
      <c r="E23" s="18" t="n">
        <v>2</v>
      </c>
      <c r="F23" s="18" t="inlineStr">
        <is>
          <t>categoria</t>
        </is>
      </c>
      <c r="G23" s="18" t="inlineStr">
        <is>
          <t>text</t>
        </is>
      </c>
      <c r="H23" s="18" t="inlineStr">
        <is>
          <t>Sí</t>
        </is>
      </c>
      <c r="I23" s="18" t="inlineStr"/>
      <c r="J23" s="18" t="inlineStr"/>
      <c r="K23" s="18" t="inlineStr"/>
      <c r="L23" s="18" t="inlineStr">
        <is>
          <t>No</t>
        </is>
      </c>
      <c r="M23" s="18" t="inlineStr">
        <is>
          <t>No</t>
        </is>
      </c>
      <c r="N23" s="18" t="inlineStr"/>
      <c r="O23" s="18" t="inlineStr"/>
      <c r="P23" s="18" t="inlineStr"/>
      <c r="Q23" s="18" t="inlineStr">
        <is>
          <t>Código fuente (verificado)</t>
        </is>
      </c>
      <c r="R23" s="18" t="inlineStr">
        <is>
          <t>Categoría del documento. Por defecto, general.</t>
        </is>
      </c>
      <c r="S23" s="18" t="inlineStr">
        <is>
          <t>Media</t>
        </is>
      </c>
      <c r="T23" s="18" t="inlineStr">
        <is>
          <t>db/migrations/190_init_schema_PTA.sql:222: categoria text DEFAULT 'general' | el backend no consulta ni escribe academic_work_plan."Documento"</t>
        </is>
      </c>
      <c r="U23" s="18" t="inlineStr">
        <is>
          <t>¿Qué servicio usa la tabla academic_work_plan."Documento" y qué categorías maneja? El backend actual no la referencia.</t>
        </is>
      </c>
      <c r="V23" s="19" t="inlineStr">
        <is>
          <t>Aprobada</t>
        </is>
      </c>
      <c r="W23" s="19" t="inlineStr"/>
      <c r="X23" s="19" t="inlineStr">
        <is>
          <t>Aldair González (validación del responsable de BD)</t>
        </is>
      </c>
      <c r="Y23" s="20" t="n">
        <v>46317</v>
      </c>
      <c r="Z23" s="19" t="inlineStr">
        <is>
          <t>Nivel 3: el código no resuelve la pregunta; queda para desarrollo. Validada por decisión del responsable de la base de datos. Pregunta registrada para desarrollo: ¿Qué servicio usa la tabla academic_work_plan."Documento" y qué categorías maneja? El backend actual no la referencia.</t>
        </is>
      </c>
      <c r="AA23" s="18">
        <f>IF(OR(V23="Aprobada"),R23,IF(AND(OR(V23="Aprobada con ajuste",V23="Rechazada"),W23&lt;&gt;""),W23,""))</f>
        <v/>
      </c>
    </row>
    <row r="24">
      <c r="A24" s="18" t="inlineStr">
        <is>
          <t>C0023</t>
        </is>
      </c>
      <c r="B24" s="18" t="inlineStr">
        <is>
          <t>RUND</t>
        </is>
      </c>
      <c r="C24" s="18" t="inlineStr">
        <is>
          <t>academic_work_plan</t>
        </is>
      </c>
      <c r="D24" s="18" t="inlineStr">
        <is>
          <t>Documento</t>
        </is>
      </c>
      <c r="E24" s="18" t="n">
        <v>2</v>
      </c>
      <c r="F24" s="18" t="inlineStr">
        <is>
          <t>comentarios</t>
        </is>
      </c>
      <c r="G24" s="18" t="inlineStr">
        <is>
          <t>text</t>
        </is>
      </c>
      <c r="H24" s="18" t="inlineStr">
        <is>
          <t>Sí</t>
        </is>
      </c>
      <c r="I24" s="18" t="inlineStr"/>
      <c r="J24" s="18" t="inlineStr"/>
      <c r="K24" s="18" t="inlineStr"/>
      <c r="L24" s="18" t="inlineStr">
        <is>
          <t>No</t>
        </is>
      </c>
      <c r="M24" s="18" t="inlineStr">
        <is>
          <t>No</t>
        </is>
      </c>
      <c r="N24" s="18" t="inlineStr"/>
      <c r="O24" s="18" t="inlineStr"/>
      <c r="P24" s="18" t="inlineStr"/>
      <c r="Q24" s="18" t="inlineStr">
        <is>
          <t>Código fuente (verificado)</t>
        </is>
      </c>
      <c r="R24" s="18" t="inlineStr">
        <is>
          <t>Comentarios sobre el documento.</t>
        </is>
      </c>
      <c r="S24" s="18" t="inlineStr">
        <is>
          <t>Media</t>
        </is>
      </c>
      <c r="T24" s="18" t="inlineStr">
        <is>
          <t>db/migrations/190_init_schema_PTA.sql:223: comentarios text | el backend no consulta ni escribe academic_work_plan."Documento"</t>
        </is>
      </c>
      <c r="U24" s="18" t="inlineStr">
        <is>
          <t>¿Qué servicio usa la tabla y quién escribe los comentarios (quien carga o quien revisa)? El backend actual no la referencia.</t>
        </is>
      </c>
      <c r="V24" s="19" t="inlineStr">
        <is>
          <t>Aprobada</t>
        </is>
      </c>
      <c r="W24" s="19" t="inlineStr"/>
      <c r="X24" s="19" t="inlineStr">
        <is>
          <t>Aldair González (validación del responsable de BD)</t>
        </is>
      </c>
      <c r="Y24" s="20" t="n">
        <v>46317</v>
      </c>
      <c r="Z24" s="19" t="inlineStr">
        <is>
          <t>Nivel 3: el código no resuelve la pregunta; queda para desarrollo. Validada por decisión del responsable de la base de datos. Pregunta registrada para desarrollo: ¿Qué servicio usa la tabla y quién escribe los comentarios (quien carga o quien revisa)? El backend actual no la referencia.</t>
        </is>
      </c>
      <c r="AA24" s="18">
        <f>IF(OR(V24="Aprobada"),R24,IF(AND(OR(V24="Aprobada con ajuste",V24="Rechazada"),W24&lt;&gt;""),W24,""))</f>
        <v/>
      </c>
    </row>
    <row r="25">
      <c r="A25" s="18" t="inlineStr">
        <is>
          <t>C0024</t>
        </is>
      </c>
      <c r="B25" s="18" t="inlineStr">
        <is>
          <t>RUND</t>
        </is>
      </c>
      <c r="C25" s="18" t="inlineStr">
        <is>
          <t>academic_work_plan</t>
        </is>
      </c>
      <c r="D25" s="18" t="inlineStr">
        <is>
          <t>RundExtraccionInicio</t>
        </is>
      </c>
      <c r="E25" s="18" t="n">
        <v>0</v>
      </c>
      <c r="F25" s="18" t="inlineStr">
        <is>
          <t>desde</t>
        </is>
      </c>
      <c r="G25" s="18" t="inlineStr">
        <is>
          <t>timestamp with time zone</t>
        </is>
      </c>
      <c r="H25" s="18" t="inlineStr">
        <is>
          <t>No</t>
        </is>
      </c>
      <c r="I25" s="18" t="inlineStr"/>
      <c r="J25" s="18" t="inlineStr"/>
      <c r="K25" s="18" t="inlineStr"/>
      <c r="L25" s="18" t="inlineStr">
        <is>
          <t>Sí</t>
        </is>
      </c>
      <c r="M25" s="18" t="inlineStr">
        <is>
          <t>No</t>
        </is>
      </c>
      <c r="N25" s="18" t="inlineStr"/>
      <c r="O25" s="18" t="inlineStr"/>
      <c r="P25" s="18" t="inlineStr"/>
      <c r="Q25" s="18" t="inlineStr">
        <is>
          <t>Propuesta semántica</t>
        </is>
      </c>
      <c r="R25" s="18" t="inlineStr">
        <is>
          <t>Fecha y hora desde la que se toman los registros para la extracción, con zona horaria.</t>
        </is>
      </c>
      <c r="S25" s="18" t="inlineStr">
        <is>
          <t>Baja</t>
        </is>
      </c>
      <c r="T25" s="18" t="inlineStr">
        <is>
          <t>nombre + tipo timestamptz + defecto now()</t>
        </is>
      </c>
      <c r="U25" s="18" t="inlineStr">
        <is>
          <t>¿Qué proceso usa esta fecha y qué registros filtra?</t>
        </is>
      </c>
      <c r="V25" s="19" t="inlineStr">
        <is>
          <t>Aprobada</t>
        </is>
      </c>
      <c r="W25" s="19" t="inlineStr"/>
      <c r="X25" s="19" t="inlineStr">
        <is>
          <t>Aldair González (validación del responsable de BD)</t>
        </is>
      </c>
      <c r="Y25" s="20" t="n">
        <v>46317</v>
      </c>
      <c r="Z25" s="19" t="inlineStr">
        <is>
          <t>Nivel 3: la evidencia disponible proviene de un archivo de carga de datos; confirmar la descripción con desarrollo. Validada por decisión del responsable de la base de datos.</t>
        </is>
      </c>
      <c r="AA25" s="18">
        <f>IF(OR(V25="Aprobada"),R25,IF(AND(OR(V25="Aprobada con ajuste",V25="Rechazada"),W25&lt;&gt;""),W25,""))</f>
        <v/>
      </c>
    </row>
    <row r="26">
      <c r="A26" s="18" t="inlineStr">
        <is>
          <t>C0025</t>
        </is>
      </c>
      <c r="B26" s="18" t="inlineStr">
        <is>
          <t>RUND</t>
        </is>
      </c>
      <c r="C26" s="18" t="inlineStr">
        <is>
          <t>academic_work_plan</t>
        </is>
      </c>
      <c r="D26" s="18" t="inlineStr">
        <is>
          <t>RundExtraccionTrabajo</t>
        </is>
      </c>
      <c r="E26" s="18" t="n">
        <v>0</v>
      </c>
      <c r="F26" s="18" t="inlineStr">
        <is>
          <t>disponible_en</t>
        </is>
      </c>
      <c r="G26" s="18" t="inlineStr">
        <is>
          <t>timestamp with time zone</t>
        </is>
      </c>
      <c r="H26" s="18" t="inlineStr">
        <is>
          <t>No</t>
        </is>
      </c>
      <c r="I26" s="18" t="inlineStr"/>
      <c r="J26" s="18" t="inlineStr"/>
      <c r="K26" s="18" t="inlineStr"/>
      <c r="L26" s="18" t="inlineStr">
        <is>
          <t>No</t>
        </is>
      </c>
      <c r="M26" s="18" t="inlineStr">
        <is>
          <t>No</t>
        </is>
      </c>
      <c r="N26" s="18" t="inlineStr"/>
      <c r="O26" s="18" t="inlineStr">
        <is>
          <t>idx_rund_extraccion_cola</t>
        </is>
      </c>
      <c r="P26" s="18" t="inlineStr"/>
      <c r="Q26" s="18" t="inlineStr">
        <is>
          <t>Propuesta semántica</t>
        </is>
      </c>
      <c r="R26" s="18" t="inlineStr">
        <is>
          <t>Fecha y hora a partir de la cual el trabajo queda disponible para que un proceso lo tome de la cola.</t>
        </is>
      </c>
      <c r="S26" s="18" t="inlineStr">
        <is>
          <t>Media</t>
        </is>
      </c>
      <c r="T26" s="18" t="inlineStr">
        <is>
          <t>nombre + timestamptz con defecto now() + índice idx_rund_extraccion_cola</t>
        </is>
      </c>
      <c r="U26" s="18" t="inlineStr">
        <is>
          <t>¿Se reprograma a una fecha futura cuando el trabajo falla y debe reintentarse?</t>
        </is>
      </c>
      <c r="V26" s="19" t="inlineStr">
        <is>
          <t>Aprobada</t>
        </is>
      </c>
      <c r="W26" s="19" t="inlineStr"/>
      <c r="X26" s="19" t="inlineStr">
        <is>
          <t>Aldair González (validación del responsable de BD)</t>
        </is>
      </c>
      <c r="Y26" s="20" t="n">
        <v>46317</v>
      </c>
      <c r="Z26" s="19" t="inlineStr">
        <is>
          <t>Nivel 3: la evidencia disponible proviene de un archivo de carga de datos; confirmar la descripción con desarrollo. Validada por decisión del responsable de la base de datos.</t>
        </is>
      </c>
      <c r="AA26" s="18">
        <f>IF(OR(V26="Aprobada"),R26,IF(AND(OR(V26="Aprobada con ajuste",V26="Rechazada"),W26&lt;&gt;""),W26,""))</f>
        <v/>
      </c>
    </row>
    <row r="27">
      <c r="A27" s="18" t="inlineStr">
        <is>
          <t>C0026</t>
        </is>
      </c>
      <c r="B27" s="18" t="inlineStr">
        <is>
          <t>RUND</t>
        </is>
      </c>
      <c r="C27" s="18" t="inlineStr">
        <is>
          <t>academic_work_plan</t>
        </is>
      </c>
      <c r="D27" s="18" t="inlineStr">
        <is>
          <t>RundExtraccionTrabajo</t>
        </is>
      </c>
      <c r="E27" s="18" t="n">
        <v>0</v>
      </c>
      <c r="F27" s="18" t="inlineStr">
        <is>
          <t>etapa</t>
        </is>
      </c>
      <c r="G27" s="18" t="inlineStr">
        <is>
          <t>text</t>
        </is>
      </c>
      <c r="H27" s="18" t="inlineStr">
        <is>
          <t>No</t>
        </is>
      </c>
      <c r="I27" s="18" t="inlineStr"/>
      <c r="J27" s="18" t="inlineStr"/>
      <c r="K27" s="18" t="inlineStr"/>
      <c r="L27" s="18" t="inlineStr">
        <is>
          <t>No</t>
        </is>
      </c>
      <c r="M27" s="18" t="inlineStr">
        <is>
          <t>No</t>
        </is>
      </c>
      <c r="N27" s="18" t="inlineStr"/>
      <c r="O27" s="18" t="inlineStr"/>
      <c r="P27" s="18" t="inlineStr"/>
      <c r="Q27" s="18" t="inlineStr">
        <is>
          <t>Propuesta semántica</t>
        </is>
      </c>
      <c r="R27" s="18" t="inlineStr">
        <is>
          <t>Etapa actual del trabajo de extracción dentro de su procesamiento. Valor inicial: EN_COLA.</t>
        </is>
      </c>
      <c r="S27" s="18" t="inlineStr">
        <is>
          <t>Media</t>
        </is>
      </c>
      <c r="T27" s="18" t="inlineStr">
        <is>
          <t>nombre + text con defecto 'EN_COLA'</t>
        </is>
      </c>
      <c r="U27" s="18" t="inlineStr">
        <is>
          <t>¿Cuáles son las etapas posibles además de EN_COLA y en qué se diferencian de la columna estado?</t>
        </is>
      </c>
      <c r="V27" s="19" t="inlineStr">
        <is>
          <t>Aprobada</t>
        </is>
      </c>
      <c r="W27" s="19" t="inlineStr"/>
      <c r="X27" s="19" t="inlineStr">
        <is>
          <t>Aldair González (validación del responsable de BD)</t>
        </is>
      </c>
      <c r="Y27" s="20" t="n">
        <v>46317</v>
      </c>
      <c r="Z27" s="19" t="inlineStr">
        <is>
          <t>Nivel 3: la evidencia disponible proviene de un archivo de carga de datos; confirmar la descripción con desarrollo. Validada por decisión del responsable de la base de datos.</t>
        </is>
      </c>
      <c r="AA27" s="18">
        <f>IF(OR(V27="Aprobada"),R27,IF(AND(OR(V27="Aprobada con ajuste",V27="Rechazada"),W27&lt;&gt;""),W27,""))</f>
        <v/>
      </c>
    </row>
    <row r="28">
      <c r="A28" s="18" t="inlineStr">
        <is>
          <t>C0027</t>
        </is>
      </c>
      <c r="B28" s="18" t="inlineStr">
        <is>
          <t>RUND</t>
        </is>
      </c>
      <c r="C28" s="18" t="inlineStr">
        <is>
          <t>academic_work_plan</t>
        </is>
      </c>
      <c r="D28" s="18" t="inlineStr">
        <is>
          <t>RundInvitacionDocente</t>
        </is>
      </c>
      <c r="E28" s="18" t="n">
        <v>0</v>
      </c>
      <c r="F28" s="18" t="inlineStr">
        <is>
          <t>otp_hash</t>
        </is>
      </c>
      <c r="G28" s="18" t="inlineStr">
        <is>
          <t>character varying(255)</t>
        </is>
      </c>
      <c r="H28" s="18" t="inlineStr">
        <is>
          <t>Sí</t>
        </is>
      </c>
      <c r="I28" s="18" t="inlineStr"/>
      <c r="J28" s="18" t="inlineStr"/>
      <c r="K28" s="18" t="inlineStr"/>
      <c r="L28" s="18" t="inlineStr">
        <is>
          <t>No</t>
        </is>
      </c>
      <c r="M28" s="18" t="inlineStr">
        <is>
          <t>No</t>
        </is>
      </c>
      <c r="N28" s="18" t="inlineStr"/>
      <c r="O28" s="18" t="inlineStr"/>
      <c r="P28" s="18" t="inlineStr"/>
      <c r="Q28" s="18" t="inlineStr">
        <is>
          <t>Código fuente (verificado)</t>
        </is>
      </c>
      <c r="R28" s="18" t="inlineStr">
        <is>
          <t>Hash del código de un solo uso (OTP) enviado al docente para validar el acceso.</t>
        </is>
      </c>
      <c r="S28" s="18" t="inlineStr">
        <is>
          <t>Media</t>
        </is>
      </c>
      <c r="T28" s="18" t="inlineStr">
        <is>
          <t>db/migrations/354_create_rund_invitacion_docente.sql:5-22: creación de la tabla | el backend no referencia RundInvitacionDocente | db/migrations/348_create_banco_docentes_invitaciones_and_aprobacion_log.sql:61-62: el flujo de invitaciones usa BancoDocentesInvitaciones</t>
        </is>
      </c>
      <c r="U28" s="18" t="inlineStr">
        <is>
          <t>La tabla RundInvitacionDocente no la usa ningún servicio (las invitaciones activas están en BancoDocentesInvitaciones): ¿la tabla sigue vigente y qué algoritmo usaría?</t>
        </is>
      </c>
      <c r="V28" s="19" t="inlineStr">
        <is>
          <t>Aprobada</t>
        </is>
      </c>
      <c r="W28" s="19" t="inlineStr"/>
      <c r="X28" s="19" t="inlineStr">
        <is>
          <t>Aldair González (validación del responsable de BD)</t>
        </is>
      </c>
      <c r="Y28" s="20" t="n">
        <v>46317</v>
      </c>
      <c r="Z28" s="19" t="inlineStr">
        <is>
          <t>Nivel 3: el código no resuelve la pregunta; queda para desarrollo. Validada por decisión del responsable de la base de datos. Pregunta registrada para desarrollo: La tabla RundInvitacionDocente no la usa ningún servicio (las invitaciones activas están en BancoDocentesInvitaciones): ¿la tabla sigue vigente y qué algoritmo usaría?</t>
        </is>
      </c>
      <c r="AA28" s="18">
        <f>IF(OR(V28="Aprobada"),R28,IF(AND(OR(V28="Aprobada con ajuste",V28="Rechazada"),W28&lt;&gt;""),W28,""))</f>
        <v/>
      </c>
    </row>
    <row r="29">
      <c r="A29" s="18" t="inlineStr">
        <is>
          <t>C0028</t>
        </is>
      </c>
      <c r="B29" s="18" t="inlineStr">
        <is>
          <t>RUND</t>
        </is>
      </c>
      <c r="C29" s="18" t="inlineStr">
        <is>
          <t>academic_work_plan</t>
        </is>
      </c>
      <c r="D29" s="18" t="inlineStr">
        <is>
          <t>RundInvitacionDocente</t>
        </is>
      </c>
      <c r="E29" s="18" t="n">
        <v>0</v>
      </c>
      <c r="F29" s="18" t="inlineStr">
        <is>
          <t>estado_invitacion</t>
        </is>
      </c>
      <c r="G29" s="18" t="inlineStr">
        <is>
          <t>character varying(50)</t>
        </is>
      </c>
      <c r="H29" s="18" t="inlineStr">
        <is>
          <t>No</t>
        </is>
      </c>
      <c r="I29" s="18" t="inlineStr"/>
      <c r="J29" s="18" t="inlineStr"/>
      <c r="K29" s="18" t="inlineStr"/>
      <c r="L29" s="18" t="inlineStr">
        <is>
          <t>No</t>
        </is>
      </c>
      <c r="M29" s="18" t="inlineStr">
        <is>
          <t>No</t>
        </is>
      </c>
      <c r="N29" s="18" t="inlineStr"/>
      <c r="O29" s="18" t="inlineStr"/>
      <c r="P29" s="18" t="inlineStr"/>
      <c r="Q29" s="18" t="inlineStr">
        <is>
          <t>Código fuente (verificado)</t>
        </is>
      </c>
      <c r="R29" s="18" t="inlineStr">
        <is>
          <t>Estado de la invitación al docente. Valor inicial: Enviada.</t>
        </is>
      </c>
      <c r="S29" s="18" t="inlineStr">
        <is>
          <t>Media</t>
        </is>
      </c>
      <c r="T29" s="18" t="inlineStr">
        <is>
          <t>db/migrations/354_create_rund_invitacion_docente.sql:5-22: creación de la tabla | el backend no referencia RundInvitacionDocente | db/migrations/348_create_banco_docentes_invitaciones_and_aprobacion_log.sql:61-62: el flujo de invitaciones usa BancoDocentesInvitaciones</t>
        </is>
      </c>
      <c r="U29" s="18" t="inlineStr">
        <is>
          <t>La tabla RundInvitacionDocente no la usa ningún servicio: ¿sigue vigente? Los estados Enviada, Abierta, OTP validado, En proceso, Gestionada y Vencida están documentados para BancoDocentesInvitaciones.</t>
        </is>
      </c>
      <c r="V29" s="19" t="inlineStr">
        <is>
          <t>Aprobada</t>
        </is>
      </c>
      <c r="W29" s="19" t="inlineStr"/>
      <c r="X29" s="19" t="inlineStr">
        <is>
          <t>Aldair González (validación del responsable de BD)</t>
        </is>
      </c>
      <c r="Y29" s="20" t="n">
        <v>46317</v>
      </c>
      <c r="Z29" s="19" t="inlineStr">
        <is>
          <t>Nivel 3: el código no resuelve la pregunta; queda para desarrollo. Validada por decisión del responsable de la base de datos. Pregunta registrada para desarrollo: La tabla RundInvitacionDocente no la usa ningún servicio: ¿sigue vigente? Los estados Enviada, Abierta, OTP validado, En proceso, Gestionada y Vencida están documentados para BancoDocentesInvitaciones.</t>
        </is>
      </c>
      <c r="AA29" s="18">
        <f>IF(OR(V29="Aprobada"),R29,IF(AND(OR(V29="Aprobada con ajuste",V29="Rechazada"),W29&lt;&gt;""),W29,""))</f>
        <v/>
      </c>
    </row>
    <row r="30">
      <c r="A30" s="18" t="inlineStr">
        <is>
          <t>C0029</t>
        </is>
      </c>
      <c r="B30" s="18" t="inlineStr">
        <is>
          <t>RUND</t>
        </is>
      </c>
      <c r="C30" s="18" t="inlineStr">
        <is>
          <t>academic_work_plan</t>
        </is>
      </c>
      <c r="D30" s="18" t="inlineStr">
        <is>
          <t>RundInvitacionDocente</t>
        </is>
      </c>
      <c r="E30" s="18" t="n">
        <v>0</v>
      </c>
      <c r="F30" s="18" t="inlineStr">
        <is>
          <t>intentos_otp</t>
        </is>
      </c>
      <c r="G30" s="18" t="inlineStr">
        <is>
          <t>integer</t>
        </is>
      </c>
      <c r="H30" s="18" t="inlineStr">
        <is>
          <t>Sí</t>
        </is>
      </c>
      <c r="I30" s="18" t="inlineStr"/>
      <c r="J30" s="18" t="inlineStr"/>
      <c r="K30" s="18" t="inlineStr"/>
      <c r="L30" s="18" t="inlineStr">
        <is>
          <t>No</t>
        </is>
      </c>
      <c r="M30" s="18" t="inlineStr">
        <is>
          <t>No</t>
        </is>
      </c>
      <c r="N30" s="18" t="inlineStr"/>
      <c r="O30" s="18" t="inlineStr"/>
      <c r="P30" s="18" t="inlineStr"/>
      <c r="Q30" s="18" t="inlineStr">
        <is>
          <t>Código fuente (verificado)</t>
        </is>
      </c>
      <c r="R30" s="18" t="inlineStr">
        <is>
          <t>Número de intentos de validación del código OTP. Por defecto, 0.</t>
        </is>
      </c>
      <c r="S30" s="18" t="inlineStr">
        <is>
          <t>Media</t>
        </is>
      </c>
      <c r="T30" s="18" t="inlineStr">
        <is>
          <t>db/migrations/354_create_rund_invitacion_docente.sql:5-22: creación de la tabla | el backend no referencia RundInvitacionDocente | db/migrations/348_create_banco_docentes_invitaciones_and_aprobacion_log.sql:61-62: el flujo de invitaciones usa BancoDocentesInvitaciones</t>
        </is>
      </c>
      <c r="U30" s="18" t="inlineStr">
        <is>
          <t>La tabla RundInvitacionDocente no la usa ningún servicio: ¿sigue vigente y cuántos intentos se permiten?</t>
        </is>
      </c>
      <c r="V30" s="19" t="inlineStr">
        <is>
          <t>Aprobada</t>
        </is>
      </c>
      <c r="W30" s="19" t="inlineStr"/>
      <c r="X30" s="19" t="inlineStr">
        <is>
          <t>Aldair González (validación del responsable de BD)</t>
        </is>
      </c>
      <c r="Y30" s="20" t="n">
        <v>46317</v>
      </c>
      <c r="Z30" s="19" t="inlineStr">
        <is>
          <t>Nivel 3: el código no resuelve la pregunta; queda para desarrollo. Validada por decisión del responsable de la base de datos. Pregunta registrada para desarrollo: La tabla RundInvitacionDocente no la usa ningún servicio: ¿sigue vigente y cuántos intentos se permiten?</t>
        </is>
      </c>
      <c r="AA30" s="18">
        <f>IF(OR(V30="Aprobada"),R30,IF(AND(OR(V30="Aprobada con ajuste",V30="Rechazada"),W30&lt;&gt;""),W30,""))</f>
        <v/>
      </c>
    </row>
    <row r="31">
      <c r="A31" s="18" t="inlineStr">
        <is>
          <t>C0030</t>
        </is>
      </c>
      <c r="B31" s="18" t="inlineStr">
        <is>
          <t>RUND</t>
        </is>
      </c>
      <c r="C31" s="18" t="inlineStr">
        <is>
          <t>academic_work_plan</t>
        </is>
      </c>
      <c r="D31" s="18" t="inlineStr">
        <is>
          <t>RundInvitacionDocente</t>
        </is>
      </c>
      <c r="E31" s="18" t="n">
        <v>0</v>
      </c>
      <c r="F31" s="18" t="inlineStr">
        <is>
          <t>bloqueo_hasta</t>
        </is>
      </c>
      <c r="G31" s="18" t="inlineStr">
        <is>
          <t>timestamp without time zone</t>
        </is>
      </c>
      <c r="H31" s="18" t="inlineStr">
        <is>
          <t>Sí</t>
        </is>
      </c>
      <c r="I31" s="18" t="inlineStr"/>
      <c r="J31" s="18" t="inlineStr"/>
      <c r="K31" s="18" t="inlineStr"/>
      <c r="L31" s="18" t="inlineStr">
        <is>
          <t>No</t>
        </is>
      </c>
      <c r="M31" s="18" t="inlineStr">
        <is>
          <t>No</t>
        </is>
      </c>
      <c r="N31" s="18" t="inlineStr"/>
      <c r="O31" s="18" t="inlineStr"/>
      <c r="P31" s="18" t="inlineStr"/>
      <c r="Q31" s="18" t="inlineStr">
        <is>
          <t>Código fuente (verificado)</t>
        </is>
      </c>
      <c r="R31" s="18" t="inlineStr">
        <is>
          <t>Fecha y hora hasta la cual la invitación queda bloqueada para validar el OTP.</t>
        </is>
      </c>
      <c r="S31" s="18" t="inlineStr">
        <is>
          <t>Media</t>
        </is>
      </c>
      <c r="T31" s="18" t="inlineStr">
        <is>
          <t>db/migrations/354_create_rund_invitacion_docente.sql:5-22: creación de la tabla | el backend no referencia RundInvitacionDocente | db/migrations/348_create_banco_docentes_invitaciones_and_aprobacion_log.sql:61-62: el flujo de invitaciones usa BancoDocentesInvitaciones</t>
        </is>
      </c>
      <c r="U31" s="18" t="inlineStr">
        <is>
          <t>La tabla RundInvitacionDocente no la usa ningún servicio: ¿sigue vigente, cuánto dura el bloqueo y qué lo activa?</t>
        </is>
      </c>
      <c r="V31" s="19" t="inlineStr">
        <is>
          <t>Aprobada</t>
        </is>
      </c>
      <c r="W31" s="19" t="inlineStr"/>
      <c r="X31" s="19" t="inlineStr">
        <is>
          <t>Aldair González (validación del responsable de BD)</t>
        </is>
      </c>
      <c r="Y31" s="20" t="n">
        <v>46317</v>
      </c>
      <c r="Z31" s="19" t="inlineStr">
        <is>
          <t>Nivel 3: el código no resuelve la pregunta; queda para desarrollo. Validada por decisión del responsable de la base de datos. Pregunta registrada para desarrollo: La tabla RundInvitacionDocente no la usa ningún servicio: ¿sigue vigente, cuánto dura el bloqueo y qué lo activa?</t>
        </is>
      </c>
      <c r="AA31" s="18">
        <f>IF(OR(V31="Aprobada"),R31,IF(AND(OR(V31="Aprobada con ajuste",V31="Rechazada"),W31&lt;&gt;""),W31,""))</f>
        <v/>
      </c>
    </row>
    <row r="32">
      <c r="A32" s="18" t="inlineStr">
        <is>
          <t>C0031</t>
        </is>
      </c>
      <c r="B32" s="18" t="inlineStr">
        <is>
          <t>RUND</t>
        </is>
      </c>
      <c r="C32" s="18" t="inlineStr">
        <is>
          <t>academic_work_plan</t>
        </is>
      </c>
      <c r="D32" s="18" t="inlineStr">
        <is>
          <t>RundInvitacionDocente</t>
        </is>
      </c>
      <c r="E32" s="18" t="n">
        <v>0</v>
      </c>
      <c r="F32" s="18" t="inlineStr">
        <is>
          <t>ultima_actividad</t>
        </is>
      </c>
      <c r="G32" s="18" t="inlineStr">
        <is>
          <t>timestamp without time zone</t>
        </is>
      </c>
      <c r="H32" s="18" t="inlineStr">
        <is>
          <t>Sí</t>
        </is>
      </c>
      <c r="I32" s="18" t="inlineStr"/>
      <c r="J32" s="18" t="inlineStr"/>
      <c r="K32" s="18" t="inlineStr"/>
      <c r="L32" s="18" t="inlineStr">
        <is>
          <t>No</t>
        </is>
      </c>
      <c r="M32" s="18" t="inlineStr">
        <is>
          <t>No</t>
        </is>
      </c>
      <c r="N32" s="18" t="inlineStr"/>
      <c r="O32" s="18" t="inlineStr"/>
      <c r="P32" s="18" t="inlineStr"/>
      <c r="Q32" s="18" t="inlineStr">
        <is>
          <t>Código fuente (verificado)</t>
        </is>
      </c>
      <c r="R32" s="18" t="inlineStr">
        <is>
          <t>Fecha y hora de la última actividad sobre la invitación.</t>
        </is>
      </c>
      <c r="S32" s="18" t="inlineStr">
        <is>
          <t>Media</t>
        </is>
      </c>
      <c r="T32" s="18" t="inlineStr">
        <is>
          <t>db/migrations/354_create_rund_invitacion_docente.sql:5-22: creación de la tabla | el backend no referencia RundInvitacionDocente | db/migrations/348_create_banco_docentes_invitaciones_and_aprobacion_log.sql:61-62: el flujo de invitaciones usa BancoDocentesInvitaciones</t>
        </is>
      </c>
      <c r="U32" s="18" t="inlineStr">
        <is>
          <t>La tabla RundInvitacionDocente no la usa ningún servicio: ¿sigue vigente y qué acciones actualizan el valor?</t>
        </is>
      </c>
      <c r="V32" s="19" t="inlineStr">
        <is>
          <t>Aprobada</t>
        </is>
      </c>
      <c r="W32" s="19" t="inlineStr"/>
      <c r="X32" s="19" t="inlineStr">
        <is>
          <t>Aldair González (validación del responsable de BD)</t>
        </is>
      </c>
      <c r="Y32" s="20" t="n">
        <v>46317</v>
      </c>
      <c r="Z32" s="19" t="inlineStr">
        <is>
          <t>Nivel 3: el código no resuelve la pregunta; queda para desarrollo. Validada por decisión del responsable de la base de datos. Pregunta registrada para desarrollo: La tabla RundInvitacionDocente no la usa ningún servicio: ¿sigue vigente y qué acciones actualizan el valor?</t>
        </is>
      </c>
      <c r="AA32" s="18">
        <f>IF(OR(V32="Aprobada"),R32,IF(AND(OR(V32="Aprobada con ajuste",V32="Rechazada"),W32&lt;&gt;""),W32,""))</f>
        <v/>
      </c>
    </row>
    <row r="33">
      <c r="A33" s="18" t="inlineStr">
        <is>
          <t>C0032</t>
        </is>
      </c>
      <c r="B33" s="18" t="inlineStr">
        <is>
          <t>RUND</t>
        </is>
      </c>
      <c r="C33" s="18" t="inlineStr">
        <is>
          <t>academic_work_plan</t>
        </is>
      </c>
      <c r="D33" s="18" t="inlineStr">
        <is>
          <t>RundInvitacionDocente</t>
        </is>
      </c>
      <c r="E33" s="18" t="n">
        <v>0</v>
      </c>
      <c r="F33" s="18" t="inlineStr">
        <is>
          <t>docente_id</t>
        </is>
      </c>
      <c r="G33" s="18" t="inlineStr">
        <is>
          <t>text</t>
        </is>
      </c>
      <c r="H33" s="18" t="inlineStr">
        <is>
          <t>Sí</t>
        </is>
      </c>
      <c r="I33" s="18" t="inlineStr"/>
      <c r="J33" s="18" t="inlineStr"/>
      <c r="K33" s="18" t="inlineStr"/>
      <c r="L33" s="18" t="inlineStr">
        <is>
          <t>No</t>
        </is>
      </c>
      <c r="M33" s="18" t="inlineStr">
        <is>
          <t>No</t>
        </is>
      </c>
      <c r="N33" s="18" t="inlineStr"/>
      <c r="O33" s="18" t="inlineStr"/>
      <c r="P33" s="18" t="inlineStr"/>
      <c r="Q33" s="18" t="inlineStr">
        <is>
          <t>Código fuente (verificado)</t>
        </is>
      </c>
      <c r="R33" s="18" t="inlineStr">
        <is>
          <t>Identificador del docente asociado a la invitación, en texto.</t>
        </is>
      </c>
      <c r="S33" s="18" t="inlineStr">
        <is>
          <t>Media</t>
        </is>
      </c>
      <c r="T33" s="18" t="inlineStr">
        <is>
          <t>db/migrations/354_create_rund_invitacion_docente.sql:5-22: creación de la tabla | el backend no referencia RundInvitacionDocente | db/migrations/348_create_banco_docentes_invitaciones_and_aprobacion_log.sql:61-62: el flujo de invitaciones usa BancoDocentesInvitaciones</t>
        </is>
      </c>
      <c r="U33" s="18" t="inlineStr">
        <is>
          <t>La tabla RundInvitacionDocente no la usa ningún servicio: ¿sigue vigente y el valor corresponde a academic_work_plan."Docente".id?</t>
        </is>
      </c>
      <c r="V33" s="19" t="inlineStr">
        <is>
          <t>Aprobada</t>
        </is>
      </c>
      <c r="W33" s="19" t="inlineStr"/>
      <c r="X33" s="19" t="inlineStr">
        <is>
          <t>Aldair González (validación del responsable de BD)</t>
        </is>
      </c>
      <c r="Y33" s="20" t="n">
        <v>46317</v>
      </c>
      <c r="Z33" s="19" t="inlineStr">
        <is>
          <t>Nivel 3: el código no resuelve la pregunta; queda para desarrollo. Validada por decisión del responsable de la base de datos. Pregunta registrada para desarrollo: La tabla RundInvitacionDocente no la usa ningún servicio: ¿sigue vigente y el valor corresponde a academic_work_plan."Docente".id?</t>
        </is>
      </c>
      <c r="AA33" s="18">
        <f>IF(OR(V33="Aprobada"),R33,IF(AND(OR(V33="Aprobada con ajuste",V33="Rechazada"),W33&lt;&gt;""),W33,""))</f>
        <v/>
      </c>
    </row>
    <row r="34">
      <c r="A34" s="18" t="inlineStr">
        <is>
          <t>C0033</t>
        </is>
      </c>
      <c r="B34" s="18" t="inlineStr">
        <is>
          <t>RUND</t>
        </is>
      </c>
      <c r="C34" s="18" t="inlineStr">
        <is>
          <t>academic_work_plan</t>
        </is>
      </c>
      <c r="D34" s="18" t="inlineStr">
        <is>
          <t>RundInvitacionDocente</t>
        </is>
      </c>
      <c r="E34" s="18" t="n">
        <v>0</v>
      </c>
      <c r="F34" s="18" t="inlineStr">
        <is>
          <t>operador_id</t>
        </is>
      </c>
      <c r="G34" s="18" t="inlineStr">
        <is>
          <t>character varying(255)</t>
        </is>
      </c>
      <c r="H34" s="18" t="inlineStr">
        <is>
          <t>Sí</t>
        </is>
      </c>
      <c r="I34" s="18" t="inlineStr"/>
      <c r="J34" s="18" t="inlineStr"/>
      <c r="K34" s="18" t="inlineStr"/>
      <c r="L34" s="18" t="inlineStr">
        <is>
          <t>No</t>
        </is>
      </c>
      <c r="M34" s="18" t="inlineStr">
        <is>
          <t>No</t>
        </is>
      </c>
      <c r="N34" s="18" t="inlineStr"/>
      <c r="O34" s="18" t="inlineStr"/>
      <c r="P34" s="18" t="inlineStr"/>
      <c r="Q34" s="18" t="inlineStr">
        <is>
          <t>Código fuente (verificado)</t>
        </is>
      </c>
      <c r="R34" s="18" t="inlineStr">
        <is>
          <t>Identificador del operador que generó la invitación.</t>
        </is>
      </c>
      <c r="S34" s="18" t="inlineStr">
        <is>
          <t>Media</t>
        </is>
      </c>
      <c r="T34" s="18" t="inlineStr">
        <is>
          <t>db/migrations/354_create_rund_invitacion_docente.sql:5-22: creación de la tabla | el backend no referencia RundInvitacionDocente | db/migrations/348_create_banco_docentes_invitaciones_and_aprobacion_log.sql:61-62: el flujo de invitaciones usa BancoDocentesInvitaciones</t>
        </is>
      </c>
      <c r="U34" s="18" t="inlineStr">
        <is>
          <t>La tabla RundInvitacionDocente no la usa ningún servicio: ¿sigue vigente y qué identificador guarda?</t>
        </is>
      </c>
      <c r="V34" s="19" t="inlineStr">
        <is>
          <t>Aprobada</t>
        </is>
      </c>
      <c r="W34" s="19" t="inlineStr"/>
      <c r="X34" s="19" t="inlineStr">
        <is>
          <t>Aldair González (validación del responsable de BD)</t>
        </is>
      </c>
      <c r="Y34" s="20" t="n">
        <v>46317</v>
      </c>
      <c r="Z34" s="19" t="inlineStr">
        <is>
          <t>Nivel 3: el código no resuelve la pregunta; queda para desarrollo. Validada por decisión del responsable de la base de datos. Pregunta registrada para desarrollo: La tabla RundInvitacionDocente no la usa ningún servicio: ¿sigue vigente y qué identificador guarda?</t>
        </is>
      </c>
      <c r="AA34" s="18">
        <f>IF(OR(V34="Aprobada"),R34,IF(AND(OR(V34="Aprobada con ajuste",V34="Rechazada"),W34&lt;&gt;""),W34,""))</f>
        <v/>
      </c>
    </row>
    <row r="35">
      <c r="A35" s="18" t="inlineStr">
        <is>
          <t>C0034</t>
        </is>
      </c>
      <c r="B35" s="18" t="inlineStr">
        <is>
          <t>RUND</t>
        </is>
      </c>
      <c r="C35" s="18" t="inlineStr">
        <is>
          <t>academic_work_plan</t>
        </is>
      </c>
      <c r="D35" s="18" t="inlineStr">
        <is>
          <t>RundMacroDocenteConsultaLog</t>
        </is>
      </c>
      <c r="E35" s="18" t="n">
        <v>0</v>
      </c>
      <c r="F35" s="18" t="inlineStr">
        <is>
          <t>periodo</t>
        </is>
      </c>
      <c r="G35" s="18" t="inlineStr">
        <is>
          <t>text</t>
        </is>
      </c>
      <c r="H35" s="18" t="inlineStr">
        <is>
          <t>Sí</t>
        </is>
      </c>
      <c r="I35" s="18" t="inlineStr"/>
      <c r="J35" s="18" t="inlineStr"/>
      <c r="K35" s="18" t="inlineStr"/>
      <c r="L35" s="18" t="inlineStr">
        <is>
          <t>No</t>
        </is>
      </c>
      <c r="M35" s="18" t="inlineStr">
        <is>
          <t>No</t>
        </is>
      </c>
      <c r="N35" s="18" t="inlineStr"/>
      <c r="O35" s="18" t="inlineStr"/>
      <c r="P35" s="18" t="inlineStr">
        <is>
          <t>Mapeada en academic-work-plan-service/src/pta/entities/rund-macro-docente-consulta-log.entity.ts:31 (RundMacroDocenteConsultaLogEntity.periodo)</t>
        </is>
      </c>
      <c r="Q35" s="18" t="inlineStr">
        <is>
          <t>Código fuente (verificado)</t>
        </is>
      </c>
      <c r="R35" s="18" t="inlineStr">
        <is>
          <t>Periodo académico consultado, tal como se envió en el filtro de la consulta; se compara con el periodo del PTA.</t>
        </is>
      </c>
      <c r="S35" s="18" t="inlineStr">
        <is>
          <t>Media</t>
        </is>
      </c>
      <c r="T35" s="18" t="inlineStr">
        <is>
          <t>academic-work-plan-service/src/pta/macro-docente/macro-docente.controller.ts:55,82,97,159: periodo del query sin validar formato | academic-work-plan-service/src/pta/macro-docente/macro-docente.service.ts:148: pta.periodo = :periodo</t>
        </is>
      </c>
      <c r="U35" s="18" t="inlineStr">
        <is>
          <t>¿Qué formato tiene el periodo del PTA (por ejemplo, 2026-1)? La consulta macro no lo valida.</t>
        </is>
      </c>
      <c r="V35" s="19" t="inlineStr">
        <is>
          <t>Aprobada</t>
        </is>
      </c>
      <c r="W35" s="19" t="inlineStr"/>
      <c r="X35" s="19" t="inlineStr">
        <is>
          <t>Aldair González (validación del responsable de BD)</t>
        </is>
      </c>
      <c r="Y35" s="20" t="n">
        <v>46317</v>
      </c>
      <c r="Z35" s="19" t="inlineStr">
        <is>
          <t>Nivel 3: el código no resuelve la pregunta; queda para desarrollo. Validada por decisión del responsable de la base de datos. Pregunta registrada para desarrollo: ¿Qué formato tiene el periodo del PTA (por ejemplo, 2026-1)? La consulta macro no lo valida.</t>
        </is>
      </c>
      <c r="AA35" s="18">
        <f>IF(OR(V35="Aprobada"),R35,IF(AND(OR(V35="Aprobada con ajuste",V35="Rechazada"),W35&lt;&gt;""),W35,""))</f>
        <v/>
      </c>
    </row>
    <row r="36">
      <c r="A36" s="18" t="inlineStr">
        <is>
          <t>C0035</t>
        </is>
      </c>
      <c r="B36" s="18" t="inlineStr">
        <is>
          <t>Contratación</t>
        </is>
      </c>
      <c r="C36" s="18" t="inlineStr">
        <is>
          <t>hiring</t>
        </is>
      </c>
      <c r="D36" s="18" t="inlineStr">
        <is>
          <t>actividades</t>
        </is>
      </c>
      <c r="E36" s="18" t="n">
        <v>63</v>
      </c>
      <c r="F36" s="18" t="inlineStr">
        <is>
          <t>etapa</t>
        </is>
      </c>
      <c r="G36" s="18" t="inlineStr">
        <is>
          <t>integer</t>
        </is>
      </c>
      <c r="H36" s="18" t="inlineStr">
        <is>
          <t>No</t>
        </is>
      </c>
      <c r="I36" s="18" t="inlineStr"/>
      <c r="J36" s="18" t="inlineStr"/>
      <c r="K36" s="18" t="inlineStr"/>
      <c r="L36" s="18" t="inlineStr">
        <is>
          <t>No</t>
        </is>
      </c>
      <c r="M36" s="18" t="inlineStr">
        <is>
          <t>No</t>
        </is>
      </c>
      <c r="N36" s="18" t="inlineStr"/>
      <c r="O36" s="18" t="inlineStr"/>
      <c r="P36" s="18" t="inlineStr">
        <is>
          <t>Mapeada en hiring-service/src/entities/actividad.entity.ts:18 (Actividad.etapa)</t>
        </is>
      </c>
      <c r="Q36" s="18" t="inlineStr">
        <is>
          <t>Código fuente (verificado)</t>
        </is>
      </c>
      <c r="R36" s="18" t="inlineStr">
        <is>
          <t>Número de la etapa (1 a 10) de la matriz de flujo a la que pertenece la actividad; coincide con el primer número del numeral.</t>
        </is>
      </c>
      <c r="S36" s="18" t="inlineStr">
        <is>
          <t>Media</t>
        </is>
      </c>
      <c r="T36" s="18" t="inlineStr">
        <is>
          <t>hiring-service/src/entities/actividad.entity.ts:10: la matriz tiene 63 actividades repartidas en 10 etapas | db/migrations/hiring/030_matriz_completa.sql:18: siembra numeral y etapa | hiring-service/db/migrations/083_permisos_por_etapa_punto_y_accion.sql:119: CHECK etapa BETWEEN 1 AND 10 en alcances_permiso; no hay tabla ni constante con el nombre de cada etapa</t>
        </is>
      </c>
      <c r="U36" s="18" t="inlineStr">
        <is>
          <t>¿Existe un catálogo con el nombre de cada etapa (1 a 10)? El backend no tiene tabla ni constante con esos nombres.</t>
        </is>
      </c>
      <c r="V36" s="19" t="inlineStr">
        <is>
          <t>Aprobada</t>
        </is>
      </c>
      <c r="W36" s="19" t="inlineStr"/>
      <c r="X36" s="19" t="inlineStr">
        <is>
          <t>Aldair González (validación del responsable de BD)</t>
        </is>
      </c>
      <c r="Y36" s="20" t="n">
        <v>46317</v>
      </c>
      <c r="Z36" s="19" t="inlineStr">
        <is>
          <t>Nivel 3: el código no resuelve la pregunta; queda para desarrollo. Validada por decisión del responsable de la base de datos. Pregunta registrada para desarrollo: ¿Existe un catálogo con el nombre de cada etapa (1 a 10)? El backend no tiene tabla ni constante con esos nombres.</t>
        </is>
      </c>
      <c r="AA36" s="18">
        <f>IF(OR(V36="Aprobada"),R36,IF(AND(OR(V36="Aprobada con ajuste",V36="Rechazada"),W36&lt;&gt;""),W36,""))</f>
        <v/>
      </c>
    </row>
    <row r="37">
      <c r="A37" s="18" t="inlineStr">
        <is>
          <t>C0036</t>
        </is>
      </c>
      <c r="B37" s="18" t="inlineStr">
        <is>
          <t>Contratación</t>
        </is>
      </c>
      <c r="C37" s="18" t="inlineStr">
        <is>
          <t>hiring</t>
        </is>
      </c>
      <c r="D37" s="18" t="inlineStr">
        <is>
          <t>actividades_con_soporte</t>
        </is>
      </c>
      <c r="E37" s="18" t="n">
        <v>14</v>
      </c>
      <c r="F37" s="18" t="inlineStr">
        <is>
          <t>etapa</t>
        </is>
      </c>
      <c r="G37" s="18" t="inlineStr">
        <is>
          <t>integer</t>
        </is>
      </c>
      <c r="H37" s="18" t="inlineStr">
        <is>
          <t>No</t>
        </is>
      </c>
      <c r="I37" s="18" t="inlineStr"/>
      <c r="J37" s="18" t="inlineStr"/>
      <c r="K37" s="18" t="inlineStr"/>
      <c r="L37" s="18" t="inlineStr">
        <is>
          <t>Sí</t>
        </is>
      </c>
      <c r="M37" s="18" t="inlineStr">
        <is>
          <t>No</t>
        </is>
      </c>
      <c r="N37" s="18" t="inlineStr"/>
      <c r="O37" s="18" t="inlineStr"/>
      <c r="P37" s="18" t="inlineStr">
        <is>
          <t>Mapeada en hiring-service/src/entities/registro-actividad.entity.ts:75 (ActividadConSoporte.etapa)</t>
        </is>
      </c>
      <c r="Q37" s="18" t="inlineStr">
        <is>
          <t>Código fuente (verificado)</t>
        </is>
      </c>
      <c r="R37" s="18" t="inlineStr">
        <is>
          <t>Número de la etapa de la matriz de flujo a la que pertenece la actividad. Se siembra junto con el numeral y en las filas sembradas coincide con hiring.actividades.</t>
        </is>
      </c>
      <c r="S37" s="18" t="inlineStr">
        <is>
          <t>Media</t>
        </is>
      </c>
      <c r="T37" s="18" t="inlineStr">
        <is>
          <t>db/migrations/hiring/051_actividades_con_soporte.sql:39: etapa int NOT NULL, sin FK hacia hiring.actividades | db/migrations/hiring/051_actividades_con_soporte.sql:52: siembra con las mismas etapas que la 030 | db/migrations/hiring/059_registro_de_la_causal_el_comite_y_la_comunicacion.sql:34: filas 3.6, 3.7 y 8.6 | hiring-service/src/modules/registro-actividad/registro-actividad.service.ts:140: se devuelve parametro.etapa sin cruzarla con actividades</t>
        </is>
      </c>
      <c r="U37" s="18" t="inlineStr">
        <is>
          <t>¿Debe mantenerse sincronizada con hiring.actividades.etapa? No hay FK ni regla que lo garantice si se renumera una actividad.</t>
        </is>
      </c>
      <c r="V37" s="19" t="inlineStr">
        <is>
          <t>Aprobada</t>
        </is>
      </c>
      <c r="W37" s="19" t="inlineStr"/>
      <c r="X37" s="19" t="inlineStr">
        <is>
          <t>Aldair González (validación del responsable de BD)</t>
        </is>
      </c>
      <c r="Y37" s="20" t="n">
        <v>46317</v>
      </c>
      <c r="Z37" s="19" t="inlineStr">
        <is>
          <t>Nivel 3: el código no resuelve la pregunta; queda para desarrollo. Validada por decisión del responsable de la base de datos. Pregunta registrada para desarrollo: ¿Debe mantenerse sincronizada con hiring.actividades.etapa? No hay FK ni regla que lo garantice si se renumera una actividad.</t>
        </is>
      </c>
      <c r="AA37" s="18">
        <f>IF(OR(V37="Aprobada"),R37,IF(AND(OR(V37="Aprobada con ajuste",V37="Rechazada"),W37&lt;&gt;""),W37,""))</f>
        <v/>
      </c>
    </row>
    <row r="38">
      <c r="A38" s="18" t="inlineStr">
        <is>
          <t>C0037</t>
        </is>
      </c>
      <c r="B38" s="18" t="inlineStr">
        <is>
          <t>Contratación</t>
        </is>
      </c>
      <c r="C38" s="18" t="inlineStr">
        <is>
          <t>hiring</t>
        </is>
      </c>
      <c r="D38" s="18" t="inlineStr">
        <is>
          <t>actos_adjudicacion</t>
        </is>
      </c>
      <c r="E38" s="18" t="n">
        <v>1</v>
      </c>
      <c r="F38" s="18" t="inlineStr">
        <is>
          <t>valor_adjudicado</t>
        </is>
      </c>
      <c r="G38" s="18" t="inlineStr">
        <is>
          <t>numeric(18,2)</t>
        </is>
      </c>
      <c r="H38" s="18" t="inlineStr">
        <is>
          <t>No</t>
        </is>
      </c>
      <c r="I38" s="18" t="inlineStr">
        <is>
          <t>CHECK</t>
        </is>
      </c>
      <c r="J38" s="18" t="inlineStr"/>
      <c r="K38" s="18" t="inlineStr"/>
      <c r="L38" s="18" t="inlineStr">
        <is>
          <t>No</t>
        </is>
      </c>
      <c r="M38" s="18" t="inlineStr">
        <is>
          <t>No</t>
        </is>
      </c>
      <c r="N38" s="18" t="inlineStr"/>
      <c r="O38" s="18" t="inlineStr"/>
      <c r="P38" s="18" t="inlineStr">
        <is>
          <t>hiring-service/src/entities/acto-adjudicacion.entity.ts:66: Por cuánto se adjudica. Puede no ser el valor ofertado ni el evaluado: el acto puede adjudicar por un valor ajustado, y lo que obliga a la entidad es lo que dice el acto. | db/migrations/hiring/040_adjudicacion.sql:232: Por cuánto se adjudica. Puede no ser el valor ofertado ni el evaluado: el acto puede adjudicar por un valor ajustado, y lo que obliga a la entidad es lo que dice el acto. | Validación: IsNumber({ maxDecimalPlaces: 2 }, { message: 'El valor adjudicado debe ser un número' }), Min(0.01, { message: 'El valor adjudicado tiene que ser mayor que cero' })</t>
        </is>
      </c>
      <c r="Q38" s="18" t="inlineStr">
        <is>
          <t>Código fuente (verificado)</t>
        </is>
      </c>
      <c r="R38" s="18" t="inlineStr">
        <is>
          <t>Valor por el que se adjudica según el acto; puede diferir del valor ofertado y del evaluado. Lo digita el usuario y debe ser mayor que cero.</t>
        </is>
      </c>
      <c r="S38" s="18" t="inlineStr">
        <is>
          <t>Media</t>
        </is>
      </c>
      <c r="T38" s="18" t="inlineStr">
        <is>
          <t>hiring-service/src/modules/adjudicacion/dto/acto.dto.ts:50: 'Valor por el que se adjudica', Min(0.01) | hiring-service/src/entities/acto-adjudicacion.entity.ts:66: comentario sobre el valor ajustado | db/migrations/hiring/040_adjudicacion.sql:232: mismo comentario; el código no menciona moneda ni IVA</t>
        </is>
      </c>
      <c r="U38" s="18" t="inlineStr">
        <is>
          <t>¿El valor adjudicado está en pesos colombianos e incluye IVA?</t>
        </is>
      </c>
      <c r="V38" s="19" t="inlineStr">
        <is>
          <t>Aprobada</t>
        </is>
      </c>
      <c r="W38" s="19" t="inlineStr"/>
      <c r="X38" s="19" t="inlineStr">
        <is>
          <t>Aldair González (validación del responsable de BD)</t>
        </is>
      </c>
      <c r="Y38" s="20" t="n">
        <v>46317</v>
      </c>
      <c r="Z38" s="19" t="inlineStr">
        <is>
          <t>Nivel 3: el código no resuelve la pregunta; queda para desarrollo. Validada por decisión del responsable de la base de datos. Pregunta registrada para desarrollo: ¿El valor adjudicado está en pesos colombianos e incluye IVA?</t>
        </is>
      </c>
      <c r="AA38" s="18">
        <f>IF(OR(V38="Aprobada"),R38,IF(AND(OR(V38="Aprobada con ajuste",V38="Rechazada"),W38&lt;&gt;""),W38,""))</f>
        <v/>
      </c>
    </row>
    <row r="39">
      <c r="A39" s="18" t="inlineStr">
        <is>
          <t>C0038</t>
        </is>
      </c>
      <c r="B39" s="18" t="inlineStr">
        <is>
          <t>Contratación</t>
        </is>
      </c>
      <c r="C39" s="18" t="inlineStr">
        <is>
          <t>hiring</t>
        </is>
      </c>
      <c r="D39" s="18" t="inlineStr">
        <is>
          <t>adendas</t>
        </is>
      </c>
      <c r="E39" s="18" t="n">
        <v>3</v>
      </c>
      <c r="F39" s="18" t="inlineStr">
        <is>
          <t>fecha_publicacion</t>
        </is>
      </c>
      <c r="G39" s="18" t="inlineStr">
        <is>
          <t>date</t>
        </is>
      </c>
      <c r="H39" s="18" t="inlineStr">
        <is>
          <t>Sí</t>
        </is>
      </c>
      <c r="I39" s="18" t="inlineStr">
        <is>
          <t>CHECK</t>
        </is>
      </c>
      <c r="J39" s="18" t="inlineStr"/>
      <c r="K39" s="18" t="inlineStr"/>
      <c r="L39" s="18" t="inlineStr">
        <is>
          <t>No</t>
        </is>
      </c>
      <c r="M39" s="18" t="inlineStr">
        <is>
          <t>No</t>
        </is>
      </c>
      <c r="N39" s="18" t="inlineStr"/>
      <c r="O39" s="18" t="inlineStr"/>
      <c r="P39" s="18" t="inlineStr">
        <is>
          <t>db/migrations/hiring/023_adendas_del_proceso.sql:51: Publicación | Validación: IsDateString({}, { message: 'La fecha de publicación debe tener el formato YYYY-MM-DD' }), IsISO8601({ strict: true }, { message: 'La fecha debe tener formato YYYY-MM-DD' })</t>
        </is>
      </c>
      <c r="Q39" s="18" t="inlineStr">
        <is>
          <t>Código fuente (verificado)</t>
        </is>
      </c>
      <c r="R39" s="18" t="inlineStr">
        <is>
          <t>Fecha en que se publicó la adenda, en formato YYYY-MM-DD. La digita el usuario al publicar y es obligatoria, junto con el documento de evidencia, cuando el estado es PUBLICADA.</t>
        </is>
      </c>
      <c r="S39" s="18" t="inlineStr">
        <is>
          <t>Media</t>
        </is>
      </c>
      <c r="T39" s="18" t="inlineStr">
        <is>
          <t>db/migrations/hiring/023_adendas_del_proceso.sql:69: CHECK ck_adenda_publicada exige fecha_publicacion y evidencia_documento_id si estado = PUBLICADA | hiring-service/src/modules/adendas/dto/adendas.dto.ts:47: 'Fecha en que se publicó la adenda (YYYY-MM-DD)' | hiring-service/src/modules/adendas/adendas.controller.ts:99: la evidencia suele ser una captura de SECOP II</t>
        </is>
      </c>
      <c r="U39" s="18" t="inlineStr">
        <is>
          <t>¿El medio de publicación de la adenda es siempre SECOP II? El código solo dice que la evidencia suele ser una captura de SECOP II y no guarda el medio.</t>
        </is>
      </c>
      <c r="V39" s="19" t="inlineStr">
        <is>
          <t>Aprobada</t>
        </is>
      </c>
      <c r="W39" s="19" t="inlineStr"/>
      <c r="X39" s="19" t="inlineStr">
        <is>
          <t>Aldair González (validación del responsable de BD)</t>
        </is>
      </c>
      <c r="Y39" s="20" t="n">
        <v>46317</v>
      </c>
      <c r="Z39" s="19" t="inlineStr">
        <is>
          <t>Nivel 3: el código no resuelve la pregunta; queda para desarrollo. Validada por decisión del responsable de la base de datos. Pregunta registrada para desarrollo: ¿El medio de publicación de la adenda es siempre SECOP II? El código solo dice que la evidencia suele ser una captura de SECOP II y no guarda el medio.</t>
        </is>
      </c>
      <c r="AA39" s="18">
        <f>IF(OR(V39="Aprobada"),R39,IF(AND(OR(V39="Aprobada con ajuste",V39="Rechazada"),W39&lt;&gt;""),W39,""))</f>
        <v/>
      </c>
    </row>
    <row r="40">
      <c r="A40" s="18" t="inlineStr">
        <is>
          <t>C0039</t>
        </is>
      </c>
      <c r="B40" s="18" t="inlineStr">
        <is>
          <t>Contratación</t>
        </is>
      </c>
      <c r="C40" s="18" t="inlineStr">
        <is>
          <t>hiring</t>
        </is>
      </c>
      <c r="D40" s="18" t="inlineStr">
        <is>
          <t>cierres_financieros</t>
        </is>
      </c>
      <c r="E40" s="18" t="n">
        <v>0</v>
      </c>
      <c r="F40" s="18" t="inlineStr">
        <is>
          <t>referencia_pago_final</t>
        </is>
      </c>
      <c r="G40" s="18" t="inlineStr">
        <is>
          <t>character varying(120)</t>
        </is>
      </c>
      <c r="H40" s="18" t="inlineStr">
        <is>
          <t>No</t>
        </is>
      </c>
      <c r="I40" s="18" t="inlineStr"/>
      <c r="J40" s="18" t="inlineStr"/>
      <c r="K40" s="18" t="inlineStr"/>
      <c r="L40" s="18" t="inlineStr">
        <is>
          <t>No</t>
        </is>
      </c>
      <c r="M40" s="18" t="inlineStr">
        <is>
          <t>No</t>
        </is>
      </c>
      <c r="N40" s="18" t="inlineStr"/>
      <c r="O40" s="18" t="inlineStr"/>
      <c r="P40" s="18" t="inlineStr">
        <is>
          <t>db/migrations/hiring/046_cierre_financiero.sql:28: El pago final: con qué referencia salió y cuándo. | Validación: IsNotEmpty({ message: 'Registra la referencia del pago final' }), IsString, MaxLength(120)</t>
        </is>
      </c>
      <c r="Q40" s="18" t="inlineStr">
        <is>
          <t>Código fuente (verificado)</t>
        </is>
      </c>
      <c r="R40" s="18" t="inlineStr">
        <is>
          <t>Referencia con la que salió el pago final del contrato (EFDS-1173). La digita el usuario como texto libre de hasta 120 caracteres y es obligatoria.</t>
        </is>
      </c>
      <c r="S40" s="18" t="inlineStr">
        <is>
          <t>Media</t>
        </is>
      </c>
      <c r="T40" s="18" t="inlineStr">
        <is>
          <t>hiring-service/src/modules/cierre-financiero/dto/cierre-financiero.dto.ts:22: 'Referencia con la que salió el pago final', IsNotEmpty, MaxLength(120) | db/migrations/hiring/046_cierre_financiero.sql:28: comentario; no hay integración con el sistema financiero</t>
        </is>
      </c>
      <c r="U40" s="18" t="inlineStr">
        <is>
          <t>¿Qué documento identifica la referencia: orden de pago, comprobante u obligación en SIIF?</t>
        </is>
      </c>
      <c r="V40" s="19" t="inlineStr">
        <is>
          <t>Aprobada</t>
        </is>
      </c>
      <c r="W40" s="19" t="inlineStr"/>
      <c r="X40" s="19" t="inlineStr">
        <is>
          <t>Aldair González (validación del responsable de BD)</t>
        </is>
      </c>
      <c r="Y40" s="20" t="n">
        <v>46317</v>
      </c>
      <c r="Z40" s="19" t="inlineStr">
        <is>
          <t>Nivel 3: el código no resuelve la pregunta; queda para desarrollo. Validada por decisión del responsable de la base de datos. Pregunta registrada para desarrollo: ¿Qué documento identifica la referencia: orden de pago, comprobante u obligación en SIIF?</t>
        </is>
      </c>
      <c r="AA40" s="18">
        <f>IF(OR(V40="Aprobada"),R40,IF(AND(OR(V40="Aprobada con ajuste",V40="Rechazada"),W40&lt;&gt;""),W40,""))</f>
        <v/>
      </c>
    </row>
    <row r="41">
      <c r="A41" s="18" t="inlineStr">
        <is>
          <t>C0040</t>
        </is>
      </c>
      <c r="B41" s="18" t="inlineStr">
        <is>
          <t>Contratación</t>
        </is>
      </c>
      <c r="C41" s="18" t="inlineStr">
        <is>
          <t>hiring</t>
        </is>
      </c>
      <c r="D41" s="18" t="inlineStr">
        <is>
          <t>contratos</t>
        </is>
      </c>
      <c r="E41" s="18" t="n">
        <v>1</v>
      </c>
      <c r="F41" s="18" t="inlineStr">
        <is>
          <t>valor</t>
        </is>
      </c>
      <c r="G41" s="18" t="inlineStr">
        <is>
          <t>numeric(18,2)</t>
        </is>
      </c>
      <c r="H41" s="18" t="inlineStr">
        <is>
          <t>No</t>
        </is>
      </c>
      <c r="I41" s="18" t="inlineStr">
        <is>
          <t>CHECK</t>
        </is>
      </c>
      <c r="J41" s="18" t="inlineStr"/>
      <c r="K41" s="18" t="inlineStr"/>
      <c r="L41" s="18" t="inlineStr">
        <is>
          <t>No</t>
        </is>
      </c>
      <c r="M41" s="18" t="inlineStr">
        <is>
          <t>No</t>
        </is>
      </c>
      <c r="N41" s="18" t="inlineStr"/>
      <c r="O41" s="18" t="inlineStr"/>
      <c r="P41" s="18" t="inlineStr">
        <is>
          <t>hiring-service/src/entities/contrato.entity.ts:198: `numeric` llega como string desde el driver; el transformer lo devuelve como número para que la pantalla no formatee cadenas. | Validación: IsNumber({ maxDecimalPlaces: 2 }, { message: 'El salario debe ser un número' }), IsNumber({ maxDecimalPlaces: 2 }, { message: 'El valor debe ser un número' }), IsNumber({}, { message: 'El valor cobrado debe ser un número' }), IsNumber({}, { message: 'El valor comprometido debe ser un número' }), IsNumber({}, { message: 'El valor debe ser un número' }), IsNumber({}, { message: 'El valor del contrato debe ser un número' })</t>
        </is>
      </c>
      <c r="Q41" s="18" t="inlineStr">
        <is>
          <t>Código fuente (verificado)</t>
        </is>
      </c>
      <c r="R41" s="18" t="inlineStr">
        <is>
          <t>Valor total del contrato, en pesos; lo digita el usuario al generar el contrato y debe ser mayor que cero. Cuando se aprueba una adición se le suma el valor adicionado.</t>
        </is>
      </c>
      <c r="S41" s="18" t="inlineStr">
        <is>
          <t>Media</t>
        </is>
      </c>
      <c r="T41" s="18" t="inlineStr">
        <is>
          <t>hiring-service/src/modules/contratos/dto/contrato.dto.ts:46: 'Valor del contrato en pesos', IsPositive | hiring-service/src/modules/modificaciones/modificaciones.service.ts:625: contrato.valor = valor antes + valor adicionado | hiring-service/src/entities/contrato.entity.ts:198: transformer numeric; el código no menciona IVA</t>
        </is>
      </c>
      <c r="U41" s="18" t="inlineStr">
        <is>
          <t>¿El valor del contrato incluye IVA?</t>
        </is>
      </c>
      <c r="V41" s="19" t="inlineStr">
        <is>
          <t>Aprobada</t>
        </is>
      </c>
      <c r="W41" s="19" t="inlineStr"/>
      <c r="X41" s="19" t="inlineStr">
        <is>
          <t>Aldair González (validación del responsable de BD)</t>
        </is>
      </c>
      <c r="Y41" s="20" t="n">
        <v>46317</v>
      </c>
      <c r="Z41" s="19" t="inlineStr">
        <is>
          <t>Nivel 3: el código no resuelve la pregunta; queda para desarrollo. Validada por decisión del responsable de la base de datos. Pregunta registrada para desarrollo: ¿El valor del contrato incluye IVA?</t>
        </is>
      </c>
      <c r="AA41" s="18">
        <f>IF(OR(V41="Aprobada"),R41,IF(AND(OR(V41="Aprobada con ajuste",V41="Rechazada"),W41&lt;&gt;""),W41,""))</f>
        <v/>
      </c>
    </row>
    <row r="42">
      <c r="A42" s="18" t="inlineStr">
        <is>
          <t>C0041</t>
        </is>
      </c>
      <c r="B42" s="18" t="inlineStr">
        <is>
          <t>Contratación</t>
        </is>
      </c>
      <c r="C42" s="18" t="inlineStr">
        <is>
          <t>hiring</t>
        </is>
      </c>
      <c r="D42" s="18" t="inlineStr">
        <is>
          <t>informes_evaluacion</t>
        </is>
      </c>
      <c r="E42" s="18" t="n">
        <v>2</v>
      </c>
      <c r="F42" s="18" t="inlineStr">
        <is>
          <t>observacion_entidad</t>
        </is>
      </c>
      <c r="G42" s="18" t="inlineStr">
        <is>
          <t>text</t>
        </is>
      </c>
      <c r="H42" s="18" t="inlineStr">
        <is>
          <t>Sí</t>
        </is>
      </c>
      <c r="I42" s="18" t="inlineStr"/>
      <c r="J42" s="18" t="inlineStr"/>
      <c r="K42" s="18" t="inlineStr"/>
      <c r="L42" s="18" t="inlineStr">
        <is>
          <t>No</t>
        </is>
      </c>
      <c r="M42" s="18" t="inlineStr">
        <is>
          <t>No</t>
        </is>
      </c>
      <c r="N42" s="18" t="inlineStr"/>
      <c r="O42" s="18" t="inlineStr"/>
      <c r="P42" s="18" t="inlineStr">
        <is>
          <t>hiring-service/src/entities/informe-evaluacion.entity.ts:110: Lo que la entidad advierte sobre el informe, aparte de lo que trajo el comité. Columna propia y no dentro del jsonb: el jsonb es la copia de lo que dijo el comité, y esto lo dice la entidad. | db/migrations/hiring/039_traslado_y_subsanaciones.sql:104: Lo que la entidad quiera advertir sobre el informe, aparte de lo que trajo el comité: una modalidad sin puntaje, una oferta retirada. Va en columna propia y no dentro del jsonb porque el jsonb es la copia de lo que dijo el comité, y esto lo dice la entidad.</t>
        </is>
      </c>
      <c r="Q42" s="18" t="inlineStr">
        <is>
          <t>Código fuente (verificado)</t>
        </is>
      </c>
      <c r="R42" s="18" t="inlineStr">
        <is>
          <t>Advertencia de la entidad sobre el informe, distinta de lo que reportó el comité (por ejemplo, una modalidad sin puntaje o una oferta retirada). Texto opcional que digita el usuario al generar el informe.</t>
        </is>
      </c>
      <c r="S42" s="18" t="inlineStr">
        <is>
          <t>Media</t>
        </is>
      </c>
      <c r="T42" s="18" t="inlineStr">
        <is>
          <t>hiring-service/src/modules/traslado/traslado.service.ts:216: observacionEntidad = dto.observacion | hiring-service/src/entities/informe-evaluacion.entity.ts:106: comentario | db/migrations/hiring/039_traslado_y_subsanaciones.sql:100: comentario; el código no dice si se publica</t>
        </is>
      </c>
      <c r="U42" s="18" t="inlineStr">
        <is>
          <t>¿La observación de la entidad se publica con el informe o es interna?</t>
        </is>
      </c>
      <c r="V42" s="19" t="inlineStr">
        <is>
          <t>Aprobada</t>
        </is>
      </c>
      <c r="W42" s="19" t="inlineStr"/>
      <c r="X42" s="19" t="inlineStr">
        <is>
          <t>Aldair González (validación del responsable de BD)</t>
        </is>
      </c>
      <c r="Y42" s="20" t="n">
        <v>46317</v>
      </c>
      <c r="Z42" s="19" t="inlineStr">
        <is>
          <t>Nivel 3: el código no resuelve la pregunta; queda para desarrollo. Validada por decisión del responsable de la base de datos. Pregunta registrada para desarrollo: ¿La observación de la entidad se publica con el informe o es interna?</t>
        </is>
      </c>
      <c r="AA42" s="18">
        <f>IF(OR(V42="Aprobada"),R42,IF(AND(OR(V42="Aprobada con ajuste",V42="Rechazada"),W42&lt;&gt;""),W42,""))</f>
        <v/>
      </c>
    </row>
    <row r="43">
      <c r="A43" s="18" t="inlineStr">
        <is>
          <t>C0042</t>
        </is>
      </c>
      <c r="B43" s="18" t="inlineStr">
        <is>
          <t>Contratación</t>
        </is>
      </c>
      <c r="C43" s="18" t="inlineStr">
        <is>
          <t>hiring</t>
        </is>
      </c>
      <c r="D43" s="18" t="inlineStr">
        <is>
          <t>registros_presupuestales</t>
        </is>
      </c>
      <c r="E43" s="18" t="n">
        <v>1</v>
      </c>
      <c r="F43" s="18" t="inlineStr">
        <is>
          <t>rubro</t>
        </is>
      </c>
      <c r="G43" s="18" t="inlineStr">
        <is>
          <t>character varying(160)</t>
        </is>
      </c>
      <c r="H43" s="18" t="inlineStr">
        <is>
          <t>Sí</t>
        </is>
      </c>
      <c r="I43" s="18" t="inlineStr"/>
      <c r="J43" s="18" t="inlineStr"/>
      <c r="K43" s="18" t="inlineStr"/>
      <c r="L43" s="18" t="inlineStr">
        <is>
          <t>No</t>
        </is>
      </c>
      <c r="M43" s="18" t="inlineStr">
        <is>
          <t>No</t>
        </is>
      </c>
      <c r="N43" s="18" t="inlineStr"/>
      <c r="O43" s="18" t="inlineStr"/>
      <c r="P43" s="18" t="inlineStr">
        <is>
          <t>Mapeada en hiring-service/src/entities/registro-presupuestal.entity.ts:53 (RegistroPresupuestal.rubro) | Validación: IsNotEmpty({ message: 'Registra el rubro presupuestal' }), IsOptional, IsString, MaxLength(160)</t>
        </is>
      </c>
      <c r="Q43" s="18" t="inlineStr">
        <is>
          <t>Código fuente (verificado)</t>
        </is>
      </c>
      <c r="R43" s="18" t="inlineStr">
        <is>
          <t>Rubro presupuestal al que se imputa el registro; texto libre, opcional al solicitar y al expedir.</t>
        </is>
      </c>
      <c r="S43" s="18" t="inlineStr">
        <is>
          <t>Media</t>
        </is>
      </c>
      <c r="T43" s="18" t="inlineStr">
        <is>
          <t>backend/hiring-service/src/modules/registro-presupuestal/dto/registro-presupuestal.dto.ts:29: rubro?: string opcional, «Rubro presupuestal al que se imputa» | db/migrations/hiring/039_registro_presupuestal.sql:28: varchar(160) sin formato</t>
        </is>
      </c>
      <c r="U43" s="18" t="inlineStr">
        <is>
          <t>¿El rubro se digita como código presupuestal, como nombre o como ambos? El código lo recibe como texto libre sin formato.</t>
        </is>
      </c>
      <c r="V43" s="19" t="inlineStr">
        <is>
          <t>Aprobada</t>
        </is>
      </c>
      <c r="W43" s="19" t="inlineStr"/>
      <c r="X43" s="19" t="inlineStr">
        <is>
          <t>Aldair González (validación del responsable de BD)</t>
        </is>
      </c>
      <c r="Y43" s="20" t="n">
        <v>46317</v>
      </c>
      <c r="Z43" s="19" t="inlineStr">
        <is>
          <t>Nivel 3: el código no resuelve la pregunta; queda para desarrollo. Validada por decisión del responsable de la base de datos. Pregunta registrada para desarrollo: ¿El rubro se digita como código presupuestal, como nombre o como ambos? El código lo recibe como texto libre sin formato.</t>
        </is>
      </c>
      <c r="AA43" s="18">
        <f>IF(OR(V43="Aprobada"),R43,IF(AND(OR(V43="Aprobada con ajuste",V43="Rechazada"),W43&lt;&gt;""),W43,""))</f>
        <v/>
      </c>
    </row>
    <row r="44">
      <c r="A44" s="18" t="inlineStr">
        <is>
          <t>C0043</t>
        </is>
      </c>
      <c r="B44" s="18" t="inlineStr">
        <is>
          <t>Contratación</t>
        </is>
      </c>
      <c r="C44" s="18" t="inlineStr">
        <is>
          <t>hiring</t>
        </is>
      </c>
      <c r="D44" s="18" t="inlineStr">
        <is>
          <t>resoluciones_sancionatorias</t>
        </is>
      </c>
      <c r="E44" s="18" t="n">
        <v>0</v>
      </c>
      <c r="F44" s="18" t="inlineStr">
        <is>
          <t>valor_sancion</t>
        </is>
      </c>
      <c r="G44" s="18" t="inlineStr">
        <is>
          <t>numeric(18,2)</t>
        </is>
      </c>
      <c r="H44" s="18" t="inlineStr">
        <is>
          <t>Sí</t>
        </is>
      </c>
      <c r="I44" s="18" t="inlineStr">
        <is>
          <t>CHECK</t>
        </is>
      </c>
      <c r="J44" s="18" t="inlineStr"/>
      <c r="K44" s="18" t="inlineStr"/>
      <c r="L44" s="18" t="inlineStr">
        <is>
          <t>No</t>
        </is>
      </c>
      <c r="M44" s="18" t="inlineStr">
        <is>
          <t>No</t>
        </is>
      </c>
      <c r="N44" s="18" t="inlineStr"/>
      <c r="O44" s="18" t="inlineStr"/>
      <c r="P44" s="18" t="inlineStr">
        <is>
          <t>hiring-service/src/entities/actuacion-sancionatoria.entity.ts:121: La multa o la cláusula penal, cuando la decisión las impone. | db/migrations/hiring/056_tramite_sancionatorio.sql:133: La multa o la cláusula penal, cuando la decisión las impone. Opcional porque un incumplimiento puede declararse sin sanción pecuniaria. | Validación: IsNumber({}, { message: 'El valor de la sanción debe ser un número' }), IsPositive({ message: 'El valor de la sanción debe ser mayor que cero' })</t>
        </is>
      </c>
      <c r="Q44" s="18" t="inlineStr">
        <is>
          <t>Código fuente (verificado)</t>
        </is>
      </c>
      <c r="R44" s="18" t="inlineStr">
        <is>
          <t>Valor de la multa o de la cláusula penal, cuando la decisión las impone; mayor que cero. Opcional, porque un incumplimiento puede declararse sin sanción pecuniaria; solo se admite con sentido DECLARA_INCUMPLIMIENTO o DECLARA_CADUCIDAD.</t>
        </is>
      </c>
      <c r="S44" s="18" t="inlineStr">
        <is>
          <t>Media</t>
        </is>
      </c>
      <c r="T44" s="18" t="inlineStr">
        <is>
          <t>db/migrations/hiring/056_tramite_sancionatorio.sql:162: CHECK ck_resolucion_sancion | backend/hiring-service/src/modules/incumplimiento/dto/sancionatorio.dto.ts:54: «Multa o cláusula penal que impone la decisión», sin unidad | backend/hiring-service/src/modules/incumplimiento/sancionatorio.service.ts:611: nulo si ARCHIVA</t>
        </is>
      </c>
      <c r="U44" s="18" t="inlineStr">
        <is>
          <t>¿El valor de la sanción está en pesos colombianos? El código no indica la unidad.</t>
        </is>
      </c>
      <c r="V44" s="19" t="inlineStr">
        <is>
          <t>Aprobada</t>
        </is>
      </c>
      <c r="W44" s="19" t="inlineStr"/>
      <c r="X44" s="19" t="inlineStr">
        <is>
          <t>Aldair González (validación del responsable de BD)</t>
        </is>
      </c>
      <c r="Y44" s="20" t="n">
        <v>46317</v>
      </c>
      <c r="Z44" s="19" t="inlineStr">
        <is>
          <t>Nivel 3: el código no resuelve la pregunta; queda para desarrollo. Validada por decisión del responsable de la base de datos. Pregunta registrada para desarrollo: ¿El valor de la sanción está en pesos colombianos? El código no indica la unidad.</t>
        </is>
      </c>
      <c r="AA44" s="18">
        <f>IF(OR(V44="Aprobada"),R44,IF(AND(OR(V44="Aprobada con ajuste",V44="Rechazada"),W44&lt;&gt;""),W44,""))</f>
        <v/>
      </c>
    </row>
    <row r="45">
      <c r="A45" s="18" t="inlineStr">
        <is>
          <t>C0044</t>
        </is>
      </c>
      <c r="B45" s="18" t="inlineStr">
        <is>
          <t>Contratación</t>
        </is>
      </c>
      <c r="C45" s="18" t="inlineStr">
        <is>
          <t>hiring</t>
        </is>
      </c>
      <c r="D45" s="18" t="inlineStr">
        <is>
          <t>resultados_evaluacion</t>
        </is>
      </c>
      <c r="E45" s="18" t="n">
        <v>2</v>
      </c>
      <c r="F45" s="18" t="inlineStr">
        <is>
          <t>valor_evaluado</t>
        </is>
      </c>
      <c r="G45" s="18" t="inlineStr">
        <is>
          <t>numeric(18,2)</t>
        </is>
      </c>
      <c r="H45" s="18" t="inlineStr">
        <is>
          <t>Sí</t>
        </is>
      </c>
      <c r="I45" s="18" t="inlineStr">
        <is>
          <t>CHECK</t>
        </is>
      </c>
      <c r="J45" s="18" t="inlineStr"/>
      <c r="K45" s="18" t="inlineStr"/>
      <c r="L45" s="18" t="inlineStr">
        <is>
          <t>No</t>
        </is>
      </c>
      <c r="M45" s="18" t="inlineStr">
        <is>
          <t>No</t>
        </is>
      </c>
      <c r="N45" s="18" t="inlineStr"/>
      <c r="O45" s="18" t="inlineStr"/>
      <c r="P45" s="18" t="inlineStr">
        <is>
          <t>hiring-service/src/entities/resultado-evaluacion.entity.ts:57: El valor por el que se evalúa la ganadora. Aparte del `valorOfertado` de la oferta porque puede no coincidir: una corrección aritmética del comité cambia la cifra que se adjudica sin reescribir lo que el oferente presentó. | db/migrations/hiring/038_evaluacion_por_fuera.sql:75: El valor por el que se evalúa la ganadora. Suele ser el `valor_ofertado` de la oferta, y se guarda aparte porque puede no serlo: una corrección aritmética del comité cambia la cifra que se adjudica sin reescribir lo que el oferente presentó. | Validación: IsNumber({ maxDecimalPlaces: 2 }, { message: 'El valor evaluado debe ser un número' }), IsOptional, Min(0.01, { message: 'El valor evaluado tiene que ser mayor que cero' })</t>
        </is>
      </c>
      <c r="Q45" s="18" t="inlineStr">
        <is>
          <t>Código fuente (verificado)</t>
        </is>
      </c>
      <c r="R45" s="18" t="inlineStr">
        <is>
          <t>Valor por el que se evalúa la oferta ganadora; debe ser mayor que cero. Suele coincidir con el valor ofertado, pero puede diferir por una corrección aritmética del comité.</t>
        </is>
      </c>
      <c r="S45" s="18" t="inlineStr">
        <is>
          <t>Media</t>
        </is>
      </c>
      <c r="T45" s="18" t="inlineStr">
        <is>
          <t>backend/hiring-service/src/modules/evaluacion/dto/evaluacion.dto.ts:61: «Valor evaluado de la oferta ganadora», Min 0.01, sin unidad</t>
        </is>
      </c>
      <c r="U45" s="18" t="inlineStr">
        <is>
          <t>¿El valor evaluado está en pesos colombianos? El código no indica la unidad.</t>
        </is>
      </c>
      <c r="V45" s="19" t="inlineStr">
        <is>
          <t>Aprobada</t>
        </is>
      </c>
      <c r="W45" s="19" t="inlineStr"/>
      <c r="X45" s="19" t="inlineStr">
        <is>
          <t>Aldair González (validación del responsable de BD)</t>
        </is>
      </c>
      <c r="Y45" s="20" t="n">
        <v>46317</v>
      </c>
      <c r="Z45" s="19" t="inlineStr">
        <is>
          <t>Nivel 3: el código no resuelve la pregunta; queda para desarrollo. Validada por decisión del responsable de la base de datos. Pregunta registrada para desarrollo: ¿El valor evaluado está en pesos colombianos? El código no indica la unidad.</t>
        </is>
      </c>
      <c r="AA45" s="18">
        <f>IF(OR(V45="Aprobada"),R45,IF(AND(OR(V45="Aprobada con ajuste",V45="Rechazada"),W45&lt;&gt;""),W45,""))</f>
        <v/>
      </c>
    </row>
    <row r="46">
      <c r="A46" s="18" t="inlineStr">
        <is>
          <t>C0045</t>
        </is>
      </c>
      <c r="B46" s="18" t="inlineStr">
        <is>
          <t>Contratación</t>
        </is>
      </c>
      <c r="C46" s="18" t="inlineStr">
        <is>
          <t>hiring</t>
        </is>
      </c>
      <c r="D46" s="18" t="inlineStr">
        <is>
          <t>sobres_economicos</t>
        </is>
      </c>
      <c r="E46" s="18" t="n">
        <v>1</v>
      </c>
      <c r="F46" s="18" t="inlineStr">
        <is>
          <t>valor_ofertado</t>
        </is>
      </c>
      <c r="G46" s="18" t="inlineStr">
        <is>
          <t>numeric(18,2)</t>
        </is>
      </c>
      <c r="H46" s="18" t="inlineStr">
        <is>
          <t>No</t>
        </is>
      </c>
      <c r="I46" s="18" t="inlineStr">
        <is>
          <t>CHECK</t>
        </is>
      </c>
      <c r="J46" s="18" t="inlineStr"/>
      <c r="K46" s="18" t="inlineStr"/>
      <c r="L46" s="18" t="inlineStr">
        <is>
          <t>No</t>
        </is>
      </c>
      <c r="M46" s="18" t="inlineStr">
        <is>
          <t>No</t>
        </is>
      </c>
      <c r="N46" s="18" t="inlineStr"/>
      <c r="O46" s="18" t="inlineStr"/>
      <c r="P46" s="18" t="inlineStr">
        <is>
          <t>hiring-service/src/entities/sobre-economico.entity.ts:30: Lo que traía el sobre. Se guarda aquí y no se pisa `oferentes.valor_ofertado` porque son dos hechos distintos: lo que el oferente declaró al presentarse y lo que resultó al abrir el sobre. Que coincidan es lo normal; que no coincidan es justamente lo que hay que poder ver. | db/migrations/hiring/040_adjudicacion.sql:127: Lo que traía el sobre. Se guarda aquí y no se pisa `oferentes.valor_ofertado` porque son dos hechos distintos: lo que el oferente declaró al presentarse y lo que resultó al abrir el sobre en audiencia. Que coincidan es lo normal; que no coincidan es justamente lo que hay que poder ver. | Validación: IsNumber({ maxDecimalPlaces: 2 }, { message: 'El valor de la oferta debe ser un número' }), IsNumber({ maxDecimalPlaces: 2 }, { message: 'El valor del sobre debe ser un número' }), Min(0, { message: 'El valor de la oferta no puede ser negativo' }), Min(0.01, { message: 'El valor del sobre tiene que ser mayor que cero' })</t>
        </is>
      </c>
      <c r="Q46" s="18" t="inlineStr">
        <is>
          <t>Código fuente (verificado)</t>
        </is>
      </c>
      <c r="R46" s="18" t="inlineStr">
        <is>
          <t>Valor que traía el sobre económico al abrirse en audiencia; debe ser mayor que cero. Se guarda aparte del valor declarado en oferentes.valor_ofertado para poder comparar ambos.</t>
        </is>
      </c>
      <c r="S46" s="18" t="inlineStr">
        <is>
          <t>Media</t>
        </is>
      </c>
      <c r="T46" s="18" t="inlineStr">
        <is>
          <t>backend/hiring-service/src/modules/adjudicacion/dto/audiencia.dto.ts:87: «Valor que traía el sobre económico», Min 0.01, sin unidad | backend/hiring-service/src/modules/adjudicacion/audiencia.service.ts:311: se compara con oferta.valorOfertado</t>
        </is>
      </c>
      <c r="U46" s="18" t="inlineStr">
        <is>
          <t>¿El valor del sobre económico está en pesos colombianos? El código no indica la unidad.</t>
        </is>
      </c>
      <c r="V46" s="19" t="inlineStr">
        <is>
          <t>Aprobada</t>
        </is>
      </c>
      <c r="W46" s="19" t="inlineStr"/>
      <c r="X46" s="19" t="inlineStr">
        <is>
          <t>Aldair González (validación del responsable de BD)</t>
        </is>
      </c>
      <c r="Y46" s="20" t="n">
        <v>46317</v>
      </c>
      <c r="Z46" s="19" t="inlineStr">
        <is>
          <t>Nivel 3: el código no resuelve la pregunta; queda para desarrollo. Validada por decisión del responsable de la base de datos. Pregunta registrada para desarrollo: ¿El valor del sobre económico está en pesos colombianos? El código no indica la unidad.</t>
        </is>
      </c>
      <c r="AA46" s="18">
        <f>IF(OR(V46="Aprobada"),R46,IF(AND(OR(V46="Aprobada con ajuste",V46="Rechazada"),W46&lt;&gt;""),W46,""))</f>
        <v/>
      </c>
    </row>
    <row r="47">
      <c r="A47" s="18" t="inlineStr">
        <is>
          <t>C0046</t>
        </is>
      </c>
      <c r="B47" s="18" t="inlineStr">
        <is>
          <t>Gestión de infraestructura</t>
        </is>
      </c>
      <c r="C47" s="18" t="inlineStr">
        <is>
          <t>infrastructure-management</t>
        </is>
      </c>
      <c r="D47" s="18" t="inlineStr">
        <is>
          <t>solicitud_mantenimiento</t>
        </is>
      </c>
      <c r="E47" s="18" t="n">
        <v>0</v>
      </c>
      <c r="F47" s="18" t="inlineStr">
        <is>
          <t>costo_estimado</t>
        </is>
      </c>
      <c r="G47" s="18" t="inlineStr">
        <is>
          <t>numeric(14,2)</t>
        </is>
      </c>
      <c r="H47" s="18" t="inlineStr">
        <is>
          <t>Sí</t>
        </is>
      </c>
      <c r="I47" s="18" t="inlineStr"/>
      <c r="J47" s="18" t="inlineStr"/>
      <c r="K47" s="18" t="inlineStr"/>
      <c r="L47" s="18" t="inlineStr">
        <is>
          <t>No</t>
        </is>
      </c>
      <c r="M47" s="18" t="inlineStr">
        <is>
          <t>No</t>
        </is>
      </c>
      <c r="N47" s="18" t="inlineStr"/>
      <c r="O47" s="18" t="inlineStr"/>
      <c r="P47" s="18" t="inlineStr">
        <is>
          <t>Mapeada en infrastructure-management-service/src/mantenimiento/mantenimiento.entity.ts:70 (SolicitudMantenimiento.costoEstimado)</t>
        </is>
      </c>
      <c r="Q47" s="18" t="inlineStr">
        <is>
          <t>Código fuente (verificado)</t>
        </is>
      </c>
      <c r="R47" s="18" t="inlineStr">
        <is>
          <t>Costo estimado de la atención de la solicitud. Por defecto, 0.</t>
        </is>
      </c>
      <c r="S47" s="18" t="inlineStr">
        <is>
          <t>Media</t>
        </is>
      </c>
      <c r="T47" s="18" t="inlineStr">
        <is>
          <t>infrastructure-management-service/src/mantenimiento/mantenimiento.entity.ts:70-71: columna mapeada con default 0; el servicio no la lee ni la escribe | infrastructure-management-service/src/mantenimiento/mantenimiento.service.ts:2433: el total de insumos se guarda aparte en total_estimado_insumos_cop</t>
        </is>
      </c>
      <c r="U47" s="18" t="inlineStr">
        <is>
          <t>¿La columna sigue en uso, en qué moneda está y en qué se diferencia de total_estimado_insumos_cop? El servicio no la calcula ni la recibe.</t>
        </is>
      </c>
      <c r="V47" s="19" t="inlineStr">
        <is>
          <t>Aprobada</t>
        </is>
      </c>
      <c r="W47" s="19" t="inlineStr"/>
      <c r="X47" s="19" t="inlineStr">
        <is>
          <t>Aldair González (validación del responsable de BD)</t>
        </is>
      </c>
      <c r="Y47" s="20" t="n">
        <v>46317</v>
      </c>
      <c r="Z47" s="19" t="inlineStr">
        <is>
          <t>Nivel 3: el código no resuelve la pregunta; queda para desarrollo. Validada por decisión del responsable de la base de datos. Pregunta registrada para desarrollo: ¿La columna sigue en uso, en qué moneda está y en qué se diferencia de total_estimado_insumos_cop? El servicio no la calcula ni la recibe.</t>
        </is>
      </c>
      <c r="AA47" s="18">
        <f>IF(OR(V47="Aprobada"),R47,IF(AND(OR(V47="Aprobada con ajuste",V47="Rechazada"),W47&lt;&gt;""),W47,""))</f>
        <v/>
      </c>
    </row>
    <row r="48">
      <c r="A48" s="18" t="inlineStr">
        <is>
          <t>C0047</t>
        </is>
      </c>
      <c r="B48" s="18" t="inlineStr">
        <is>
          <t>Gestión de infraestructura</t>
        </is>
      </c>
      <c r="C48" s="18" t="inlineStr">
        <is>
          <t>infrastructure-management</t>
        </is>
      </c>
      <c r="D48" s="18" t="inlineStr">
        <is>
          <t>solicitud_valoracion</t>
        </is>
      </c>
      <c r="E48" s="18" t="n">
        <v>0</v>
      </c>
      <c r="F48" s="18" t="inlineStr">
        <is>
          <t>id_usuario_corrector</t>
        </is>
      </c>
      <c r="G48" s="18" t="inlineStr">
        <is>
          <t>uuid</t>
        </is>
      </c>
      <c r="H48" s="18" t="inlineStr">
        <is>
          <t>Sí</t>
        </is>
      </c>
      <c r="I48" s="18" t="inlineStr"/>
      <c r="J48" s="18" t="inlineStr"/>
      <c r="K48" s="18" t="inlineStr"/>
      <c r="L48" s="18" t="inlineStr">
        <is>
          <t>No</t>
        </is>
      </c>
      <c r="M48" s="18" t="inlineStr">
        <is>
          <t>No</t>
        </is>
      </c>
      <c r="N48" s="18" t="inlineStr"/>
      <c r="O48" s="18" t="inlineStr"/>
      <c r="P48" s="18" t="inlineStr">
        <is>
          <t>Mapeada en infrastructure-management-service/src/mantenimiento/solicitud-valoracion.entity.ts:85 (SolicitudValoracion.idUsuarioCorrector)</t>
        </is>
      </c>
      <c r="Q48" s="18" t="inlineStr">
        <is>
          <t>Código fuente (verificado)</t>
        </is>
      </c>
      <c r="R48" s="18" t="inlineStr">
        <is>
          <t>Identificador del usuario que corrigió la valoración, cuando es una versión corregida por el encargado.</t>
        </is>
      </c>
      <c r="S48" s="18" t="inlineStr">
        <is>
          <t>Media</t>
        </is>
      </c>
      <c r="T48" s="18" t="inlineStr">
        <is>
          <t>infrastructure-management-service/db/migrations/014_efds_1735_valoracion_e_insumos.sql:138-139: es_version_corregida_por_encargado e id_usuario_corrector | infrastructure-management-service/src/mantenimiento/solicitud-valoracion.entity.ts:85-86: mapeada; el servicio no la escribe</t>
        </is>
      </c>
      <c r="U48" s="18" t="inlineStr">
        <is>
          <t>El servicio no escribe id_usuario_corrector: ¿qué flujo la llena y apunta a auth."user".id_user?</t>
        </is>
      </c>
      <c r="V48" s="19" t="inlineStr">
        <is>
          <t>Aprobada</t>
        </is>
      </c>
      <c r="W48" s="19" t="inlineStr"/>
      <c r="X48" s="19" t="inlineStr">
        <is>
          <t>Aldair González (validación del responsable de BD)</t>
        </is>
      </c>
      <c r="Y48" s="20" t="n">
        <v>46317</v>
      </c>
      <c r="Z48" s="19" t="inlineStr">
        <is>
          <t>Nivel 3: el código no resuelve la pregunta; queda para desarrollo. Validada por decisión del responsable de la base de datos. Pregunta registrada para desarrollo: El servicio no escribe id_usuario_corrector: ¿qué flujo la llena y apunta a auth."user".id_user?</t>
        </is>
      </c>
      <c r="AA48" s="18">
        <f>IF(OR(V48="Aprobada"),R48,IF(AND(OR(V48="Aprobada con ajuste",V48="Rechazada"),W48&lt;&gt;""),W48,""))</f>
        <v/>
      </c>
    </row>
    <row r="49">
      <c r="A49" s="18" t="inlineStr">
        <is>
          <t>C0048</t>
        </is>
      </c>
      <c r="B49" s="18" t="inlineStr">
        <is>
          <t>Gestión de infraestructura</t>
        </is>
      </c>
      <c r="C49" s="18" t="inlineStr">
        <is>
          <t>infrastructure-management</t>
        </is>
      </c>
      <c r="D49" s="18" t="inlineStr">
        <is>
          <t>solicitud_valoracion_insumo</t>
        </is>
      </c>
      <c r="E49" s="18" t="n">
        <v>0</v>
      </c>
      <c r="F49" s="18" t="inlineStr">
        <is>
          <t>codigo_insumo</t>
        </is>
      </c>
      <c r="G49" s="18" t="inlineStr">
        <is>
          <t>character varying(50)</t>
        </is>
      </c>
      <c r="H49" s="18" t="inlineStr">
        <is>
          <t>Sí</t>
        </is>
      </c>
      <c r="I49" s="18" t="inlineStr"/>
      <c r="J49" s="18" t="inlineStr"/>
      <c r="K49" s="18" t="inlineStr"/>
      <c r="L49" s="18" t="inlineStr">
        <is>
          <t>No</t>
        </is>
      </c>
      <c r="M49" s="18" t="inlineStr">
        <is>
          <t>No</t>
        </is>
      </c>
      <c r="N49" s="18" t="inlineStr"/>
      <c r="O49" s="18" t="inlineStr"/>
      <c r="P49" s="18" t="inlineStr">
        <is>
          <t>Mapeada en infrastructure-management-service/src/mantenimiento/solicitud-valoracion-insumo.entity.ts:27 (SolicitudValoracionInsumo.codigoInsumo) | Validación: IsOptional, IsString</t>
        </is>
      </c>
      <c r="Q49" s="18" t="inlineStr">
        <is>
          <t>Código fuente (verificado)</t>
        </is>
      </c>
      <c r="R49" s="18" t="inlineStr">
        <is>
          <t>Código opcional del material o repuesto, digitado por el técnico en la valoración.</t>
        </is>
      </c>
      <c r="S49" s="18" t="inlineStr">
        <is>
          <t>Media</t>
        </is>
      </c>
      <c r="T49" s="18" t="inlineStr">
        <is>
          <t>infrastructure-management-service/src/mantenimiento/mantenimiento.service.ts:2411: codigoInsumo = texto recibido, recortado | infrastructure-management-service/src/mantenimiento/dto/create-mantenimiento.dto.ts:199: opcional | sin validación contra catálogo</t>
        </is>
      </c>
      <c r="U49" s="18" t="inlineStr">
        <is>
          <t>¿El código debe provenir de un catálogo o sistema de inventario? El código no lo valida.</t>
        </is>
      </c>
      <c r="V49" s="19" t="inlineStr">
        <is>
          <t>Aprobada</t>
        </is>
      </c>
      <c r="W49" s="19" t="inlineStr"/>
      <c r="X49" s="19" t="inlineStr">
        <is>
          <t>Aldair González (validación del responsable de BD)</t>
        </is>
      </c>
      <c r="Y49" s="20" t="n">
        <v>46317</v>
      </c>
      <c r="Z49" s="19" t="inlineStr">
        <is>
          <t>Nivel 3: el código no resuelve la pregunta; queda para desarrollo. Validada por decisión del responsable de la base de datos. Pregunta registrada para desarrollo: ¿El código debe provenir de un catálogo o sistema de inventario? El código no lo valida.</t>
        </is>
      </c>
      <c r="AA49" s="18">
        <f>IF(OR(V49="Aprobada"),R49,IF(AND(OR(V49="Aprobada con ajuste",V49="Rechazada"),W49&lt;&gt;""),W49,""))</f>
        <v/>
      </c>
    </row>
    <row r="50">
      <c r="A50" s="18" t="inlineStr">
        <is>
          <t>C0049</t>
        </is>
      </c>
      <c r="B50" s="18" t="inlineStr">
        <is>
          <t>Viáticos y gastos de viaje</t>
        </is>
      </c>
      <c r="C50" s="18" t="inlineStr">
        <is>
          <t>travel_expenses</t>
        </is>
      </c>
      <c r="D50" s="18" t="inlineStr">
        <is>
          <t>analistas_viaticos</t>
        </is>
      </c>
      <c r="E50" s="18" t="n">
        <v>0</v>
      </c>
      <c r="F50" s="18" t="inlineStr">
        <is>
          <t>cargo</t>
        </is>
      </c>
      <c r="G50" s="18" t="inlineStr">
        <is>
          <t>character varying(255)</t>
        </is>
      </c>
      <c r="H50" s="18" t="inlineStr">
        <is>
          <t>Sí</t>
        </is>
      </c>
      <c r="I50" s="18" t="inlineStr"/>
      <c r="J50" s="18" t="inlineStr"/>
      <c r="K50" s="18" t="inlineStr"/>
      <c r="L50" s="18" t="inlineStr">
        <is>
          <t>No</t>
        </is>
      </c>
      <c r="M50" s="18" t="inlineStr">
        <is>
          <t>No</t>
        </is>
      </c>
      <c r="N50" s="18" t="inlineStr"/>
      <c r="O50" s="18" t="inlineStr"/>
      <c r="P50" s="18" t="inlineStr">
        <is>
          <t>Mapeada en travel-expenses-service/src/entities/analista.entity.ts:51 (AnalistaEntity.cargo) | Validación: IsOptional, IsString</t>
        </is>
      </c>
      <c r="Q50" s="18" t="inlineStr">
        <is>
          <t>Código fuente (verificado)</t>
        </is>
      </c>
      <c r="R50" s="18" t="inlineStr">
        <is>
          <t>Cargo del analista del Grupo de Viáticos, en texto.</t>
        </is>
      </c>
      <c r="S50" s="18" t="inlineStr">
        <is>
          <t>Media</t>
        </is>
      </c>
      <c r="T50" s="18" t="inlineStr">
        <is>
          <t>travel-expenses-service/src/entities/analista.entity.ts:51 (varchar 255, sin FK) | travel-expenses-service/src/modules/travel-expenses/travel-expenses.service.ts:6571 (la estampa de firma del analista toma el cargo de auth.cargos.nom_cargo, no de esta columna) | travel-expenses-service/db/dev-fixtures/fixture_com_2026_0001_pagada.sql:97 (único INSERT del servicio, sin cargo)</t>
        </is>
      </c>
      <c r="U50" s="18" t="inlineStr">
        <is>
          <t>¿Qué proceso carga analistas_viaticos.cargo? El servicio no la escribe ni la lee; ¿se digita como texto libre o se copia de auth.cargos?</t>
        </is>
      </c>
      <c r="V50" s="19" t="inlineStr">
        <is>
          <t>Aprobada</t>
        </is>
      </c>
      <c r="W50" s="19" t="inlineStr"/>
      <c r="X50" s="19" t="inlineStr">
        <is>
          <t>Aldair González (validación del responsable de BD)</t>
        </is>
      </c>
      <c r="Y50" s="20" t="n">
        <v>46317</v>
      </c>
      <c r="Z50" s="19" t="inlineStr">
        <is>
          <t>Nivel 3: el código no resuelve la pregunta; queda para desarrollo. Validada por decisión del responsable de la base de datos. Pregunta registrada para desarrollo: ¿Qué proceso carga analistas_viaticos.cargo? El servicio no la escribe ni la lee; ¿se digita como texto libre o se copia de auth.cargos?</t>
        </is>
      </c>
      <c r="AA50" s="18">
        <f>IF(OR(V50="Aprobada"),R50,IF(AND(OR(V50="Aprobada con ajuste",V50="Rechazada"),W50&lt;&gt;""),W50,""))</f>
        <v/>
      </c>
    </row>
    <row r="51">
      <c r="A51" s="18" t="inlineStr">
        <is>
          <t>C0050</t>
        </is>
      </c>
      <c r="B51" s="18" t="inlineStr">
        <is>
          <t>Viáticos y gastos de viaje</t>
        </is>
      </c>
      <c r="C51" s="18" t="inlineStr">
        <is>
          <t>travel_expenses</t>
        </is>
      </c>
      <c r="D51" s="18" t="inlineStr">
        <is>
          <t>comisionados</t>
        </is>
      </c>
      <c r="E51" s="18" t="n">
        <v>4</v>
      </c>
      <c r="F51" s="18" t="inlineStr">
        <is>
          <t>telefono_contacto</t>
        </is>
      </c>
      <c r="G51" s="18" t="inlineStr">
        <is>
          <t>character varying(150)</t>
        </is>
      </c>
      <c r="H51" s="18" t="inlineStr">
        <is>
          <t>No</t>
        </is>
      </c>
      <c r="I51" s="18" t="inlineStr"/>
      <c r="J51" s="18" t="inlineStr"/>
      <c r="K51" s="18" t="inlineStr"/>
      <c r="L51" s="18" t="inlineStr">
        <is>
          <t>No</t>
        </is>
      </c>
      <c r="M51" s="18" t="inlineStr">
        <is>
          <t>No</t>
        </is>
      </c>
      <c r="N51" s="18" t="inlineStr"/>
      <c r="O51" s="18" t="inlineStr"/>
      <c r="P51" s="18" t="inlineStr">
        <is>
          <t>Mapeada en travel-expenses-service/src/entities/comisionado.entity.ts:50 (ComisionadoEntity.telefonoContacto) | Validación: IsString, Length(1, 150)</t>
        </is>
      </c>
      <c r="Q51" s="18" t="inlineStr">
        <is>
          <t>Código fuente (verificado)</t>
        </is>
      </c>
      <c r="R51" s="18" t="inlineStr">
        <is>
          <t>Teléfono de contacto del comisionado. Se toma del teléfono reportado por Talento Humano o de auth.personas.tel_celular; si no hay dato se guarda 0000000000.</t>
        </is>
      </c>
      <c r="S51" s="18" t="inlineStr">
        <is>
          <t>Media</t>
        </is>
      </c>
      <c r="T51" s="18" t="inlineStr">
        <is>
          <t>travel-expenses-service/src/modules/travel-expenses/travel-expenses.service.ts:1559 (phone de Talento Humano) | travel-expenses-service/src/modules/travel-expenses/travel-expenses.service.ts:1653 (alta desde Talento Humano, por defecto 0000000000) | travel-expenses-service/src/modules/travel-expenses/travel-expenses.service.ts:1736 (alta desde auth.personas.tel_celular) | travel-expenses-service/src/dto/create-comisionado.dto.ts:40 (texto de 1 a 150 caracteres, sin formato)</t>
        </is>
      </c>
      <c r="U51" s="18" t="inlineStr">
        <is>
          <t>Las fuentes automáticas cargan un solo número, pero el DTO acepta texto libre de hasta 150 caracteres: ¿se permite registrar varios números y con qué separador?</t>
        </is>
      </c>
      <c r="V51" s="19" t="inlineStr">
        <is>
          <t>Aprobada</t>
        </is>
      </c>
      <c r="W51" s="19" t="inlineStr"/>
      <c r="X51" s="19" t="inlineStr">
        <is>
          <t>Aldair González (validación del responsable de BD)</t>
        </is>
      </c>
      <c r="Y51" s="20" t="n">
        <v>46317</v>
      </c>
      <c r="Z51" s="19" t="inlineStr">
        <is>
          <t>Nivel 3: el código no resuelve la pregunta; queda para desarrollo. Validada por decisión del responsable de la base de datos. Pregunta registrada para desarrollo: Las fuentes automáticas cargan un solo número, pero el DTO acepta texto libre de hasta 150 caracteres: ¿se permite registrar varios números y con qué separador?</t>
        </is>
      </c>
      <c r="AA51" s="18">
        <f>IF(OR(V51="Aprobada"),R51,IF(AND(OR(V51="Aprobada con ajuste",V51="Rechazada"),W51&lt;&gt;""),W51,""))</f>
        <v/>
      </c>
    </row>
    <row r="52">
      <c r="A52" s="18" t="inlineStr">
        <is>
          <t>C0051</t>
        </is>
      </c>
      <c r="B52" s="18" t="inlineStr">
        <is>
          <t>Viáticos y gastos de viaje</t>
        </is>
      </c>
      <c r="C52" s="18" t="inlineStr">
        <is>
          <t>travel_expenses</t>
        </is>
      </c>
      <c r="D52" s="18" t="inlineStr">
        <is>
          <t>config_tipo_comisionado</t>
        </is>
      </c>
      <c r="E52" s="18" t="n">
        <v>7</v>
      </c>
      <c r="F52" s="18" t="inlineStr">
        <is>
          <t>codigo_formulario</t>
        </is>
      </c>
      <c r="G52" s="18" t="inlineStr">
        <is>
          <t>character varying(50)</t>
        </is>
      </c>
      <c r="H52" s="18" t="inlineStr">
        <is>
          <t>No</t>
        </is>
      </c>
      <c r="I52" s="18" t="inlineStr"/>
      <c r="J52" s="18" t="inlineStr"/>
      <c r="K52" s="18" t="inlineStr"/>
      <c r="L52" s="18" t="inlineStr">
        <is>
          <t>Sí</t>
        </is>
      </c>
      <c r="M52" s="18" t="inlineStr">
        <is>
          <t>No</t>
        </is>
      </c>
      <c r="N52" s="18" t="inlineStr"/>
      <c r="O52" s="18" t="inlineStr">
        <is>
          <t>idx_config_tipo_comisionado_codigo_formulario</t>
        </is>
      </c>
      <c r="P52" s="18" t="inlineStr">
        <is>
          <t>Mapeada en travel-expenses-service/src/entities/config/config-tipo-comisionado.entity.ts:29 (ConfigTipoComisionadoEntity.codigoFormulario) | Validación: IsOptional, IsString, Length(1, 50)</t>
        </is>
      </c>
      <c r="Q52" s="18" t="inlineStr">
        <is>
          <t>Código fuente (verificado)</t>
        </is>
      </c>
      <c r="R52" s="18" t="inlineStr">
        <is>
          <t>Código del formulario de solicitud que usa el tipo de comisionado; permite consultar la parametrización por código de formulario.</t>
        </is>
      </c>
      <c r="S52" s="18" t="inlineStr">
        <is>
          <t>Media</t>
        </is>
      </c>
      <c r="T52" s="18" t="inlineStr">
        <is>
          <t>travel-expenses-service/src/modules/config/config.service.ts:355 (busca la configuración activa por codigoFormulario) | travel-expenses-service/src/dto/config/config-tipo-comisionado.dto.ts:17 (texto de 1 a 50, sin lista de valores) | travel-expenses-service/src/seed.ts:815 (semilla REPORTE_SOLICITUD para todos los tipos)</t>
        </is>
      </c>
      <c r="U52" s="18" t="inlineStr">
        <is>
          <t>El código no tiene catálogo: la semilla usa REPORTE_SOLICITUD para todos los tipos. ¿Qué otros códigos de formulario existen y dónde se documentan?</t>
        </is>
      </c>
      <c r="V52" s="19" t="inlineStr">
        <is>
          <t>Aprobada</t>
        </is>
      </c>
      <c r="W52" s="19" t="inlineStr"/>
      <c r="X52" s="19" t="inlineStr">
        <is>
          <t>Aldair González (validación del responsable de BD)</t>
        </is>
      </c>
      <c r="Y52" s="20" t="n">
        <v>46317</v>
      </c>
      <c r="Z52" s="19" t="inlineStr">
        <is>
          <t>Nivel 3: el código no resuelve la pregunta; queda para desarrollo. Validada por decisión del responsable de la base de datos. Pregunta registrada para desarrollo: El código no tiene catálogo: la semilla usa REPORTE_SOLICITUD para todos los tipos. ¿Qué otros códigos de formulario existen y dónde se documentan?</t>
        </is>
      </c>
      <c r="AA52" s="18">
        <f>IF(OR(V52="Aprobada"),R52,IF(AND(OR(V52="Aprobada con ajuste",V52="Rechazada"),W52&lt;&gt;""),W52,""))</f>
        <v/>
      </c>
    </row>
    <row r="53">
      <c r="A53" s="18" t="inlineStr">
        <is>
          <t>C0052</t>
        </is>
      </c>
      <c r="B53" s="18" t="inlineStr">
        <is>
          <t>Viáticos y gastos de viaje</t>
        </is>
      </c>
      <c r="C53" s="18" t="inlineStr">
        <is>
          <t>travel_expenses</t>
        </is>
      </c>
      <c r="D53" s="18" t="inlineStr">
        <is>
          <t>excepciones_autorizadas_tiquetes</t>
        </is>
      </c>
      <c r="E53" s="18" t="n">
        <v>0</v>
      </c>
      <c r="F53" s="18" t="inlineStr">
        <is>
          <t>numero_documento_soporte</t>
        </is>
      </c>
      <c r="G53" s="18" t="inlineStr">
        <is>
          <t>character varying(100)</t>
        </is>
      </c>
      <c r="H53" s="18" t="inlineStr">
        <is>
          <t>No</t>
        </is>
      </c>
      <c r="I53" s="18" t="inlineStr"/>
      <c r="J53" s="18" t="inlineStr"/>
      <c r="K53" s="18" t="inlineStr"/>
      <c r="L53" s="18" t="inlineStr">
        <is>
          <t>No</t>
        </is>
      </c>
      <c r="M53" s="18" t="inlineStr">
        <is>
          <t>No</t>
        </is>
      </c>
      <c r="N53" s="18" t="inlineStr"/>
      <c r="O53" s="18" t="inlineStr"/>
      <c r="P53" s="18" t="inlineStr">
        <is>
          <t>Mapeada en travel-expenses-service/src/entities/tickets/excepcion-tiquete.entity.ts:41 (ExcepcionTiqueteEntity.numeroDocumentoSoporte) | Validación: IsString, Length(1, 100)</t>
        </is>
      </c>
      <c r="Q53" s="18" t="inlineStr">
        <is>
          <t>Código fuente (verificado)</t>
        </is>
      </c>
      <c r="R53" s="18" t="inlineStr">
        <is>
          <t>Número del documento firmado por la Dirección Nacional o el Sindicato que soporta la excepción de ruta corta o de presupuesto agotado.</t>
        </is>
      </c>
      <c r="S53" s="18" t="inlineStr">
        <is>
          <t>Media</t>
        </is>
      </c>
      <c r="T53" s="18" t="inlineStr">
        <is>
          <t>travel-expenses-service/src/entities/tickets/excepcion-tiquete.entity.ts:9 (excepciones autorizadas por la Dirección Nacional o el Sindicato) | travel-expenses-service/src/dto/tickets/tickets.dto.ts:106 (texto de 1 a 100, sin tipo de documento) | travel-expenses-service/src/modules/consolidacion/consolidacion.service.ts:649 (se exige número y URL del soporte)</t>
        </is>
      </c>
      <c r="U53" s="18" t="inlineStr">
        <is>
          <t>¿Qué tipo de documento se registra (resolución, acta, oficio)? El código no lo distingue.</t>
        </is>
      </c>
      <c r="V53" s="19" t="inlineStr">
        <is>
          <t>Aprobada</t>
        </is>
      </c>
      <c r="W53" s="19" t="inlineStr"/>
      <c r="X53" s="19" t="inlineStr">
        <is>
          <t>Aldair González (validación del responsable de BD)</t>
        </is>
      </c>
      <c r="Y53" s="20" t="n">
        <v>46317</v>
      </c>
      <c r="Z53" s="19" t="inlineStr">
        <is>
          <t>Nivel 3: el código no resuelve la pregunta; queda para desarrollo. Validada por decisión del responsable de la base de datos. Pregunta registrada para desarrollo: ¿Qué tipo de documento se registra (resolución, acta, oficio)? El código no lo distingue.</t>
        </is>
      </c>
      <c r="AA53" s="18">
        <f>IF(OR(V53="Aprobada"),R53,IF(AND(OR(V53="Aprobada con ajuste",V53="Rechazada"),W53&lt;&gt;""),W53,""))</f>
        <v/>
      </c>
    </row>
    <row r="54">
      <c r="A54" s="18" t="inlineStr">
        <is>
          <t>C0053</t>
        </is>
      </c>
      <c r="B54" s="18" t="inlineStr">
        <is>
          <t>Viáticos y gastos de viaje</t>
        </is>
      </c>
      <c r="C54" s="18" t="inlineStr">
        <is>
          <t>travel_expenses</t>
        </is>
      </c>
      <c r="D54" s="18" t="inlineStr">
        <is>
          <t>reintegros_comision</t>
        </is>
      </c>
      <c r="E54" s="18" t="n">
        <v>0</v>
      </c>
      <c r="F54" s="18" t="inlineStr">
        <is>
          <t>dias_comision</t>
        </is>
      </c>
      <c r="G54" s="18" t="inlineStr">
        <is>
          <t>numeric(6,2)</t>
        </is>
      </c>
      <c r="H54" s="18" t="inlineStr">
        <is>
          <t>Sí</t>
        </is>
      </c>
      <c r="I54" s="18" t="inlineStr"/>
      <c r="J54" s="18" t="inlineStr"/>
      <c r="K54" s="18" t="inlineStr"/>
      <c r="L54" s="18" t="inlineStr">
        <is>
          <t>No</t>
        </is>
      </c>
      <c r="M54" s="18" t="inlineStr">
        <is>
          <t>No</t>
        </is>
      </c>
      <c r="N54" s="18" t="inlineStr"/>
      <c r="O54" s="18" t="inlineStr"/>
      <c r="P54" s="18" t="inlineStr">
        <is>
          <t>Mapeada en travel-expenses-service/src/entities/reintegro-comision.entity.ts:68 (ReintegroComisionEntity.diasComision) | Validación: IsNumber({ maxDecimalPlaces: 2 }), IsOptional, Min(0)</t>
        </is>
      </c>
      <c r="Q54" s="18" t="inlineStr">
        <is>
          <t>Código fuente (verificado)</t>
        </is>
      </c>
      <c r="R54" s="18" t="inlineStr">
        <is>
          <t>Días de la comisión, copiados de solicitudes_comision.dias_comision al generar el reintegro. Admite decimales.</t>
        </is>
      </c>
      <c r="S54" s="18" t="inlineStr">
        <is>
          <t>Media</t>
        </is>
      </c>
      <c r="T54" s="18" t="inlineStr">
        <is>
          <t>travel-expenses-service/src/modules/reintegros/reintegros.service.ts:75 (s.dias_comision) | travel-expenses-service/src/modules/legalizacion/legalizacion-revision.service.ts:635 (diasComision: sol.dias_comision) | travel-expenses-service/db/migrations/442_solicitud_campos_adicionales_y_dias_decimal.sql:46 (dias_comision decimal, ej. 0.5, 1.5)</t>
        </is>
      </c>
      <c r="U54" s="18" t="inlineStr">
        <is>
          <t>La columna admite decimales y dias_comision se documenta con ejemplos 0.5 y 1.5: ¿la fracción representa el día de regreso sin pernocta?</t>
        </is>
      </c>
      <c r="V54" s="19" t="inlineStr">
        <is>
          <t>Aprobada</t>
        </is>
      </c>
      <c r="W54" s="19" t="inlineStr"/>
      <c r="X54" s="19" t="inlineStr">
        <is>
          <t>Aldair González (validación del responsable de BD)</t>
        </is>
      </c>
      <c r="Y54" s="20" t="n">
        <v>46317</v>
      </c>
      <c r="Z54" s="19" t="inlineStr">
        <is>
          <t>Nivel 3: el código no resuelve la pregunta; queda para desarrollo. Validada por decisión del responsable de la base de datos. Pregunta registrada para desarrollo: La columna admite decimales y dias_comision se documenta con ejemplos 0.5 y 1.5: ¿la fracción representa el día de regreso sin pernocta?</t>
        </is>
      </c>
      <c r="AA54" s="18">
        <f>IF(OR(V54="Aprobada"),R54,IF(AND(OR(V54="Aprobada con ajuste",V54="Rechazada"),W54&lt;&gt;""),W54,""))</f>
        <v/>
      </c>
    </row>
    <row r="55">
      <c r="A55" s="18" t="inlineStr">
        <is>
          <t>C0054</t>
        </is>
      </c>
      <c r="B55" s="18" t="inlineStr">
        <is>
          <t>Viáticos y gastos de viaje</t>
        </is>
      </c>
      <c r="C55" s="18" t="inlineStr">
        <is>
          <t>travel_expenses</t>
        </is>
      </c>
      <c r="D55" s="18" t="inlineStr">
        <is>
          <t>reintegros_comision</t>
        </is>
      </c>
      <c r="E55" s="18" t="n">
        <v>0</v>
      </c>
      <c r="F55" s="18" t="inlineStr">
        <is>
          <t>dias_ejecutados</t>
        </is>
      </c>
      <c r="G55" s="18" t="inlineStr">
        <is>
          <t>numeric(6,2)</t>
        </is>
      </c>
      <c r="H55" s="18" t="inlineStr">
        <is>
          <t>Sí</t>
        </is>
      </c>
      <c r="I55" s="18" t="inlineStr"/>
      <c r="J55" s="18" t="inlineStr"/>
      <c r="K55" s="18" t="inlineStr"/>
      <c r="L55" s="18" t="inlineStr">
        <is>
          <t>No</t>
        </is>
      </c>
      <c r="M55" s="18" t="inlineStr">
        <is>
          <t>No</t>
        </is>
      </c>
      <c r="N55" s="18" t="inlineStr"/>
      <c r="O55" s="18" t="inlineStr"/>
      <c r="P55" s="18" t="inlineStr">
        <is>
          <t>Mapeada en travel-expenses-service/src/entities/reintegro-comision.entity.ts:71 (ReintegroComisionEntity.diasEjecutados)</t>
        </is>
      </c>
      <c r="Q55" s="18" t="inlineStr">
        <is>
          <t>Código fuente (verificado)</t>
        </is>
      </c>
      <c r="R55" s="18" t="inlineStr">
        <is>
          <t>Días ejecutados de la comisión: en viaje menor, los días reales registrados en la legalización; en comisión no realizada, 0.</t>
        </is>
      </c>
      <c r="S55" s="18" t="inlineStr">
        <is>
          <t>Media</t>
        </is>
      </c>
      <c r="T55" s="18" t="inlineStr">
        <is>
          <t>travel-expenses-service/src/modules/reintegros/reintegros.service.ts:112 (viaje menor: diasReales del evento) | travel-expenses-service/src/modules/reintegros/reintegros.service.ts:75 (comisión no realizada: 0) | travel-expenses-service/src/modules/legalizacion/viaje-real.util.ts:49 (días reales = noches + 1) | travel-expenses-service/src/modules/legalizacion/legalizacion-revision.service.ts:498 (si no hay fechas reales, valor digitado &gt;= 0)</t>
        </is>
      </c>
      <c r="U55" s="18" t="inlineStr">
        <is>
          <t>Con fechas reales el valor es entero; cuando lo digita el analista admite decimales: ¿se permiten fracciones por días sin pernoctar?</t>
        </is>
      </c>
      <c r="V55" s="19" t="inlineStr">
        <is>
          <t>Aprobada</t>
        </is>
      </c>
      <c r="W55" s="19" t="inlineStr"/>
      <c r="X55" s="19" t="inlineStr">
        <is>
          <t>Aldair González (validación del responsable de BD)</t>
        </is>
      </c>
      <c r="Y55" s="20" t="n">
        <v>46317</v>
      </c>
      <c r="Z55" s="19" t="inlineStr">
        <is>
          <t>Nivel 3: el código no resuelve la pregunta; queda para desarrollo. Validada por decisión del responsable de la base de datos. Pregunta registrada para desarrollo: Con fechas reales el valor es entero; cuando lo digita el analista admite decimales: ¿se permiten fracciones por días sin pernoctar?</t>
        </is>
      </c>
      <c r="AA55" s="18">
        <f>IF(OR(V55="Aprobada"),R55,IF(AND(OR(V55="Aprobada con ajuste",V55="Rechazada"),W55&lt;&gt;""),W55,""))</f>
        <v/>
      </c>
    </row>
    <row r="56">
      <c r="A56" s="18" t="inlineStr">
        <is>
          <t>C0055</t>
        </is>
      </c>
      <c r="B56" s="18" t="inlineStr">
        <is>
          <t>Viáticos y gastos de viaje</t>
        </is>
      </c>
      <c r="C56" s="18" t="inlineStr">
        <is>
          <t>travel_expenses</t>
        </is>
      </c>
      <c r="D56" s="18" t="inlineStr">
        <is>
          <t>saldos_tiquetes</t>
        </is>
      </c>
      <c r="E56" s="18" t="n">
        <v>0</v>
      </c>
      <c r="F56" s="18" t="inlineStr">
        <is>
          <t>presupuesto_inicial</t>
        </is>
      </c>
      <c r="G56" s="18" t="inlineStr">
        <is>
          <t>numeric(12,2)</t>
        </is>
      </c>
      <c r="H56" s="18" t="inlineStr">
        <is>
          <t>No</t>
        </is>
      </c>
      <c r="I56" s="18" t="inlineStr">
        <is>
          <t>CHECK</t>
        </is>
      </c>
      <c r="J56" s="18" t="inlineStr"/>
      <c r="K56" s="18" t="inlineStr"/>
      <c r="L56" s="18" t="inlineStr">
        <is>
          <t>No</t>
        </is>
      </c>
      <c r="M56" s="18" t="inlineStr">
        <is>
          <t>No</t>
        </is>
      </c>
      <c r="N56" s="18" t="inlineStr"/>
      <c r="O56" s="18" t="inlineStr"/>
      <c r="P56" s="18" t="inlineStr">
        <is>
          <t>Mapeada en travel-expenses-service/src/entities/tickets/saldo-tiquete.entity.ts:43 (SaldoTiqueteEntity.presupuestoInicial) | Validación: IsNumber({ maxDecimalPlaces: 2 }), IsOptional, Min(0)</t>
        </is>
      </c>
      <c r="Q56" s="18" t="inlineStr">
        <is>
          <t>Código fuente (verificado)</t>
        </is>
      </c>
      <c r="R56" s="18" t="inlineStr">
        <is>
          <t>Presupuesto inicial asignado a la dependencia para tiquetes, en pesos colombianos. No puede ser negativo; al cambiarlo, el disponible se ajusta por la diferencia.</t>
        </is>
      </c>
      <c r="S56" s="18" t="inlineStr">
        <is>
          <t>Media</t>
        </is>
      </c>
      <c r="T56" s="18" t="inlineStr">
        <is>
          <t>travel-expenses-service/src/modules/tickets/tickets.service.ts:613 (alta: disponible = inicial) | travel-expenses-service/src/modules/tickets/tickets.service.ts:633 (actualización ajusta el disponible) | travel-expenses-service/src/entities/tickets/saldo-tiquete.entity.ts:10 (cupo por dependencia, sin columna de vigencia)</t>
        </is>
      </c>
      <c r="U56" s="18" t="inlineStr">
        <is>
          <t>La tabla no tiene columna de vigencia: ¿el presupuesto inicial corresponde a una vigencia fiscal y cómo se reinicia cada año?</t>
        </is>
      </c>
      <c r="V56" s="19" t="inlineStr">
        <is>
          <t>Aprobada</t>
        </is>
      </c>
      <c r="W56" s="19" t="inlineStr"/>
      <c r="X56" s="19" t="inlineStr">
        <is>
          <t>Aldair González (validación del responsable de BD)</t>
        </is>
      </c>
      <c r="Y56" s="20" t="n">
        <v>46317</v>
      </c>
      <c r="Z56" s="19" t="inlineStr">
        <is>
          <t>Nivel 3: el código no resuelve la pregunta; queda para desarrollo. Validada por decisión del responsable de la base de datos. Pregunta registrada para desarrollo: La tabla no tiene columna de vigencia: ¿el presupuesto inicial corresponde a una vigencia fiscal y cómo se reinicia cada año?</t>
        </is>
      </c>
      <c r="AA56" s="18">
        <f>IF(OR(V56="Aprobada"),R56,IF(AND(OR(V56="Aprobada con ajuste",V56="Rechazada"),W56&lt;&gt;""),W56,""))</f>
        <v/>
      </c>
    </row>
    <row r="57">
      <c r="A57" s="18" t="inlineStr">
        <is>
          <t>C0056</t>
        </is>
      </c>
      <c r="B57" s="18" t="inlineStr">
        <is>
          <t>Viáticos y gastos de viaje</t>
        </is>
      </c>
      <c r="C57" s="18" t="inlineStr">
        <is>
          <t>travel_expenses</t>
        </is>
      </c>
      <c r="D57" s="18" t="inlineStr">
        <is>
          <t>solicitudes_comision</t>
        </is>
      </c>
      <c r="E57" s="18" t="n">
        <v>3</v>
      </c>
      <c r="F57" s="18" t="inlineStr">
        <is>
          <t>dias_pernoctados</t>
        </is>
      </c>
      <c r="G57" s="18" t="inlineStr">
        <is>
          <t>numeric(5,2)</t>
        </is>
      </c>
      <c r="H57" s="18" t="inlineStr">
        <is>
          <t>Sí</t>
        </is>
      </c>
      <c r="I57" s="18" t="inlineStr"/>
      <c r="J57" s="18" t="inlineStr"/>
      <c r="K57" s="18" t="inlineStr"/>
      <c r="L57" s="18" t="inlineStr">
        <is>
          <t>No</t>
        </is>
      </c>
      <c r="M57" s="18" t="inlineStr">
        <is>
          <t>No</t>
        </is>
      </c>
      <c r="N57" s="18" t="inlineStr"/>
      <c r="O57" s="18" t="inlineStr"/>
      <c r="P57" s="18" t="inlineStr">
        <is>
          <t>travel-expenses-service/src/entities/solicitud-comision.entity.ts:106: ========== Autoliquidación GF-FO-023 (Decreto 314 de 2026) ========== | Validación: IsNumber({ maxDecimalPlaces: 2 }), IsOptional, Min(0)</t>
        </is>
      </c>
      <c r="Q57" s="18" t="inlineStr">
        <is>
          <t>Código fuente (verificado)</t>
        </is>
      </c>
      <c r="R57" s="18" t="inlineStr">
        <is>
          <t>Noches con pernocta de la comisión, usadas en la autoliquidación del formato GF-FO-023 (Decreto 314 de 2026). Admite decimales.</t>
        </is>
      </c>
      <c r="S57" s="18" t="inlineStr">
        <is>
          <t>Media</t>
        </is>
      </c>
      <c r="T57" s="18" t="inlineStr">
        <is>
          <t>travel-expenses-service/src/modules/liquidation/liquidation.service.ts:278 (la liquidación calcula noches enteras entre fechas) | travel-expenses-service/src/modules/travel-expenses/travel-expenses.service.ts:3363 (si no viene, se deriva como dias_comision - 1) | travel-expenses-service/db/migrations/444_solicitud_autoliquidacion_gf_fo_023.sql:6 (numeric 5,2)</t>
        </is>
      </c>
      <c r="U57" s="18" t="inlineStr">
        <is>
          <t>La liquidación produce noches enteras; el decimal solo aparece si se deriva de dias_comision fraccionario. ¿Se registran medios días con pernocta?</t>
        </is>
      </c>
      <c r="V57" s="19" t="inlineStr">
        <is>
          <t>Aprobada</t>
        </is>
      </c>
      <c r="W57" s="19" t="inlineStr"/>
      <c r="X57" s="19" t="inlineStr">
        <is>
          <t>Aldair González (validación del responsable de BD)</t>
        </is>
      </c>
      <c r="Y57" s="20" t="n">
        <v>46317</v>
      </c>
      <c r="Z57" s="19" t="inlineStr">
        <is>
          <t>Nivel 3: el código no resuelve la pregunta; queda para desarrollo. Validada por decisión del responsable de la base de datos. Pregunta registrada para desarrollo: La liquidación produce noches enteras; el decimal solo aparece si se deriva de dias_comision fraccionario. ¿Se registran medios días con pernocta?</t>
        </is>
      </c>
      <c r="AA57" s="18">
        <f>IF(OR(V57="Aprobada"),R57,IF(AND(OR(V57="Aprobada con ajuste",V57="Rechazada"),W57&lt;&gt;""),W57,""))</f>
        <v/>
      </c>
    </row>
    <row r="58">
      <c r="A58" s="18" t="inlineStr">
        <is>
          <t>C0057</t>
        </is>
      </c>
      <c r="B58" s="18" t="inlineStr">
        <is>
          <t>Viáticos y gastos de viaje</t>
        </is>
      </c>
      <c r="C58" s="18" t="inlineStr">
        <is>
          <t>travel_expenses</t>
        </is>
      </c>
      <c r="D58" s="18" t="inlineStr">
        <is>
          <t>solicitudes_comision</t>
        </is>
      </c>
      <c r="E58" s="18" t="n">
        <v>3</v>
      </c>
      <c r="F58" s="18" t="inlineStr">
        <is>
          <t>fecha_cdp</t>
        </is>
      </c>
      <c r="G58" s="18" t="inlineStr">
        <is>
          <t>text</t>
        </is>
      </c>
      <c r="H58" s="18" t="inlineStr">
        <is>
          <t>Sí</t>
        </is>
      </c>
      <c r="I58" s="18" t="inlineStr"/>
      <c r="J58" s="18" t="inlineStr"/>
      <c r="K58" s="18" t="inlineStr"/>
      <c r="L58" s="18" t="inlineStr">
        <is>
          <t>No</t>
        </is>
      </c>
      <c r="M58" s="18" t="inlineStr">
        <is>
          <t>No</t>
        </is>
      </c>
      <c r="N58" s="18" t="inlineStr"/>
      <c r="O58" s="18" t="inlineStr"/>
      <c r="P58" s="18" t="inlineStr">
        <is>
          <t>Mapeada en travel-expenses-service/src/entities/solicitud-comision.entity.ts:72 (SolicitudComisionEntity.fechaCdp) | Validación: IsOptional, IsString, Length(0, 50)</t>
        </is>
      </c>
      <c r="Q58" s="18" t="inlineStr">
        <is>
          <t>Código fuente (verificado)</t>
        </is>
      </c>
      <c r="R58" s="18" t="inlineStr">
        <is>
          <t>Fecha del certificado de disponibilidad presupuestal (CDP), guardada como texto.</t>
        </is>
      </c>
      <c r="S58" s="18" t="inlineStr">
        <is>
          <t>Media</t>
        </is>
      </c>
      <c r="T58" s="18" t="inlineStr">
        <is>
          <t>travel-expenses-service/src/entities/solicitud-comision.entity.ts:72 (type text) | travel-expenses-service/src/dto/create-solicitud.dto.ts:53 (IsString sin formato) | travel-expenses-service/src/modules/travel-expenses/travel-expenses.service.ts:7611 (se convierte a fecha larga en español para el PDF)</t>
        </is>
      </c>
      <c r="U58" s="18" t="inlineStr">
        <is>
          <t>El DTO no valida el formato: ¿qué formato de fecha se guarda y por qué la columna no es de tipo date?</t>
        </is>
      </c>
      <c r="V58" s="19" t="inlineStr">
        <is>
          <t>Aprobada</t>
        </is>
      </c>
      <c r="W58" s="19" t="inlineStr"/>
      <c r="X58" s="19" t="inlineStr">
        <is>
          <t>Aldair González (validación del responsable de BD)</t>
        </is>
      </c>
      <c r="Y58" s="20" t="n">
        <v>46317</v>
      </c>
      <c r="Z58" s="19" t="inlineStr">
        <is>
          <t>Nivel 3: el código no resuelve la pregunta; queda para desarrollo. Validada por decisión del responsable de la base de datos. Pregunta registrada para desarrollo: El DTO no valida el formato: ¿qué formato de fecha se guarda y por qué la columna no es de tipo date?</t>
        </is>
      </c>
      <c r="AA58" s="18">
        <f>IF(OR(V58="Aprobada"),R58,IF(AND(OR(V58="Aprobada con ajuste",V58="Rechazada"),W58&lt;&gt;""),W58,""))</f>
        <v/>
      </c>
    </row>
    <row r="59">
      <c r="A59" s="18" t="inlineStr">
        <is>
          <t>C0058</t>
        </is>
      </c>
      <c r="B59" s="18" t="inlineStr">
        <is>
          <t>Viáticos y gastos de viaje</t>
        </is>
      </c>
      <c r="C59" s="18" t="inlineStr">
        <is>
          <t>travel_expenses</t>
        </is>
      </c>
      <c r="D59" s="18" t="inlineStr">
        <is>
          <t>tarifas_regionales_excepcion</t>
        </is>
      </c>
      <c r="E59" s="18" t="n">
        <v>8</v>
      </c>
      <c r="F59" s="18" t="inlineStr">
        <is>
          <t>tarifa_diaria</t>
        </is>
      </c>
      <c r="G59" s="18" t="inlineStr">
        <is>
          <t>numeric(12,2)</t>
        </is>
      </c>
      <c r="H59" s="18" t="inlineStr">
        <is>
          <t>No</t>
        </is>
      </c>
      <c r="I59" s="18" t="inlineStr"/>
      <c r="J59" s="18" t="inlineStr"/>
      <c r="K59" s="18" t="inlineStr"/>
      <c r="L59" s="18" t="inlineStr">
        <is>
          <t>No</t>
        </is>
      </c>
      <c r="M59" s="18" t="inlineStr">
        <is>
          <t>No</t>
        </is>
      </c>
      <c r="N59" s="18" t="inlineStr"/>
      <c r="O59" s="18" t="inlineStr"/>
      <c r="P59" s="18" t="inlineStr">
        <is>
          <t>Mapeada en travel-expenses-service/src/entities/liquidation/tarifa-regional-excepcion.entity.ts:28 (TarifaRegionalExcepcionEntity.tarifaDiaria) | Validación: IsNumber, IsOptional, Min(0)</t>
        </is>
      </c>
      <c r="Q59" s="18" t="inlineStr">
        <is>
          <t>Código fuente (verificado)</t>
        </is>
      </c>
      <c r="R59" s="18" t="inlineStr">
        <is>
          <t>Valor diario de viáticos de excepción para el departamento (artículo 5 del Decreto 314 de 2026, nuevos departamentos).</t>
        </is>
      </c>
      <c r="S59" s="18" t="inlineStr">
        <is>
          <t>Media</t>
        </is>
      </c>
      <c r="T59" s="18" t="inlineStr">
        <is>
          <t>travel-expenses-service/src/entities/liquidation/tarifa-regional-excepcion.entity.ts:9 (excepción Art. 5 para departamentos nuevos) | travel-expenses-service/src/modules/liquidation/liquidation.service.ts:50 (el comentario dice que considera la excepción regional) | travel-expenses-service/src/modules/liquidation/liquidation.service.ts:176 (calcularLiquidacion no consulta esta tabla)</t>
        </is>
      </c>
      <c r="U59" s="18" t="inlineStr">
        <is>
          <t>El cálculo de la liquidación no lee tarifas_regionales_excepcion: ¿la tarifa de excepción reemplaza o se suma a la tarifa de la escala, y dónde se aplica?</t>
        </is>
      </c>
      <c r="V59" s="19" t="inlineStr">
        <is>
          <t>Aprobada</t>
        </is>
      </c>
      <c r="W59" s="19" t="inlineStr"/>
      <c r="X59" s="19" t="inlineStr">
        <is>
          <t>Aldair González (validación del responsable de BD)</t>
        </is>
      </c>
      <c r="Y59" s="20" t="n">
        <v>46317</v>
      </c>
      <c r="Z59" s="19" t="inlineStr">
        <is>
          <t>Nivel 3: el código no resuelve la pregunta; queda para desarrollo. Validada por decisión del responsable de la base de datos. Pregunta registrada para desarrollo: El cálculo de la liquidación no lee tarifas_regionales_excepcion: ¿la tarifa de excepción reemplaza o se suma a la tarifa de la escala, y dónde se aplica?</t>
        </is>
      </c>
      <c r="AA59" s="18">
        <f>IF(OR(V59="Aprobada"),R59,IF(AND(OR(V59="Aprobada con ajuste",V59="Rechazada"),W59&lt;&gt;""),W59,""))</f>
        <v/>
      </c>
    </row>
    <row r="60">
      <c r="A60" s="18" t="inlineStr">
        <is>
          <t>C0059</t>
        </is>
      </c>
      <c r="B60" s="18" t="inlineStr">
        <is>
          <t>Viáticos y gastos de viaje</t>
        </is>
      </c>
      <c r="C60" s="18" t="inlineStr">
        <is>
          <t>travel_expenses</t>
        </is>
      </c>
      <c r="D60" s="18" t="inlineStr">
        <is>
          <t>tarifas_transporte_terminal</t>
        </is>
      </c>
      <c r="E60" s="18" t="n">
        <v>11</v>
      </c>
      <c r="F60" s="18" t="inlineStr">
        <is>
          <t>departamento_id</t>
        </is>
      </c>
      <c r="G60" s="18" t="inlineStr">
        <is>
          <t>integer</t>
        </is>
      </c>
      <c r="H60" s="18" t="inlineStr">
        <is>
          <t>Sí</t>
        </is>
      </c>
      <c r="I60" s="18" t="inlineStr"/>
      <c r="J60" s="18" t="inlineStr"/>
      <c r="K60" s="18" t="inlineStr"/>
      <c r="L60" s="18" t="inlineStr">
        <is>
          <t>No</t>
        </is>
      </c>
      <c r="M60" s="18" t="inlineStr">
        <is>
          <t>No</t>
        </is>
      </c>
      <c r="N60" s="18" t="inlineStr"/>
      <c r="O60" s="18" t="inlineStr">
        <is>
          <t>idx_tarifas_transporte_terminal_depto_id</t>
        </is>
      </c>
      <c r="P60" s="18" t="inlineStr">
        <is>
          <t>Mapeada en travel-expenses-service/src/entities/liquidation/tarifa-transporte-terminal.entity.ts:25 (TarifaTransporteTerminalEntity.departamentoId) | Validación: IsNumber, IsOptional</t>
        </is>
      </c>
      <c r="Q60" s="18" t="inlineStr">
        <is>
          <t>Código fuente (verificado)</t>
        </is>
      </c>
      <c r="R60" s="18" t="inlineStr">
        <is>
          <t>Código numérico del departamento.</t>
        </is>
      </c>
      <c r="S60" s="18" t="inlineStr">
        <is>
          <t>Media</t>
        </is>
      </c>
      <c r="T60" s="18" t="inlineStr">
        <is>
          <t>travel-expenses-service/src/entities/liquidation/tarifa-transporte-terminal.entity.ts:25 (integer sin FK) | travel-expenses-service/src/modules/liquidation/liquidation.service.ts:538 (coincidencia directa por ID de geopolítica) | travel-expenses-service/db/migrations/446_tarifas_transporte_terminal.sql:27 (semilla: Antioquia 5, Atlántico 8, Córdoba 23)</t>
        </is>
      </c>
      <c r="U60" s="18" t="inlineStr">
        <is>
          <t>¿A qué tabla o codificación corresponde departamento_id (catálogo geopolítico, DANE)?</t>
        </is>
      </c>
      <c r="V60" s="19" t="inlineStr">
        <is>
          <t>Aprobada</t>
        </is>
      </c>
      <c r="W60" s="19" t="inlineStr"/>
      <c r="X60" s="19" t="inlineStr">
        <is>
          <t>Aldair González (validación del responsable de BD)</t>
        </is>
      </c>
      <c r="Y60" s="20" t="n">
        <v>46317</v>
      </c>
      <c r="Z60" s="19" t="inlineStr">
        <is>
          <t>Nivel 3: el código no resuelve la pregunta; queda para desarrollo. Validada por decisión del responsable de la base de datos. Pregunta registrada para desarrollo: ¿A qué tabla o codificación corresponde departamento_id (catálogo geopolítico, DANE)?</t>
        </is>
      </c>
      <c r="AA60" s="18">
        <f>IF(OR(V60="Aprobada"),R60,IF(AND(OR(V60="Aprobada con ajuste",V60="Rechazada"),W60&lt;&gt;""),W60,""))</f>
        <v/>
      </c>
    </row>
    <row r="61">
      <c r="A61" s="18" t="inlineStr">
        <is>
          <t>C0060</t>
        </is>
      </c>
      <c r="B61" s="18" t="inlineStr">
        <is>
          <t>Asistente virtual (chatbot)</t>
        </is>
      </c>
      <c r="C61" s="18" t="inlineStr">
        <is>
          <t>chatbot</t>
        </is>
      </c>
      <c r="D61" s="18" t="inlineStr">
        <is>
          <t>conversacion</t>
        </is>
      </c>
      <c r="E61" s="18" t="n">
        <v>0</v>
      </c>
      <c r="F61" s="18" t="inlineStr">
        <is>
          <t>usuario_id</t>
        </is>
      </c>
      <c r="G61" s="18" t="inlineStr">
        <is>
          <t>uuid</t>
        </is>
      </c>
      <c r="H61" s="18" t="inlineStr">
        <is>
          <t>Sí</t>
        </is>
      </c>
      <c r="I61" s="18" t="inlineStr"/>
      <c r="J61" s="18" t="inlineStr"/>
      <c r="K61" s="18" t="inlineStr"/>
      <c r="L61" s="18" t="inlineStr">
        <is>
          <t>No</t>
        </is>
      </c>
      <c r="M61" s="18" t="inlineStr">
        <is>
          <t>No</t>
        </is>
      </c>
      <c r="N61" s="18" t="inlineStr"/>
      <c r="O61" s="18" t="inlineStr">
        <is>
          <t>idx_chatbot_conversacion_usuario</t>
        </is>
      </c>
      <c r="P61" s="18" t="inlineStr">
        <is>
          <t>Mapeada en chatbot-service/src/modules/chat/entities/conversacion.entity.ts:16 (Conversacion.usuarioId) | Validación: IsOptional, IsUUID</t>
        </is>
      </c>
      <c r="Q61" s="18" t="inlineStr">
        <is>
          <t>Código fuente (verificado)</t>
        </is>
      </c>
      <c r="R61" s="18" t="inlineStr">
        <is>
          <t>Identificador del usuario que inició la conversación con el asistente virtual, enviado por el cliente al crearla.</t>
        </is>
      </c>
      <c r="S61" s="18" t="inlineStr">
        <is>
          <t>Media</t>
        </is>
      </c>
      <c r="T61" s="18" t="inlineStr">
        <is>
          <t>chatbot-service/src/modules/chat/chat.service.ts:18-25: usuarioId = dto.usuarioId, sin validar | chatbot-service/src/modules/chat/dto/create-conversacion.dto.ts:18: opcional | chatbot-service/src/modules/chat/chat.service.ts:41-50: el listado filtra por usuario_email</t>
        </is>
      </c>
      <c r="U61" s="18" t="inlineStr">
        <is>
          <t>¿El cliente envía el id de auth."user" o el de auth.personas? El servicio no lo valida ni lo cruza.</t>
        </is>
      </c>
      <c r="V61" s="19" t="inlineStr">
        <is>
          <t>Aprobada</t>
        </is>
      </c>
      <c r="W61" s="19" t="inlineStr"/>
      <c r="X61" s="19" t="inlineStr">
        <is>
          <t>Aldair González (validación del responsable de BD)</t>
        </is>
      </c>
      <c r="Y61" s="20" t="n">
        <v>46317</v>
      </c>
      <c r="Z61" s="19" t="inlineStr">
        <is>
          <t>Nivel 3: el código no resuelve la pregunta; queda para desarrollo. Validada por decisión del responsable de la base de datos. Pregunta registrada para desarrollo: ¿El cliente envía el id de auth."user" o el de auth.personas? El servicio no lo valida ni lo cruza.</t>
        </is>
      </c>
      <c r="AA61" s="18">
        <f>IF(OR(V61="Aprobada"),R61,IF(AND(OR(V61="Aprobada con ajuste",V61="Rechazada"),W61&lt;&gt;""),W61,""))</f>
        <v/>
      </c>
    </row>
    <row r="62">
      <c r="A62" s="18" t="inlineStr">
        <is>
          <t>C0061</t>
        </is>
      </c>
      <c r="B62" s="18" t="inlineStr">
        <is>
          <t>Asistente virtual (chatbot)</t>
        </is>
      </c>
      <c r="C62" s="18" t="inlineStr">
        <is>
          <t>chatbot</t>
        </is>
      </c>
      <c r="D62" s="18" t="inlineStr">
        <is>
          <t>conversacion</t>
        </is>
      </c>
      <c r="E62" s="18" t="n">
        <v>0</v>
      </c>
      <c r="F62" s="18" t="inlineStr">
        <is>
          <t>contexto</t>
        </is>
      </c>
      <c r="G62" s="18" t="inlineStr">
        <is>
          <t>character varying(100)</t>
        </is>
      </c>
      <c r="H62" s="18" t="inlineStr">
        <is>
          <t>Sí</t>
        </is>
      </c>
      <c r="I62" s="18" t="inlineStr"/>
      <c r="J62" s="18" t="inlineStr"/>
      <c r="K62" s="18" t="inlineStr"/>
      <c r="L62" s="18" t="inlineStr">
        <is>
          <t>No</t>
        </is>
      </c>
      <c r="M62" s="18" t="inlineStr">
        <is>
          <t>No</t>
        </is>
      </c>
      <c r="N62" s="18" t="inlineStr"/>
      <c r="O62" s="18" t="inlineStr"/>
      <c r="P62" s="18" t="inlineStr">
        <is>
          <t>Mapeada en chatbot-service/src/modules/chat/entities/conversacion.entity.ts:28 (Conversacion.contexto) | Validación: IsOptional, IsString</t>
        </is>
      </c>
      <c r="Q62" s="18" t="inlineStr">
        <is>
          <t>Código fuente (verificado)</t>
        </is>
      </c>
      <c r="R62" s="18" t="inlineStr">
        <is>
          <t>Contexto o tema de la conversación con el asistente virtual. Valor inicial: general.</t>
        </is>
      </c>
      <c r="S62" s="18" t="inlineStr">
        <is>
          <t>Media</t>
        </is>
      </c>
      <c r="T62" s="18" t="inlineStr">
        <is>
          <t>chatbot-service/src/modules/chat/chat.service.ts:21: contexto = dto.contexto || 'general' | chatbot-service/src/modules/chat/chat.service.ts:97,127: se pasa al generador de respuestas, que responde por palabras clave de la pregunta | no se consulta chatbot.prompt_template</t>
        </is>
      </c>
      <c r="U62" s="18" t="inlineStr">
        <is>
          <t>¿Cuáles son los contextos posibles? El servicio no los restringe ni los relaciona con chatbot.prompt_template.</t>
        </is>
      </c>
      <c r="V62" s="19" t="inlineStr">
        <is>
          <t>Aprobada</t>
        </is>
      </c>
      <c r="W62" s="19" t="inlineStr"/>
      <c r="X62" s="19" t="inlineStr">
        <is>
          <t>Aldair González (validación del responsable de BD)</t>
        </is>
      </c>
      <c r="Y62" s="20" t="n">
        <v>46317</v>
      </c>
      <c r="Z62" s="19" t="inlineStr">
        <is>
          <t>Nivel 3: el código no resuelve la pregunta; queda para desarrollo. Validada por decisión del responsable de la base de datos. Pregunta registrada para desarrollo: ¿Cuáles son los contextos posibles? El servicio no los restringe ni los relaciona con chatbot.prompt_template.</t>
        </is>
      </c>
      <c r="AA62" s="18">
        <f>IF(OR(V62="Aprobada"),R62,IF(AND(OR(V62="Aprobada con ajuste",V62="Rechazada"),W62&lt;&gt;""),W62,""))</f>
        <v/>
      </c>
    </row>
    <row r="63">
      <c r="A63" s="18" t="inlineStr">
        <is>
          <t>C0062</t>
        </is>
      </c>
      <c r="B63" s="18" t="inlineStr">
        <is>
          <t>Asistente virtual (chatbot)</t>
        </is>
      </c>
      <c r="C63" s="18" t="inlineStr">
        <is>
          <t>chatbot</t>
        </is>
      </c>
      <c r="D63" s="18" t="inlineStr">
        <is>
          <t>mensaje</t>
        </is>
      </c>
      <c r="E63" s="18" t="n">
        <v>0</v>
      </c>
      <c r="F63" s="18" t="inlineStr">
        <is>
          <t>tokens</t>
        </is>
      </c>
      <c r="G63" s="18" t="inlineStr">
        <is>
          <t>integer</t>
        </is>
      </c>
      <c r="H63" s="18" t="inlineStr">
        <is>
          <t>Sí</t>
        </is>
      </c>
      <c r="I63" s="18" t="inlineStr"/>
      <c r="J63" s="18" t="inlineStr"/>
      <c r="K63" s="18" t="inlineStr"/>
      <c r="L63" s="18" t="inlineStr">
        <is>
          <t>No</t>
        </is>
      </c>
      <c r="M63" s="18" t="inlineStr">
        <is>
          <t>No</t>
        </is>
      </c>
      <c r="N63" s="18" t="inlineStr"/>
      <c r="O63" s="18" t="inlineStr"/>
      <c r="P63" s="18" t="inlineStr">
        <is>
          <t>Mapeada en chatbot-service/src/modules/chat/entities/mensaje.entity.ts:31 (Mensaje.tokens)</t>
        </is>
      </c>
      <c r="Q63" s="18" t="inlineStr">
        <is>
          <t>Código fuente (verificado)</t>
        </is>
      </c>
      <c r="R63" s="18" t="inlineStr">
        <is>
          <t>Número de tokens del mensaje.</t>
        </is>
      </c>
      <c r="S63" s="18" t="inlineStr">
        <is>
          <t>Media</t>
        </is>
      </c>
      <c r="T63" s="18" t="inlineStr">
        <is>
          <t>chatbot-service/src/modules/chat/entities/mensaje.entity.ts:31-32: columna mapeada | chatbot-service/src/modules/chat/chat.service.ts:81-107: los mensajes se guardan sin tokens; la respuesta viene de una base de conocimiento local (motor esap-knowledge-base)</t>
        </is>
      </c>
      <c r="U63" s="18" t="inlineStr">
        <is>
          <t>El servicio no llena tokens: ¿qué componente lo registraría y si cuenta el mensaje o la llamada completa al modelo?</t>
        </is>
      </c>
      <c r="V63" s="19" t="inlineStr">
        <is>
          <t>Aprobada</t>
        </is>
      </c>
      <c r="W63" s="19" t="inlineStr"/>
      <c r="X63" s="19" t="inlineStr">
        <is>
          <t>Aldair González (validación del responsable de BD)</t>
        </is>
      </c>
      <c r="Y63" s="20" t="n">
        <v>46317</v>
      </c>
      <c r="Z63" s="19" t="inlineStr">
        <is>
          <t>Nivel 3: el código no resuelve la pregunta; queda para desarrollo. Validada por decisión del responsable de la base de datos. Pregunta registrada para desarrollo: El servicio no llena tokens: ¿qué componente lo registraría y si cuenta el mensaje o la llamada completa al modelo?</t>
        </is>
      </c>
      <c r="AA63" s="18">
        <f>IF(OR(V63="Aprobada"),R63,IF(AND(OR(V63="Aprobada con ajuste",V63="Rechazada"),W63&lt;&gt;""),W63,""))</f>
        <v/>
      </c>
    </row>
  </sheetData>
  <autoFilter ref="A1:AA63"/>
  <conditionalFormatting sqref="V2:V63">
    <cfRule type="cellIs" priority="1" operator="equal" dxfId="0">
      <formula>"Aprobada"</formula>
    </cfRule>
    <cfRule type="cellIs" priority="2" operator="equal" dxfId="1">
      <formula>"Aprobada con ajuste"</formula>
    </cfRule>
    <cfRule type="cellIs" priority="3" operator="equal" dxfId="2">
      <formula>"Rechazada"</formula>
    </cfRule>
    <cfRule type="cellIs" priority="4" operator="equal" dxfId="3">
      <formula>"Requiere aclaración"</formula>
    </cfRule>
  </conditionalFormatting>
  <conditionalFormatting sqref="S2:S63">
    <cfRule type="cellIs" priority="5" operator="equal" dxfId="4">
      <formula>"Baja"</formula>
    </cfRule>
  </conditionalFormatting>
  <conditionalFormatting sqref="W2:W63">
    <cfRule type="expression" priority="6" dxfId="5">
      <formula>AND(OR($V2="Aprobada con ajuste",$V2="Rechazada"),$W2="")</formula>
    </cfRule>
  </conditionalFormatting>
  <dataValidations count="2">
    <dataValidation sqref="V2:V63" showDropDown="0" showInputMessage="0" showErrorMessage="0" allowBlank="0" errorTitle="Decisión" error="Elija un valor de la lista." promptTitle="Decisión" prompt="Elija la decisión de la revisión" type="list">
      <formula1>"Pendiente,Aprobada,Aprobada con ajuste,Rechazada,Requiere aclaración"</formula1>
    </dataValidation>
    <dataValidation sqref="Y2:Y63" showDropDown="0" showInputMessage="0" showErrorMessage="0" allowBlank="1" errorTitle="Fecha" error="Escriba una fecha (aaaa-mm-dd)." type="date" operator="greaterThan">
      <formula1>DATE(2026,1,1)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26" customWidth="1" min="3" max="3"/>
    <col width="44" customWidth="1" min="4" max="4"/>
    <col width="16" customWidth="1" min="5" max="5"/>
    <col width="90" customWidth="1" min="6" max="6"/>
  </cols>
  <sheetData>
    <row r="1">
      <c r="A1" s="21" t="inlineStr">
        <is>
          <t>Esquema</t>
        </is>
      </c>
      <c r="B1" s="21" t="inlineStr">
        <is>
          <t>Tabla</t>
        </is>
      </c>
      <c r="C1" s="21" t="inlineStr">
        <is>
          <t>Columna</t>
        </is>
      </c>
      <c r="D1" s="21" t="inlineStr">
        <is>
          <t>Objeto</t>
        </is>
      </c>
      <c r="E1" s="21" t="inlineStr">
        <is>
          <t>Tipo de objeto</t>
        </is>
      </c>
      <c r="F1" s="21" t="inlineStr">
        <is>
          <t>Líneas donde aparece la columna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2026-10-22T20:37:24Z</dcterms:created>
  <dcterms:modified xmlns:dcterms="http://purl.org/dc/terms/" xmlns:xsi="http://www.w3.org/2001/XMLSchema-instance" xsi:type="dcterms:W3CDTF">2026-10-22T20:37:24Z</dcterms:modified>
</cp:coreProperties>
</file>